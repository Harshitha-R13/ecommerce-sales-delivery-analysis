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rshitha reddy\Downloads\"/>
    </mc:Choice>
  </mc:AlternateContent>
  <xr:revisionPtr revIDLastSave="0" documentId="8_{A91D6CDB-C384-4983-B4B5-C109DCFA2247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Customers" sheetId="1" r:id="rId1"/>
    <sheet name="Products" sheetId="2" r:id="rId2"/>
    <sheet name="MonthlyOrdersAnalysis" sheetId="11" r:id="rId3"/>
    <sheet name="Orders" sheetId="3" r:id="rId4"/>
    <sheet name="MonthlySalesAnalysis" sheetId="10" r:id="rId5"/>
    <sheet name="ProductSalesAnalysis" sheetId="12" r:id="rId6"/>
    <sheet name="OrderItems" sheetId="4" r:id="rId7"/>
    <sheet name="DataQualityLog" sheetId="6" r:id="rId8"/>
    <sheet name="CarrierAnalysis" sheetId="8" r:id="rId9"/>
    <sheet name="OnTimeDispatchAnalysis" sheetId="9" r:id="rId10"/>
    <sheet name="Deliveries" sheetId="5" r:id="rId11"/>
  </sheets>
  <definedNames>
    <definedName name="_xlnm._FilterDatabase" localSheetId="0" hidden="1">Customers!$A$1:$C$301</definedName>
    <definedName name="_xlnm._FilterDatabase" localSheetId="10" hidden="1">Deliveries!$A$1:$N$1146</definedName>
    <definedName name="_xlnm._FilterDatabase" localSheetId="6" hidden="1">OrderItems!$A$1:$E$2428</definedName>
    <definedName name="_xlnm._FilterDatabase" localSheetId="3" hidden="1">Orders!$A$1:$D$1201</definedName>
    <definedName name="_xlnm._FilterDatabase" localSheetId="1" hidden="1">Products!$A$1:$D$13</definedName>
  </definedNames>
  <calcPr calcId="191029"/>
  <pivotCaches>
    <pivotCache cacheId="0" r:id="rId12"/>
    <pivotCache cacheId="6" r:id="rId13"/>
    <pivotCache cacheId="11" r:id="rId14"/>
    <pivotCache cacheId="16" r:id="rId15"/>
    <pivotCache cacheId="22" r:id="rId16"/>
  </pivotCaches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" i="4"/>
  <c r="F7" i="11"/>
  <c r="E7" i="11"/>
  <c r="F6" i="10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K2" i="4"/>
  <c r="H13" i="4"/>
  <c r="H18" i="4"/>
  <c r="H21" i="4"/>
  <c r="H25" i="4"/>
  <c r="H29" i="4"/>
  <c r="H37" i="4"/>
  <c r="H40" i="4"/>
  <c r="H45" i="4"/>
  <c r="H49" i="4"/>
  <c r="H53" i="4"/>
  <c r="H57" i="4"/>
  <c r="H61" i="4"/>
  <c r="H63" i="4"/>
  <c r="H64" i="4"/>
  <c r="H73" i="4"/>
  <c r="H77" i="4"/>
  <c r="H82" i="4"/>
  <c r="H85" i="4"/>
  <c r="H89" i="4"/>
  <c r="H93" i="4"/>
  <c r="H99" i="4"/>
  <c r="H106" i="4"/>
  <c r="H109" i="4"/>
  <c r="H113" i="4"/>
  <c r="H117" i="4"/>
  <c r="H120" i="4"/>
  <c r="H125" i="4"/>
  <c r="H130" i="4"/>
  <c r="H137" i="4"/>
  <c r="H141" i="4"/>
  <c r="H145" i="4"/>
  <c r="H147" i="4"/>
  <c r="H149" i="4"/>
  <c r="H154" i="4"/>
  <c r="H157" i="4"/>
  <c r="H161" i="4"/>
  <c r="H165" i="4"/>
  <c r="H167" i="4"/>
  <c r="H170" i="4"/>
  <c r="H173" i="4"/>
  <c r="H177" i="4"/>
  <c r="H181" i="4"/>
  <c r="H185" i="4"/>
  <c r="H189" i="4"/>
  <c r="H201" i="4"/>
  <c r="H203" i="4"/>
  <c r="H207" i="4"/>
  <c r="H209" i="4"/>
  <c r="H213" i="4"/>
  <c r="H217" i="4"/>
  <c r="H221" i="4"/>
  <c r="H225" i="4"/>
  <c r="H229" i="4"/>
  <c r="H241" i="4"/>
  <c r="H245" i="4"/>
  <c r="H253" i="4"/>
  <c r="H269" i="4"/>
  <c r="H273" i="4"/>
  <c r="H274" i="4"/>
  <c r="H275" i="4"/>
  <c r="H277" i="4"/>
  <c r="H285" i="4"/>
  <c r="H293" i="4"/>
  <c r="H301" i="4"/>
  <c r="H309" i="4"/>
  <c r="H314" i="4"/>
  <c r="H317" i="4"/>
  <c r="H321" i="4"/>
  <c r="H323" i="4"/>
  <c r="H333" i="4"/>
  <c r="H337" i="4"/>
  <c r="H339" i="4"/>
  <c r="H345" i="4"/>
  <c r="H347" i="4"/>
  <c r="H349" i="4"/>
  <c r="H353" i="4"/>
  <c r="H357" i="4"/>
  <c r="H363" i="4"/>
  <c r="H365" i="4"/>
  <c r="H369" i="4"/>
  <c r="H381" i="4"/>
  <c r="H385" i="4"/>
  <c r="H386" i="4"/>
  <c r="H397" i="4"/>
  <c r="H405" i="4"/>
  <c r="H410" i="4"/>
  <c r="H417" i="4"/>
  <c r="H418" i="4"/>
  <c r="H421" i="4"/>
  <c r="H429" i="4"/>
  <c r="H433" i="4"/>
  <c r="H437" i="4"/>
  <c r="H445" i="4"/>
  <c r="H451" i="4"/>
  <c r="H455" i="4"/>
  <c r="H458" i="4"/>
  <c r="H465" i="4"/>
  <c r="H469" i="4"/>
  <c r="H475" i="4"/>
  <c r="H481" i="4"/>
  <c r="H493" i="4"/>
  <c r="H501" i="4"/>
  <c r="H505" i="4"/>
  <c r="H513" i="4"/>
  <c r="H514" i="4"/>
  <c r="H525" i="4"/>
  <c r="H541" i="4"/>
  <c r="H547" i="4"/>
  <c r="H549" i="4"/>
  <c r="H561" i="4"/>
  <c r="H563" i="4"/>
  <c r="H565" i="4"/>
  <c r="H573" i="4"/>
  <c r="H577" i="4"/>
  <c r="H586" i="4"/>
  <c r="H587" i="4"/>
  <c r="H589" i="4"/>
  <c r="H597" i="4"/>
  <c r="H601" i="4"/>
  <c r="H609" i="4"/>
  <c r="H610" i="4"/>
  <c r="H621" i="4"/>
  <c r="H625" i="4"/>
  <c r="H627" i="4"/>
  <c r="H634" i="4"/>
  <c r="H637" i="4"/>
  <c r="H650" i="4"/>
  <c r="H653" i="4"/>
  <c r="H657" i="4"/>
  <c r="H661" i="4"/>
  <c r="H669" i="4"/>
  <c r="H671" i="4"/>
  <c r="H673" i="4"/>
  <c r="H677" i="4"/>
  <c r="H681" i="4"/>
  <c r="H685" i="4"/>
  <c r="H689" i="4"/>
  <c r="H691" i="4"/>
  <c r="H701" i="4"/>
  <c r="H705" i="4"/>
  <c r="H706" i="4"/>
  <c r="H709" i="4"/>
  <c r="H713" i="4"/>
  <c r="H723" i="4"/>
  <c r="H725" i="4"/>
  <c r="H731" i="4"/>
  <c r="H733" i="4"/>
  <c r="H737" i="4"/>
  <c r="H741" i="4"/>
  <c r="H746" i="4"/>
  <c r="H747" i="4"/>
  <c r="H753" i="4"/>
  <c r="H762" i="4"/>
  <c r="H763" i="4"/>
  <c r="H765" i="4"/>
  <c r="H773" i="4"/>
  <c r="H777" i="4"/>
  <c r="H781" i="4"/>
  <c r="H789" i="4"/>
  <c r="H793" i="4"/>
  <c r="H797" i="4"/>
  <c r="H801" i="4"/>
  <c r="H809" i="4"/>
  <c r="H810" i="4"/>
  <c r="H812" i="4"/>
  <c r="H813" i="4"/>
  <c r="H817" i="4"/>
  <c r="H821" i="4"/>
  <c r="H827" i="4"/>
  <c r="H828" i="4"/>
  <c r="H829" i="4"/>
  <c r="H837" i="4"/>
  <c r="H841" i="4"/>
  <c r="H845" i="4"/>
  <c r="H849" i="4"/>
  <c r="H853" i="4"/>
  <c r="H857" i="4"/>
  <c r="H858" i="4"/>
  <c r="H859" i="4"/>
  <c r="H861" i="4"/>
  <c r="H873" i="4"/>
  <c r="H874" i="4"/>
  <c r="H877" i="4"/>
  <c r="H881" i="4"/>
  <c r="H885" i="4"/>
  <c r="H890" i="4"/>
  <c r="H893" i="4"/>
  <c r="H901" i="4"/>
  <c r="H909" i="4"/>
  <c r="H913" i="4"/>
  <c r="H917" i="4"/>
  <c r="H921" i="4"/>
  <c r="H922" i="4"/>
  <c r="H923" i="4"/>
  <c r="H925" i="4"/>
  <c r="H929" i="4"/>
  <c r="H937" i="4"/>
  <c r="H939" i="4"/>
  <c r="H940" i="4"/>
  <c r="H941" i="4"/>
  <c r="H945" i="4"/>
  <c r="H949" i="4"/>
  <c r="H954" i="4"/>
  <c r="H957" i="4"/>
  <c r="H965" i="4"/>
  <c r="H967" i="4"/>
  <c r="H969" i="4"/>
  <c r="H973" i="4"/>
  <c r="H977" i="4"/>
  <c r="H981" i="4"/>
  <c r="H987" i="4"/>
  <c r="H989" i="4"/>
  <c r="H993" i="4"/>
  <c r="H1001" i="4"/>
  <c r="H1003" i="4"/>
  <c r="H1005" i="4"/>
  <c r="H1009" i="4"/>
  <c r="H1013" i="4"/>
  <c r="H1019" i="4"/>
  <c r="H1020" i="4"/>
  <c r="H1021" i="4"/>
  <c r="H1029" i="4"/>
  <c r="H1037" i="4"/>
  <c r="H1041" i="4"/>
  <c r="H1045" i="4"/>
  <c r="H1049" i="4"/>
  <c r="H1050" i="4"/>
  <c r="H1053" i="4"/>
  <c r="H1067" i="4"/>
  <c r="H1069" i="4"/>
  <c r="H1073" i="4"/>
  <c r="H1077" i="4"/>
  <c r="H1081" i="4"/>
  <c r="H1083" i="4"/>
  <c r="H1085" i="4"/>
  <c r="H1093" i="4"/>
  <c r="H1097" i="4"/>
  <c r="H1099" i="4"/>
  <c r="H1101" i="4"/>
  <c r="H1105" i="4"/>
  <c r="H1109" i="4"/>
  <c r="H1114" i="4"/>
  <c r="H1117" i="4"/>
  <c r="H1123" i="4"/>
  <c r="H1129" i="4"/>
  <c r="H1133" i="4"/>
  <c r="H1138" i="4"/>
  <c r="H1140" i="4"/>
  <c r="H1141" i="4"/>
  <c r="H1145" i="4"/>
  <c r="H1149" i="4"/>
  <c r="H1154" i="4"/>
  <c r="H1157" i="4"/>
  <c r="H1161" i="4"/>
  <c r="H1165" i="4"/>
  <c r="H1167" i="4"/>
  <c r="H1169" i="4"/>
  <c r="H1173" i="4"/>
  <c r="H1177" i="4"/>
  <c r="H1179" i="4"/>
  <c r="H1181" i="4"/>
  <c r="H1185" i="4"/>
  <c r="H1195" i="4"/>
  <c r="H1196" i="4"/>
  <c r="H1197" i="4"/>
  <c r="H1201" i="4"/>
  <c r="H1205" i="4"/>
  <c r="H1209" i="4"/>
  <c r="H1210" i="4"/>
  <c r="H1211" i="4"/>
  <c r="H1213" i="4"/>
  <c r="H1221" i="4"/>
  <c r="H1229" i="4"/>
  <c r="H1233" i="4"/>
  <c r="H1234" i="4"/>
  <c r="H1237" i="4"/>
  <c r="H1240" i="4"/>
  <c r="H1242" i="4"/>
  <c r="H1245" i="4"/>
  <c r="H1249" i="4"/>
  <c r="H1251" i="4"/>
  <c r="H1258" i="4"/>
  <c r="H1261" i="4"/>
  <c r="H1266" i="4"/>
  <c r="H1269" i="4"/>
  <c r="H1273" i="4"/>
  <c r="H1277" i="4"/>
  <c r="H1282" i="4"/>
  <c r="H1283" i="4"/>
  <c r="H1285" i="4"/>
  <c r="H1289" i="4"/>
  <c r="H1293" i="4"/>
  <c r="H1297" i="4"/>
  <c r="H1301" i="4"/>
  <c r="H1305" i="4"/>
  <c r="H1309" i="4"/>
  <c r="H1312" i="4"/>
  <c r="H1313" i="4"/>
  <c r="H1314" i="4"/>
  <c r="H1321" i="4"/>
  <c r="H1325" i="4"/>
  <c r="H1329" i="4"/>
  <c r="H1333" i="4"/>
  <c r="H1337" i="4"/>
  <c r="H1341" i="4"/>
  <c r="H1344" i="4"/>
  <c r="H1349" i="4"/>
  <c r="H1353" i="4"/>
  <c r="H1356" i="4"/>
  <c r="H1357" i="4"/>
  <c r="H1365" i="4"/>
  <c r="H1370" i="4"/>
  <c r="H1373" i="4"/>
  <c r="H1377" i="4"/>
  <c r="H1385" i="4"/>
  <c r="H1386" i="4"/>
  <c r="H1387" i="4"/>
  <c r="H1389" i="4"/>
  <c r="H1397" i="4"/>
  <c r="H1401" i="4"/>
  <c r="H1404" i="4"/>
  <c r="H1405" i="4"/>
  <c r="H1412" i="4"/>
  <c r="H1413" i="4"/>
  <c r="H1417" i="4"/>
  <c r="H1421" i="4"/>
  <c r="H1425" i="4"/>
  <c r="H1426" i="4"/>
  <c r="H1429" i="4"/>
  <c r="H1433" i="4"/>
  <c r="H1437" i="4"/>
  <c r="H1441" i="4"/>
  <c r="H1442" i="4"/>
  <c r="H1449" i="4"/>
  <c r="H1452" i="4"/>
  <c r="H1453" i="4"/>
  <c r="H1457" i="4"/>
  <c r="H1458" i="4"/>
  <c r="H1461" i="4"/>
  <c r="H1465" i="4"/>
  <c r="H1469" i="4"/>
  <c r="H1474" i="4"/>
  <c r="H1477" i="4"/>
  <c r="H1481" i="4"/>
  <c r="H1485" i="4"/>
  <c r="H1489" i="4"/>
  <c r="H1490" i="4"/>
  <c r="H1493" i="4"/>
  <c r="H1501" i="4"/>
  <c r="H1505" i="4"/>
  <c r="H1513" i="4"/>
  <c r="H1517" i="4"/>
  <c r="H1521" i="4"/>
  <c r="H1525" i="4"/>
  <c r="H1530" i="4"/>
  <c r="H1533" i="4"/>
  <c r="H1537" i="4"/>
  <c r="H1541" i="4"/>
  <c r="H1545" i="4"/>
  <c r="H1546" i="4"/>
  <c r="H1549" i="4"/>
  <c r="H1553" i="4"/>
  <c r="H1555" i="4"/>
  <c r="H1557" i="4"/>
  <c r="H1561" i="4"/>
  <c r="H1565" i="4"/>
  <c r="H1569" i="4"/>
  <c r="H1570" i="4"/>
  <c r="H1573" i="4"/>
  <c r="H1577" i="4"/>
  <c r="H1580" i="4"/>
  <c r="H1581" i="4"/>
  <c r="H1589" i="4"/>
  <c r="H1594" i="4"/>
  <c r="H1596" i="4"/>
  <c r="H1597" i="4"/>
  <c r="H1601" i="4"/>
  <c r="H1605" i="4"/>
  <c r="H1609" i="4"/>
  <c r="H1613" i="4"/>
  <c r="H1617" i="4"/>
  <c r="H1618" i="4"/>
  <c r="H1621" i="4"/>
  <c r="H1625" i="4"/>
  <c r="H1629" i="4"/>
  <c r="H1633" i="4"/>
  <c r="H1637" i="4"/>
  <c r="H1641" i="4"/>
  <c r="H1642" i="4"/>
  <c r="H1644" i="4"/>
  <c r="H1645" i="4"/>
  <c r="H1649" i="4"/>
  <c r="H1653" i="4"/>
  <c r="H1658" i="4"/>
  <c r="H1661" i="4"/>
  <c r="H1665" i="4"/>
  <c r="H1668" i="4"/>
  <c r="H1669" i="4"/>
  <c r="H1673" i="4"/>
  <c r="H1677" i="4"/>
  <c r="H1681" i="4"/>
  <c r="H1682" i="4"/>
  <c r="H1685" i="4"/>
  <c r="H1689" i="4"/>
  <c r="H1690" i="4"/>
  <c r="H1691" i="4"/>
  <c r="H1693" i="4"/>
  <c r="H1701" i="4"/>
  <c r="H1703" i="4"/>
  <c r="H1705" i="4"/>
  <c r="H1706" i="4"/>
  <c r="H1709" i="4"/>
  <c r="H1713" i="4"/>
  <c r="H1714" i="4"/>
  <c r="H1717" i="4"/>
  <c r="H1725" i="4"/>
  <c r="H1729" i="4"/>
  <c r="H1733" i="4"/>
  <c r="H1737" i="4"/>
  <c r="H1741" i="4"/>
  <c r="H1745" i="4"/>
  <c r="H1749" i="4"/>
  <c r="H1753" i="4"/>
  <c r="H1754" i="4"/>
  <c r="H1757" i="4"/>
  <c r="H1761" i="4"/>
  <c r="H1763" i="4"/>
  <c r="H1764" i="4"/>
  <c r="H1765" i="4"/>
  <c r="H1773" i="4"/>
  <c r="H1777" i="4"/>
  <c r="H1778" i="4"/>
  <c r="H1781" i="4"/>
  <c r="H1788" i="4"/>
  <c r="H1789" i="4"/>
  <c r="H1793" i="4"/>
  <c r="H1797" i="4"/>
  <c r="H1801" i="4"/>
  <c r="H1802" i="4"/>
  <c r="H1805" i="4"/>
  <c r="H1809" i="4"/>
  <c r="H1813" i="4"/>
  <c r="H1817" i="4"/>
  <c r="H1821" i="4"/>
  <c r="H1825" i="4"/>
  <c r="H1826" i="4"/>
  <c r="H1828" i="4"/>
  <c r="H1829" i="4"/>
  <c r="H1833" i="4"/>
  <c r="H1837" i="4"/>
  <c r="H1842" i="4"/>
  <c r="H1845" i="4"/>
  <c r="H1847" i="4"/>
  <c r="H1850" i="4"/>
  <c r="H1853" i="4"/>
  <c r="H1857" i="4"/>
  <c r="H1861" i="4"/>
  <c r="H1865" i="4"/>
  <c r="H1869" i="4"/>
  <c r="H1873" i="4"/>
  <c r="H1874" i="4"/>
  <c r="H1877" i="4"/>
  <c r="H1881" i="4"/>
  <c r="H1883" i="4"/>
  <c r="H1884" i="4"/>
  <c r="H1885" i="4"/>
  <c r="H1889" i="4"/>
  <c r="H1893" i="4"/>
  <c r="H1897" i="4"/>
  <c r="H1898" i="4"/>
  <c r="H1901" i="4"/>
  <c r="H1905" i="4"/>
  <c r="H1906" i="4"/>
  <c r="H1909" i="4"/>
  <c r="H1916" i="4"/>
  <c r="H1917" i="4"/>
  <c r="H1921" i="4"/>
  <c r="H1925" i="4"/>
  <c r="H1929" i="4"/>
  <c r="H1930" i="4"/>
  <c r="H1933" i="4"/>
  <c r="H1937" i="4"/>
  <c r="H1938" i="4"/>
  <c r="H1939" i="4"/>
  <c r="H1941" i="4"/>
  <c r="H1945" i="4"/>
  <c r="H1949" i="4"/>
  <c r="H1954" i="4"/>
  <c r="H1957" i="4"/>
  <c r="H1961" i="4"/>
  <c r="H1962" i="4"/>
  <c r="H1965" i="4"/>
  <c r="H1969" i="4"/>
  <c r="H1972" i="4"/>
  <c r="H1973" i="4"/>
  <c r="H1981" i="4"/>
  <c r="H1985" i="4"/>
  <c r="H1989" i="4"/>
  <c r="H1993" i="4"/>
  <c r="H1997" i="4"/>
  <c r="H2001" i="4"/>
  <c r="H2005" i="4"/>
  <c r="H2009" i="4"/>
  <c r="H2010" i="4"/>
  <c r="H2013" i="4"/>
  <c r="H2017" i="4"/>
  <c r="H2018" i="4"/>
  <c r="H2019" i="4"/>
  <c r="H2021" i="4"/>
  <c r="H2029" i="4"/>
  <c r="H2033" i="4"/>
  <c r="H2037" i="4"/>
  <c r="H2042" i="4"/>
  <c r="H2045" i="4"/>
  <c r="H2049" i="4"/>
  <c r="H2053" i="4"/>
  <c r="H2057" i="4"/>
  <c r="H2061" i="4"/>
  <c r="H2065" i="4"/>
  <c r="H2069" i="4"/>
  <c r="H2073" i="4"/>
  <c r="H2074" i="4"/>
  <c r="H2075" i="4"/>
  <c r="H2077" i="4"/>
  <c r="H2081" i="4"/>
  <c r="H2085" i="4"/>
  <c r="H2089" i="4"/>
  <c r="H2093" i="4"/>
  <c r="H2098" i="4"/>
  <c r="H2101" i="4"/>
  <c r="H2108" i="4"/>
  <c r="H2109" i="4"/>
  <c r="H2113" i="4"/>
  <c r="H2117" i="4"/>
  <c r="H2121" i="4"/>
  <c r="H2122" i="4"/>
  <c r="H2125" i="4"/>
  <c r="H2129" i="4"/>
  <c r="H2130" i="4"/>
  <c r="H2131" i="4"/>
  <c r="H2133" i="4"/>
  <c r="H2137" i="4"/>
  <c r="H2141" i="4"/>
  <c r="H2145" i="4"/>
  <c r="H2149" i="4"/>
  <c r="H2153" i="4"/>
  <c r="H2154" i="4"/>
  <c r="H2157" i="4"/>
  <c r="H2161" i="4"/>
  <c r="H2165" i="4"/>
  <c r="H2173" i="4"/>
  <c r="H2177" i="4"/>
  <c r="H2181" i="4"/>
  <c r="H2185" i="4"/>
  <c r="H2186" i="4"/>
  <c r="H2189" i="4"/>
  <c r="H2193" i="4"/>
  <c r="H2197" i="4"/>
  <c r="H2201" i="4"/>
  <c r="H2202" i="4"/>
  <c r="H2205" i="4"/>
  <c r="H2210" i="4"/>
  <c r="H2211" i="4"/>
  <c r="H2213" i="4"/>
  <c r="H2220" i="4"/>
  <c r="H2221" i="4"/>
  <c r="H2229" i="4"/>
  <c r="H2237" i="4"/>
  <c r="H2242" i="4"/>
  <c r="H2245" i="4"/>
  <c r="H2249" i="4"/>
  <c r="H2250" i="4"/>
  <c r="H2251" i="4"/>
  <c r="H2253" i="4"/>
  <c r="H2261" i="4"/>
  <c r="H2269" i="4"/>
  <c r="H2274" i="4"/>
  <c r="H2277" i="4"/>
  <c r="H2283" i="4"/>
  <c r="H2285" i="4"/>
  <c r="H2290" i="4"/>
  <c r="H2293" i="4"/>
  <c r="H2301" i="4"/>
  <c r="H2309" i="4"/>
  <c r="H2313" i="4"/>
  <c r="H2314" i="4"/>
  <c r="H2317" i="4"/>
  <c r="H2321" i="4"/>
  <c r="H2322" i="4"/>
  <c r="H2323" i="4"/>
  <c r="H2325" i="4"/>
  <c r="H2331" i="4"/>
  <c r="H2332" i="4"/>
  <c r="H2333" i="4"/>
  <c r="H2341" i="4"/>
  <c r="H2345" i="4"/>
  <c r="H2349" i="4"/>
  <c r="H2353" i="4"/>
  <c r="H2354" i="4"/>
  <c r="H2357" i="4"/>
  <c r="H2362" i="4"/>
  <c r="H2365" i="4"/>
  <c r="H2373" i="4"/>
  <c r="H2381" i="4"/>
  <c r="H2385" i="4"/>
  <c r="H2386" i="4"/>
  <c r="H2389" i="4"/>
  <c r="H2393" i="4"/>
  <c r="H2394" i="4"/>
  <c r="H2395" i="4"/>
  <c r="H2397" i="4"/>
  <c r="H2403" i="4"/>
  <c r="H2404" i="4"/>
  <c r="H2405" i="4"/>
  <c r="H2413" i="4"/>
  <c r="H2417" i="4"/>
  <c r="H2421" i="4"/>
  <c r="H2425" i="4"/>
  <c r="H2426" i="4"/>
  <c r="H2" i="4"/>
  <c r="G3" i="4"/>
  <c r="H3" i="4" s="1"/>
  <c r="G4" i="4"/>
  <c r="H4" i="4" s="1"/>
  <c r="G5" i="4"/>
  <c r="H5" i="4" s="1"/>
  <c r="G6" i="4"/>
  <c r="H6" i="4" s="1"/>
  <c r="G7" i="4"/>
  <c r="H7" i="4" s="1"/>
  <c r="G8" i="4"/>
  <c r="H8" i="4" s="1"/>
  <c r="G9" i="4"/>
  <c r="H9" i="4" s="1"/>
  <c r="G10" i="4"/>
  <c r="H10" i="4" s="1"/>
  <c r="G11" i="4"/>
  <c r="H11" i="4" s="1"/>
  <c r="G12" i="4"/>
  <c r="H12" i="4" s="1"/>
  <c r="G13" i="4"/>
  <c r="G14" i="4"/>
  <c r="H14" i="4" s="1"/>
  <c r="G15" i="4"/>
  <c r="H15" i="4" s="1"/>
  <c r="G16" i="4"/>
  <c r="H16" i="4" s="1"/>
  <c r="G17" i="4"/>
  <c r="H17" i="4" s="1"/>
  <c r="G18" i="4"/>
  <c r="G19" i="4"/>
  <c r="H19" i="4" s="1"/>
  <c r="G20" i="4"/>
  <c r="H20" i="4" s="1"/>
  <c r="G21" i="4"/>
  <c r="G22" i="4"/>
  <c r="H22" i="4" s="1"/>
  <c r="G23" i="4"/>
  <c r="H23" i="4" s="1"/>
  <c r="G24" i="4"/>
  <c r="H24" i="4" s="1"/>
  <c r="G25" i="4"/>
  <c r="G26" i="4"/>
  <c r="H26" i="4" s="1"/>
  <c r="G27" i="4"/>
  <c r="H27" i="4" s="1"/>
  <c r="G28" i="4"/>
  <c r="H28" i="4" s="1"/>
  <c r="G29" i="4"/>
  <c r="G30" i="4"/>
  <c r="H30" i="4" s="1"/>
  <c r="G31" i="4"/>
  <c r="H31" i="4" s="1"/>
  <c r="G32" i="4"/>
  <c r="H32" i="4" s="1"/>
  <c r="G33" i="4"/>
  <c r="H33" i="4" s="1"/>
  <c r="G34" i="4"/>
  <c r="H34" i="4" s="1"/>
  <c r="G35" i="4"/>
  <c r="H35" i="4" s="1"/>
  <c r="G36" i="4"/>
  <c r="H36" i="4" s="1"/>
  <c r="G37" i="4"/>
  <c r="G38" i="4"/>
  <c r="H38" i="4" s="1"/>
  <c r="G39" i="4"/>
  <c r="H39" i="4" s="1"/>
  <c r="G40" i="4"/>
  <c r="G41" i="4"/>
  <c r="H41" i="4" s="1"/>
  <c r="G42" i="4"/>
  <c r="H42" i="4" s="1"/>
  <c r="G43" i="4"/>
  <c r="H43" i="4" s="1"/>
  <c r="G44" i="4"/>
  <c r="H44" i="4" s="1"/>
  <c r="G45" i="4"/>
  <c r="G46" i="4"/>
  <c r="H46" i="4" s="1"/>
  <c r="G47" i="4"/>
  <c r="H47" i="4" s="1"/>
  <c r="G48" i="4"/>
  <c r="H48" i="4" s="1"/>
  <c r="G49" i="4"/>
  <c r="G50" i="4"/>
  <c r="H50" i="4" s="1"/>
  <c r="G51" i="4"/>
  <c r="H51" i="4" s="1"/>
  <c r="G52" i="4"/>
  <c r="H52" i="4" s="1"/>
  <c r="G53" i="4"/>
  <c r="G54" i="4"/>
  <c r="H54" i="4" s="1"/>
  <c r="G55" i="4"/>
  <c r="H55" i="4" s="1"/>
  <c r="G56" i="4"/>
  <c r="H56" i="4" s="1"/>
  <c r="G57" i="4"/>
  <c r="G58" i="4"/>
  <c r="H58" i="4" s="1"/>
  <c r="G59" i="4"/>
  <c r="H59" i="4" s="1"/>
  <c r="G60" i="4"/>
  <c r="H60" i="4" s="1"/>
  <c r="G61" i="4"/>
  <c r="G62" i="4"/>
  <c r="H62" i="4" s="1"/>
  <c r="G63" i="4"/>
  <c r="G64" i="4"/>
  <c r="G65" i="4"/>
  <c r="H65" i="4" s="1"/>
  <c r="G66" i="4"/>
  <c r="H66" i="4" s="1"/>
  <c r="G67" i="4"/>
  <c r="H67" i="4" s="1"/>
  <c r="G68" i="4"/>
  <c r="H68" i="4" s="1"/>
  <c r="G69" i="4"/>
  <c r="H69" i="4" s="1"/>
  <c r="G70" i="4"/>
  <c r="H70" i="4" s="1"/>
  <c r="G71" i="4"/>
  <c r="H71" i="4" s="1"/>
  <c r="G72" i="4"/>
  <c r="H72" i="4" s="1"/>
  <c r="G73" i="4"/>
  <c r="G74" i="4"/>
  <c r="H74" i="4" s="1"/>
  <c r="G75" i="4"/>
  <c r="H75" i="4" s="1"/>
  <c r="G76" i="4"/>
  <c r="H76" i="4" s="1"/>
  <c r="G77" i="4"/>
  <c r="G78" i="4"/>
  <c r="H78" i="4" s="1"/>
  <c r="G79" i="4"/>
  <c r="H79" i="4" s="1"/>
  <c r="G80" i="4"/>
  <c r="H80" i="4" s="1"/>
  <c r="G81" i="4"/>
  <c r="H81" i="4" s="1"/>
  <c r="G82" i="4"/>
  <c r="G83" i="4"/>
  <c r="H83" i="4" s="1"/>
  <c r="G84" i="4"/>
  <c r="H84" i="4" s="1"/>
  <c r="G85" i="4"/>
  <c r="G86" i="4"/>
  <c r="H86" i="4" s="1"/>
  <c r="G87" i="4"/>
  <c r="H87" i="4" s="1"/>
  <c r="G88" i="4"/>
  <c r="H88" i="4" s="1"/>
  <c r="G89" i="4"/>
  <c r="G90" i="4"/>
  <c r="H90" i="4" s="1"/>
  <c r="G91" i="4"/>
  <c r="H91" i="4" s="1"/>
  <c r="G92" i="4"/>
  <c r="H92" i="4" s="1"/>
  <c r="G93" i="4"/>
  <c r="G94" i="4"/>
  <c r="H94" i="4" s="1"/>
  <c r="G95" i="4"/>
  <c r="H95" i="4" s="1"/>
  <c r="G96" i="4"/>
  <c r="H96" i="4" s="1"/>
  <c r="G97" i="4"/>
  <c r="H97" i="4" s="1"/>
  <c r="G98" i="4"/>
  <c r="H98" i="4" s="1"/>
  <c r="G99" i="4"/>
  <c r="G100" i="4"/>
  <c r="H100" i="4" s="1"/>
  <c r="G101" i="4"/>
  <c r="H101" i="4" s="1"/>
  <c r="G102" i="4"/>
  <c r="H102" i="4" s="1"/>
  <c r="G103" i="4"/>
  <c r="H103" i="4" s="1"/>
  <c r="G104" i="4"/>
  <c r="H104" i="4" s="1"/>
  <c r="G105" i="4"/>
  <c r="H105" i="4" s="1"/>
  <c r="G106" i="4"/>
  <c r="G107" i="4"/>
  <c r="H107" i="4" s="1"/>
  <c r="G108" i="4"/>
  <c r="H108" i="4" s="1"/>
  <c r="G109" i="4"/>
  <c r="G110" i="4"/>
  <c r="H110" i="4" s="1"/>
  <c r="G111" i="4"/>
  <c r="H111" i="4" s="1"/>
  <c r="G112" i="4"/>
  <c r="H112" i="4" s="1"/>
  <c r="G113" i="4"/>
  <c r="G114" i="4"/>
  <c r="H114" i="4" s="1"/>
  <c r="G115" i="4"/>
  <c r="H115" i="4" s="1"/>
  <c r="G116" i="4"/>
  <c r="H116" i="4" s="1"/>
  <c r="G117" i="4"/>
  <c r="G118" i="4"/>
  <c r="H118" i="4" s="1"/>
  <c r="G119" i="4"/>
  <c r="H119" i="4" s="1"/>
  <c r="G120" i="4"/>
  <c r="G121" i="4"/>
  <c r="H121" i="4" s="1"/>
  <c r="G122" i="4"/>
  <c r="H122" i="4" s="1"/>
  <c r="G123" i="4"/>
  <c r="H123" i="4" s="1"/>
  <c r="G124" i="4"/>
  <c r="H124" i="4" s="1"/>
  <c r="G125" i="4"/>
  <c r="G126" i="4"/>
  <c r="H126" i="4" s="1"/>
  <c r="G127" i="4"/>
  <c r="H127" i="4" s="1"/>
  <c r="G128" i="4"/>
  <c r="H128" i="4" s="1"/>
  <c r="G129" i="4"/>
  <c r="H129" i="4" s="1"/>
  <c r="G130" i="4"/>
  <c r="G131" i="4"/>
  <c r="H131" i="4" s="1"/>
  <c r="G132" i="4"/>
  <c r="H132" i="4" s="1"/>
  <c r="G133" i="4"/>
  <c r="H133" i="4" s="1"/>
  <c r="G134" i="4"/>
  <c r="H134" i="4" s="1"/>
  <c r="G135" i="4"/>
  <c r="H135" i="4" s="1"/>
  <c r="G136" i="4"/>
  <c r="H136" i="4" s="1"/>
  <c r="G137" i="4"/>
  <c r="G138" i="4"/>
  <c r="H138" i="4" s="1"/>
  <c r="G139" i="4"/>
  <c r="H139" i="4" s="1"/>
  <c r="G140" i="4"/>
  <c r="H140" i="4" s="1"/>
  <c r="G141" i="4"/>
  <c r="G142" i="4"/>
  <c r="H142" i="4" s="1"/>
  <c r="G143" i="4"/>
  <c r="H143" i="4" s="1"/>
  <c r="G144" i="4"/>
  <c r="H144" i="4" s="1"/>
  <c r="G145" i="4"/>
  <c r="G146" i="4"/>
  <c r="H146" i="4" s="1"/>
  <c r="G147" i="4"/>
  <c r="G148" i="4"/>
  <c r="H148" i="4" s="1"/>
  <c r="G149" i="4"/>
  <c r="G150" i="4"/>
  <c r="H150" i="4" s="1"/>
  <c r="G151" i="4"/>
  <c r="H151" i="4" s="1"/>
  <c r="G152" i="4"/>
  <c r="H152" i="4" s="1"/>
  <c r="G153" i="4"/>
  <c r="H153" i="4" s="1"/>
  <c r="G154" i="4"/>
  <c r="G155" i="4"/>
  <c r="H155" i="4" s="1"/>
  <c r="G156" i="4"/>
  <c r="H156" i="4" s="1"/>
  <c r="G157" i="4"/>
  <c r="G158" i="4"/>
  <c r="H158" i="4" s="1"/>
  <c r="G159" i="4"/>
  <c r="H159" i="4" s="1"/>
  <c r="G160" i="4"/>
  <c r="H160" i="4" s="1"/>
  <c r="G161" i="4"/>
  <c r="G162" i="4"/>
  <c r="H162" i="4" s="1"/>
  <c r="G163" i="4"/>
  <c r="H163" i="4" s="1"/>
  <c r="G164" i="4"/>
  <c r="H164" i="4" s="1"/>
  <c r="G165" i="4"/>
  <c r="G166" i="4"/>
  <c r="H166" i="4" s="1"/>
  <c r="G167" i="4"/>
  <c r="G168" i="4"/>
  <c r="H168" i="4" s="1"/>
  <c r="G169" i="4"/>
  <c r="H169" i="4" s="1"/>
  <c r="G170" i="4"/>
  <c r="G171" i="4"/>
  <c r="H171" i="4" s="1"/>
  <c r="G172" i="4"/>
  <c r="H172" i="4" s="1"/>
  <c r="G173" i="4"/>
  <c r="G174" i="4"/>
  <c r="H174" i="4" s="1"/>
  <c r="G175" i="4"/>
  <c r="H175" i="4" s="1"/>
  <c r="G176" i="4"/>
  <c r="H176" i="4" s="1"/>
  <c r="G177" i="4"/>
  <c r="G178" i="4"/>
  <c r="H178" i="4" s="1"/>
  <c r="G179" i="4"/>
  <c r="H179" i="4" s="1"/>
  <c r="G180" i="4"/>
  <c r="H180" i="4" s="1"/>
  <c r="G181" i="4"/>
  <c r="G182" i="4"/>
  <c r="H182" i="4" s="1"/>
  <c r="G183" i="4"/>
  <c r="H183" i="4" s="1"/>
  <c r="G184" i="4"/>
  <c r="H184" i="4" s="1"/>
  <c r="G185" i="4"/>
  <c r="G186" i="4"/>
  <c r="H186" i="4" s="1"/>
  <c r="G187" i="4"/>
  <c r="H187" i="4" s="1"/>
  <c r="G188" i="4"/>
  <c r="H188" i="4" s="1"/>
  <c r="G189" i="4"/>
  <c r="G190" i="4"/>
  <c r="H190" i="4" s="1"/>
  <c r="G191" i="4"/>
  <c r="H191" i="4" s="1"/>
  <c r="G192" i="4"/>
  <c r="H192" i="4" s="1"/>
  <c r="G193" i="4"/>
  <c r="H193" i="4" s="1"/>
  <c r="G194" i="4"/>
  <c r="H194" i="4" s="1"/>
  <c r="G195" i="4"/>
  <c r="H195" i="4" s="1"/>
  <c r="G196" i="4"/>
  <c r="H196" i="4" s="1"/>
  <c r="G197" i="4"/>
  <c r="H197" i="4" s="1"/>
  <c r="G198" i="4"/>
  <c r="H198" i="4" s="1"/>
  <c r="G199" i="4"/>
  <c r="H199" i="4" s="1"/>
  <c r="G200" i="4"/>
  <c r="H200" i="4" s="1"/>
  <c r="G201" i="4"/>
  <c r="G202" i="4"/>
  <c r="H202" i="4" s="1"/>
  <c r="G203" i="4"/>
  <c r="G204" i="4"/>
  <c r="H204" i="4" s="1"/>
  <c r="G205" i="4"/>
  <c r="H205" i="4" s="1"/>
  <c r="G206" i="4"/>
  <c r="H206" i="4" s="1"/>
  <c r="G207" i="4"/>
  <c r="G208" i="4"/>
  <c r="H208" i="4" s="1"/>
  <c r="G209" i="4"/>
  <c r="G210" i="4"/>
  <c r="H210" i="4" s="1"/>
  <c r="G211" i="4"/>
  <c r="H211" i="4" s="1"/>
  <c r="G212" i="4"/>
  <c r="H212" i="4" s="1"/>
  <c r="G213" i="4"/>
  <c r="G214" i="4"/>
  <c r="H214" i="4" s="1"/>
  <c r="G215" i="4"/>
  <c r="H215" i="4" s="1"/>
  <c r="G216" i="4"/>
  <c r="H216" i="4" s="1"/>
  <c r="G217" i="4"/>
  <c r="G218" i="4"/>
  <c r="H218" i="4" s="1"/>
  <c r="G219" i="4"/>
  <c r="H219" i="4" s="1"/>
  <c r="G220" i="4"/>
  <c r="H220" i="4" s="1"/>
  <c r="G221" i="4"/>
  <c r="G222" i="4"/>
  <c r="H222" i="4" s="1"/>
  <c r="G223" i="4"/>
  <c r="H223" i="4" s="1"/>
  <c r="G224" i="4"/>
  <c r="H224" i="4" s="1"/>
  <c r="G225" i="4"/>
  <c r="G226" i="4"/>
  <c r="H226" i="4" s="1"/>
  <c r="G227" i="4"/>
  <c r="H227" i="4" s="1"/>
  <c r="G228" i="4"/>
  <c r="H228" i="4" s="1"/>
  <c r="G229" i="4"/>
  <c r="G230" i="4"/>
  <c r="H230" i="4" s="1"/>
  <c r="G231" i="4"/>
  <c r="H231" i="4" s="1"/>
  <c r="G232" i="4"/>
  <c r="H232" i="4" s="1"/>
  <c r="G233" i="4"/>
  <c r="H233" i="4" s="1"/>
  <c r="G234" i="4"/>
  <c r="H234" i="4" s="1"/>
  <c r="G235" i="4"/>
  <c r="H235" i="4" s="1"/>
  <c r="G236" i="4"/>
  <c r="H236" i="4" s="1"/>
  <c r="G237" i="4"/>
  <c r="H237" i="4" s="1"/>
  <c r="G238" i="4"/>
  <c r="H238" i="4" s="1"/>
  <c r="G239" i="4"/>
  <c r="H239" i="4" s="1"/>
  <c r="G240" i="4"/>
  <c r="H240" i="4" s="1"/>
  <c r="G241" i="4"/>
  <c r="G242" i="4"/>
  <c r="H242" i="4" s="1"/>
  <c r="G243" i="4"/>
  <c r="H243" i="4" s="1"/>
  <c r="G244" i="4"/>
  <c r="H244" i="4" s="1"/>
  <c r="G245" i="4"/>
  <c r="G246" i="4"/>
  <c r="H246" i="4" s="1"/>
  <c r="G247" i="4"/>
  <c r="H247" i="4" s="1"/>
  <c r="G248" i="4"/>
  <c r="H248" i="4" s="1"/>
  <c r="G249" i="4"/>
  <c r="H249" i="4" s="1"/>
  <c r="G250" i="4"/>
  <c r="H250" i="4" s="1"/>
  <c r="G251" i="4"/>
  <c r="H251" i="4" s="1"/>
  <c r="G252" i="4"/>
  <c r="H252" i="4" s="1"/>
  <c r="G253" i="4"/>
  <c r="G254" i="4"/>
  <c r="H254" i="4" s="1"/>
  <c r="G255" i="4"/>
  <c r="H255" i="4" s="1"/>
  <c r="G256" i="4"/>
  <c r="H256" i="4" s="1"/>
  <c r="G257" i="4"/>
  <c r="H257" i="4" s="1"/>
  <c r="G258" i="4"/>
  <c r="H258" i="4" s="1"/>
  <c r="G259" i="4"/>
  <c r="H259" i="4" s="1"/>
  <c r="G260" i="4"/>
  <c r="H260" i="4" s="1"/>
  <c r="G261" i="4"/>
  <c r="H261" i="4" s="1"/>
  <c r="G262" i="4"/>
  <c r="H262" i="4" s="1"/>
  <c r="G263" i="4"/>
  <c r="H263" i="4" s="1"/>
  <c r="G264" i="4"/>
  <c r="H264" i="4" s="1"/>
  <c r="G265" i="4"/>
  <c r="H265" i="4" s="1"/>
  <c r="G266" i="4"/>
  <c r="H266" i="4" s="1"/>
  <c r="G267" i="4"/>
  <c r="H267" i="4" s="1"/>
  <c r="G268" i="4"/>
  <c r="H268" i="4" s="1"/>
  <c r="G269" i="4"/>
  <c r="G270" i="4"/>
  <c r="H270" i="4" s="1"/>
  <c r="G271" i="4"/>
  <c r="H271" i="4" s="1"/>
  <c r="G272" i="4"/>
  <c r="H272" i="4" s="1"/>
  <c r="G273" i="4"/>
  <c r="G274" i="4"/>
  <c r="G275" i="4"/>
  <c r="G276" i="4"/>
  <c r="H276" i="4" s="1"/>
  <c r="G277" i="4"/>
  <c r="G278" i="4"/>
  <c r="H278" i="4" s="1"/>
  <c r="G279" i="4"/>
  <c r="H279" i="4" s="1"/>
  <c r="G280" i="4"/>
  <c r="H280" i="4" s="1"/>
  <c r="G281" i="4"/>
  <c r="H281" i="4" s="1"/>
  <c r="G282" i="4"/>
  <c r="H282" i="4" s="1"/>
  <c r="G283" i="4"/>
  <c r="H283" i="4" s="1"/>
  <c r="G284" i="4"/>
  <c r="H284" i="4" s="1"/>
  <c r="G285" i="4"/>
  <c r="G286" i="4"/>
  <c r="H286" i="4" s="1"/>
  <c r="G287" i="4"/>
  <c r="H287" i="4" s="1"/>
  <c r="G288" i="4"/>
  <c r="H288" i="4" s="1"/>
  <c r="G289" i="4"/>
  <c r="H289" i="4" s="1"/>
  <c r="G290" i="4"/>
  <c r="H290" i="4" s="1"/>
  <c r="G291" i="4"/>
  <c r="H291" i="4" s="1"/>
  <c r="G292" i="4"/>
  <c r="H292" i="4" s="1"/>
  <c r="G293" i="4"/>
  <c r="G294" i="4"/>
  <c r="H294" i="4" s="1"/>
  <c r="G295" i="4"/>
  <c r="H295" i="4" s="1"/>
  <c r="G296" i="4"/>
  <c r="H296" i="4" s="1"/>
  <c r="G297" i="4"/>
  <c r="H297" i="4" s="1"/>
  <c r="G298" i="4"/>
  <c r="H298" i="4" s="1"/>
  <c r="G299" i="4"/>
  <c r="H299" i="4" s="1"/>
  <c r="G300" i="4"/>
  <c r="H300" i="4" s="1"/>
  <c r="G301" i="4"/>
  <c r="G302" i="4"/>
  <c r="H302" i="4" s="1"/>
  <c r="G303" i="4"/>
  <c r="H303" i="4" s="1"/>
  <c r="G304" i="4"/>
  <c r="H304" i="4" s="1"/>
  <c r="G305" i="4"/>
  <c r="H305" i="4" s="1"/>
  <c r="G306" i="4"/>
  <c r="H306" i="4" s="1"/>
  <c r="G307" i="4"/>
  <c r="H307" i="4" s="1"/>
  <c r="G308" i="4"/>
  <c r="H308" i="4" s="1"/>
  <c r="G309" i="4"/>
  <c r="G310" i="4"/>
  <c r="H310" i="4" s="1"/>
  <c r="G311" i="4"/>
  <c r="H311" i="4" s="1"/>
  <c r="G312" i="4"/>
  <c r="H312" i="4" s="1"/>
  <c r="G313" i="4"/>
  <c r="H313" i="4" s="1"/>
  <c r="G314" i="4"/>
  <c r="G315" i="4"/>
  <c r="H315" i="4" s="1"/>
  <c r="G316" i="4"/>
  <c r="H316" i="4" s="1"/>
  <c r="G317" i="4"/>
  <c r="G318" i="4"/>
  <c r="H318" i="4" s="1"/>
  <c r="G319" i="4"/>
  <c r="H319" i="4" s="1"/>
  <c r="G320" i="4"/>
  <c r="H320" i="4" s="1"/>
  <c r="G321" i="4"/>
  <c r="G322" i="4"/>
  <c r="H322" i="4" s="1"/>
  <c r="G323" i="4"/>
  <c r="G324" i="4"/>
  <c r="H324" i="4" s="1"/>
  <c r="G325" i="4"/>
  <c r="H325" i="4" s="1"/>
  <c r="G326" i="4"/>
  <c r="H326" i="4" s="1"/>
  <c r="G327" i="4"/>
  <c r="H327" i="4" s="1"/>
  <c r="G328" i="4"/>
  <c r="H328" i="4" s="1"/>
  <c r="G329" i="4"/>
  <c r="H329" i="4" s="1"/>
  <c r="G330" i="4"/>
  <c r="H330" i="4" s="1"/>
  <c r="G331" i="4"/>
  <c r="H331" i="4" s="1"/>
  <c r="G332" i="4"/>
  <c r="H332" i="4" s="1"/>
  <c r="G333" i="4"/>
  <c r="G334" i="4"/>
  <c r="H334" i="4" s="1"/>
  <c r="G335" i="4"/>
  <c r="H335" i="4" s="1"/>
  <c r="G336" i="4"/>
  <c r="H336" i="4" s="1"/>
  <c r="G337" i="4"/>
  <c r="G338" i="4"/>
  <c r="H338" i="4" s="1"/>
  <c r="G339" i="4"/>
  <c r="G340" i="4"/>
  <c r="H340" i="4" s="1"/>
  <c r="G341" i="4"/>
  <c r="H341" i="4" s="1"/>
  <c r="G342" i="4"/>
  <c r="H342" i="4" s="1"/>
  <c r="G343" i="4"/>
  <c r="H343" i="4" s="1"/>
  <c r="G344" i="4"/>
  <c r="H344" i="4" s="1"/>
  <c r="G345" i="4"/>
  <c r="G346" i="4"/>
  <c r="H346" i="4" s="1"/>
  <c r="G347" i="4"/>
  <c r="G348" i="4"/>
  <c r="H348" i="4" s="1"/>
  <c r="G349" i="4"/>
  <c r="G350" i="4"/>
  <c r="H350" i="4" s="1"/>
  <c r="G351" i="4"/>
  <c r="H351" i="4" s="1"/>
  <c r="G352" i="4"/>
  <c r="H352" i="4" s="1"/>
  <c r="G353" i="4"/>
  <c r="G354" i="4"/>
  <c r="H354" i="4" s="1"/>
  <c r="G355" i="4"/>
  <c r="H355" i="4" s="1"/>
  <c r="G356" i="4"/>
  <c r="H356" i="4" s="1"/>
  <c r="G357" i="4"/>
  <c r="G358" i="4"/>
  <c r="H358" i="4" s="1"/>
  <c r="G359" i="4"/>
  <c r="H359" i="4" s="1"/>
  <c r="G360" i="4"/>
  <c r="H360" i="4" s="1"/>
  <c r="G361" i="4"/>
  <c r="H361" i="4" s="1"/>
  <c r="G362" i="4"/>
  <c r="H362" i="4" s="1"/>
  <c r="G363" i="4"/>
  <c r="G364" i="4"/>
  <c r="H364" i="4" s="1"/>
  <c r="G365" i="4"/>
  <c r="G366" i="4"/>
  <c r="H366" i="4" s="1"/>
  <c r="G367" i="4"/>
  <c r="H367" i="4" s="1"/>
  <c r="G368" i="4"/>
  <c r="H368" i="4" s="1"/>
  <c r="G369" i="4"/>
  <c r="G370" i="4"/>
  <c r="H370" i="4" s="1"/>
  <c r="G371" i="4"/>
  <c r="H371" i="4" s="1"/>
  <c r="G372" i="4"/>
  <c r="H372" i="4" s="1"/>
  <c r="G373" i="4"/>
  <c r="H373" i="4" s="1"/>
  <c r="G374" i="4"/>
  <c r="H374" i="4" s="1"/>
  <c r="G375" i="4"/>
  <c r="H375" i="4" s="1"/>
  <c r="G376" i="4"/>
  <c r="H376" i="4" s="1"/>
  <c r="G377" i="4"/>
  <c r="H377" i="4" s="1"/>
  <c r="G378" i="4"/>
  <c r="H378" i="4" s="1"/>
  <c r="G379" i="4"/>
  <c r="H379" i="4" s="1"/>
  <c r="G380" i="4"/>
  <c r="H380" i="4" s="1"/>
  <c r="G381" i="4"/>
  <c r="G382" i="4"/>
  <c r="H382" i="4" s="1"/>
  <c r="G383" i="4"/>
  <c r="H383" i="4" s="1"/>
  <c r="G384" i="4"/>
  <c r="H384" i="4" s="1"/>
  <c r="G385" i="4"/>
  <c r="G386" i="4"/>
  <c r="G387" i="4"/>
  <c r="H387" i="4" s="1"/>
  <c r="G388" i="4"/>
  <c r="H388" i="4" s="1"/>
  <c r="G389" i="4"/>
  <c r="H389" i="4" s="1"/>
  <c r="G390" i="4"/>
  <c r="H390" i="4" s="1"/>
  <c r="G391" i="4"/>
  <c r="H391" i="4" s="1"/>
  <c r="G392" i="4"/>
  <c r="H392" i="4" s="1"/>
  <c r="G393" i="4"/>
  <c r="H393" i="4" s="1"/>
  <c r="G394" i="4"/>
  <c r="H394" i="4" s="1"/>
  <c r="G395" i="4"/>
  <c r="H395" i="4" s="1"/>
  <c r="G396" i="4"/>
  <c r="H396" i="4" s="1"/>
  <c r="G397" i="4"/>
  <c r="G398" i="4"/>
  <c r="H398" i="4" s="1"/>
  <c r="G399" i="4"/>
  <c r="H399" i="4" s="1"/>
  <c r="G400" i="4"/>
  <c r="H400" i="4" s="1"/>
  <c r="G401" i="4"/>
  <c r="H401" i="4" s="1"/>
  <c r="G402" i="4"/>
  <c r="H402" i="4" s="1"/>
  <c r="G403" i="4"/>
  <c r="H403" i="4" s="1"/>
  <c r="G404" i="4"/>
  <c r="H404" i="4" s="1"/>
  <c r="G405" i="4"/>
  <c r="G406" i="4"/>
  <c r="H406" i="4" s="1"/>
  <c r="G407" i="4"/>
  <c r="H407" i="4" s="1"/>
  <c r="G408" i="4"/>
  <c r="H408" i="4" s="1"/>
  <c r="G409" i="4"/>
  <c r="H409" i="4" s="1"/>
  <c r="G410" i="4"/>
  <c r="G411" i="4"/>
  <c r="H411" i="4" s="1"/>
  <c r="G412" i="4"/>
  <c r="H412" i="4" s="1"/>
  <c r="G413" i="4"/>
  <c r="H413" i="4" s="1"/>
  <c r="G414" i="4"/>
  <c r="H414" i="4" s="1"/>
  <c r="G415" i="4"/>
  <c r="H415" i="4" s="1"/>
  <c r="G416" i="4"/>
  <c r="H416" i="4" s="1"/>
  <c r="G417" i="4"/>
  <c r="G418" i="4"/>
  <c r="G419" i="4"/>
  <c r="H419" i="4" s="1"/>
  <c r="G420" i="4"/>
  <c r="H420" i="4" s="1"/>
  <c r="G421" i="4"/>
  <c r="G422" i="4"/>
  <c r="H422" i="4" s="1"/>
  <c r="G423" i="4"/>
  <c r="H423" i="4" s="1"/>
  <c r="G424" i="4"/>
  <c r="H424" i="4" s="1"/>
  <c r="G425" i="4"/>
  <c r="H425" i="4" s="1"/>
  <c r="G426" i="4"/>
  <c r="H426" i="4" s="1"/>
  <c r="G427" i="4"/>
  <c r="H427" i="4" s="1"/>
  <c r="G428" i="4"/>
  <c r="H428" i="4" s="1"/>
  <c r="G429" i="4"/>
  <c r="G430" i="4"/>
  <c r="H430" i="4" s="1"/>
  <c r="G431" i="4"/>
  <c r="H431" i="4" s="1"/>
  <c r="G432" i="4"/>
  <c r="H432" i="4" s="1"/>
  <c r="G433" i="4"/>
  <c r="G434" i="4"/>
  <c r="H434" i="4" s="1"/>
  <c r="G435" i="4"/>
  <c r="H435" i="4" s="1"/>
  <c r="G436" i="4"/>
  <c r="H436" i="4" s="1"/>
  <c r="G437" i="4"/>
  <c r="G438" i="4"/>
  <c r="H438" i="4" s="1"/>
  <c r="G439" i="4"/>
  <c r="H439" i="4" s="1"/>
  <c r="G440" i="4"/>
  <c r="H440" i="4" s="1"/>
  <c r="G441" i="4"/>
  <c r="H441" i="4" s="1"/>
  <c r="G442" i="4"/>
  <c r="H442" i="4" s="1"/>
  <c r="G443" i="4"/>
  <c r="H443" i="4" s="1"/>
  <c r="G444" i="4"/>
  <c r="H444" i="4" s="1"/>
  <c r="G445" i="4"/>
  <c r="G446" i="4"/>
  <c r="H446" i="4" s="1"/>
  <c r="G447" i="4"/>
  <c r="H447" i="4" s="1"/>
  <c r="G448" i="4"/>
  <c r="H448" i="4" s="1"/>
  <c r="G449" i="4"/>
  <c r="H449" i="4" s="1"/>
  <c r="G450" i="4"/>
  <c r="H450" i="4" s="1"/>
  <c r="G451" i="4"/>
  <c r="G452" i="4"/>
  <c r="H452" i="4" s="1"/>
  <c r="G453" i="4"/>
  <c r="H453" i="4" s="1"/>
  <c r="G454" i="4"/>
  <c r="H454" i="4" s="1"/>
  <c r="G455" i="4"/>
  <c r="G456" i="4"/>
  <c r="H456" i="4" s="1"/>
  <c r="G457" i="4"/>
  <c r="H457" i="4" s="1"/>
  <c r="G458" i="4"/>
  <c r="G459" i="4"/>
  <c r="H459" i="4" s="1"/>
  <c r="G460" i="4"/>
  <c r="H460" i="4" s="1"/>
  <c r="G461" i="4"/>
  <c r="H461" i="4" s="1"/>
  <c r="G462" i="4"/>
  <c r="H462" i="4" s="1"/>
  <c r="G463" i="4"/>
  <c r="H463" i="4" s="1"/>
  <c r="G464" i="4"/>
  <c r="H464" i="4" s="1"/>
  <c r="G465" i="4"/>
  <c r="G466" i="4"/>
  <c r="H466" i="4" s="1"/>
  <c r="G467" i="4"/>
  <c r="H467" i="4" s="1"/>
  <c r="G468" i="4"/>
  <c r="H468" i="4" s="1"/>
  <c r="G469" i="4"/>
  <c r="G470" i="4"/>
  <c r="H470" i="4" s="1"/>
  <c r="G471" i="4"/>
  <c r="H471" i="4" s="1"/>
  <c r="G472" i="4"/>
  <c r="H472" i="4" s="1"/>
  <c r="G473" i="4"/>
  <c r="H473" i="4" s="1"/>
  <c r="G474" i="4"/>
  <c r="H474" i="4" s="1"/>
  <c r="G475" i="4"/>
  <c r="G476" i="4"/>
  <c r="H476" i="4" s="1"/>
  <c r="G477" i="4"/>
  <c r="H477" i="4" s="1"/>
  <c r="G478" i="4"/>
  <c r="H478" i="4" s="1"/>
  <c r="G479" i="4"/>
  <c r="H479" i="4" s="1"/>
  <c r="G480" i="4"/>
  <c r="H480" i="4" s="1"/>
  <c r="G481" i="4"/>
  <c r="G482" i="4"/>
  <c r="H482" i="4" s="1"/>
  <c r="G483" i="4"/>
  <c r="H483" i="4" s="1"/>
  <c r="G484" i="4"/>
  <c r="H484" i="4" s="1"/>
  <c r="G485" i="4"/>
  <c r="H485" i="4" s="1"/>
  <c r="G486" i="4"/>
  <c r="H486" i="4" s="1"/>
  <c r="G487" i="4"/>
  <c r="H487" i="4" s="1"/>
  <c r="G488" i="4"/>
  <c r="H488" i="4" s="1"/>
  <c r="G489" i="4"/>
  <c r="H489" i="4" s="1"/>
  <c r="G490" i="4"/>
  <c r="H490" i="4" s="1"/>
  <c r="G491" i="4"/>
  <c r="H491" i="4" s="1"/>
  <c r="G492" i="4"/>
  <c r="H492" i="4" s="1"/>
  <c r="G493" i="4"/>
  <c r="G494" i="4"/>
  <c r="H494" i="4" s="1"/>
  <c r="G495" i="4"/>
  <c r="H495" i="4" s="1"/>
  <c r="G496" i="4"/>
  <c r="H496" i="4" s="1"/>
  <c r="G497" i="4"/>
  <c r="H497" i="4" s="1"/>
  <c r="G498" i="4"/>
  <c r="H498" i="4" s="1"/>
  <c r="G499" i="4"/>
  <c r="H499" i="4" s="1"/>
  <c r="G500" i="4"/>
  <c r="H500" i="4" s="1"/>
  <c r="G501" i="4"/>
  <c r="G502" i="4"/>
  <c r="H502" i="4" s="1"/>
  <c r="G503" i="4"/>
  <c r="H503" i="4" s="1"/>
  <c r="G504" i="4"/>
  <c r="H504" i="4" s="1"/>
  <c r="G505" i="4"/>
  <c r="G506" i="4"/>
  <c r="H506" i="4" s="1"/>
  <c r="G507" i="4"/>
  <c r="H507" i="4" s="1"/>
  <c r="G508" i="4"/>
  <c r="H508" i="4" s="1"/>
  <c r="G509" i="4"/>
  <c r="H509" i="4" s="1"/>
  <c r="G510" i="4"/>
  <c r="H510" i="4" s="1"/>
  <c r="G511" i="4"/>
  <c r="H511" i="4" s="1"/>
  <c r="G512" i="4"/>
  <c r="H512" i="4" s="1"/>
  <c r="G513" i="4"/>
  <c r="G514" i="4"/>
  <c r="G515" i="4"/>
  <c r="H515" i="4" s="1"/>
  <c r="G516" i="4"/>
  <c r="H516" i="4" s="1"/>
  <c r="G517" i="4"/>
  <c r="H517" i="4" s="1"/>
  <c r="G518" i="4"/>
  <c r="H518" i="4" s="1"/>
  <c r="G519" i="4"/>
  <c r="H519" i="4" s="1"/>
  <c r="G520" i="4"/>
  <c r="H520" i="4" s="1"/>
  <c r="G521" i="4"/>
  <c r="H521" i="4" s="1"/>
  <c r="G522" i="4"/>
  <c r="H522" i="4" s="1"/>
  <c r="G523" i="4"/>
  <c r="H523" i="4" s="1"/>
  <c r="G524" i="4"/>
  <c r="H524" i="4" s="1"/>
  <c r="G525" i="4"/>
  <c r="G526" i="4"/>
  <c r="H526" i="4" s="1"/>
  <c r="G527" i="4"/>
  <c r="H527" i="4" s="1"/>
  <c r="G528" i="4"/>
  <c r="H528" i="4" s="1"/>
  <c r="G529" i="4"/>
  <c r="H529" i="4" s="1"/>
  <c r="G530" i="4"/>
  <c r="H530" i="4" s="1"/>
  <c r="G531" i="4"/>
  <c r="H531" i="4" s="1"/>
  <c r="G532" i="4"/>
  <c r="H532" i="4" s="1"/>
  <c r="G533" i="4"/>
  <c r="H533" i="4" s="1"/>
  <c r="G534" i="4"/>
  <c r="H534" i="4" s="1"/>
  <c r="G535" i="4"/>
  <c r="H535" i="4" s="1"/>
  <c r="G536" i="4"/>
  <c r="H536" i="4" s="1"/>
  <c r="G537" i="4"/>
  <c r="H537" i="4" s="1"/>
  <c r="G538" i="4"/>
  <c r="H538" i="4" s="1"/>
  <c r="G539" i="4"/>
  <c r="H539" i="4" s="1"/>
  <c r="G540" i="4"/>
  <c r="H540" i="4" s="1"/>
  <c r="G541" i="4"/>
  <c r="G542" i="4"/>
  <c r="H542" i="4" s="1"/>
  <c r="G543" i="4"/>
  <c r="H543" i="4" s="1"/>
  <c r="G544" i="4"/>
  <c r="H544" i="4" s="1"/>
  <c r="G545" i="4"/>
  <c r="H545" i="4" s="1"/>
  <c r="G546" i="4"/>
  <c r="H546" i="4" s="1"/>
  <c r="G547" i="4"/>
  <c r="G548" i="4"/>
  <c r="H548" i="4" s="1"/>
  <c r="G549" i="4"/>
  <c r="G550" i="4"/>
  <c r="H550" i="4" s="1"/>
  <c r="G551" i="4"/>
  <c r="H551" i="4" s="1"/>
  <c r="G552" i="4"/>
  <c r="H552" i="4" s="1"/>
  <c r="G553" i="4"/>
  <c r="H553" i="4" s="1"/>
  <c r="G554" i="4"/>
  <c r="H554" i="4" s="1"/>
  <c r="G555" i="4"/>
  <c r="H555" i="4" s="1"/>
  <c r="G556" i="4"/>
  <c r="H556" i="4" s="1"/>
  <c r="G557" i="4"/>
  <c r="H557" i="4" s="1"/>
  <c r="G558" i="4"/>
  <c r="H558" i="4" s="1"/>
  <c r="G559" i="4"/>
  <c r="H559" i="4" s="1"/>
  <c r="G560" i="4"/>
  <c r="H560" i="4" s="1"/>
  <c r="G561" i="4"/>
  <c r="G562" i="4"/>
  <c r="H562" i="4" s="1"/>
  <c r="G563" i="4"/>
  <c r="G564" i="4"/>
  <c r="H564" i="4" s="1"/>
  <c r="G565" i="4"/>
  <c r="G566" i="4"/>
  <c r="H566" i="4" s="1"/>
  <c r="G567" i="4"/>
  <c r="H567" i="4" s="1"/>
  <c r="G568" i="4"/>
  <c r="H568" i="4" s="1"/>
  <c r="G569" i="4"/>
  <c r="H569" i="4" s="1"/>
  <c r="G570" i="4"/>
  <c r="H570" i="4" s="1"/>
  <c r="G571" i="4"/>
  <c r="H571" i="4" s="1"/>
  <c r="G572" i="4"/>
  <c r="H572" i="4" s="1"/>
  <c r="G573" i="4"/>
  <c r="G574" i="4"/>
  <c r="H574" i="4" s="1"/>
  <c r="G575" i="4"/>
  <c r="H575" i="4" s="1"/>
  <c r="G576" i="4"/>
  <c r="H576" i="4" s="1"/>
  <c r="G577" i="4"/>
  <c r="G578" i="4"/>
  <c r="H578" i="4" s="1"/>
  <c r="G579" i="4"/>
  <c r="H579" i="4" s="1"/>
  <c r="G580" i="4"/>
  <c r="H580" i="4" s="1"/>
  <c r="G581" i="4"/>
  <c r="H581" i="4" s="1"/>
  <c r="G582" i="4"/>
  <c r="H582" i="4" s="1"/>
  <c r="G583" i="4"/>
  <c r="H583" i="4" s="1"/>
  <c r="G584" i="4"/>
  <c r="H584" i="4" s="1"/>
  <c r="G585" i="4"/>
  <c r="H585" i="4" s="1"/>
  <c r="G586" i="4"/>
  <c r="G587" i="4"/>
  <c r="G588" i="4"/>
  <c r="H588" i="4" s="1"/>
  <c r="G589" i="4"/>
  <c r="G590" i="4"/>
  <c r="H590" i="4" s="1"/>
  <c r="G591" i="4"/>
  <c r="H591" i="4" s="1"/>
  <c r="G592" i="4"/>
  <c r="H592" i="4" s="1"/>
  <c r="G593" i="4"/>
  <c r="H593" i="4" s="1"/>
  <c r="G594" i="4"/>
  <c r="H594" i="4" s="1"/>
  <c r="G595" i="4"/>
  <c r="H595" i="4" s="1"/>
  <c r="G596" i="4"/>
  <c r="H596" i="4" s="1"/>
  <c r="G597" i="4"/>
  <c r="G598" i="4"/>
  <c r="H598" i="4" s="1"/>
  <c r="G599" i="4"/>
  <c r="H599" i="4" s="1"/>
  <c r="G600" i="4"/>
  <c r="H600" i="4" s="1"/>
  <c r="G601" i="4"/>
  <c r="G602" i="4"/>
  <c r="H602" i="4" s="1"/>
  <c r="G603" i="4"/>
  <c r="H603" i="4" s="1"/>
  <c r="G604" i="4"/>
  <c r="H604" i="4" s="1"/>
  <c r="G605" i="4"/>
  <c r="H605" i="4" s="1"/>
  <c r="G606" i="4"/>
  <c r="H606" i="4" s="1"/>
  <c r="G607" i="4"/>
  <c r="H607" i="4" s="1"/>
  <c r="G608" i="4"/>
  <c r="H608" i="4" s="1"/>
  <c r="G609" i="4"/>
  <c r="G610" i="4"/>
  <c r="G611" i="4"/>
  <c r="H611" i="4" s="1"/>
  <c r="G612" i="4"/>
  <c r="H612" i="4" s="1"/>
  <c r="G613" i="4"/>
  <c r="H613" i="4" s="1"/>
  <c r="G614" i="4"/>
  <c r="H614" i="4" s="1"/>
  <c r="G615" i="4"/>
  <c r="H615" i="4" s="1"/>
  <c r="G616" i="4"/>
  <c r="H616" i="4" s="1"/>
  <c r="G617" i="4"/>
  <c r="H617" i="4" s="1"/>
  <c r="G618" i="4"/>
  <c r="H618" i="4" s="1"/>
  <c r="G619" i="4"/>
  <c r="H619" i="4" s="1"/>
  <c r="G620" i="4"/>
  <c r="H620" i="4" s="1"/>
  <c r="G621" i="4"/>
  <c r="G622" i="4"/>
  <c r="H622" i="4" s="1"/>
  <c r="G623" i="4"/>
  <c r="H623" i="4" s="1"/>
  <c r="G624" i="4"/>
  <c r="H624" i="4" s="1"/>
  <c r="G625" i="4"/>
  <c r="G626" i="4"/>
  <c r="H626" i="4" s="1"/>
  <c r="G627" i="4"/>
  <c r="G628" i="4"/>
  <c r="H628" i="4" s="1"/>
  <c r="G629" i="4"/>
  <c r="H629" i="4" s="1"/>
  <c r="G630" i="4"/>
  <c r="H630" i="4" s="1"/>
  <c r="G631" i="4"/>
  <c r="H631" i="4" s="1"/>
  <c r="G632" i="4"/>
  <c r="H632" i="4" s="1"/>
  <c r="G633" i="4"/>
  <c r="H633" i="4" s="1"/>
  <c r="G634" i="4"/>
  <c r="G635" i="4"/>
  <c r="H635" i="4" s="1"/>
  <c r="G636" i="4"/>
  <c r="H636" i="4" s="1"/>
  <c r="G637" i="4"/>
  <c r="G638" i="4"/>
  <c r="H638" i="4" s="1"/>
  <c r="G639" i="4"/>
  <c r="H639" i="4" s="1"/>
  <c r="G640" i="4"/>
  <c r="H640" i="4" s="1"/>
  <c r="G641" i="4"/>
  <c r="H641" i="4" s="1"/>
  <c r="G642" i="4"/>
  <c r="H642" i="4" s="1"/>
  <c r="G643" i="4"/>
  <c r="H643" i="4" s="1"/>
  <c r="G644" i="4"/>
  <c r="H644" i="4" s="1"/>
  <c r="G645" i="4"/>
  <c r="H645" i="4" s="1"/>
  <c r="G646" i="4"/>
  <c r="H646" i="4" s="1"/>
  <c r="G647" i="4"/>
  <c r="H647" i="4" s="1"/>
  <c r="G648" i="4"/>
  <c r="H648" i="4" s="1"/>
  <c r="G649" i="4"/>
  <c r="H649" i="4" s="1"/>
  <c r="G650" i="4"/>
  <c r="G651" i="4"/>
  <c r="H651" i="4" s="1"/>
  <c r="G652" i="4"/>
  <c r="H652" i="4" s="1"/>
  <c r="G653" i="4"/>
  <c r="G654" i="4"/>
  <c r="H654" i="4" s="1"/>
  <c r="G655" i="4"/>
  <c r="H655" i="4" s="1"/>
  <c r="G656" i="4"/>
  <c r="H656" i="4" s="1"/>
  <c r="G657" i="4"/>
  <c r="G658" i="4"/>
  <c r="H658" i="4" s="1"/>
  <c r="G659" i="4"/>
  <c r="H659" i="4" s="1"/>
  <c r="G660" i="4"/>
  <c r="H660" i="4" s="1"/>
  <c r="G661" i="4"/>
  <c r="G662" i="4"/>
  <c r="H662" i="4" s="1"/>
  <c r="G663" i="4"/>
  <c r="H663" i="4" s="1"/>
  <c r="G664" i="4"/>
  <c r="H664" i="4" s="1"/>
  <c r="G665" i="4"/>
  <c r="H665" i="4" s="1"/>
  <c r="G666" i="4"/>
  <c r="H666" i="4" s="1"/>
  <c r="G667" i="4"/>
  <c r="H667" i="4" s="1"/>
  <c r="G668" i="4"/>
  <c r="H668" i="4" s="1"/>
  <c r="G669" i="4"/>
  <c r="G670" i="4"/>
  <c r="H670" i="4" s="1"/>
  <c r="G671" i="4"/>
  <c r="G672" i="4"/>
  <c r="H672" i="4" s="1"/>
  <c r="G673" i="4"/>
  <c r="G674" i="4"/>
  <c r="H674" i="4" s="1"/>
  <c r="G675" i="4"/>
  <c r="H675" i="4" s="1"/>
  <c r="G676" i="4"/>
  <c r="H676" i="4" s="1"/>
  <c r="G677" i="4"/>
  <c r="G678" i="4"/>
  <c r="H678" i="4" s="1"/>
  <c r="G679" i="4"/>
  <c r="H679" i="4" s="1"/>
  <c r="G680" i="4"/>
  <c r="H680" i="4" s="1"/>
  <c r="G681" i="4"/>
  <c r="G682" i="4"/>
  <c r="H682" i="4" s="1"/>
  <c r="G683" i="4"/>
  <c r="H683" i="4" s="1"/>
  <c r="G684" i="4"/>
  <c r="H684" i="4" s="1"/>
  <c r="G685" i="4"/>
  <c r="G686" i="4"/>
  <c r="H686" i="4" s="1"/>
  <c r="G687" i="4"/>
  <c r="H687" i="4" s="1"/>
  <c r="G688" i="4"/>
  <c r="H688" i="4" s="1"/>
  <c r="G689" i="4"/>
  <c r="G690" i="4"/>
  <c r="H690" i="4" s="1"/>
  <c r="G691" i="4"/>
  <c r="G692" i="4"/>
  <c r="H692" i="4" s="1"/>
  <c r="G693" i="4"/>
  <c r="H693" i="4" s="1"/>
  <c r="G694" i="4"/>
  <c r="H694" i="4" s="1"/>
  <c r="G695" i="4"/>
  <c r="H695" i="4" s="1"/>
  <c r="G696" i="4"/>
  <c r="H696" i="4" s="1"/>
  <c r="G697" i="4"/>
  <c r="H697" i="4" s="1"/>
  <c r="G698" i="4"/>
  <c r="H698" i="4" s="1"/>
  <c r="G699" i="4"/>
  <c r="H699" i="4" s="1"/>
  <c r="G700" i="4"/>
  <c r="H700" i="4" s="1"/>
  <c r="G701" i="4"/>
  <c r="G702" i="4"/>
  <c r="H702" i="4" s="1"/>
  <c r="G703" i="4"/>
  <c r="H703" i="4" s="1"/>
  <c r="G704" i="4"/>
  <c r="H704" i="4" s="1"/>
  <c r="G705" i="4"/>
  <c r="G706" i="4"/>
  <c r="G707" i="4"/>
  <c r="H707" i="4" s="1"/>
  <c r="G708" i="4"/>
  <c r="H708" i="4" s="1"/>
  <c r="G709" i="4"/>
  <c r="G710" i="4"/>
  <c r="H710" i="4" s="1"/>
  <c r="G711" i="4"/>
  <c r="H711" i="4" s="1"/>
  <c r="G712" i="4"/>
  <c r="H712" i="4" s="1"/>
  <c r="G713" i="4"/>
  <c r="G714" i="4"/>
  <c r="H714" i="4" s="1"/>
  <c r="G715" i="4"/>
  <c r="H715" i="4" s="1"/>
  <c r="G716" i="4"/>
  <c r="H716" i="4" s="1"/>
  <c r="G717" i="4"/>
  <c r="H717" i="4" s="1"/>
  <c r="G718" i="4"/>
  <c r="H718" i="4" s="1"/>
  <c r="G719" i="4"/>
  <c r="H719" i="4" s="1"/>
  <c r="G720" i="4"/>
  <c r="H720" i="4" s="1"/>
  <c r="G721" i="4"/>
  <c r="H721" i="4" s="1"/>
  <c r="G722" i="4"/>
  <c r="H722" i="4" s="1"/>
  <c r="G723" i="4"/>
  <c r="G724" i="4"/>
  <c r="H724" i="4" s="1"/>
  <c r="G725" i="4"/>
  <c r="G726" i="4"/>
  <c r="H726" i="4" s="1"/>
  <c r="G727" i="4"/>
  <c r="H727" i="4" s="1"/>
  <c r="G728" i="4"/>
  <c r="H728" i="4" s="1"/>
  <c r="G729" i="4"/>
  <c r="H729" i="4" s="1"/>
  <c r="G730" i="4"/>
  <c r="H730" i="4" s="1"/>
  <c r="G731" i="4"/>
  <c r="G732" i="4"/>
  <c r="H732" i="4" s="1"/>
  <c r="G733" i="4"/>
  <c r="G734" i="4"/>
  <c r="H734" i="4" s="1"/>
  <c r="G735" i="4"/>
  <c r="H735" i="4" s="1"/>
  <c r="G736" i="4"/>
  <c r="H736" i="4" s="1"/>
  <c r="G737" i="4"/>
  <c r="G738" i="4"/>
  <c r="H738" i="4" s="1"/>
  <c r="G739" i="4"/>
  <c r="H739" i="4" s="1"/>
  <c r="G740" i="4"/>
  <c r="H740" i="4" s="1"/>
  <c r="G741" i="4"/>
  <c r="G742" i="4"/>
  <c r="H742" i="4" s="1"/>
  <c r="G743" i="4"/>
  <c r="H743" i="4" s="1"/>
  <c r="G744" i="4"/>
  <c r="H744" i="4" s="1"/>
  <c r="G745" i="4"/>
  <c r="H745" i="4" s="1"/>
  <c r="G746" i="4"/>
  <c r="G747" i="4"/>
  <c r="G748" i="4"/>
  <c r="H748" i="4" s="1"/>
  <c r="G749" i="4"/>
  <c r="H749" i="4" s="1"/>
  <c r="G750" i="4"/>
  <c r="H750" i="4" s="1"/>
  <c r="G751" i="4"/>
  <c r="H751" i="4" s="1"/>
  <c r="G752" i="4"/>
  <c r="H752" i="4" s="1"/>
  <c r="G753" i="4"/>
  <c r="G754" i="4"/>
  <c r="H754" i="4" s="1"/>
  <c r="G755" i="4"/>
  <c r="H755" i="4" s="1"/>
  <c r="G756" i="4"/>
  <c r="H756" i="4" s="1"/>
  <c r="G757" i="4"/>
  <c r="H757" i="4" s="1"/>
  <c r="G758" i="4"/>
  <c r="H758" i="4" s="1"/>
  <c r="G759" i="4"/>
  <c r="H759" i="4" s="1"/>
  <c r="G760" i="4"/>
  <c r="H760" i="4" s="1"/>
  <c r="G761" i="4"/>
  <c r="H761" i="4" s="1"/>
  <c r="G762" i="4"/>
  <c r="G763" i="4"/>
  <c r="G764" i="4"/>
  <c r="H764" i="4" s="1"/>
  <c r="G765" i="4"/>
  <c r="G766" i="4"/>
  <c r="H766" i="4" s="1"/>
  <c r="G767" i="4"/>
  <c r="H767" i="4" s="1"/>
  <c r="G768" i="4"/>
  <c r="H768" i="4" s="1"/>
  <c r="G769" i="4"/>
  <c r="H769" i="4" s="1"/>
  <c r="G770" i="4"/>
  <c r="H770" i="4" s="1"/>
  <c r="G771" i="4"/>
  <c r="H771" i="4" s="1"/>
  <c r="G772" i="4"/>
  <c r="H772" i="4" s="1"/>
  <c r="G773" i="4"/>
  <c r="G774" i="4"/>
  <c r="H774" i="4" s="1"/>
  <c r="G775" i="4"/>
  <c r="H775" i="4" s="1"/>
  <c r="G776" i="4"/>
  <c r="H776" i="4" s="1"/>
  <c r="G777" i="4"/>
  <c r="G778" i="4"/>
  <c r="H778" i="4" s="1"/>
  <c r="G779" i="4"/>
  <c r="H779" i="4" s="1"/>
  <c r="G780" i="4"/>
  <c r="H780" i="4" s="1"/>
  <c r="G781" i="4"/>
  <c r="G782" i="4"/>
  <c r="H782" i="4" s="1"/>
  <c r="G783" i="4"/>
  <c r="H783" i="4" s="1"/>
  <c r="G784" i="4"/>
  <c r="H784" i="4" s="1"/>
  <c r="G785" i="4"/>
  <c r="H785" i="4" s="1"/>
  <c r="G786" i="4"/>
  <c r="H786" i="4" s="1"/>
  <c r="G787" i="4"/>
  <c r="H787" i="4" s="1"/>
  <c r="G788" i="4"/>
  <c r="H788" i="4" s="1"/>
  <c r="G789" i="4"/>
  <c r="G790" i="4"/>
  <c r="H790" i="4" s="1"/>
  <c r="G791" i="4"/>
  <c r="H791" i="4" s="1"/>
  <c r="G792" i="4"/>
  <c r="H792" i="4" s="1"/>
  <c r="G793" i="4"/>
  <c r="G794" i="4"/>
  <c r="H794" i="4" s="1"/>
  <c r="G795" i="4"/>
  <c r="H795" i="4" s="1"/>
  <c r="G796" i="4"/>
  <c r="H796" i="4" s="1"/>
  <c r="G797" i="4"/>
  <c r="G798" i="4"/>
  <c r="H798" i="4" s="1"/>
  <c r="G799" i="4"/>
  <c r="H799" i="4" s="1"/>
  <c r="G800" i="4"/>
  <c r="H800" i="4" s="1"/>
  <c r="G801" i="4"/>
  <c r="G802" i="4"/>
  <c r="H802" i="4" s="1"/>
  <c r="G803" i="4"/>
  <c r="H803" i="4" s="1"/>
  <c r="G804" i="4"/>
  <c r="H804" i="4" s="1"/>
  <c r="G805" i="4"/>
  <c r="H805" i="4" s="1"/>
  <c r="G806" i="4"/>
  <c r="H806" i="4" s="1"/>
  <c r="G807" i="4"/>
  <c r="H807" i="4" s="1"/>
  <c r="G808" i="4"/>
  <c r="H808" i="4" s="1"/>
  <c r="G809" i="4"/>
  <c r="G810" i="4"/>
  <c r="G811" i="4"/>
  <c r="H811" i="4" s="1"/>
  <c r="G812" i="4"/>
  <c r="G813" i="4"/>
  <c r="G814" i="4"/>
  <c r="H814" i="4" s="1"/>
  <c r="G815" i="4"/>
  <c r="H815" i="4" s="1"/>
  <c r="G816" i="4"/>
  <c r="H816" i="4" s="1"/>
  <c r="G817" i="4"/>
  <c r="G818" i="4"/>
  <c r="H818" i="4" s="1"/>
  <c r="G819" i="4"/>
  <c r="H819" i="4" s="1"/>
  <c r="G820" i="4"/>
  <c r="H820" i="4" s="1"/>
  <c r="G821" i="4"/>
  <c r="G822" i="4"/>
  <c r="H822" i="4" s="1"/>
  <c r="G823" i="4"/>
  <c r="H823" i="4" s="1"/>
  <c r="G824" i="4"/>
  <c r="H824" i="4" s="1"/>
  <c r="G825" i="4"/>
  <c r="H825" i="4" s="1"/>
  <c r="G826" i="4"/>
  <c r="H826" i="4" s="1"/>
  <c r="G827" i="4"/>
  <c r="G828" i="4"/>
  <c r="G829" i="4"/>
  <c r="G830" i="4"/>
  <c r="H830" i="4" s="1"/>
  <c r="G831" i="4"/>
  <c r="H831" i="4" s="1"/>
  <c r="G832" i="4"/>
  <c r="H832" i="4" s="1"/>
  <c r="G833" i="4"/>
  <c r="H833" i="4" s="1"/>
  <c r="G834" i="4"/>
  <c r="H834" i="4" s="1"/>
  <c r="G835" i="4"/>
  <c r="H835" i="4" s="1"/>
  <c r="G836" i="4"/>
  <c r="H836" i="4" s="1"/>
  <c r="G837" i="4"/>
  <c r="G838" i="4"/>
  <c r="H838" i="4" s="1"/>
  <c r="G839" i="4"/>
  <c r="H839" i="4" s="1"/>
  <c r="G840" i="4"/>
  <c r="H840" i="4" s="1"/>
  <c r="G841" i="4"/>
  <c r="G842" i="4"/>
  <c r="H842" i="4" s="1"/>
  <c r="G843" i="4"/>
  <c r="H843" i="4" s="1"/>
  <c r="G844" i="4"/>
  <c r="H844" i="4" s="1"/>
  <c r="G845" i="4"/>
  <c r="G846" i="4"/>
  <c r="H846" i="4" s="1"/>
  <c r="G847" i="4"/>
  <c r="H847" i="4" s="1"/>
  <c r="G848" i="4"/>
  <c r="H848" i="4" s="1"/>
  <c r="G849" i="4"/>
  <c r="G850" i="4"/>
  <c r="H850" i="4" s="1"/>
  <c r="G851" i="4"/>
  <c r="H851" i="4" s="1"/>
  <c r="G852" i="4"/>
  <c r="H852" i="4" s="1"/>
  <c r="G853" i="4"/>
  <c r="G854" i="4"/>
  <c r="H854" i="4" s="1"/>
  <c r="G855" i="4"/>
  <c r="H855" i="4" s="1"/>
  <c r="G856" i="4"/>
  <c r="H856" i="4" s="1"/>
  <c r="G857" i="4"/>
  <c r="G858" i="4"/>
  <c r="G859" i="4"/>
  <c r="G860" i="4"/>
  <c r="H860" i="4" s="1"/>
  <c r="G861" i="4"/>
  <c r="G862" i="4"/>
  <c r="H862" i="4" s="1"/>
  <c r="G863" i="4"/>
  <c r="H863" i="4" s="1"/>
  <c r="G864" i="4"/>
  <c r="H864" i="4" s="1"/>
  <c r="G865" i="4"/>
  <c r="H865" i="4" s="1"/>
  <c r="G866" i="4"/>
  <c r="H866" i="4" s="1"/>
  <c r="G867" i="4"/>
  <c r="H867" i="4" s="1"/>
  <c r="G868" i="4"/>
  <c r="H868" i="4" s="1"/>
  <c r="G869" i="4"/>
  <c r="H869" i="4" s="1"/>
  <c r="G870" i="4"/>
  <c r="H870" i="4" s="1"/>
  <c r="G871" i="4"/>
  <c r="H871" i="4" s="1"/>
  <c r="G872" i="4"/>
  <c r="H872" i="4" s="1"/>
  <c r="G873" i="4"/>
  <c r="G874" i="4"/>
  <c r="G875" i="4"/>
  <c r="H875" i="4" s="1"/>
  <c r="G876" i="4"/>
  <c r="H876" i="4" s="1"/>
  <c r="G877" i="4"/>
  <c r="G878" i="4"/>
  <c r="H878" i="4" s="1"/>
  <c r="G879" i="4"/>
  <c r="H879" i="4" s="1"/>
  <c r="G880" i="4"/>
  <c r="H880" i="4" s="1"/>
  <c r="G881" i="4"/>
  <c r="G882" i="4"/>
  <c r="H882" i="4" s="1"/>
  <c r="G883" i="4"/>
  <c r="H883" i="4" s="1"/>
  <c r="G884" i="4"/>
  <c r="H884" i="4" s="1"/>
  <c r="G885" i="4"/>
  <c r="G886" i="4"/>
  <c r="H886" i="4" s="1"/>
  <c r="G887" i="4"/>
  <c r="H887" i="4" s="1"/>
  <c r="G888" i="4"/>
  <c r="H888" i="4" s="1"/>
  <c r="G889" i="4"/>
  <c r="H889" i="4" s="1"/>
  <c r="G890" i="4"/>
  <c r="G891" i="4"/>
  <c r="H891" i="4" s="1"/>
  <c r="G892" i="4"/>
  <c r="H892" i="4" s="1"/>
  <c r="G893" i="4"/>
  <c r="G894" i="4"/>
  <c r="H894" i="4" s="1"/>
  <c r="G895" i="4"/>
  <c r="H895" i="4" s="1"/>
  <c r="G896" i="4"/>
  <c r="H896" i="4" s="1"/>
  <c r="G897" i="4"/>
  <c r="H897" i="4" s="1"/>
  <c r="G898" i="4"/>
  <c r="H898" i="4" s="1"/>
  <c r="G899" i="4"/>
  <c r="H899" i="4" s="1"/>
  <c r="G900" i="4"/>
  <c r="H900" i="4" s="1"/>
  <c r="G901" i="4"/>
  <c r="G902" i="4"/>
  <c r="H902" i="4" s="1"/>
  <c r="G903" i="4"/>
  <c r="H903" i="4" s="1"/>
  <c r="G904" i="4"/>
  <c r="H904" i="4" s="1"/>
  <c r="G905" i="4"/>
  <c r="H905" i="4" s="1"/>
  <c r="G906" i="4"/>
  <c r="H906" i="4" s="1"/>
  <c r="G907" i="4"/>
  <c r="H907" i="4" s="1"/>
  <c r="G908" i="4"/>
  <c r="H908" i="4" s="1"/>
  <c r="G909" i="4"/>
  <c r="G910" i="4"/>
  <c r="H910" i="4" s="1"/>
  <c r="G911" i="4"/>
  <c r="H911" i="4" s="1"/>
  <c r="G912" i="4"/>
  <c r="H912" i="4" s="1"/>
  <c r="G913" i="4"/>
  <c r="G914" i="4"/>
  <c r="H914" i="4" s="1"/>
  <c r="G915" i="4"/>
  <c r="H915" i="4" s="1"/>
  <c r="G916" i="4"/>
  <c r="H916" i="4" s="1"/>
  <c r="G917" i="4"/>
  <c r="G918" i="4"/>
  <c r="H918" i="4" s="1"/>
  <c r="G919" i="4"/>
  <c r="H919" i="4" s="1"/>
  <c r="G920" i="4"/>
  <c r="H920" i="4" s="1"/>
  <c r="G921" i="4"/>
  <c r="G922" i="4"/>
  <c r="G923" i="4"/>
  <c r="G924" i="4"/>
  <c r="H924" i="4" s="1"/>
  <c r="G925" i="4"/>
  <c r="G926" i="4"/>
  <c r="H926" i="4" s="1"/>
  <c r="G927" i="4"/>
  <c r="H927" i="4" s="1"/>
  <c r="G928" i="4"/>
  <c r="H928" i="4" s="1"/>
  <c r="G929" i="4"/>
  <c r="G930" i="4"/>
  <c r="H930" i="4" s="1"/>
  <c r="G931" i="4"/>
  <c r="H931" i="4" s="1"/>
  <c r="G932" i="4"/>
  <c r="H932" i="4" s="1"/>
  <c r="G933" i="4"/>
  <c r="H933" i="4" s="1"/>
  <c r="G934" i="4"/>
  <c r="H934" i="4" s="1"/>
  <c r="G935" i="4"/>
  <c r="H935" i="4" s="1"/>
  <c r="G936" i="4"/>
  <c r="H936" i="4" s="1"/>
  <c r="G937" i="4"/>
  <c r="G938" i="4"/>
  <c r="H938" i="4" s="1"/>
  <c r="G939" i="4"/>
  <c r="G940" i="4"/>
  <c r="G941" i="4"/>
  <c r="G942" i="4"/>
  <c r="H942" i="4" s="1"/>
  <c r="G943" i="4"/>
  <c r="H943" i="4" s="1"/>
  <c r="G944" i="4"/>
  <c r="H944" i="4" s="1"/>
  <c r="G945" i="4"/>
  <c r="G946" i="4"/>
  <c r="H946" i="4" s="1"/>
  <c r="G947" i="4"/>
  <c r="H947" i="4" s="1"/>
  <c r="G948" i="4"/>
  <c r="H948" i="4" s="1"/>
  <c r="G949" i="4"/>
  <c r="G950" i="4"/>
  <c r="H950" i="4" s="1"/>
  <c r="G951" i="4"/>
  <c r="H951" i="4" s="1"/>
  <c r="G952" i="4"/>
  <c r="H952" i="4" s="1"/>
  <c r="G953" i="4"/>
  <c r="H953" i="4" s="1"/>
  <c r="G954" i="4"/>
  <c r="G955" i="4"/>
  <c r="H955" i="4" s="1"/>
  <c r="G956" i="4"/>
  <c r="H956" i="4" s="1"/>
  <c r="G957" i="4"/>
  <c r="G958" i="4"/>
  <c r="H958" i="4" s="1"/>
  <c r="G959" i="4"/>
  <c r="H959" i="4" s="1"/>
  <c r="G960" i="4"/>
  <c r="H960" i="4" s="1"/>
  <c r="G961" i="4"/>
  <c r="H961" i="4" s="1"/>
  <c r="G962" i="4"/>
  <c r="H962" i="4" s="1"/>
  <c r="G963" i="4"/>
  <c r="H963" i="4" s="1"/>
  <c r="G964" i="4"/>
  <c r="H964" i="4" s="1"/>
  <c r="G965" i="4"/>
  <c r="G966" i="4"/>
  <c r="H966" i="4" s="1"/>
  <c r="G967" i="4"/>
  <c r="G968" i="4"/>
  <c r="H968" i="4" s="1"/>
  <c r="G969" i="4"/>
  <c r="G970" i="4"/>
  <c r="H970" i="4" s="1"/>
  <c r="G971" i="4"/>
  <c r="H971" i="4" s="1"/>
  <c r="G972" i="4"/>
  <c r="H972" i="4" s="1"/>
  <c r="G973" i="4"/>
  <c r="G974" i="4"/>
  <c r="H974" i="4" s="1"/>
  <c r="G975" i="4"/>
  <c r="H975" i="4" s="1"/>
  <c r="G976" i="4"/>
  <c r="H976" i="4" s="1"/>
  <c r="G977" i="4"/>
  <c r="G978" i="4"/>
  <c r="H978" i="4" s="1"/>
  <c r="G979" i="4"/>
  <c r="H979" i="4" s="1"/>
  <c r="G980" i="4"/>
  <c r="H980" i="4" s="1"/>
  <c r="G981" i="4"/>
  <c r="G982" i="4"/>
  <c r="H982" i="4" s="1"/>
  <c r="G983" i="4"/>
  <c r="H983" i="4" s="1"/>
  <c r="G984" i="4"/>
  <c r="H984" i="4" s="1"/>
  <c r="G985" i="4"/>
  <c r="H985" i="4" s="1"/>
  <c r="G986" i="4"/>
  <c r="H986" i="4" s="1"/>
  <c r="G987" i="4"/>
  <c r="G988" i="4"/>
  <c r="H988" i="4" s="1"/>
  <c r="G989" i="4"/>
  <c r="G990" i="4"/>
  <c r="H990" i="4" s="1"/>
  <c r="G991" i="4"/>
  <c r="H991" i="4" s="1"/>
  <c r="G992" i="4"/>
  <c r="H992" i="4" s="1"/>
  <c r="G993" i="4"/>
  <c r="G994" i="4"/>
  <c r="H994" i="4" s="1"/>
  <c r="G995" i="4"/>
  <c r="H995" i="4" s="1"/>
  <c r="G996" i="4"/>
  <c r="H996" i="4" s="1"/>
  <c r="G997" i="4"/>
  <c r="H997" i="4" s="1"/>
  <c r="G998" i="4"/>
  <c r="H998" i="4" s="1"/>
  <c r="G999" i="4"/>
  <c r="H999" i="4" s="1"/>
  <c r="G1000" i="4"/>
  <c r="H1000" i="4" s="1"/>
  <c r="G1001" i="4"/>
  <c r="G1002" i="4"/>
  <c r="H1002" i="4" s="1"/>
  <c r="G1003" i="4"/>
  <c r="G1004" i="4"/>
  <c r="H1004" i="4" s="1"/>
  <c r="G1005" i="4"/>
  <c r="G1006" i="4"/>
  <c r="H1006" i="4" s="1"/>
  <c r="G1007" i="4"/>
  <c r="H1007" i="4" s="1"/>
  <c r="G1008" i="4"/>
  <c r="H1008" i="4" s="1"/>
  <c r="G1009" i="4"/>
  <c r="G1010" i="4"/>
  <c r="H1010" i="4" s="1"/>
  <c r="G1011" i="4"/>
  <c r="H1011" i="4" s="1"/>
  <c r="G1012" i="4"/>
  <c r="H1012" i="4" s="1"/>
  <c r="G1013" i="4"/>
  <c r="G1014" i="4"/>
  <c r="H1014" i="4" s="1"/>
  <c r="G1015" i="4"/>
  <c r="H1015" i="4" s="1"/>
  <c r="G1016" i="4"/>
  <c r="H1016" i="4" s="1"/>
  <c r="G1017" i="4"/>
  <c r="H1017" i="4" s="1"/>
  <c r="G1018" i="4"/>
  <c r="H1018" i="4" s="1"/>
  <c r="G1019" i="4"/>
  <c r="G1020" i="4"/>
  <c r="G1021" i="4"/>
  <c r="G1022" i="4"/>
  <c r="H1022" i="4" s="1"/>
  <c r="G1023" i="4"/>
  <c r="H1023" i="4" s="1"/>
  <c r="G1024" i="4"/>
  <c r="H1024" i="4" s="1"/>
  <c r="G1025" i="4"/>
  <c r="H1025" i="4" s="1"/>
  <c r="G1026" i="4"/>
  <c r="H1026" i="4" s="1"/>
  <c r="G1027" i="4"/>
  <c r="H1027" i="4" s="1"/>
  <c r="G1028" i="4"/>
  <c r="H1028" i="4" s="1"/>
  <c r="G1029" i="4"/>
  <c r="G1030" i="4"/>
  <c r="H1030" i="4" s="1"/>
  <c r="G1031" i="4"/>
  <c r="H1031" i="4" s="1"/>
  <c r="G1032" i="4"/>
  <c r="H1032" i="4" s="1"/>
  <c r="G1033" i="4"/>
  <c r="H1033" i="4" s="1"/>
  <c r="G1034" i="4"/>
  <c r="H1034" i="4" s="1"/>
  <c r="G1035" i="4"/>
  <c r="H1035" i="4" s="1"/>
  <c r="G1036" i="4"/>
  <c r="H1036" i="4" s="1"/>
  <c r="G1037" i="4"/>
  <c r="G1038" i="4"/>
  <c r="H1038" i="4" s="1"/>
  <c r="G1039" i="4"/>
  <c r="H1039" i="4" s="1"/>
  <c r="G1040" i="4"/>
  <c r="H1040" i="4" s="1"/>
  <c r="G1041" i="4"/>
  <c r="G1042" i="4"/>
  <c r="H1042" i="4" s="1"/>
  <c r="G1043" i="4"/>
  <c r="H1043" i="4" s="1"/>
  <c r="G1044" i="4"/>
  <c r="H1044" i="4" s="1"/>
  <c r="G1045" i="4"/>
  <c r="G1046" i="4"/>
  <c r="H1046" i="4" s="1"/>
  <c r="G1047" i="4"/>
  <c r="H1047" i="4" s="1"/>
  <c r="G1048" i="4"/>
  <c r="H1048" i="4" s="1"/>
  <c r="G1049" i="4"/>
  <c r="G1050" i="4"/>
  <c r="G1051" i="4"/>
  <c r="H1051" i="4" s="1"/>
  <c r="G1052" i="4"/>
  <c r="H1052" i="4" s="1"/>
  <c r="G1053" i="4"/>
  <c r="G1054" i="4"/>
  <c r="H1054" i="4" s="1"/>
  <c r="G1055" i="4"/>
  <c r="H1055" i="4" s="1"/>
  <c r="G1056" i="4"/>
  <c r="H1056" i="4" s="1"/>
  <c r="G1057" i="4"/>
  <c r="H1057" i="4" s="1"/>
  <c r="G1058" i="4"/>
  <c r="H1058" i="4" s="1"/>
  <c r="G1059" i="4"/>
  <c r="H1059" i="4" s="1"/>
  <c r="G1060" i="4"/>
  <c r="H1060" i="4" s="1"/>
  <c r="G1061" i="4"/>
  <c r="H1061" i="4" s="1"/>
  <c r="G1062" i="4"/>
  <c r="H1062" i="4" s="1"/>
  <c r="G1063" i="4"/>
  <c r="H1063" i="4" s="1"/>
  <c r="G1064" i="4"/>
  <c r="H1064" i="4" s="1"/>
  <c r="G1065" i="4"/>
  <c r="H1065" i="4" s="1"/>
  <c r="G1066" i="4"/>
  <c r="H1066" i="4" s="1"/>
  <c r="G1067" i="4"/>
  <c r="G1068" i="4"/>
  <c r="H1068" i="4" s="1"/>
  <c r="G1069" i="4"/>
  <c r="G1070" i="4"/>
  <c r="H1070" i="4" s="1"/>
  <c r="G1071" i="4"/>
  <c r="H1071" i="4" s="1"/>
  <c r="G1072" i="4"/>
  <c r="H1072" i="4" s="1"/>
  <c r="G1073" i="4"/>
  <c r="G1074" i="4"/>
  <c r="H1074" i="4" s="1"/>
  <c r="G1075" i="4"/>
  <c r="H1075" i="4" s="1"/>
  <c r="G1076" i="4"/>
  <c r="H1076" i="4" s="1"/>
  <c r="G1077" i="4"/>
  <c r="G1078" i="4"/>
  <c r="H1078" i="4" s="1"/>
  <c r="G1079" i="4"/>
  <c r="H1079" i="4" s="1"/>
  <c r="G1080" i="4"/>
  <c r="H1080" i="4" s="1"/>
  <c r="G1081" i="4"/>
  <c r="G1082" i="4"/>
  <c r="H1082" i="4" s="1"/>
  <c r="G1083" i="4"/>
  <c r="G1084" i="4"/>
  <c r="H1084" i="4" s="1"/>
  <c r="G1085" i="4"/>
  <c r="G1086" i="4"/>
  <c r="H1086" i="4" s="1"/>
  <c r="G1087" i="4"/>
  <c r="H1087" i="4" s="1"/>
  <c r="G1088" i="4"/>
  <c r="H1088" i="4" s="1"/>
  <c r="G1089" i="4"/>
  <c r="H1089" i="4" s="1"/>
  <c r="G1090" i="4"/>
  <c r="H1090" i="4" s="1"/>
  <c r="G1091" i="4"/>
  <c r="H1091" i="4" s="1"/>
  <c r="G1092" i="4"/>
  <c r="H1092" i="4" s="1"/>
  <c r="G1093" i="4"/>
  <c r="G1094" i="4"/>
  <c r="H1094" i="4" s="1"/>
  <c r="G1095" i="4"/>
  <c r="H1095" i="4" s="1"/>
  <c r="G1096" i="4"/>
  <c r="H1096" i="4" s="1"/>
  <c r="G1097" i="4"/>
  <c r="G1098" i="4"/>
  <c r="H1098" i="4" s="1"/>
  <c r="G1099" i="4"/>
  <c r="G1100" i="4"/>
  <c r="H1100" i="4" s="1"/>
  <c r="G1101" i="4"/>
  <c r="G1102" i="4"/>
  <c r="H1102" i="4" s="1"/>
  <c r="G1103" i="4"/>
  <c r="H1103" i="4" s="1"/>
  <c r="G1104" i="4"/>
  <c r="H1104" i="4" s="1"/>
  <c r="G1105" i="4"/>
  <c r="G1106" i="4"/>
  <c r="H1106" i="4" s="1"/>
  <c r="G1107" i="4"/>
  <c r="H1107" i="4" s="1"/>
  <c r="G1108" i="4"/>
  <c r="H1108" i="4" s="1"/>
  <c r="G1109" i="4"/>
  <c r="G1110" i="4"/>
  <c r="H1110" i="4" s="1"/>
  <c r="G1111" i="4"/>
  <c r="H1111" i="4" s="1"/>
  <c r="G1112" i="4"/>
  <c r="H1112" i="4" s="1"/>
  <c r="G1113" i="4"/>
  <c r="H1113" i="4" s="1"/>
  <c r="G1114" i="4"/>
  <c r="G1115" i="4"/>
  <c r="H1115" i="4" s="1"/>
  <c r="G1116" i="4"/>
  <c r="H1116" i="4" s="1"/>
  <c r="G1117" i="4"/>
  <c r="G1118" i="4"/>
  <c r="H1118" i="4" s="1"/>
  <c r="G1119" i="4"/>
  <c r="H1119" i="4" s="1"/>
  <c r="G1120" i="4"/>
  <c r="H1120" i="4" s="1"/>
  <c r="G1121" i="4"/>
  <c r="H1121" i="4" s="1"/>
  <c r="G1122" i="4"/>
  <c r="H1122" i="4" s="1"/>
  <c r="G1123" i="4"/>
  <c r="G1124" i="4"/>
  <c r="H1124" i="4" s="1"/>
  <c r="G1125" i="4"/>
  <c r="H1125" i="4" s="1"/>
  <c r="G1126" i="4"/>
  <c r="H1126" i="4" s="1"/>
  <c r="G1127" i="4"/>
  <c r="H1127" i="4" s="1"/>
  <c r="G1128" i="4"/>
  <c r="H1128" i="4" s="1"/>
  <c r="G1129" i="4"/>
  <c r="G1130" i="4"/>
  <c r="H1130" i="4" s="1"/>
  <c r="G1131" i="4"/>
  <c r="H1131" i="4" s="1"/>
  <c r="G1132" i="4"/>
  <c r="H1132" i="4" s="1"/>
  <c r="G1133" i="4"/>
  <c r="G1134" i="4"/>
  <c r="H1134" i="4" s="1"/>
  <c r="G1135" i="4"/>
  <c r="H1135" i="4" s="1"/>
  <c r="G1136" i="4"/>
  <c r="H1136" i="4" s="1"/>
  <c r="G1137" i="4"/>
  <c r="H1137" i="4" s="1"/>
  <c r="G1138" i="4"/>
  <c r="G1139" i="4"/>
  <c r="H1139" i="4" s="1"/>
  <c r="G1140" i="4"/>
  <c r="G1141" i="4"/>
  <c r="G1142" i="4"/>
  <c r="H1142" i="4" s="1"/>
  <c r="G1143" i="4"/>
  <c r="H1143" i="4" s="1"/>
  <c r="G1144" i="4"/>
  <c r="H1144" i="4" s="1"/>
  <c r="G1145" i="4"/>
  <c r="G1146" i="4"/>
  <c r="H1146" i="4" s="1"/>
  <c r="G1147" i="4"/>
  <c r="H1147" i="4" s="1"/>
  <c r="G1148" i="4"/>
  <c r="H1148" i="4" s="1"/>
  <c r="G1149" i="4"/>
  <c r="G1150" i="4"/>
  <c r="H1150" i="4" s="1"/>
  <c r="G1151" i="4"/>
  <c r="H1151" i="4" s="1"/>
  <c r="G1152" i="4"/>
  <c r="H1152" i="4" s="1"/>
  <c r="G1153" i="4"/>
  <c r="H1153" i="4" s="1"/>
  <c r="G1154" i="4"/>
  <c r="G1155" i="4"/>
  <c r="H1155" i="4" s="1"/>
  <c r="G1156" i="4"/>
  <c r="H1156" i="4" s="1"/>
  <c r="G1157" i="4"/>
  <c r="G1158" i="4"/>
  <c r="H1158" i="4" s="1"/>
  <c r="G1159" i="4"/>
  <c r="H1159" i="4" s="1"/>
  <c r="G1160" i="4"/>
  <c r="H1160" i="4" s="1"/>
  <c r="G1161" i="4"/>
  <c r="G1162" i="4"/>
  <c r="H1162" i="4" s="1"/>
  <c r="G1163" i="4"/>
  <c r="H1163" i="4" s="1"/>
  <c r="G1164" i="4"/>
  <c r="H1164" i="4" s="1"/>
  <c r="G1165" i="4"/>
  <c r="G1166" i="4"/>
  <c r="H1166" i="4" s="1"/>
  <c r="G1167" i="4"/>
  <c r="G1168" i="4"/>
  <c r="H1168" i="4" s="1"/>
  <c r="G1169" i="4"/>
  <c r="G1170" i="4"/>
  <c r="H1170" i="4" s="1"/>
  <c r="G1171" i="4"/>
  <c r="H1171" i="4" s="1"/>
  <c r="G1172" i="4"/>
  <c r="H1172" i="4" s="1"/>
  <c r="G1173" i="4"/>
  <c r="G1174" i="4"/>
  <c r="H1174" i="4" s="1"/>
  <c r="G1175" i="4"/>
  <c r="H1175" i="4" s="1"/>
  <c r="G1176" i="4"/>
  <c r="H1176" i="4" s="1"/>
  <c r="G1177" i="4"/>
  <c r="G1178" i="4"/>
  <c r="H1178" i="4" s="1"/>
  <c r="G1179" i="4"/>
  <c r="G1180" i="4"/>
  <c r="H1180" i="4" s="1"/>
  <c r="G1181" i="4"/>
  <c r="G1182" i="4"/>
  <c r="H1182" i="4" s="1"/>
  <c r="G1183" i="4"/>
  <c r="H1183" i="4" s="1"/>
  <c r="G1184" i="4"/>
  <c r="H1184" i="4" s="1"/>
  <c r="G1185" i="4"/>
  <c r="G1186" i="4"/>
  <c r="H1186" i="4" s="1"/>
  <c r="G1187" i="4"/>
  <c r="H1187" i="4" s="1"/>
  <c r="G1188" i="4"/>
  <c r="H1188" i="4" s="1"/>
  <c r="G1189" i="4"/>
  <c r="H1189" i="4" s="1"/>
  <c r="G1190" i="4"/>
  <c r="H1190" i="4" s="1"/>
  <c r="G1191" i="4"/>
  <c r="H1191" i="4" s="1"/>
  <c r="G1192" i="4"/>
  <c r="H1192" i="4" s="1"/>
  <c r="G1193" i="4"/>
  <c r="H1193" i="4" s="1"/>
  <c r="G1194" i="4"/>
  <c r="H1194" i="4" s="1"/>
  <c r="G1195" i="4"/>
  <c r="G1196" i="4"/>
  <c r="G1197" i="4"/>
  <c r="G1198" i="4"/>
  <c r="H1198" i="4" s="1"/>
  <c r="G1199" i="4"/>
  <c r="H1199" i="4" s="1"/>
  <c r="G1200" i="4"/>
  <c r="H1200" i="4" s="1"/>
  <c r="G1201" i="4"/>
  <c r="G1202" i="4"/>
  <c r="H1202" i="4" s="1"/>
  <c r="G1203" i="4"/>
  <c r="H1203" i="4" s="1"/>
  <c r="G1204" i="4"/>
  <c r="H1204" i="4" s="1"/>
  <c r="G1205" i="4"/>
  <c r="G1206" i="4"/>
  <c r="H1206" i="4" s="1"/>
  <c r="G1207" i="4"/>
  <c r="H1207" i="4" s="1"/>
  <c r="G1208" i="4"/>
  <c r="H1208" i="4" s="1"/>
  <c r="G1209" i="4"/>
  <c r="G1210" i="4"/>
  <c r="G1211" i="4"/>
  <c r="G1212" i="4"/>
  <c r="H1212" i="4" s="1"/>
  <c r="G1213" i="4"/>
  <c r="G1214" i="4"/>
  <c r="H1214" i="4" s="1"/>
  <c r="G1215" i="4"/>
  <c r="H1215" i="4" s="1"/>
  <c r="G1216" i="4"/>
  <c r="H1216" i="4" s="1"/>
  <c r="G1217" i="4"/>
  <c r="H1217" i="4" s="1"/>
  <c r="G1218" i="4"/>
  <c r="H1218" i="4" s="1"/>
  <c r="G1219" i="4"/>
  <c r="H1219" i="4" s="1"/>
  <c r="G1220" i="4"/>
  <c r="H1220" i="4" s="1"/>
  <c r="G1221" i="4"/>
  <c r="G1222" i="4"/>
  <c r="H1222" i="4" s="1"/>
  <c r="G1223" i="4"/>
  <c r="H1223" i="4" s="1"/>
  <c r="G1224" i="4"/>
  <c r="H1224" i="4" s="1"/>
  <c r="G1225" i="4"/>
  <c r="H1225" i="4" s="1"/>
  <c r="G1226" i="4"/>
  <c r="H1226" i="4" s="1"/>
  <c r="G1227" i="4"/>
  <c r="H1227" i="4" s="1"/>
  <c r="G1228" i="4"/>
  <c r="H1228" i="4" s="1"/>
  <c r="G1229" i="4"/>
  <c r="G1230" i="4"/>
  <c r="H1230" i="4" s="1"/>
  <c r="G1231" i="4"/>
  <c r="H1231" i="4" s="1"/>
  <c r="G1232" i="4"/>
  <c r="H1232" i="4" s="1"/>
  <c r="G1233" i="4"/>
  <c r="G1234" i="4"/>
  <c r="G1235" i="4"/>
  <c r="H1235" i="4" s="1"/>
  <c r="G1236" i="4"/>
  <c r="H1236" i="4" s="1"/>
  <c r="G1237" i="4"/>
  <c r="G1238" i="4"/>
  <c r="H1238" i="4" s="1"/>
  <c r="G1239" i="4"/>
  <c r="H1239" i="4" s="1"/>
  <c r="G1240" i="4"/>
  <c r="G1241" i="4"/>
  <c r="H1241" i="4" s="1"/>
  <c r="G1242" i="4"/>
  <c r="G1243" i="4"/>
  <c r="H1243" i="4" s="1"/>
  <c r="G1244" i="4"/>
  <c r="H1244" i="4" s="1"/>
  <c r="G1245" i="4"/>
  <c r="G1246" i="4"/>
  <c r="H1246" i="4" s="1"/>
  <c r="G1247" i="4"/>
  <c r="H1247" i="4" s="1"/>
  <c r="G1248" i="4"/>
  <c r="H1248" i="4" s="1"/>
  <c r="G1249" i="4"/>
  <c r="G1250" i="4"/>
  <c r="H1250" i="4" s="1"/>
  <c r="G1251" i="4"/>
  <c r="G1252" i="4"/>
  <c r="H1252" i="4" s="1"/>
  <c r="G1253" i="4"/>
  <c r="H1253" i="4" s="1"/>
  <c r="G1254" i="4"/>
  <c r="H1254" i="4" s="1"/>
  <c r="G1255" i="4"/>
  <c r="H1255" i="4" s="1"/>
  <c r="G1256" i="4"/>
  <c r="H1256" i="4" s="1"/>
  <c r="G1257" i="4"/>
  <c r="H1257" i="4" s="1"/>
  <c r="G1258" i="4"/>
  <c r="G1259" i="4"/>
  <c r="H1259" i="4" s="1"/>
  <c r="G1260" i="4"/>
  <c r="H1260" i="4" s="1"/>
  <c r="G1261" i="4"/>
  <c r="G1262" i="4"/>
  <c r="H1262" i="4" s="1"/>
  <c r="G1263" i="4"/>
  <c r="H1263" i="4" s="1"/>
  <c r="G1264" i="4"/>
  <c r="H1264" i="4" s="1"/>
  <c r="G1265" i="4"/>
  <c r="H1265" i="4" s="1"/>
  <c r="G1266" i="4"/>
  <c r="G1267" i="4"/>
  <c r="H1267" i="4" s="1"/>
  <c r="G1268" i="4"/>
  <c r="H1268" i="4" s="1"/>
  <c r="G1269" i="4"/>
  <c r="G1270" i="4"/>
  <c r="H1270" i="4" s="1"/>
  <c r="G1271" i="4"/>
  <c r="H1271" i="4" s="1"/>
  <c r="G1272" i="4"/>
  <c r="H1272" i="4" s="1"/>
  <c r="G1273" i="4"/>
  <c r="G1274" i="4"/>
  <c r="H1274" i="4" s="1"/>
  <c r="G1275" i="4"/>
  <c r="H1275" i="4" s="1"/>
  <c r="G1276" i="4"/>
  <c r="H1276" i="4" s="1"/>
  <c r="G1277" i="4"/>
  <c r="G1278" i="4"/>
  <c r="H1278" i="4" s="1"/>
  <c r="G1279" i="4"/>
  <c r="H1279" i="4" s="1"/>
  <c r="G1280" i="4"/>
  <c r="H1280" i="4" s="1"/>
  <c r="G1281" i="4"/>
  <c r="H1281" i="4" s="1"/>
  <c r="G1282" i="4"/>
  <c r="G1283" i="4"/>
  <c r="G1284" i="4"/>
  <c r="H1284" i="4" s="1"/>
  <c r="G1285" i="4"/>
  <c r="G1286" i="4"/>
  <c r="H1286" i="4" s="1"/>
  <c r="G1287" i="4"/>
  <c r="H1287" i="4" s="1"/>
  <c r="G1288" i="4"/>
  <c r="H1288" i="4" s="1"/>
  <c r="G1289" i="4"/>
  <c r="G1290" i="4"/>
  <c r="H1290" i="4" s="1"/>
  <c r="G1291" i="4"/>
  <c r="H1291" i="4" s="1"/>
  <c r="G1292" i="4"/>
  <c r="H1292" i="4" s="1"/>
  <c r="G1293" i="4"/>
  <c r="G1294" i="4"/>
  <c r="H1294" i="4" s="1"/>
  <c r="G1295" i="4"/>
  <c r="H1295" i="4" s="1"/>
  <c r="G1296" i="4"/>
  <c r="H1296" i="4" s="1"/>
  <c r="G1297" i="4"/>
  <c r="G1298" i="4"/>
  <c r="H1298" i="4" s="1"/>
  <c r="G1299" i="4"/>
  <c r="H1299" i="4" s="1"/>
  <c r="G1300" i="4"/>
  <c r="H1300" i="4" s="1"/>
  <c r="G1301" i="4"/>
  <c r="G1302" i="4"/>
  <c r="H1302" i="4" s="1"/>
  <c r="G1303" i="4"/>
  <c r="H1303" i="4" s="1"/>
  <c r="G1304" i="4"/>
  <c r="H1304" i="4" s="1"/>
  <c r="G1305" i="4"/>
  <c r="G1306" i="4"/>
  <c r="H1306" i="4" s="1"/>
  <c r="G1307" i="4"/>
  <c r="H1307" i="4" s="1"/>
  <c r="G1308" i="4"/>
  <c r="H1308" i="4" s="1"/>
  <c r="G1309" i="4"/>
  <c r="G1310" i="4"/>
  <c r="H1310" i="4" s="1"/>
  <c r="G1311" i="4"/>
  <c r="H1311" i="4" s="1"/>
  <c r="G1312" i="4"/>
  <c r="G1313" i="4"/>
  <c r="G1314" i="4"/>
  <c r="G1315" i="4"/>
  <c r="H1315" i="4" s="1"/>
  <c r="G1316" i="4"/>
  <c r="H1316" i="4" s="1"/>
  <c r="G1317" i="4"/>
  <c r="H1317" i="4" s="1"/>
  <c r="G1318" i="4"/>
  <c r="H1318" i="4" s="1"/>
  <c r="G1319" i="4"/>
  <c r="H1319" i="4" s="1"/>
  <c r="G1320" i="4"/>
  <c r="H1320" i="4" s="1"/>
  <c r="G1321" i="4"/>
  <c r="G1322" i="4"/>
  <c r="H1322" i="4" s="1"/>
  <c r="G1323" i="4"/>
  <c r="H1323" i="4" s="1"/>
  <c r="G1324" i="4"/>
  <c r="H1324" i="4" s="1"/>
  <c r="G1325" i="4"/>
  <c r="G1326" i="4"/>
  <c r="H1326" i="4" s="1"/>
  <c r="G1327" i="4"/>
  <c r="H1327" i="4" s="1"/>
  <c r="G1328" i="4"/>
  <c r="H1328" i="4" s="1"/>
  <c r="G1329" i="4"/>
  <c r="G1330" i="4"/>
  <c r="H1330" i="4" s="1"/>
  <c r="G1331" i="4"/>
  <c r="H1331" i="4" s="1"/>
  <c r="G1332" i="4"/>
  <c r="H1332" i="4" s="1"/>
  <c r="G1333" i="4"/>
  <c r="G1334" i="4"/>
  <c r="H1334" i="4" s="1"/>
  <c r="G1335" i="4"/>
  <c r="H1335" i="4" s="1"/>
  <c r="G1336" i="4"/>
  <c r="H1336" i="4" s="1"/>
  <c r="G1337" i="4"/>
  <c r="G1338" i="4"/>
  <c r="H1338" i="4" s="1"/>
  <c r="G1339" i="4"/>
  <c r="H1339" i="4" s="1"/>
  <c r="G1340" i="4"/>
  <c r="H1340" i="4" s="1"/>
  <c r="G1341" i="4"/>
  <c r="G1342" i="4"/>
  <c r="H1342" i="4" s="1"/>
  <c r="G1343" i="4"/>
  <c r="H1343" i="4" s="1"/>
  <c r="G1344" i="4"/>
  <c r="G1345" i="4"/>
  <c r="H1345" i="4" s="1"/>
  <c r="G1346" i="4"/>
  <c r="H1346" i="4" s="1"/>
  <c r="G1347" i="4"/>
  <c r="H1347" i="4" s="1"/>
  <c r="G1348" i="4"/>
  <c r="H1348" i="4" s="1"/>
  <c r="G1349" i="4"/>
  <c r="G1350" i="4"/>
  <c r="H1350" i="4" s="1"/>
  <c r="G1351" i="4"/>
  <c r="H1351" i="4" s="1"/>
  <c r="G1352" i="4"/>
  <c r="H1352" i="4" s="1"/>
  <c r="G1353" i="4"/>
  <c r="G1354" i="4"/>
  <c r="H1354" i="4" s="1"/>
  <c r="G1355" i="4"/>
  <c r="H1355" i="4" s="1"/>
  <c r="G1356" i="4"/>
  <c r="G1357" i="4"/>
  <c r="G1358" i="4"/>
  <c r="H1358" i="4" s="1"/>
  <c r="G1359" i="4"/>
  <c r="H1359" i="4" s="1"/>
  <c r="G1360" i="4"/>
  <c r="H1360" i="4" s="1"/>
  <c r="G1361" i="4"/>
  <c r="H1361" i="4" s="1"/>
  <c r="G1362" i="4"/>
  <c r="H1362" i="4" s="1"/>
  <c r="G1363" i="4"/>
  <c r="H1363" i="4" s="1"/>
  <c r="G1364" i="4"/>
  <c r="H1364" i="4" s="1"/>
  <c r="G1365" i="4"/>
  <c r="G1366" i="4"/>
  <c r="H1366" i="4" s="1"/>
  <c r="G1367" i="4"/>
  <c r="H1367" i="4" s="1"/>
  <c r="G1368" i="4"/>
  <c r="H1368" i="4" s="1"/>
  <c r="G1369" i="4"/>
  <c r="H1369" i="4" s="1"/>
  <c r="G1370" i="4"/>
  <c r="G1371" i="4"/>
  <c r="H1371" i="4" s="1"/>
  <c r="G1372" i="4"/>
  <c r="H1372" i="4" s="1"/>
  <c r="G1373" i="4"/>
  <c r="G1374" i="4"/>
  <c r="H1374" i="4" s="1"/>
  <c r="G1375" i="4"/>
  <c r="H1375" i="4" s="1"/>
  <c r="G1376" i="4"/>
  <c r="H1376" i="4" s="1"/>
  <c r="G1377" i="4"/>
  <c r="G1378" i="4"/>
  <c r="H1378" i="4" s="1"/>
  <c r="G1379" i="4"/>
  <c r="H1379" i="4" s="1"/>
  <c r="G1380" i="4"/>
  <c r="H1380" i="4" s="1"/>
  <c r="G1381" i="4"/>
  <c r="H1381" i="4" s="1"/>
  <c r="G1382" i="4"/>
  <c r="H1382" i="4" s="1"/>
  <c r="G1383" i="4"/>
  <c r="H1383" i="4" s="1"/>
  <c r="G1384" i="4"/>
  <c r="H1384" i="4" s="1"/>
  <c r="G1385" i="4"/>
  <c r="G1386" i="4"/>
  <c r="G1387" i="4"/>
  <c r="G1388" i="4"/>
  <c r="H1388" i="4" s="1"/>
  <c r="G1389" i="4"/>
  <c r="G1390" i="4"/>
  <c r="H1390" i="4" s="1"/>
  <c r="G1391" i="4"/>
  <c r="H1391" i="4" s="1"/>
  <c r="G1392" i="4"/>
  <c r="H1392" i="4" s="1"/>
  <c r="G1393" i="4"/>
  <c r="H1393" i="4" s="1"/>
  <c r="G1394" i="4"/>
  <c r="H1394" i="4" s="1"/>
  <c r="G1395" i="4"/>
  <c r="H1395" i="4" s="1"/>
  <c r="G1396" i="4"/>
  <c r="H1396" i="4" s="1"/>
  <c r="G1397" i="4"/>
  <c r="G1398" i="4"/>
  <c r="H1398" i="4" s="1"/>
  <c r="G1399" i="4"/>
  <c r="H1399" i="4" s="1"/>
  <c r="G1400" i="4"/>
  <c r="H1400" i="4" s="1"/>
  <c r="G1401" i="4"/>
  <c r="G1402" i="4"/>
  <c r="H1402" i="4" s="1"/>
  <c r="G1403" i="4"/>
  <c r="H1403" i="4" s="1"/>
  <c r="G1404" i="4"/>
  <c r="G1405" i="4"/>
  <c r="G1406" i="4"/>
  <c r="H1406" i="4" s="1"/>
  <c r="G1407" i="4"/>
  <c r="H1407" i="4" s="1"/>
  <c r="G1408" i="4"/>
  <c r="H1408" i="4" s="1"/>
  <c r="G1409" i="4"/>
  <c r="H1409" i="4" s="1"/>
  <c r="G1410" i="4"/>
  <c r="H1410" i="4" s="1"/>
  <c r="G1411" i="4"/>
  <c r="H1411" i="4" s="1"/>
  <c r="G1412" i="4"/>
  <c r="G1413" i="4"/>
  <c r="G1414" i="4"/>
  <c r="H1414" i="4" s="1"/>
  <c r="G1415" i="4"/>
  <c r="H1415" i="4" s="1"/>
  <c r="G1416" i="4"/>
  <c r="H1416" i="4" s="1"/>
  <c r="G1417" i="4"/>
  <c r="G1418" i="4"/>
  <c r="H1418" i="4" s="1"/>
  <c r="G1419" i="4"/>
  <c r="H1419" i="4" s="1"/>
  <c r="G1420" i="4"/>
  <c r="H1420" i="4" s="1"/>
  <c r="G1421" i="4"/>
  <c r="G1422" i="4"/>
  <c r="H1422" i="4" s="1"/>
  <c r="G1423" i="4"/>
  <c r="H1423" i="4" s="1"/>
  <c r="G1424" i="4"/>
  <c r="H1424" i="4" s="1"/>
  <c r="G1425" i="4"/>
  <c r="G1426" i="4"/>
  <c r="G1427" i="4"/>
  <c r="H1427" i="4" s="1"/>
  <c r="G1428" i="4"/>
  <c r="H1428" i="4" s="1"/>
  <c r="G1429" i="4"/>
  <c r="G1430" i="4"/>
  <c r="H1430" i="4" s="1"/>
  <c r="G1431" i="4"/>
  <c r="H1431" i="4" s="1"/>
  <c r="G1432" i="4"/>
  <c r="H1432" i="4" s="1"/>
  <c r="G1433" i="4"/>
  <c r="G1434" i="4"/>
  <c r="H1434" i="4" s="1"/>
  <c r="G1435" i="4"/>
  <c r="H1435" i="4" s="1"/>
  <c r="G1436" i="4"/>
  <c r="H1436" i="4" s="1"/>
  <c r="G1437" i="4"/>
  <c r="G1438" i="4"/>
  <c r="H1438" i="4" s="1"/>
  <c r="G1439" i="4"/>
  <c r="H1439" i="4" s="1"/>
  <c r="G1440" i="4"/>
  <c r="H1440" i="4" s="1"/>
  <c r="G1441" i="4"/>
  <c r="G1442" i="4"/>
  <c r="G1443" i="4"/>
  <c r="H1443" i="4" s="1"/>
  <c r="G1444" i="4"/>
  <c r="H1444" i="4" s="1"/>
  <c r="G1445" i="4"/>
  <c r="H1445" i="4" s="1"/>
  <c r="G1446" i="4"/>
  <c r="H1446" i="4" s="1"/>
  <c r="G1447" i="4"/>
  <c r="H1447" i="4" s="1"/>
  <c r="G1448" i="4"/>
  <c r="H1448" i="4" s="1"/>
  <c r="G1449" i="4"/>
  <c r="G1450" i="4"/>
  <c r="H1450" i="4" s="1"/>
  <c r="G1451" i="4"/>
  <c r="H1451" i="4" s="1"/>
  <c r="G1452" i="4"/>
  <c r="G1453" i="4"/>
  <c r="G1454" i="4"/>
  <c r="H1454" i="4" s="1"/>
  <c r="G1455" i="4"/>
  <c r="H1455" i="4" s="1"/>
  <c r="G1456" i="4"/>
  <c r="H1456" i="4" s="1"/>
  <c r="G1457" i="4"/>
  <c r="G1458" i="4"/>
  <c r="G1459" i="4"/>
  <c r="H1459" i="4" s="1"/>
  <c r="G1460" i="4"/>
  <c r="H1460" i="4" s="1"/>
  <c r="G1461" i="4"/>
  <c r="G1462" i="4"/>
  <c r="H1462" i="4" s="1"/>
  <c r="G1463" i="4"/>
  <c r="H1463" i="4" s="1"/>
  <c r="G1464" i="4"/>
  <c r="H1464" i="4" s="1"/>
  <c r="G1465" i="4"/>
  <c r="G1466" i="4"/>
  <c r="H1466" i="4" s="1"/>
  <c r="G1467" i="4"/>
  <c r="H1467" i="4" s="1"/>
  <c r="G1468" i="4"/>
  <c r="H1468" i="4" s="1"/>
  <c r="G1469" i="4"/>
  <c r="G1470" i="4"/>
  <c r="H1470" i="4" s="1"/>
  <c r="G1471" i="4"/>
  <c r="H1471" i="4" s="1"/>
  <c r="G1472" i="4"/>
  <c r="H1472" i="4" s="1"/>
  <c r="G1473" i="4"/>
  <c r="H1473" i="4" s="1"/>
  <c r="G1474" i="4"/>
  <c r="G1475" i="4"/>
  <c r="H1475" i="4" s="1"/>
  <c r="G1476" i="4"/>
  <c r="H1476" i="4" s="1"/>
  <c r="G1477" i="4"/>
  <c r="G1478" i="4"/>
  <c r="H1478" i="4" s="1"/>
  <c r="G1479" i="4"/>
  <c r="H1479" i="4" s="1"/>
  <c r="G1480" i="4"/>
  <c r="H1480" i="4" s="1"/>
  <c r="G1481" i="4"/>
  <c r="G1482" i="4"/>
  <c r="H1482" i="4" s="1"/>
  <c r="G1483" i="4"/>
  <c r="H1483" i="4" s="1"/>
  <c r="G1484" i="4"/>
  <c r="H1484" i="4" s="1"/>
  <c r="G1485" i="4"/>
  <c r="G1486" i="4"/>
  <c r="H1486" i="4" s="1"/>
  <c r="G1487" i="4"/>
  <c r="H1487" i="4" s="1"/>
  <c r="G1488" i="4"/>
  <c r="H1488" i="4" s="1"/>
  <c r="G1489" i="4"/>
  <c r="G1490" i="4"/>
  <c r="G1491" i="4"/>
  <c r="H1491" i="4" s="1"/>
  <c r="G1492" i="4"/>
  <c r="H1492" i="4" s="1"/>
  <c r="G1493" i="4"/>
  <c r="G1494" i="4"/>
  <c r="H1494" i="4" s="1"/>
  <c r="G1495" i="4"/>
  <c r="H1495" i="4" s="1"/>
  <c r="G1496" i="4"/>
  <c r="H1496" i="4" s="1"/>
  <c r="G1497" i="4"/>
  <c r="H1497" i="4" s="1"/>
  <c r="G1498" i="4"/>
  <c r="H1498" i="4" s="1"/>
  <c r="G1499" i="4"/>
  <c r="H1499" i="4" s="1"/>
  <c r="G1500" i="4"/>
  <c r="H1500" i="4" s="1"/>
  <c r="G1501" i="4"/>
  <c r="G1502" i="4"/>
  <c r="H1502" i="4" s="1"/>
  <c r="G1503" i="4"/>
  <c r="H1503" i="4" s="1"/>
  <c r="G1504" i="4"/>
  <c r="H1504" i="4" s="1"/>
  <c r="G1505" i="4"/>
  <c r="G1506" i="4"/>
  <c r="H1506" i="4" s="1"/>
  <c r="G1507" i="4"/>
  <c r="H1507" i="4" s="1"/>
  <c r="G1508" i="4"/>
  <c r="H1508" i="4" s="1"/>
  <c r="G1509" i="4"/>
  <c r="H1509" i="4" s="1"/>
  <c r="G1510" i="4"/>
  <c r="H1510" i="4" s="1"/>
  <c r="G1511" i="4"/>
  <c r="H1511" i="4" s="1"/>
  <c r="G1512" i="4"/>
  <c r="H1512" i="4" s="1"/>
  <c r="G1513" i="4"/>
  <c r="G1514" i="4"/>
  <c r="H1514" i="4" s="1"/>
  <c r="G1515" i="4"/>
  <c r="H1515" i="4" s="1"/>
  <c r="G1516" i="4"/>
  <c r="H1516" i="4" s="1"/>
  <c r="G1517" i="4"/>
  <c r="G1518" i="4"/>
  <c r="H1518" i="4" s="1"/>
  <c r="G1519" i="4"/>
  <c r="H1519" i="4" s="1"/>
  <c r="G1520" i="4"/>
  <c r="H1520" i="4" s="1"/>
  <c r="G1521" i="4"/>
  <c r="G1522" i="4"/>
  <c r="H1522" i="4" s="1"/>
  <c r="G1523" i="4"/>
  <c r="H1523" i="4" s="1"/>
  <c r="G1524" i="4"/>
  <c r="H1524" i="4" s="1"/>
  <c r="G1525" i="4"/>
  <c r="G1526" i="4"/>
  <c r="H1526" i="4" s="1"/>
  <c r="G1527" i="4"/>
  <c r="H1527" i="4" s="1"/>
  <c r="G1528" i="4"/>
  <c r="H1528" i="4" s="1"/>
  <c r="G1529" i="4"/>
  <c r="H1529" i="4" s="1"/>
  <c r="G1530" i="4"/>
  <c r="G1531" i="4"/>
  <c r="H1531" i="4" s="1"/>
  <c r="G1532" i="4"/>
  <c r="H1532" i="4" s="1"/>
  <c r="G1533" i="4"/>
  <c r="G1534" i="4"/>
  <c r="H1534" i="4" s="1"/>
  <c r="G1535" i="4"/>
  <c r="H1535" i="4" s="1"/>
  <c r="G1536" i="4"/>
  <c r="H1536" i="4" s="1"/>
  <c r="G1537" i="4"/>
  <c r="G1538" i="4"/>
  <c r="H1538" i="4" s="1"/>
  <c r="G1539" i="4"/>
  <c r="H1539" i="4" s="1"/>
  <c r="G1540" i="4"/>
  <c r="H1540" i="4" s="1"/>
  <c r="G1541" i="4"/>
  <c r="G1542" i="4"/>
  <c r="H1542" i="4" s="1"/>
  <c r="G1543" i="4"/>
  <c r="H1543" i="4" s="1"/>
  <c r="G1544" i="4"/>
  <c r="H1544" i="4" s="1"/>
  <c r="G1545" i="4"/>
  <c r="G1546" i="4"/>
  <c r="G1547" i="4"/>
  <c r="H1547" i="4" s="1"/>
  <c r="G1548" i="4"/>
  <c r="H1548" i="4" s="1"/>
  <c r="G1549" i="4"/>
  <c r="G1550" i="4"/>
  <c r="H1550" i="4" s="1"/>
  <c r="G1551" i="4"/>
  <c r="H1551" i="4" s="1"/>
  <c r="G1552" i="4"/>
  <c r="H1552" i="4" s="1"/>
  <c r="G1553" i="4"/>
  <c r="G1554" i="4"/>
  <c r="H1554" i="4" s="1"/>
  <c r="G1555" i="4"/>
  <c r="G1556" i="4"/>
  <c r="H1556" i="4" s="1"/>
  <c r="G1557" i="4"/>
  <c r="G1558" i="4"/>
  <c r="H1558" i="4" s="1"/>
  <c r="G1559" i="4"/>
  <c r="H1559" i="4" s="1"/>
  <c r="G1560" i="4"/>
  <c r="H1560" i="4" s="1"/>
  <c r="G1561" i="4"/>
  <c r="G1562" i="4"/>
  <c r="H1562" i="4" s="1"/>
  <c r="G1563" i="4"/>
  <c r="H1563" i="4" s="1"/>
  <c r="G1564" i="4"/>
  <c r="H1564" i="4" s="1"/>
  <c r="G1565" i="4"/>
  <c r="G1566" i="4"/>
  <c r="H1566" i="4" s="1"/>
  <c r="G1567" i="4"/>
  <c r="H1567" i="4" s="1"/>
  <c r="G1568" i="4"/>
  <c r="H1568" i="4" s="1"/>
  <c r="G1569" i="4"/>
  <c r="G1570" i="4"/>
  <c r="G1571" i="4"/>
  <c r="H1571" i="4" s="1"/>
  <c r="G1572" i="4"/>
  <c r="H1572" i="4" s="1"/>
  <c r="G1573" i="4"/>
  <c r="G1574" i="4"/>
  <c r="H1574" i="4" s="1"/>
  <c r="G1575" i="4"/>
  <c r="H1575" i="4" s="1"/>
  <c r="G1576" i="4"/>
  <c r="H1576" i="4" s="1"/>
  <c r="G1577" i="4"/>
  <c r="G1578" i="4"/>
  <c r="H1578" i="4" s="1"/>
  <c r="G1579" i="4"/>
  <c r="H1579" i="4" s="1"/>
  <c r="G1580" i="4"/>
  <c r="G1581" i="4"/>
  <c r="G1582" i="4"/>
  <c r="H1582" i="4" s="1"/>
  <c r="G1583" i="4"/>
  <c r="H1583" i="4" s="1"/>
  <c r="G1584" i="4"/>
  <c r="H1584" i="4" s="1"/>
  <c r="G1585" i="4"/>
  <c r="H1585" i="4" s="1"/>
  <c r="G1586" i="4"/>
  <c r="H1586" i="4" s="1"/>
  <c r="G1587" i="4"/>
  <c r="H1587" i="4" s="1"/>
  <c r="G1588" i="4"/>
  <c r="H1588" i="4" s="1"/>
  <c r="G1589" i="4"/>
  <c r="G1590" i="4"/>
  <c r="H1590" i="4" s="1"/>
  <c r="G1591" i="4"/>
  <c r="H1591" i="4" s="1"/>
  <c r="G1592" i="4"/>
  <c r="H1592" i="4" s="1"/>
  <c r="G1593" i="4"/>
  <c r="H1593" i="4" s="1"/>
  <c r="G1594" i="4"/>
  <c r="G1595" i="4"/>
  <c r="H1595" i="4" s="1"/>
  <c r="G1596" i="4"/>
  <c r="G1597" i="4"/>
  <c r="G1598" i="4"/>
  <c r="H1598" i="4" s="1"/>
  <c r="G1599" i="4"/>
  <c r="H1599" i="4" s="1"/>
  <c r="G1600" i="4"/>
  <c r="H1600" i="4" s="1"/>
  <c r="G1601" i="4"/>
  <c r="G1602" i="4"/>
  <c r="H1602" i="4" s="1"/>
  <c r="G1603" i="4"/>
  <c r="H1603" i="4" s="1"/>
  <c r="G1604" i="4"/>
  <c r="H1604" i="4" s="1"/>
  <c r="G1605" i="4"/>
  <c r="G1606" i="4"/>
  <c r="H1606" i="4" s="1"/>
  <c r="G1607" i="4"/>
  <c r="H1607" i="4" s="1"/>
  <c r="G1608" i="4"/>
  <c r="H1608" i="4" s="1"/>
  <c r="G1609" i="4"/>
  <c r="G1610" i="4"/>
  <c r="H1610" i="4" s="1"/>
  <c r="G1611" i="4"/>
  <c r="H1611" i="4" s="1"/>
  <c r="G1612" i="4"/>
  <c r="H1612" i="4" s="1"/>
  <c r="G1613" i="4"/>
  <c r="G1614" i="4"/>
  <c r="H1614" i="4" s="1"/>
  <c r="G1615" i="4"/>
  <c r="H1615" i="4" s="1"/>
  <c r="G1616" i="4"/>
  <c r="H1616" i="4" s="1"/>
  <c r="G1617" i="4"/>
  <c r="G1618" i="4"/>
  <c r="G1619" i="4"/>
  <c r="H1619" i="4" s="1"/>
  <c r="G1620" i="4"/>
  <c r="H1620" i="4" s="1"/>
  <c r="G1621" i="4"/>
  <c r="G1622" i="4"/>
  <c r="H1622" i="4" s="1"/>
  <c r="G1623" i="4"/>
  <c r="H1623" i="4" s="1"/>
  <c r="G1624" i="4"/>
  <c r="H1624" i="4" s="1"/>
  <c r="G1625" i="4"/>
  <c r="G1626" i="4"/>
  <c r="H1626" i="4" s="1"/>
  <c r="G1627" i="4"/>
  <c r="H1627" i="4" s="1"/>
  <c r="G1628" i="4"/>
  <c r="H1628" i="4" s="1"/>
  <c r="G1629" i="4"/>
  <c r="G1630" i="4"/>
  <c r="H1630" i="4" s="1"/>
  <c r="G1631" i="4"/>
  <c r="H1631" i="4" s="1"/>
  <c r="G1632" i="4"/>
  <c r="H1632" i="4" s="1"/>
  <c r="G1633" i="4"/>
  <c r="G1634" i="4"/>
  <c r="H1634" i="4" s="1"/>
  <c r="G1635" i="4"/>
  <c r="H1635" i="4" s="1"/>
  <c r="G1636" i="4"/>
  <c r="H1636" i="4" s="1"/>
  <c r="G1637" i="4"/>
  <c r="G1638" i="4"/>
  <c r="H1638" i="4" s="1"/>
  <c r="G1639" i="4"/>
  <c r="H1639" i="4" s="1"/>
  <c r="G1640" i="4"/>
  <c r="H1640" i="4" s="1"/>
  <c r="G1641" i="4"/>
  <c r="G1642" i="4"/>
  <c r="G1643" i="4"/>
  <c r="H1643" i="4" s="1"/>
  <c r="G1644" i="4"/>
  <c r="G1645" i="4"/>
  <c r="G1646" i="4"/>
  <c r="H1646" i="4" s="1"/>
  <c r="G1647" i="4"/>
  <c r="H1647" i="4" s="1"/>
  <c r="G1648" i="4"/>
  <c r="H1648" i="4" s="1"/>
  <c r="G1649" i="4"/>
  <c r="G1650" i="4"/>
  <c r="H1650" i="4" s="1"/>
  <c r="G1651" i="4"/>
  <c r="H1651" i="4" s="1"/>
  <c r="G1652" i="4"/>
  <c r="H1652" i="4" s="1"/>
  <c r="G1653" i="4"/>
  <c r="G1654" i="4"/>
  <c r="H1654" i="4" s="1"/>
  <c r="G1655" i="4"/>
  <c r="H1655" i="4" s="1"/>
  <c r="G1656" i="4"/>
  <c r="H1656" i="4" s="1"/>
  <c r="G1657" i="4"/>
  <c r="H1657" i="4" s="1"/>
  <c r="G1658" i="4"/>
  <c r="G1659" i="4"/>
  <c r="H1659" i="4" s="1"/>
  <c r="G1660" i="4"/>
  <c r="H1660" i="4" s="1"/>
  <c r="G1661" i="4"/>
  <c r="G1662" i="4"/>
  <c r="H1662" i="4" s="1"/>
  <c r="G1663" i="4"/>
  <c r="H1663" i="4" s="1"/>
  <c r="G1664" i="4"/>
  <c r="H1664" i="4" s="1"/>
  <c r="G1665" i="4"/>
  <c r="G1666" i="4"/>
  <c r="H1666" i="4" s="1"/>
  <c r="G1667" i="4"/>
  <c r="H1667" i="4" s="1"/>
  <c r="G1668" i="4"/>
  <c r="G1669" i="4"/>
  <c r="G1670" i="4"/>
  <c r="H1670" i="4" s="1"/>
  <c r="G1671" i="4"/>
  <c r="H1671" i="4" s="1"/>
  <c r="G1672" i="4"/>
  <c r="H1672" i="4" s="1"/>
  <c r="G1673" i="4"/>
  <c r="G1674" i="4"/>
  <c r="H1674" i="4" s="1"/>
  <c r="G1675" i="4"/>
  <c r="H1675" i="4" s="1"/>
  <c r="G1676" i="4"/>
  <c r="H1676" i="4" s="1"/>
  <c r="G1677" i="4"/>
  <c r="G1678" i="4"/>
  <c r="H1678" i="4" s="1"/>
  <c r="G1679" i="4"/>
  <c r="H1679" i="4" s="1"/>
  <c r="G1680" i="4"/>
  <c r="H1680" i="4" s="1"/>
  <c r="G1681" i="4"/>
  <c r="G1682" i="4"/>
  <c r="G1683" i="4"/>
  <c r="H1683" i="4" s="1"/>
  <c r="G1684" i="4"/>
  <c r="H1684" i="4" s="1"/>
  <c r="G1685" i="4"/>
  <c r="G1686" i="4"/>
  <c r="H1686" i="4" s="1"/>
  <c r="G1687" i="4"/>
  <c r="H1687" i="4" s="1"/>
  <c r="G1688" i="4"/>
  <c r="H1688" i="4" s="1"/>
  <c r="G1689" i="4"/>
  <c r="G1690" i="4"/>
  <c r="G1691" i="4"/>
  <c r="G1692" i="4"/>
  <c r="H1692" i="4" s="1"/>
  <c r="G1693" i="4"/>
  <c r="G1694" i="4"/>
  <c r="H1694" i="4" s="1"/>
  <c r="G1695" i="4"/>
  <c r="H1695" i="4" s="1"/>
  <c r="G1696" i="4"/>
  <c r="H1696" i="4" s="1"/>
  <c r="G1697" i="4"/>
  <c r="H1697" i="4" s="1"/>
  <c r="G1698" i="4"/>
  <c r="H1698" i="4" s="1"/>
  <c r="G1699" i="4"/>
  <c r="H1699" i="4" s="1"/>
  <c r="G1700" i="4"/>
  <c r="H1700" i="4" s="1"/>
  <c r="G1701" i="4"/>
  <c r="G1702" i="4"/>
  <c r="H1702" i="4" s="1"/>
  <c r="G1703" i="4"/>
  <c r="G1704" i="4"/>
  <c r="H1704" i="4" s="1"/>
  <c r="G1705" i="4"/>
  <c r="G1706" i="4"/>
  <c r="G1707" i="4"/>
  <c r="H1707" i="4" s="1"/>
  <c r="G1708" i="4"/>
  <c r="H1708" i="4" s="1"/>
  <c r="G1709" i="4"/>
  <c r="G1710" i="4"/>
  <c r="H1710" i="4" s="1"/>
  <c r="G1711" i="4"/>
  <c r="H1711" i="4" s="1"/>
  <c r="G1712" i="4"/>
  <c r="H1712" i="4" s="1"/>
  <c r="G1713" i="4"/>
  <c r="G1714" i="4"/>
  <c r="G1715" i="4"/>
  <c r="H1715" i="4" s="1"/>
  <c r="G1716" i="4"/>
  <c r="H1716" i="4" s="1"/>
  <c r="G1717" i="4"/>
  <c r="G1718" i="4"/>
  <c r="H1718" i="4" s="1"/>
  <c r="G1719" i="4"/>
  <c r="H1719" i="4" s="1"/>
  <c r="G1720" i="4"/>
  <c r="H1720" i="4" s="1"/>
  <c r="G1721" i="4"/>
  <c r="H1721" i="4" s="1"/>
  <c r="G1722" i="4"/>
  <c r="H1722" i="4" s="1"/>
  <c r="G1723" i="4"/>
  <c r="H1723" i="4" s="1"/>
  <c r="G1724" i="4"/>
  <c r="H1724" i="4" s="1"/>
  <c r="G1725" i="4"/>
  <c r="G1726" i="4"/>
  <c r="H1726" i="4" s="1"/>
  <c r="G1727" i="4"/>
  <c r="H1727" i="4" s="1"/>
  <c r="G1728" i="4"/>
  <c r="H1728" i="4" s="1"/>
  <c r="G1729" i="4"/>
  <c r="G1730" i="4"/>
  <c r="H1730" i="4" s="1"/>
  <c r="G1731" i="4"/>
  <c r="H1731" i="4" s="1"/>
  <c r="G1732" i="4"/>
  <c r="H1732" i="4" s="1"/>
  <c r="G1733" i="4"/>
  <c r="G1734" i="4"/>
  <c r="H1734" i="4" s="1"/>
  <c r="G1735" i="4"/>
  <c r="H1735" i="4" s="1"/>
  <c r="G1736" i="4"/>
  <c r="H1736" i="4" s="1"/>
  <c r="G1737" i="4"/>
  <c r="G1738" i="4"/>
  <c r="H1738" i="4" s="1"/>
  <c r="G1739" i="4"/>
  <c r="H1739" i="4" s="1"/>
  <c r="G1740" i="4"/>
  <c r="H1740" i="4" s="1"/>
  <c r="G1741" i="4"/>
  <c r="G1742" i="4"/>
  <c r="H1742" i="4" s="1"/>
  <c r="G1743" i="4"/>
  <c r="H1743" i="4" s="1"/>
  <c r="G1744" i="4"/>
  <c r="H1744" i="4" s="1"/>
  <c r="G1745" i="4"/>
  <c r="G1746" i="4"/>
  <c r="H1746" i="4" s="1"/>
  <c r="G1747" i="4"/>
  <c r="H1747" i="4" s="1"/>
  <c r="G1748" i="4"/>
  <c r="H1748" i="4" s="1"/>
  <c r="G1749" i="4"/>
  <c r="G1750" i="4"/>
  <c r="H1750" i="4" s="1"/>
  <c r="G1751" i="4"/>
  <c r="H1751" i="4" s="1"/>
  <c r="G1752" i="4"/>
  <c r="H1752" i="4" s="1"/>
  <c r="G1753" i="4"/>
  <c r="G1754" i="4"/>
  <c r="G1755" i="4"/>
  <c r="H1755" i="4" s="1"/>
  <c r="G1756" i="4"/>
  <c r="H1756" i="4" s="1"/>
  <c r="G1757" i="4"/>
  <c r="G1758" i="4"/>
  <c r="H1758" i="4" s="1"/>
  <c r="G1759" i="4"/>
  <c r="H1759" i="4" s="1"/>
  <c r="G1760" i="4"/>
  <c r="H1760" i="4" s="1"/>
  <c r="G1761" i="4"/>
  <c r="G1762" i="4"/>
  <c r="H1762" i="4" s="1"/>
  <c r="G1763" i="4"/>
  <c r="G1764" i="4"/>
  <c r="G1765" i="4"/>
  <c r="G1766" i="4"/>
  <c r="H1766" i="4" s="1"/>
  <c r="G1767" i="4"/>
  <c r="H1767" i="4" s="1"/>
  <c r="G1768" i="4"/>
  <c r="H1768" i="4" s="1"/>
  <c r="G1769" i="4"/>
  <c r="H1769" i="4" s="1"/>
  <c r="G1770" i="4"/>
  <c r="H1770" i="4" s="1"/>
  <c r="G1771" i="4"/>
  <c r="H1771" i="4" s="1"/>
  <c r="G1772" i="4"/>
  <c r="H1772" i="4" s="1"/>
  <c r="G1773" i="4"/>
  <c r="G1774" i="4"/>
  <c r="H1774" i="4" s="1"/>
  <c r="G1775" i="4"/>
  <c r="H1775" i="4" s="1"/>
  <c r="G1776" i="4"/>
  <c r="H1776" i="4" s="1"/>
  <c r="G1777" i="4"/>
  <c r="G1778" i="4"/>
  <c r="G1779" i="4"/>
  <c r="H1779" i="4" s="1"/>
  <c r="G1780" i="4"/>
  <c r="H1780" i="4" s="1"/>
  <c r="G1781" i="4"/>
  <c r="G1782" i="4"/>
  <c r="H1782" i="4" s="1"/>
  <c r="G1783" i="4"/>
  <c r="H1783" i="4" s="1"/>
  <c r="G1784" i="4"/>
  <c r="H1784" i="4" s="1"/>
  <c r="G1785" i="4"/>
  <c r="H1785" i="4" s="1"/>
  <c r="G1786" i="4"/>
  <c r="H1786" i="4" s="1"/>
  <c r="G1787" i="4"/>
  <c r="H1787" i="4" s="1"/>
  <c r="G1788" i="4"/>
  <c r="G1789" i="4"/>
  <c r="G1790" i="4"/>
  <c r="H1790" i="4" s="1"/>
  <c r="G1791" i="4"/>
  <c r="H1791" i="4" s="1"/>
  <c r="G1792" i="4"/>
  <c r="H1792" i="4" s="1"/>
  <c r="G1793" i="4"/>
  <c r="G1794" i="4"/>
  <c r="H1794" i="4" s="1"/>
  <c r="G1795" i="4"/>
  <c r="H1795" i="4" s="1"/>
  <c r="G1796" i="4"/>
  <c r="H1796" i="4" s="1"/>
  <c r="G1797" i="4"/>
  <c r="G1798" i="4"/>
  <c r="H1798" i="4" s="1"/>
  <c r="G1799" i="4"/>
  <c r="H1799" i="4" s="1"/>
  <c r="G1800" i="4"/>
  <c r="H1800" i="4" s="1"/>
  <c r="G1801" i="4"/>
  <c r="G1802" i="4"/>
  <c r="G1803" i="4"/>
  <c r="H1803" i="4" s="1"/>
  <c r="G1804" i="4"/>
  <c r="H1804" i="4" s="1"/>
  <c r="G1805" i="4"/>
  <c r="G1806" i="4"/>
  <c r="H1806" i="4" s="1"/>
  <c r="G1807" i="4"/>
  <c r="H1807" i="4" s="1"/>
  <c r="G1808" i="4"/>
  <c r="H1808" i="4" s="1"/>
  <c r="G1809" i="4"/>
  <c r="G1810" i="4"/>
  <c r="H1810" i="4" s="1"/>
  <c r="G1811" i="4"/>
  <c r="H1811" i="4" s="1"/>
  <c r="G1812" i="4"/>
  <c r="H1812" i="4" s="1"/>
  <c r="G1813" i="4"/>
  <c r="G1814" i="4"/>
  <c r="H1814" i="4" s="1"/>
  <c r="G1815" i="4"/>
  <c r="H1815" i="4" s="1"/>
  <c r="G1816" i="4"/>
  <c r="H1816" i="4" s="1"/>
  <c r="G1817" i="4"/>
  <c r="G1818" i="4"/>
  <c r="H1818" i="4" s="1"/>
  <c r="G1819" i="4"/>
  <c r="H1819" i="4" s="1"/>
  <c r="G1820" i="4"/>
  <c r="H1820" i="4" s="1"/>
  <c r="G1821" i="4"/>
  <c r="G1822" i="4"/>
  <c r="H1822" i="4" s="1"/>
  <c r="G1823" i="4"/>
  <c r="H1823" i="4" s="1"/>
  <c r="G1824" i="4"/>
  <c r="H1824" i="4" s="1"/>
  <c r="G1825" i="4"/>
  <c r="G1826" i="4"/>
  <c r="G1827" i="4"/>
  <c r="H1827" i="4" s="1"/>
  <c r="G1828" i="4"/>
  <c r="G1829" i="4"/>
  <c r="G1830" i="4"/>
  <c r="H1830" i="4" s="1"/>
  <c r="G1831" i="4"/>
  <c r="H1831" i="4" s="1"/>
  <c r="G1832" i="4"/>
  <c r="H1832" i="4" s="1"/>
  <c r="G1833" i="4"/>
  <c r="G1834" i="4"/>
  <c r="H1834" i="4" s="1"/>
  <c r="G1835" i="4"/>
  <c r="H1835" i="4" s="1"/>
  <c r="G1836" i="4"/>
  <c r="H1836" i="4" s="1"/>
  <c r="G1837" i="4"/>
  <c r="G1838" i="4"/>
  <c r="H1838" i="4" s="1"/>
  <c r="G1839" i="4"/>
  <c r="H1839" i="4" s="1"/>
  <c r="G1840" i="4"/>
  <c r="H1840" i="4" s="1"/>
  <c r="G1841" i="4"/>
  <c r="H1841" i="4" s="1"/>
  <c r="G1842" i="4"/>
  <c r="G1843" i="4"/>
  <c r="H1843" i="4" s="1"/>
  <c r="G1844" i="4"/>
  <c r="H1844" i="4" s="1"/>
  <c r="G1845" i="4"/>
  <c r="G1846" i="4"/>
  <c r="H1846" i="4" s="1"/>
  <c r="G1847" i="4"/>
  <c r="G1848" i="4"/>
  <c r="H1848" i="4" s="1"/>
  <c r="G1849" i="4"/>
  <c r="H1849" i="4" s="1"/>
  <c r="G1850" i="4"/>
  <c r="G1851" i="4"/>
  <c r="H1851" i="4" s="1"/>
  <c r="G1852" i="4"/>
  <c r="H1852" i="4" s="1"/>
  <c r="G1853" i="4"/>
  <c r="G1854" i="4"/>
  <c r="H1854" i="4" s="1"/>
  <c r="G1855" i="4"/>
  <c r="H1855" i="4" s="1"/>
  <c r="G1856" i="4"/>
  <c r="H1856" i="4" s="1"/>
  <c r="G1857" i="4"/>
  <c r="G1858" i="4"/>
  <c r="H1858" i="4" s="1"/>
  <c r="G1859" i="4"/>
  <c r="H1859" i="4" s="1"/>
  <c r="G1860" i="4"/>
  <c r="H1860" i="4" s="1"/>
  <c r="G1861" i="4"/>
  <c r="G1862" i="4"/>
  <c r="H1862" i="4" s="1"/>
  <c r="G1863" i="4"/>
  <c r="H1863" i="4" s="1"/>
  <c r="G1864" i="4"/>
  <c r="H1864" i="4" s="1"/>
  <c r="G1865" i="4"/>
  <c r="G1866" i="4"/>
  <c r="H1866" i="4" s="1"/>
  <c r="G1867" i="4"/>
  <c r="H1867" i="4" s="1"/>
  <c r="G1868" i="4"/>
  <c r="H1868" i="4" s="1"/>
  <c r="G1869" i="4"/>
  <c r="G1870" i="4"/>
  <c r="H1870" i="4" s="1"/>
  <c r="G1871" i="4"/>
  <c r="H1871" i="4" s="1"/>
  <c r="G1872" i="4"/>
  <c r="H1872" i="4" s="1"/>
  <c r="G1873" i="4"/>
  <c r="G1874" i="4"/>
  <c r="G1875" i="4"/>
  <c r="H1875" i="4" s="1"/>
  <c r="G1876" i="4"/>
  <c r="H1876" i="4" s="1"/>
  <c r="G1877" i="4"/>
  <c r="G1878" i="4"/>
  <c r="H1878" i="4" s="1"/>
  <c r="G1879" i="4"/>
  <c r="H1879" i="4" s="1"/>
  <c r="G1880" i="4"/>
  <c r="H1880" i="4" s="1"/>
  <c r="G1881" i="4"/>
  <c r="G1882" i="4"/>
  <c r="H1882" i="4" s="1"/>
  <c r="G1883" i="4"/>
  <c r="G1884" i="4"/>
  <c r="G1885" i="4"/>
  <c r="G1886" i="4"/>
  <c r="H1886" i="4" s="1"/>
  <c r="G1887" i="4"/>
  <c r="H1887" i="4" s="1"/>
  <c r="G1888" i="4"/>
  <c r="H1888" i="4" s="1"/>
  <c r="G1889" i="4"/>
  <c r="G1890" i="4"/>
  <c r="H1890" i="4" s="1"/>
  <c r="G1891" i="4"/>
  <c r="H1891" i="4" s="1"/>
  <c r="G1892" i="4"/>
  <c r="H1892" i="4" s="1"/>
  <c r="G1893" i="4"/>
  <c r="G1894" i="4"/>
  <c r="H1894" i="4" s="1"/>
  <c r="G1895" i="4"/>
  <c r="H1895" i="4" s="1"/>
  <c r="G1896" i="4"/>
  <c r="H1896" i="4" s="1"/>
  <c r="G1897" i="4"/>
  <c r="G1898" i="4"/>
  <c r="G1899" i="4"/>
  <c r="H1899" i="4" s="1"/>
  <c r="G1900" i="4"/>
  <c r="H1900" i="4" s="1"/>
  <c r="G1901" i="4"/>
  <c r="G1902" i="4"/>
  <c r="H1902" i="4" s="1"/>
  <c r="G1903" i="4"/>
  <c r="H1903" i="4" s="1"/>
  <c r="G1904" i="4"/>
  <c r="H1904" i="4" s="1"/>
  <c r="G1905" i="4"/>
  <c r="G1906" i="4"/>
  <c r="G1907" i="4"/>
  <c r="H1907" i="4" s="1"/>
  <c r="G1908" i="4"/>
  <c r="H1908" i="4" s="1"/>
  <c r="G1909" i="4"/>
  <c r="G1910" i="4"/>
  <c r="H1910" i="4" s="1"/>
  <c r="G1911" i="4"/>
  <c r="H1911" i="4" s="1"/>
  <c r="G1912" i="4"/>
  <c r="H1912" i="4" s="1"/>
  <c r="G1913" i="4"/>
  <c r="H1913" i="4" s="1"/>
  <c r="G1914" i="4"/>
  <c r="H1914" i="4" s="1"/>
  <c r="G1915" i="4"/>
  <c r="H1915" i="4" s="1"/>
  <c r="G1916" i="4"/>
  <c r="G1917" i="4"/>
  <c r="G1918" i="4"/>
  <c r="H1918" i="4" s="1"/>
  <c r="G1919" i="4"/>
  <c r="H1919" i="4" s="1"/>
  <c r="G1920" i="4"/>
  <c r="H1920" i="4" s="1"/>
  <c r="G1921" i="4"/>
  <c r="G1922" i="4"/>
  <c r="H1922" i="4" s="1"/>
  <c r="G1923" i="4"/>
  <c r="H1923" i="4" s="1"/>
  <c r="G1924" i="4"/>
  <c r="H1924" i="4" s="1"/>
  <c r="G1925" i="4"/>
  <c r="G1926" i="4"/>
  <c r="H1926" i="4" s="1"/>
  <c r="G1927" i="4"/>
  <c r="H1927" i="4" s="1"/>
  <c r="G1928" i="4"/>
  <c r="H1928" i="4" s="1"/>
  <c r="G1929" i="4"/>
  <c r="G1930" i="4"/>
  <c r="G1931" i="4"/>
  <c r="H1931" i="4" s="1"/>
  <c r="G1932" i="4"/>
  <c r="H1932" i="4" s="1"/>
  <c r="G1933" i="4"/>
  <c r="G1934" i="4"/>
  <c r="H1934" i="4" s="1"/>
  <c r="G1935" i="4"/>
  <c r="H1935" i="4" s="1"/>
  <c r="G1936" i="4"/>
  <c r="H1936" i="4" s="1"/>
  <c r="G1937" i="4"/>
  <c r="G1938" i="4"/>
  <c r="G1939" i="4"/>
  <c r="G1940" i="4"/>
  <c r="H1940" i="4" s="1"/>
  <c r="G1941" i="4"/>
  <c r="G1942" i="4"/>
  <c r="H1942" i="4" s="1"/>
  <c r="G1943" i="4"/>
  <c r="H1943" i="4" s="1"/>
  <c r="G1944" i="4"/>
  <c r="H1944" i="4" s="1"/>
  <c r="G1945" i="4"/>
  <c r="G1946" i="4"/>
  <c r="H1946" i="4" s="1"/>
  <c r="G1947" i="4"/>
  <c r="H1947" i="4" s="1"/>
  <c r="G1948" i="4"/>
  <c r="H1948" i="4" s="1"/>
  <c r="G1949" i="4"/>
  <c r="G1950" i="4"/>
  <c r="H1950" i="4" s="1"/>
  <c r="G1951" i="4"/>
  <c r="H1951" i="4" s="1"/>
  <c r="G1952" i="4"/>
  <c r="H1952" i="4" s="1"/>
  <c r="G1953" i="4"/>
  <c r="H1953" i="4" s="1"/>
  <c r="G1954" i="4"/>
  <c r="G1955" i="4"/>
  <c r="H1955" i="4" s="1"/>
  <c r="G1956" i="4"/>
  <c r="H1956" i="4" s="1"/>
  <c r="G1957" i="4"/>
  <c r="G1958" i="4"/>
  <c r="H1958" i="4" s="1"/>
  <c r="G1959" i="4"/>
  <c r="H1959" i="4" s="1"/>
  <c r="G1960" i="4"/>
  <c r="H1960" i="4" s="1"/>
  <c r="G1961" i="4"/>
  <c r="G1962" i="4"/>
  <c r="G1963" i="4"/>
  <c r="H1963" i="4" s="1"/>
  <c r="G1964" i="4"/>
  <c r="H1964" i="4" s="1"/>
  <c r="G1965" i="4"/>
  <c r="G1966" i="4"/>
  <c r="H1966" i="4" s="1"/>
  <c r="G1967" i="4"/>
  <c r="H1967" i="4" s="1"/>
  <c r="G1968" i="4"/>
  <c r="H1968" i="4" s="1"/>
  <c r="G1969" i="4"/>
  <c r="G1970" i="4"/>
  <c r="H1970" i="4" s="1"/>
  <c r="G1971" i="4"/>
  <c r="H1971" i="4" s="1"/>
  <c r="G1972" i="4"/>
  <c r="G1973" i="4"/>
  <c r="G1974" i="4"/>
  <c r="H1974" i="4" s="1"/>
  <c r="G1975" i="4"/>
  <c r="H1975" i="4" s="1"/>
  <c r="G1976" i="4"/>
  <c r="H1976" i="4" s="1"/>
  <c r="G1977" i="4"/>
  <c r="H1977" i="4" s="1"/>
  <c r="G1978" i="4"/>
  <c r="H1978" i="4" s="1"/>
  <c r="G1979" i="4"/>
  <c r="H1979" i="4" s="1"/>
  <c r="G1980" i="4"/>
  <c r="H1980" i="4" s="1"/>
  <c r="G1981" i="4"/>
  <c r="G1982" i="4"/>
  <c r="H1982" i="4" s="1"/>
  <c r="G1983" i="4"/>
  <c r="H1983" i="4" s="1"/>
  <c r="G1984" i="4"/>
  <c r="H1984" i="4" s="1"/>
  <c r="G1985" i="4"/>
  <c r="G1986" i="4"/>
  <c r="H1986" i="4" s="1"/>
  <c r="G1987" i="4"/>
  <c r="H1987" i="4" s="1"/>
  <c r="G1988" i="4"/>
  <c r="H1988" i="4" s="1"/>
  <c r="G1989" i="4"/>
  <c r="G1990" i="4"/>
  <c r="H1990" i="4" s="1"/>
  <c r="G1991" i="4"/>
  <c r="H1991" i="4" s="1"/>
  <c r="G1992" i="4"/>
  <c r="H1992" i="4" s="1"/>
  <c r="G1993" i="4"/>
  <c r="G1994" i="4"/>
  <c r="H1994" i="4" s="1"/>
  <c r="G1995" i="4"/>
  <c r="H1995" i="4" s="1"/>
  <c r="G1996" i="4"/>
  <c r="H1996" i="4" s="1"/>
  <c r="G1997" i="4"/>
  <c r="G1998" i="4"/>
  <c r="H1998" i="4" s="1"/>
  <c r="G1999" i="4"/>
  <c r="H1999" i="4" s="1"/>
  <c r="G2000" i="4"/>
  <c r="H2000" i="4" s="1"/>
  <c r="G2001" i="4"/>
  <c r="G2002" i="4"/>
  <c r="H2002" i="4" s="1"/>
  <c r="G2003" i="4"/>
  <c r="H2003" i="4" s="1"/>
  <c r="G2004" i="4"/>
  <c r="H2004" i="4" s="1"/>
  <c r="G2005" i="4"/>
  <c r="G2006" i="4"/>
  <c r="H2006" i="4" s="1"/>
  <c r="G2007" i="4"/>
  <c r="H2007" i="4" s="1"/>
  <c r="G2008" i="4"/>
  <c r="H2008" i="4" s="1"/>
  <c r="G2009" i="4"/>
  <c r="G2010" i="4"/>
  <c r="G2011" i="4"/>
  <c r="H2011" i="4" s="1"/>
  <c r="G2012" i="4"/>
  <c r="H2012" i="4" s="1"/>
  <c r="G2013" i="4"/>
  <c r="G2014" i="4"/>
  <c r="H2014" i="4" s="1"/>
  <c r="G2015" i="4"/>
  <c r="H2015" i="4" s="1"/>
  <c r="G2016" i="4"/>
  <c r="H2016" i="4" s="1"/>
  <c r="G2017" i="4"/>
  <c r="G2018" i="4"/>
  <c r="G2019" i="4"/>
  <c r="G2020" i="4"/>
  <c r="H2020" i="4" s="1"/>
  <c r="G2021" i="4"/>
  <c r="G2022" i="4"/>
  <c r="H2022" i="4" s="1"/>
  <c r="G2023" i="4"/>
  <c r="H2023" i="4" s="1"/>
  <c r="G2024" i="4"/>
  <c r="H2024" i="4" s="1"/>
  <c r="G2025" i="4"/>
  <c r="H2025" i="4" s="1"/>
  <c r="G2026" i="4"/>
  <c r="H2026" i="4" s="1"/>
  <c r="G2027" i="4"/>
  <c r="H2027" i="4" s="1"/>
  <c r="G2028" i="4"/>
  <c r="H2028" i="4" s="1"/>
  <c r="G2029" i="4"/>
  <c r="G2030" i="4"/>
  <c r="H2030" i="4" s="1"/>
  <c r="G2031" i="4"/>
  <c r="H2031" i="4" s="1"/>
  <c r="G2032" i="4"/>
  <c r="H2032" i="4" s="1"/>
  <c r="G2033" i="4"/>
  <c r="G2034" i="4"/>
  <c r="H2034" i="4" s="1"/>
  <c r="G2035" i="4"/>
  <c r="H2035" i="4" s="1"/>
  <c r="G2036" i="4"/>
  <c r="H2036" i="4" s="1"/>
  <c r="G2037" i="4"/>
  <c r="G2038" i="4"/>
  <c r="H2038" i="4" s="1"/>
  <c r="G2039" i="4"/>
  <c r="H2039" i="4" s="1"/>
  <c r="G2040" i="4"/>
  <c r="H2040" i="4" s="1"/>
  <c r="G2041" i="4"/>
  <c r="H2041" i="4" s="1"/>
  <c r="G2042" i="4"/>
  <c r="G2043" i="4"/>
  <c r="H2043" i="4" s="1"/>
  <c r="G2044" i="4"/>
  <c r="H2044" i="4" s="1"/>
  <c r="G2045" i="4"/>
  <c r="G2046" i="4"/>
  <c r="H2046" i="4" s="1"/>
  <c r="G2047" i="4"/>
  <c r="H2047" i="4" s="1"/>
  <c r="G2048" i="4"/>
  <c r="H2048" i="4" s="1"/>
  <c r="G2049" i="4"/>
  <c r="G2050" i="4"/>
  <c r="H2050" i="4" s="1"/>
  <c r="G2051" i="4"/>
  <c r="H2051" i="4" s="1"/>
  <c r="G2052" i="4"/>
  <c r="H2052" i="4" s="1"/>
  <c r="G2053" i="4"/>
  <c r="G2054" i="4"/>
  <c r="H2054" i="4" s="1"/>
  <c r="G2055" i="4"/>
  <c r="H2055" i="4" s="1"/>
  <c r="G2056" i="4"/>
  <c r="H2056" i="4" s="1"/>
  <c r="G2057" i="4"/>
  <c r="G2058" i="4"/>
  <c r="H2058" i="4" s="1"/>
  <c r="G2059" i="4"/>
  <c r="H2059" i="4" s="1"/>
  <c r="G2060" i="4"/>
  <c r="H2060" i="4" s="1"/>
  <c r="G2061" i="4"/>
  <c r="G2062" i="4"/>
  <c r="H2062" i="4" s="1"/>
  <c r="G2063" i="4"/>
  <c r="H2063" i="4" s="1"/>
  <c r="G2064" i="4"/>
  <c r="H2064" i="4" s="1"/>
  <c r="G2065" i="4"/>
  <c r="G2066" i="4"/>
  <c r="H2066" i="4" s="1"/>
  <c r="G2067" i="4"/>
  <c r="H2067" i="4" s="1"/>
  <c r="G2068" i="4"/>
  <c r="H2068" i="4" s="1"/>
  <c r="G2069" i="4"/>
  <c r="G2070" i="4"/>
  <c r="H2070" i="4" s="1"/>
  <c r="G2071" i="4"/>
  <c r="H2071" i="4" s="1"/>
  <c r="G2072" i="4"/>
  <c r="H2072" i="4" s="1"/>
  <c r="G2073" i="4"/>
  <c r="G2074" i="4"/>
  <c r="G2075" i="4"/>
  <c r="G2076" i="4"/>
  <c r="H2076" i="4" s="1"/>
  <c r="G2077" i="4"/>
  <c r="G2078" i="4"/>
  <c r="H2078" i="4" s="1"/>
  <c r="G2079" i="4"/>
  <c r="H2079" i="4" s="1"/>
  <c r="G2080" i="4"/>
  <c r="H2080" i="4" s="1"/>
  <c r="G2081" i="4"/>
  <c r="G2082" i="4"/>
  <c r="H2082" i="4" s="1"/>
  <c r="G2083" i="4"/>
  <c r="H2083" i="4" s="1"/>
  <c r="G2084" i="4"/>
  <c r="H2084" i="4" s="1"/>
  <c r="G2085" i="4"/>
  <c r="G2086" i="4"/>
  <c r="H2086" i="4" s="1"/>
  <c r="G2087" i="4"/>
  <c r="H2087" i="4" s="1"/>
  <c r="G2088" i="4"/>
  <c r="H2088" i="4" s="1"/>
  <c r="G2089" i="4"/>
  <c r="G2090" i="4"/>
  <c r="H2090" i="4" s="1"/>
  <c r="G2091" i="4"/>
  <c r="H2091" i="4" s="1"/>
  <c r="G2092" i="4"/>
  <c r="H2092" i="4" s="1"/>
  <c r="G2093" i="4"/>
  <c r="G2094" i="4"/>
  <c r="H2094" i="4" s="1"/>
  <c r="G2095" i="4"/>
  <c r="H2095" i="4" s="1"/>
  <c r="G2096" i="4"/>
  <c r="H2096" i="4" s="1"/>
  <c r="G2097" i="4"/>
  <c r="H2097" i="4" s="1"/>
  <c r="G2098" i="4"/>
  <c r="G2099" i="4"/>
  <c r="H2099" i="4" s="1"/>
  <c r="G2100" i="4"/>
  <c r="H2100" i="4" s="1"/>
  <c r="G2101" i="4"/>
  <c r="G2102" i="4"/>
  <c r="H2102" i="4" s="1"/>
  <c r="G2103" i="4"/>
  <c r="H2103" i="4" s="1"/>
  <c r="G2104" i="4"/>
  <c r="H2104" i="4" s="1"/>
  <c r="G2105" i="4"/>
  <c r="H2105" i="4" s="1"/>
  <c r="G2106" i="4"/>
  <c r="H2106" i="4" s="1"/>
  <c r="G2107" i="4"/>
  <c r="H2107" i="4" s="1"/>
  <c r="G2108" i="4"/>
  <c r="G2109" i="4"/>
  <c r="G2110" i="4"/>
  <c r="H2110" i="4" s="1"/>
  <c r="G2111" i="4"/>
  <c r="H2111" i="4" s="1"/>
  <c r="G2112" i="4"/>
  <c r="H2112" i="4" s="1"/>
  <c r="G2113" i="4"/>
  <c r="G2114" i="4"/>
  <c r="H2114" i="4" s="1"/>
  <c r="G2115" i="4"/>
  <c r="H2115" i="4" s="1"/>
  <c r="G2116" i="4"/>
  <c r="H2116" i="4" s="1"/>
  <c r="G2117" i="4"/>
  <c r="G2118" i="4"/>
  <c r="H2118" i="4" s="1"/>
  <c r="G2119" i="4"/>
  <c r="H2119" i="4" s="1"/>
  <c r="G2120" i="4"/>
  <c r="H2120" i="4" s="1"/>
  <c r="G2121" i="4"/>
  <c r="G2122" i="4"/>
  <c r="G2123" i="4"/>
  <c r="H2123" i="4" s="1"/>
  <c r="G2124" i="4"/>
  <c r="H2124" i="4" s="1"/>
  <c r="G2125" i="4"/>
  <c r="G2126" i="4"/>
  <c r="H2126" i="4" s="1"/>
  <c r="G2127" i="4"/>
  <c r="H2127" i="4" s="1"/>
  <c r="G2128" i="4"/>
  <c r="H2128" i="4" s="1"/>
  <c r="G2129" i="4"/>
  <c r="G2130" i="4"/>
  <c r="G2131" i="4"/>
  <c r="G2132" i="4"/>
  <c r="H2132" i="4" s="1"/>
  <c r="G2133" i="4"/>
  <c r="G2134" i="4"/>
  <c r="H2134" i="4" s="1"/>
  <c r="G2135" i="4"/>
  <c r="H2135" i="4" s="1"/>
  <c r="G2136" i="4"/>
  <c r="H2136" i="4" s="1"/>
  <c r="G2137" i="4"/>
  <c r="G2138" i="4"/>
  <c r="H2138" i="4" s="1"/>
  <c r="G2139" i="4"/>
  <c r="H2139" i="4" s="1"/>
  <c r="G2140" i="4"/>
  <c r="H2140" i="4" s="1"/>
  <c r="G2141" i="4"/>
  <c r="G2142" i="4"/>
  <c r="H2142" i="4" s="1"/>
  <c r="G2143" i="4"/>
  <c r="H2143" i="4" s="1"/>
  <c r="G2144" i="4"/>
  <c r="H2144" i="4" s="1"/>
  <c r="G2145" i="4"/>
  <c r="G2146" i="4"/>
  <c r="H2146" i="4" s="1"/>
  <c r="G2147" i="4"/>
  <c r="H2147" i="4" s="1"/>
  <c r="G2148" i="4"/>
  <c r="H2148" i="4" s="1"/>
  <c r="G2149" i="4"/>
  <c r="G2150" i="4"/>
  <c r="H2150" i="4" s="1"/>
  <c r="G2151" i="4"/>
  <c r="H2151" i="4" s="1"/>
  <c r="G2152" i="4"/>
  <c r="H2152" i="4" s="1"/>
  <c r="G2153" i="4"/>
  <c r="G2154" i="4"/>
  <c r="G2155" i="4"/>
  <c r="H2155" i="4" s="1"/>
  <c r="G2156" i="4"/>
  <c r="H2156" i="4" s="1"/>
  <c r="G2157" i="4"/>
  <c r="G2158" i="4"/>
  <c r="H2158" i="4" s="1"/>
  <c r="G2159" i="4"/>
  <c r="H2159" i="4" s="1"/>
  <c r="G2160" i="4"/>
  <c r="H2160" i="4" s="1"/>
  <c r="G2161" i="4"/>
  <c r="G2162" i="4"/>
  <c r="H2162" i="4" s="1"/>
  <c r="G2163" i="4"/>
  <c r="H2163" i="4" s="1"/>
  <c r="G2164" i="4"/>
  <c r="H2164" i="4" s="1"/>
  <c r="G2165" i="4"/>
  <c r="G2166" i="4"/>
  <c r="H2166" i="4" s="1"/>
  <c r="G2167" i="4"/>
  <c r="H2167" i="4" s="1"/>
  <c r="G2168" i="4"/>
  <c r="H2168" i="4" s="1"/>
  <c r="G2169" i="4"/>
  <c r="H2169" i="4" s="1"/>
  <c r="G2170" i="4"/>
  <c r="H2170" i="4" s="1"/>
  <c r="G2171" i="4"/>
  <c r="H2171" i="4" s="1"/>
  <c r="G2172" i="4"/>
  <c r="H2172" i="4" s="1"/>
  <c r="G2173" i="4"/>
  <c r="G2174" i="4"/>
  <c r="H2174" i="4" s="1"/>
  <c r="G2175" i="4"/>
  <c r="H2175" i="4" s="1"/>
  <c r="G2176" i="4"/>
  <c r="H2176" i="4" s="1"/>
  <c r="G2177" i="4"/>
  <c r="G2178" i="4"/>
  <c r="H2178" i="4" s="1"/>
  <c r="G2179" i="4"/>
  <c r="H2179" i="4" s="1"/>
  <c r="G2180" i="4"/>
  <c r="H2180" i="4" s="1"/>
  <c r="G2181" i="4"/>
  <c r="G2182" i="4"/>
  <c r="H2182" i="4" s="1"/>
  <c r="G2183" i="4"/>
  <c r="H2183" i="4" s="1"/>
  <c r="G2184" i="4"/>
  <c r="H2184" i="4" s="1"/>
  <c r="G2185" i="4"/>
  <c r="G2186" i="4"/>
  <c r="G2187" i="4"/>
  <c r="H2187" i="4" s="1"/>
  <c r="G2188" i="4"/>
  <c r="H2188" i="4" s="1"/>
  <c r="G2189" i="4"/>
  <c r="G2190" i="4"/>
  <c r="H2190" i="4" s="1"/>
  <c r="G2191" i="4"/>
  <c r="H2191" i="4" s="1"/>
  <c r="G2192" i="4"/>
  <c r="H2192" i="4" s="1"/>
  <c r="G2193" i="4"/>
  <c r="G2194" i="4"/>
  <c r="H2194" i="4" s="1"/>
  <c r="G2195" i="4"/>
  <c r="H2195" i="4" s="1"/>
  <c r="G2196" i="4"/>
  <c r="H2196" i="4" s="1"/>
  <c r="G2197" i="4"/>
  <c r="G2198" i="4"/>
  <c r="H2198" i="4" s="1"/>
  <c r="G2199" i="4"/>
  <c r="H2199" i="4" s="1"/>
  <c r="G2200" i="4"/>
  <c r="H2200" i="4" s="1"/>
  <c r="G2201" i="4"/>
  <c r="G2202" i="4"/>
  <c r="G2203" i="4"/>
  <c r="H2203" i="4" s="1"/>
  <c r="G2204" i="4"/>
  <c r="H2204" i="4" s="1"/>
  <c r="G2205" i="4"/>
  <c r="G2206" i="4"/>
  <c r="H2206" i="4" s="1"/>
  <c r="G2207" i="4"/>
  <c r="H2207" i="4" s="1"/>
  <c r="G2208" i="4"/>
  <c r="H2208" i="4" s="1"/>
  <c r="G2209" i="4"/>
  <c r="H2209" i="4" s="1"/>
  <c r="G2210" i="4"/>
  <c r="G2211" i="4"/>
  <c r="G2212" i="4"/>
  <c r="H2212" i="4" s="1"/>
  <c r="G2213" i="4"/>
  <c r="G2214" i="4"/>
  <c r="H2214" i="4" s="1"/>
  <c r="G2215" i="4"/>
  <c r="H2215" i="4" s="1"/>
  <c r="G2216" i="4"/>
  <c r="H2216" i="4" s="1"/>
  <c r="G2217" i="4"/>
  <c r="H2217" i="4" s="1"/>
  <c r="G2218" i="4"/>
  <c r="H2218" i="4" s="1"/>
  <c r="G2219" i="4"/>
  <c r="H2219" i="4" s="1"/>
  <c r="G2220" i="4"/>
  <c r="G2221" i="4"/>
  <c r="G2222" i="4"/>
  <c r="H2222" i="4" s="1"/>
  <c r="G2223" i="4"/>
  <c r="H2223" i="4" s="1"/>
  <c r="G2224" i="4"/>
  <c r="H2224" i="4" s="1"/>
  <c r="G2225" i="4"/>
  <c r="H2225" i="4" s="1"/>
  <c r="G2226" i="4"/>
  <c r="H2226" i="4" s="1"/>
  <c r="G2227" i="4"/>
  <c r="H2227" i="4" s="1"/>
  <c r="G2228" i="4"/>
  <c r="H2228" i="4" s="1"/>
  <c r="G2229" i="4"/>
  <c r="G2230" i="4"/>
  <c r="H2230" i="4" s="1"/>
  <c r="G2231" i="4"/>
  <c r="H2231" i="4" s="1"/>
  <c r="G2232" i="4"/>
  <c r="H2232" i="4" s="1"/>
  <c r="G2233" i="4"/>
  <c r="H2233" i="4" s="1"/>
  <c r="G2234" i="4"/>
  <c r="H2234" i="4" s="1"/>
  <c r="G2235" i="4"/>
  <c r="H2235" i="4" s="1"/>
  <c r="G2236" i="4"/>
  <c r="H2236" i="4" s="1"/>
  <c r="G2237" i="4"/>
  <c r="G2238" i="4"/>
  <c r="H2238" i="4" s="1"/>
  <c r="G2239" i="4"/>
  <c r="H2239" i="4" s="1"/>
  <c r="G2240" i="4"/>
  <c r="H2240" i="4" s="1"/>
  <c r="G2241" i="4"/>
  <c r="H2241" i="4" s="1"/>
  <c r="G2242" i="4"/>
  <c r="G2243" i="4"/>
  <c r="H2243" i="4" s="1"/>
  <c r="G2244" i="4"/>
  <c r="H2244" i="4" s="1"/>
  <c r="G2245" i="4"/>
  <c r="G2246" i="4"/>
  <c r="H2246" i="4" s="1"/>
  <c r="G2247" i="4"/>
  <c r="H2247" i="4" s="1"/>
  <c r="G2248" i="4"/>
  <c r="H2248" i="4" s="1"/>
  <c r="G2249" i="4"/>
  <c r="G2250" i="4"/>
  <c r="G2251" i="4"/>
  <c r="G2252" i="4"/>
  <c r="H2252" i="4" s="1"/>
  <c r="G2253" i="4"/>
  <c r="G2254" i="4"/>
  <c r="H2254" i="4" s="1"/>
  <c r="G2255" i="4"/>
  <c r="H2255" i="4" s="1"/>
  <c r="G2256" i="4"/>
  <c r="H2256" i="4" s="1"/>
  <c r="G2257" i="4"/>
  <c r="H2257" i="4" s="1"/>
  <c r="G2258" i="4"/>
  <c r="H2258" i="4" s="1"/>
  <c r="G2259" i="4"/>
  <c r="H2259" i="4" s="1"/>
  <c r="G2260" i="4"/>
  <c r="H2260" i="4" s="1"/>
  <c r="G2261" i="4"/>
  <c r="G2262" i="4"/>
  <c r="H2262" i="4" s="1"/>
  <c r="G2263" i="4"/>
  <c r="H2263" i="4" s="1"/>
  <c r="G2264" i="4"/>
  <c r="H2264" i="4" s="1"/>
  <c r="G2265" i="4"/>
  <c r="H2265" i="4" s="1"/>
  <c r="G2266" i="4"/>
  <c r="H2266" i="4" s="1"/>
  <c r="G2267" i="4"/>
  <c r="H2267" i="4" s="1"/>
  <c r="G2268" i="4"/>
  <c r="H2268" i="4" s="1"/>
  <c r="G2269" i="4"/>
  <c r="G2270" i="4"/>
  <c r="H2270" i="4" s="1"/>
  <c r="G2271" i="4"/>
  <c r="H2271" i="4" s="1"/>
  <c r="G2272" i="4"/>
  <c r="H2272" i="4" s="1"/>
  <c r="G2273" i="4"/>
  <c r="H2273" i="4" s="1"/>
  <c r="G2274" i="4"/>
  <c r="G2275" i="4"/>
  <c r="H2275" i="4" s="1"/>
  <c r="G2276" i="4"/>
  <c r="H2276" i="4" s="1"/>
  <c r="G2277" i="4"/>
  <c r="G2278" i="4"/>
  <c r="H2278" i="4" s="1"/>
  <c r="G2279" i="4"/>
  <c r="H2279" i="4" s="1"/>
  <c r="G2280" i="4"/>
  <c r="H2280" i="4" s="1"/>
  <c r="G2281" i="4"/>
  <c r="H2281" i="4" s="1"/>
  <c r="G2282" i="4"/>
  <c r="H2282" i="4" s="1"/>
  <c r="G2283" i="4"/>
  <c r="G2284" i="4"/>
  <c r="H2284" i="4" s="1"/>
  <c r="G2285" i="4"/>
  <c r="G2286" i="4"/>
  <c r="H2286" i="4" s="1"/>
  <c r="G2287" i="4"/>
  <c r="H2287" i="4" s="1"/>
  <c r="G2288" i="4"/>
  <c r="H2288" i="4" s="1"/>
  <c r="G2289" i="4"/>
  <c r="H2289" i="4" s="1"/>
  <c r="G2290" i="4"/>
  <c r="G2291" i="4"/>
  <c r="H2291" i="4" s="1"/>
  <c r="G2292" i="4"/>
  <c r="H2292" i="4" s="1"/>
  <c r="G2293" i="4"/>
  <c r="G2294" i="4"/>
  <c r="H2294" i="4" s="1"/>
  <c r="G2295" i="4"/>
  <c r="H2295" i="4" s="1"/>
  <c r="G2296" i="4"/>
  <c r="H2296" i="4" s="1"/>
  <c r="G2297" i="4"/>
  <c r="H2297" i="4" s="1"/>
  <c r="G2298" i="4"/>
  <c r="H2298" i="4" s="1"/>
  <c r="G2299" i="4"/>
  <c r="H2299" i="4" s="1"/>
  <c r="G2300" i="4"/>
  <c r="H2300" i="4" s="1"/>
  <c r="G2301" i="4"/>
  <c r="G2302" i="4"/>
  <c r="H2302" i="4" s="1"/>
  <c r="G2303" i="4"/>
  <c r="H2303" i="4" s="1"/>
  <c r="G2304" i="4"/>
  <c r="H2304" i="4" s="1"/>
  <c r="G2305" i="4"/>
  <c r="H2305" i="4" s="1"/>
  <c r="G2306" i="4"/>
  <c r="H2306" i="4" s="1"/>
  <c r="G2307" i="4"/>
  <c r="H2307" i="4" s="1"/>
  <c r="G2308" i="4"/>
  <c r="H2308" i="4" s="1"/>
  <c r="G2309" i="4"/>
  <c r="G2310" i="4"/>
  <c r="H2310" i="4" s="1"/>
  <c r="G2311" i="4"/>
  <c r="H2311" i="4" s="1"/>
  <c r="G2312" i="4"/>
  <c r="H2312" i="4" s="1"/>
  <c r="G2313" i="4"/>
  <c r="G2314" i="4"/>
  <c r="G2315" i="4"/>
  <c r="H2315" i="4" s="1"/>
  <c r="G2316" i="4"/>
  <c r="H2316" i="4" s="1"/>
  <c r="G2317" i="4"/>
  <c r="G2318" i="4"/>
  <c r="H2318" i="4" s="1"/>
  <c r="G2319" i="4"/>
  <c r="H2319" i="4" s="1"/>
  <c r="G2320" i="4"/>
  <c r="H2320" i="4" s="1"/>
  <c r="G2321" i="4"/>
  <c r="G2322" i="4"/>
  <c r="G2323" i="4"/>
  <c r="G2324" i="4"/>
  <c r="H2324" i="4" s="1"/>
  <c r="G2325" i="4"/>
  <c r="G2326" i="4"/>
  <c r="H2326" i="4" s="1"/>
  <c r="G2327" i="4"/>
  <c r="H2327" i="4" s="1"/>
  <c r="G2328" i="4"/>
  <c r="H2328" i="4" s="1"/>
  <c r="G2329" i="4"/>
  <c r="H2329" i="4" s="1"/>
  <c r="G2330" i="4"/>
  <c r="H2330" i="4" s="1"/>
  <c r="G2331" i="4"/>
  <c r="G2332" i="4"/>
  <c r="G2333" i="4"/>
  <c r="G2334" i="4"/>
  <c r="H2334" i="4" s="1"/>
  <c r="G2335" i="4"/>
  <c r="H2335" i="4" s="1"/>
  <c r="G2336" i="4"/>
  <c r="H2336" i="4" s="1"/>
  <c r="G2337" i="4"/>
  <c r="H2337" i="4" s="1"/>
  <c r="G2338" i="4"/>
  <c r="H2338" i="4" s="1"/>
  <c r="G2339" i="4"/>
  <c r="H2339" i="4" s="1"/>
  <c r="G2340" i="4"/>
  <c r="H2340" i="4" s="1"/>
  <c r="G2341" i="4"/>
  <c r="G2342" i="4"/>
  <c r="H2342" i="4" s="1"/>
  <c r="G2343" i="4"/>
  <c r="H2343" i="4" s="1"/>
  <c r="G2344" i="4"/>
  <c r="H2344" i="4" s="1"/>
  <c r="G2345" i="4"/>
  <c r="G2346" i="4"/>
  <c r="H2346" i="4" s="1"/>
  <c r="G2347" i="4"/>
  <c r="H2347" i="4" s="1"/>
  <c r="G2348" i="4"/>
  <c r="H2348" i="4" s="1"/>
  <c r="G2349" i="4"/>
  <c r="G2350" i="4"/>
  <c r="H2350" i="4" s="1"/>
  <c r="G2351" i="4"/>
  <c r="H2351" i="4" s="1"/>
  <c r="G2352" i="4"/>
  <c r="H2352" i="4" s="1"/>
  <c r="G2353" i="4"/>
  <c r="G2354" i="4"/>
  <c r="G2355" i="4"/>
  <c r="H2355" i="4" s="1"/>
  <c r="G2356" i="4"/>
  <c r="H2356" i="4" s="1"/>
  <c r="G2357" i="4"/>
  <c r="G2358" i="4"/>
  <c r="H2358" i="4" s="1"/>
  <c r="G2359" i="4"/>
  <c r="H2359" i="4" s="1"/>
  <c r="G2360" i="4"/>
  <c r="H2360" i="4" s="1"/>
  <c r="G2361" i="4"/>
  <c r="H2361" i="4" s="1"/>
  <c r="G2362" i="4"/>
  <c r="G2363" i="4"/>
  <c r="H2363" i="4" s="1"/>
  <c r="G2364" i="4"/>
  <c r="H2364" i="4" s="1"/>
  <c r="G2365" i="4"/>
  <c r="G2366" i="4"/>
  <c r="H2366" i="4" s="1"/>
  <c r="G2367" i="4"/>
  <c r="H2367" i="4" s="1"/>
  <c r="G2368" i="4"/>
  <c r="H2368" i="4" s="1"/>
  <c r="G2369" i="4"/>
  <c r="H2369" i="4" s="1"/>
  <c r="G2370" i="4"/>
  <c r="H2370" i="4" s="1"/>
  <c r="G2371" i="4"/>
  <c r="H2371" i="4" s="1"/>
  <c r="G2372" i="4"/>
  <c r="H2372" i="4" s="1"/>
  <c r="G2373" i="4"/>
  <c r="G2374" i="4"/>
  <c r="H2374" i="4" s="1"/>
  <c r="G2375" i="4"/>
  <c r="H2375" i="4" s="1"/>
  <c r="G2376" i="4"/>
  <c r="H2376" i="4" s="1"/>
  <c r="G2377" i="4"/>
  <c r="H2377" i="4" s="1"/>
  <c r="G2378" i="4"/>
  <c r="H2378" i="4" s="1"/>
  <c r="G2379" i="4"/>
  <c r="H2379" i="4" s="1"/>
  <c r="G2380" i="4"/>
  <c r="H2380" i="4" s="1"/>
  <c r="G2381" i="4"/>
  <c r="G2382" i="4"/>
  <c r="H2382" i="4" s="1"/>
  <c r="G2383" i="4"/>
  <c r="H2383" i="4" s="1"/>
  <c r="G2384" i="4"/>
  <c r="H2384" i="4" s="1"/>
  <c r="G2385" i="4"/>
  <c r="G2386" i="4"/>
  <c r="G2387" i="4"/>
  <c r="H2387" i="4" s="1"/>
  <c r="G2388" i="4"/>
  <c r="H2388" i="4" s="1"/>
  <c r="G2389" i="4"/>
  <c r="G2390" i="4"/>
  <c r="H2390" i="4" s="1"/>
  <c r="G2391" i="4"/>
  <c r="H2391" i="4" s="1"/>
  <c r="G2392" i="4"/>
  <c r="H2392" i="4" s="1"/>
  <c r="G2393" i="4"/>
  <c r="G2394" i="4"/>
  <c r="G2395" i="4"/>
  <c r="G2396" i="4"/>
  <c r="H2396" i="4" s="1"/>
  <c r="G2397" i="4"/>
  <c r="G2398" i="4"/>
  <c r="H2398" i="4" s="1"/>
  <c r="G2399" i="4"/>
  <c r="H2399" i="4" s="1"/>
  <c r="G2400" i="4"/>
  <c r="H2400" i="4" s="1"/>
  <c r="G2401" i="4"/>
  <c r="H2401" i="4" s="1"/>
  <c r="G2402" i="4"/>
  <c r="H2402" i="4" s="1"/>
  <c r="G2403" i="4"/>
  <c r="G2404" i="4"/>
  <c r="G2405" i="4"/>
  <c r="G2406" i="4"/>
  <c r="H2406" i="4" s="1"/>
  <c r="G2407" i="4"/>
  <c r="H2407" i="4" s="1"/>
  <c r="G2408" i="4"/>
  <c r="H2408" i="4" s="1"/>
  <c r="G2409" i="4"/>
  <c r="H2409" i="4" s="1"/>
  <c r="G2410" i="4"/>
  <c r="H2410" i="4" s="1"/>
  <c r="G2411" i="4"/>
  <c r="H2411" i="4" s="1"/>
  <c r="G2412" i="4"/>
  <c r="H2412" i="4" s="1"/>
  <c r="G2413" i="4"/>
  <c r="G2414" i="4"/>
  <c r="H2414" i="4" s="1"/>
  <c r="G2415" i="4"/>
  <c r="H2415" i="4" s="1"/>
  <c r="G2416" i="4"/>
  <c r="H2416" i="4" s="1"/>
  <c r="G2417" i="4"/>
  <c r="G2418" i="4"/>
  <c r="H2418" i="4" s="1"/>
  <c r="G2419" i="4"/>
  <c r="H2419" i="4" s="1"/>
  <c r="G2420" i="4"/>
  <c r="H2420" i="4" s="1"/>
  <c r="G2421" i="4"/>
  <c r="G2422" i="4"/>
  <c r="H2422" i="4" s="1"/>
  <c r="G2423" i="4"/>
  <c r="H2423" i="4" s="1"/>
  <c r="G2424" i="4"/>
  <c r="H2424" i="4" s="1"/>
  <c r="G2425" i="4"/>
  <c r="G2426" i="4"/>
  <c r="G2427" i="4"/>
  <c r="H2427" i="4" s="1"/>
  <c r="G2428" i="4"/>
  <c r="H2428" i="4" s="1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" i="4"/>
  <c r="N12" i="5"/>
  <c r="N11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1002" i="5"/>
  <c r="O1003" i="5"/>
  <c r="O1004" i="5"/>
  <c r="O1005" i="5"/>
  <c r="O1006" i="5"/>
  <c r="O1007" i="5"/>
  <c r="O1008" i="5"/>
  <c r="O1009" i="5"/>
  <c r="O1010" i="5"/>
  <c r="O1011" i="5"/>
  <c r="O1012" i="5"/>
  <c r="O1013" i="5"/>
  <c r="O1014" i="5"/>
  <c r="O1015" i="5"/>
  <c r="O1016" i="5"/>
  <c r="O1017" i="5"/>
  <c r="O1018" i="5"/>
  <c r="O1019" i="5"/>
  <c r="O1020" i="5"/>
  <c r="O1021" i="5"/>
  <c r="O1022" i="5"/>
  <c r="O1023" i="5"/>
  <c r="O1024" i="5"/>
  <c r="O1025" i="5"/>
  <c r="O1026" i="5"/>
  <c r="O1027" i="5"/>
  <c r="O1028" i="5"/>
  <c r="O1029" i="5"/>
  <c r="O1030" i="5"/>
  <c r="O1031" i="5"/>
  <c r="O1032" i="5"/>
  <c r="O1033" i="5"/>
  <c r="O1034" i="5"/>
  <c r="O1035" i="5"/>
  <c r="O1036" i="5"/>
  <c r="O1037" i="5"/>
  <c r="O1038" i="5"/>
  <c r="O1039" i="5"/>
  <c r="O1040" i="5"/>
  <c r="O1041" i="5"/>
  <c r="O1042" i="5"/>
  <c r="O1043" i="5"/>
  <c r="O1044" i="5"/>
  <c r="O1045" i="5"/>
  <c r="O1046" i="5"/>
  <c r="O1047" i="5"/>
  <c r="O1048" i="5"/>
  <c r="O1049" i="5"/>
  <c r="O1050" i="5"/>
  <c r="O1051" i="5"/>
  <c r="O1052" i="5"/>
  <c r="O1053" i="5"/>
  <c r="O1054" i="5"/>
  <c r="O1055" i="5"/>
  <c r="O1056" i="5"/>
  <c r="O1057" i="5"/>
  <c r="O1058" i="5"/>
  <c r="O1059" i="5"/>
  <c r="O1060" i="5"/>
  <c r="O1061" i="5"/>
  <c r="O1062" i="5"/>
  <c r="O1063" i="5"/>
  <c r="O1064" i="5"/>
  <c r="O1065" i="5"/>
  <c r="O1066" i="5"/>
  <c r="O1067" i="5"/>
  <c r="O1068" i="5"/>
  <c r="O1069" i="5"/>
  <c r="O1070" i="5"/>
  <c r="O1071" i="5"/>
  <c r="O1072" i="5"/>
  <c r="O1073" i="5"/>
  <c r="O1074" i="5"/>
  <c r="O1075" i="5"/>
  <c r="O1076" i="5"/>
  <c r="O1077" i="5"/>
  <c r="O1078" i="5"/>
  <c r="O1079" i="5"/>
  <c r="O1080" i="5"/>
  <c r="O1081" i="5"/>
  <c r="O1082" i="5"/>
  <c r="O1083" i="5"/>
  <c r="O1084" i="5"/>
  <c r="O1085" i="5"/>
  <c r="O1086" i="5"/>
  <c r="O1087" i="5"/>
  <c r="O1088" i="5"/>
  <c r="O1089" i="5"/>
  <c r="O1090" i="5"/>
  <c r="O1091" i="5"/>
  <c r="O1092" i="5"/>
  <c r="O1093" i="5"/>
  <c r="O1094" i="5"/>
  <c r="O1095" i="5"/>
  <c r="O1096" i="5"/>
  <c r="O1097" i="5"/>
  <c r="O1098" i="5"/>
  <c r="O1099" i="5"/>
  <c r="O1100" i="5"/>
  <c r="O1101" i="5"/>
  <c r="O1102" i="5"/>
  <c r="O1103" i="5"/>
  <c r="O1104" i="5"/>
  <c r="O1105" i="5"/>
  <c r="O1106" i="5"/>
  <c r="O1107" i="5"/>
  <c r="O1108" i="5"/>
  <c r="O1109" i="5"/>
  <c r="O1110" i="5"/>
  <c r="O1111" i="5"/>
  <c r="O1112" i="5"/>
  <c r="O1113" i="5"/>
  <c r="O1114" i="5"/>
  <c r="O1115" i="5"/>
  <c r="O1116" i="5"/>
  <c r="O1117" i="5"/>
  <c r="O1118" i="5"/>
  <c r="O1119" i="5"/>
  <c r="O1120" i="5"/>
  <c r="O1121" i="5"/>
  <c r="O1122" i="5"/>
  <c r="O1123" i="5"/>
  <c r="O1124" i="5"/>
  <c r="O1125" i="5"/>
  <c r="O1126" i="5"/>
  <c r="O1127" i="5"/>
  <c r="O1128" i="5"/>
  <c r="O1129" i="5"/>
  <c r="O1130" i="5"/>
  <c r="O1131" i="5"/>
  <c r="O1132" i="5"/>
  <c r="O1133" i="5"/>
  <c r="O1134" i="5"/>
  <c r="O1135" i="5"/>
  <c r="O1136" i="5"/>
  <c r="O1137" i="5"/>
  <c r="O1138" i="5"/>
  <c r="O1139" i="5"/>
  <c r="O1140" i="5"/>
  <c r="O1141" i="5"/>
  <c r="O1142" i="5"/>
  <c r="O1143" i="5"/>
  <c r="O1144" i="5"/>
  <c r="O1145" i="5"/>
  <c r="O1146" i="5"/>
  <c r="O2" i="5"/>
  <c r="G6" i="9"/>
  <c r="G7" i="9"/>
  <c r="G5" i="9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2" i="5"/>
  <c r="G6" i="8"/>
  <c r="G7" i="8"/>
  <c r="G5" i="8"/>
  <c r="J3" i="5"/>
  <c r="K3" i="5" s="1"/>
  <c r="J4" i="5"/>
  <c r="K4" i="5" s="1"/>
  <c r="J5" i="5"/>
  <c r="K5" i="5" s="1"/>
  <c r="J6" i="5"/>
  <c r="K6" i="5" s="1"/>
  <c r="J7" i="5"/>
  <c r="K7" i="5" s="1"/>
  <c r="J8" i="5"/>
  <c r="K8" i="5" s="1"/>
  <c r="J9" i="5"/>
  <c r="K9" i="5" s="1"/>
  <c r="J10" i="5"/>
  <c r="K10" i="5" s="1"/>
  <c r="J11" i="5"/>
  <c r="K11" i="5" s="1"/>
  <c r="J12" i="5"/>
  <c r="K12" i="5" s="1"/>
  <c r="J13" i="5"/>
  <c r="K13" i="5" s="1"/>
  <c r="J14" i="5"/>
  <c r="K14" i="5" s="1"/>
  <c r="J15" i="5"/>
  <c r="K15" i="5" s="1"/>
  <c r="J16" i="5"/>
  <c r="K16" i="5" s="1"/>
  <c r="J17" i="5"/>
  <c r="K17" i="5" s="1"/>
  <c r="J18" i="5"/>
  <c r="K18" i="5" s="1"/>
  <c r="J19" i="5"/>
  <c r="K19" i="5" s="1"/>
  <c r="J20" i="5"/>
  <c r="K20" i="5" s="1"/>
  <c r="J21" i="5"/>
  <c r="K21" i="5" s="1"/>
  <c r="J22" i="5"/>
  <c r="K22" i="5" s="1"/>
  <c r="J23" i="5"/>
  <c r="K23" i="5" s="1"/>
  <c r="J24" i="5"/>
  <c r="K24" i="5" s="1"/>
  <c r="J25" i="5"/>
  <c r="K25" i="5" s="1"/>
  <c r="J26" i="5"/>
  <c r="K26" i="5" s="1"/>
  <c r="J27" i="5"/>
  <c r="K27" i="5" s="1"/>
  <c r="J28" i="5"/>
  <c r="K28" i="5" s="1"/>
  <c r="J29" i="5"/>
  <c r="K29" i="5" s="1"/>
  <c r="J30" i="5"/>
  <c r="K30" i="5" s="1"/>
  <c r="J31" i="5"/>
  <c r="K31" i="5" s="1"/>
  <c r="J32" i="5"/>
  <c r="K32" i="5" s="1"/>
  <c r="J33" i="5"/>
  <c r="K33" i="5" s="1"/>
  <c r="J34" i="5"/>
  <c r="K34" i="5" s="1"/>
  <c r="J35" i="5"/>
  <c r="K35" i="5" s="1"/>
  <c r="J36" i="5"/>
  <c r="K36" i="5" s="1"/>
  <c r="J37" i="5"/>
  <c r="K37" i="5" s="1"/>
  <c r="J38" i="5"/>
  <c r="K38" i="5" s="1"/>
  <c r="J39" i="5"/>
  <c r="K39" i="5" s="1"/>
  <c r="J40" i="5"/>
  <c r="K40" i="5" s="1"/>
  <c r="J41" i="5"/>
  <c r="K41" i="5" s="1"/>
  <c r="J42" i="5"/>
  <c r="K42" i="5" s="1"/>
  <c r="J43" i="5"/>
  <c r="K43" i="5" s="1"/>
  <c r="J44" i="5"/>
  <c r="K44" i="5" s="1"/>
  <c r="J45" i="5"/>
  <c r="K45" i="5" s="1"/>
  <c r="J46" i="5"/>
  <c r="K46" i="5" s="1"/>
  <c r="J47" i="5"/>
  <c r="K47" i="5" s="1"/>
  <c r="J48" i="5"/>
  <c r="K48" i="5" s="1"/>
  <c r="J49" i="5"/>
  <c r="K49" i="5" s="1"/>
  <c r="J50" i="5"/>
  <c r="K50" i="5" s="1"/>
  <c r="J51" i="5"/>
  <c r="K51" i="5" s="1"/>
  <c r="J52" i="5"/>
  <c r="K52" i="5" s="1"/>
  <c r="J53" i="5"/>
  <c r="K53" i="5" s="1"/>
  <c r="J54" i="5"/>
  <c r="K54" i="5" s="1"/>
  <c r="J55" i="5"/>
  <c r="K55" i="5" s="1"/>
  <c r="J56" i="5"/>
  <c r="K56" i="5" s="1"/>
  <c r="J57" i="5"/>
  <c r="K57" i="5" s="1"/>
  <c r="J58" i="5"/>
  <c r="K58" i="5" s="1"/>
  <c r="J59" i="5"/>
  <c r="K59" i="5" s="1"/>
  <c r="J60" i="5"/>
  <c r="K60" i="5" s="1"/>
  <c r="J61" i="5"/>
  <c r="K61" i="5" s="1"/>
  <c r="J62" i="5"/>
  <c r="K62" i="5" s="1"/>
  <c r="J63" i="5"/>
  <c r="K63" i="5" s="1"/>
  <c r="J64" i="5"/>
  <c r="K64" i="5" s="1"/>
  <c r="J65" i="5"/>
  <c r="K65" i="5" s="1"/>
  <c r="J66" i="5"/>
  <c r="K66" i="5" s="1"/>
  <c r="J67" i="5"/>
  <c r="K67" i="5" s="1"/>
  <c r="J68" i="5"/>
  <c r="K68" i="5" s="1"/>
  <c r="J69" i="5"/>
  <c r="K69" i="5" s="1"/>
  <c r="J70" i="5"/>
  <c r="K70" i="5" s="1"/>
  <c r="J71" i="5"/>
  <c r="K71" i="5" s="1"/>
  <c r="J72" i="5"/>
  <c r="K72" i="5" s="1"/>
  <c r="J73" i="5"/>
  <c r="K73" i="5" s="1"/>
  <c r="J74" i="5"/>
  <c r="K74" i="5" s="1"/>
  <c r="J75" i="5"/>
  <c r="K75" i="5" s="1"/>
  <c r="J76" i="5"/>
  <c r="K76" i="5" s="1"/>
  <c r="J77" i="5"/>
  <c r="K77" i="5" s="1"/>
  <c r="J78" i="5"/>
  <c r="K78" i="5" s="1"/>
  <c r="J79" i="5"/>
  <c r="K79" i="5" s="1"/>
  <c r="J80" i="5"/>
  <c r="K80" i="5" s="1"/>
  <c r="J81" i="5"/>
  <c r="K81" i="5" s="1"/>
  <c r="J82" i="5"/>
  <c r="K82" i="5" s="1"/>
  <c r="J83" i="5"/>
  <c r="K83" i="5" s="1"/>
  <c r="J84" i="5"/>
  <c r="K84" i="5" s="1"/>
  <c r="J85" i="5"/>
  <c r="K85" i="5" s="1"/>
  <c r="J86" i="5"/>
  <c r="K86" i="5" s="1"/>
  <c r="J87" i="5"/>
  <c r="K87" i="5" s="1"/>
  <c r="J88" i="5"/>
  <c r="K88" i="5" s="1"/>
  <c r="J89" i="5"/>
  <c r="K89" i="5" s="1"/>
  <c r="J90" i="5"/>
  <c r="K90" i="5" s="1"/>
  <c r="J91" i="5"/>
  <c r="K91" i="5" s="1"/>
  <c r="J92" i="5"/>
  <c r="K92" i="5" s="1"/>
  <c r="J93" i="5"/>
  <c r="K93" i="5" s="1"/>
  <c r="J94" i="5"/>
  <c r="K94" i="5" s="1"/>
  <c r="J95" i="5"/>
  <c r="K95" i="5" s="1"/>
  <c r="J96" i="5"/>
  <c r="K96" i="5" s="1"/>
  <c r="J97" i="5"/>
  <c r="K97" i="5" s="1"/>
  <c r="J98" i="5"/>
  <c r="K98" i="5" s="1"/>
  <c r="J99" i="5"/>
  <c r="K99" i="5" s="1"/>
  <c r="J100" i="5"/>
  <c r="K100" i="5" s="1"/>
  <c r="J101" i="5"/>
  <c r="K101" i="5" s="1"/>
  <c r="J102" i="5"/>
  <c r="K102" i="5" s="1"/>
  <c r="J103" i="5"/>
  <c r="K103" i="5" s="1"/>
  <c r="J104" i="5"/>
  <c r="K104" i="5" s="1"/>
  <c r="J105" i="5"/>
  <c r="K105" i="5" s="1"/>
  <c r="J106" i="5"/>
  <c r="K106" i="5" s="1"/>
  <c r="J107" i="5"/>
  <c r="K107" i="5" s="1"/>
  <c r="J108" i="5"/>
  <c r="K108" i="5" s="1"/>
  <c r="J109" i="5"/>
  <c r="K109" i="5" s="1"/>
  <c r="J110" i="5"/>
  <c r="K110" i="5" s="1"/>
  <c r="J111" i="5"/>
  <c r="K111" i="5" s="1"/>
  <c r="J112" i="5"/>
  <c r="K112" i="5" s="1"/>
  <c r="J113" i="5"/>
  <c r="K113" i="5" s="1"/>
  <c r="J114" i="5"/>
  <c r="K114" i="5" s="1"/>
  <c r="J115" i="5"/>
  <c r="K115" i="5" s="1"/>
  <c r="J116" i="5"/>
  <c r="K116" i="5" s="1"/>
  <c r="J117" i="5"/>
  <c r="K117" i="5" s="1"/>
  <c r="J118" i="5"/>
  <c r="K118" i="5" s="1"/>
  <c r="J119" i="5"/>
  <c r="K119" i="5" s="1"/>
  <c r="J120" i="5"/>
  <c r="K120" i="5" s="1"/>
  <c r="J121" i="5"/>
  <c r="K121" i="5" s="1"/>
  <c r="J122" i="5"/>
  <c r="K122" i="5" s="1"/>
  <c r="J123" i="5"/>
  <c r="K123" i="5" s="1"/>
  <c r="J124" i="5"/>
  <c r="K124" i="5" s="1"/>
  <c r="J125" i="5"/>
  <c r="K125" i="5" s="1"/>
  <c r="J126" i="5"/>
  <c r="K126" i="5" s="1"/>
  <c r="J127" i="5"/>
  <c r="K127" i="5" s="1"/>
  <c r="J128" i="5"/>
  <c r="K128" i="5" s="1"/>
  <c r="J129" i="5"/>
  <c r="K129" i="5" s="1"/>
  <c r="J130" i="5"/>
  <c r="K130" i="5" s="1"/>
  <c r="J131" i="5"/>
  <c r="K131" i="5" s="1"/>
  <c r="J132" i="5"/>
  <c r="K132" i="5" s="1"/>
  <c r="J133" i="5"/>
  <c r="K133" i="5" s="1"/>
  <c r="J134" i="5"/>
  <c r="K134" i="5" s="1"/>
  <c r="J135" i="5"/>
  <c r="K135" i="5" s="1"/>
  <c r="J136" i="5"/>
  <c r="K136" i="5" s="1"/>
  <c r="J137" i="5"/>
  <c r="K137" i="5" s="1"/>
  <c r="J138" i="5"/>
  <c r="K138" i="5" s="1"/>
  <c r="J139" i="5"/>
  <c r="K139" i="5" s="1"/>
  <c r="J140" i="5"/>
  <c r="K140" i="5" s="1"/>
  <c r="J141" i="5"/>
  <c r="K141" i="5" s="1"/>
  <c r="J142" i="5"/>
  <c r="K142" i="5" s="1"/>
  <c r="J143" i="5"/>
  <c r="K143" i="5" s="1"/>
  <c r="J144" i="5"/>
  <c r="K144" i="5" s="1"/>
  <c r="J145" i="5"/>
  <c r="K145" i="5" s="1"/>
  <c r="J146" i="5"/>
  <c r="K146" i="5" s="1"/>
  <c r="J147" i="5"/>
  <c r="K147" i="5" s="1"/>
  <c r="J148" i="5"/>
  <c r="K148" i="5" s="1"/>
  <c r="J149" i="5"/>
  <c r="K149" i="5" s="1"/>
  <c r="J150" i="5"/>
  <c r="K150" i="5" s="1"/>
  <c r="J151" i="5"/>
  <c r="K151" i="5" s="1"/>
  <c r="J152" i="5"/>
  <c r="K152" i="5" s="1"/>
  <c r="J153" i="5"/>
  <c r="K153" i="5" s="1"/>
  <c r="J154" i="5"/>
  <c r="K154" i="5" s="1"/>
  <c r="J155" i="5"/>
  <c r="K155" i="5" s="1"/>
  <c r="J156" i="5"/>
  <c r="K156" i="5" s="1"/>
  <c r="J157" i="5"/>
  <c r="K157" i="5" s="1"/>
  <c r="J158" i="5"/>
  <c r="K158" i="5" s="1"/>
  <c r="J159" i="5"/>
  <c r="K159" i="5" s="1"/>
  <c r="J160" i="5"/>
  <c r="K160" i="5" s="1"/>
  <c r="J161" i="5"/>
  <c r="K161" i="5" s="1"/>
  <c r="J162" i="5"/>
  <c r="K162" i="5" s="1"/>
  <c r="J163" i="5"/>
  <c r="K163" i="5" s="1"/>
  <c r="J164" i="5"/>
  <c r="K164" i="5" s="1"/>
  <c r="J165" i="5"/>
  <c r="K165" i="5" s="1"/>
  <c r="J166" i="5"/>
  <c r="K166" i="5" s="1"/>
  <c r="J167" i="5"/>
  <c r="K167" i="5" s="1"/>
  <c r="J168" i="5"/>
  <c r="K168" i="5" s="1"/>
  <c r="J169" i="5"/>
  <c r="K169" i="5" s="1"/>
  <c r="J170" i="5"/>
  <c r="K170" i="5" s="1"/>
  <c r="J171" i="5"/>
  <c r="K171" i="5" s="1"/>
  <c r="J172" i="5"/>
  <c r="K172" i="5" s="1"/>
  <c r="J173" i="5"/>
  <c r="K173" i="5" s="1"/>
  <c r="J174" i="5"/>
  <c r="K174" i="5" s="1"/>
  <c r="J175" i="5"/>
  <c r="K175" i="5" s="1"/>
  <c r="J176" i="5"/>
  <c r="K176" i="5" s="1"/>
  <c r="J177" i="5"/>
  <c r="K177" i="5" s="1"/>
  <c r="J178" i="5"/>
  <c r="K178" i="5" s="1"/>
  <c r="J179" i="5"/>
  <c r="K179" i="5" s="1"/>
  <c r="J180" i="5"/>
  <c r="K180" i="5" s="1"/>
  <c r="J181" i="5"/>
  <c r="K181" i="5" s="1"/>
  <c r="J182" i="5"/>
  <c r="K182" i="5" s="1"/>
  <c r="J183" i="5"/>
  <c r="K183" i="5" s="1"/>
  <c r="J184" i="5"/>
  <c r="K184" i="5" s="1"/>
  <c r="J185" i="5"/>
  <c r="K185" i="5" s="1"/>
  <c r="J186" i="5"/>
  <c r="K186" i="5" s="1"/>
  <c r="J187" i="5"/>
  <c r="K187" i="5" s="1"/>
  <c r="J188" i="5"/>
  <c r="K188" i="5" s="1"/>
  <c r="J189" i="5"/>
  <c r="K189" i="5" s="1"/>
  <c r="J190" i="5"/>
  <c r="K190" i="5" s="1"/>
  <c r="J191" i="5"/>
  <c r="K191" i="5" s="1"/>
  <c r="J192" i="5"/>
  <c r="K192" i="5" s="1"/>
  <c r="J193" i="5"/>
  <c r="K193" i="5" s="1"/>
  <c r="J194" i="5"/>
  <c r="K194" i="5" s="1"/>
  <c r="J195" i="5"/>
  <c r="K195" i="5" s="1"/>
  <c r="J196" i="5"/>
  <c r="K196" i="5" s="1"/>
  <c r="J197" i="5"/>
  <c r="K197" i="5" s="1"/>
  <c r="J198" i="5"/>
  <c r="K198" i="5" s="1"/>
  <c r="J199" i="5"/>
  <c r="K199" i="5" s="1"/>
  <c r="J200" i="5"/>
  <c r="K200" i="5" s="1"/>
  <c r="J201" i="5"/>
  <c r="K201" i="5" s="1"/>
  <c r="J202" i="5"/>
  <c r="K202" i="5" s="1"/>
  <c r="J203" i="5"/>
  <c r="K203" i="5" s="1"/>
  <c r="J204" i="5"/>
  <c r="K204" i="5" s="1"/>
  <c r="J205" i="5"/>
  <c r="K205" i="5" s="1"/>
  <c r="J206" i="5"/>
  <c r="K206" i="5" s="1"/>
  <c r="J207" i="5"/>
  <c r="K207" i="5" s="1"/>
  <c r="J208" i="5"/>
  <c r="K208" i="5" s="1"/>
  <c r="J209" i="5"/>
  <c r="K209" i="5" s="1"/>
  <c r="J210" i="5"/>
  <c r="K210" i="5" s="1"/>
  <c r="J211" i="5"/>
  <c r="K211" i="5" s="1"/>
  <c r="J212" i="5"/>
  <c r="K212" i="5" s="1"/>
  <c r="J213" i="5"/>
  <c r="K213" i="5" s="1"/>
  <c r="J214" i="5"/>
  <c r="K214" i="5" s="1"/>
  <c r="J215" i="5"/>
  <c r="K215" i="5" s="1"/>
  <c r="J216" i="5"/>
  <c r="K216" i="5" s="1"/>
  <c r="J217" i="5"/>
  <c r="K217" i="5" s="1"/>
  <c r="J218" i="5"/>
  <c r="K218" i="5" s="1"/>
  <c r="J219" i="5"/>
  <c r="K219" i="5" s="1"/>
  <c r="J220" i="5"/>
  <c r="K220" i="5" s="1"/>
  <c r="J221" i="5"/>
  <c r="K221" i="5" s="1"/>
  <c r="J222" i="5"/>
  <c r="K222" i="5" s="1"/>
  <c r="J223" i="5"/>
  <c r="K223" i="5" s="1"/>
  <c r="J224" i="5"/>
  <c r="K224" i="5" s="1"/>
  <c r="J225" i="5"/>
  <c r="K225" i="5" s="1"/>
  <c r="J226" i="5"/>
  <c r="K226" i="5" s="1"/>
  <c r="J227" i="5"/>
  <c r="K227" i="5" s="1"/>
  <c r="J228" i="5"/>
  <c r="K228" i="5" s="1"/>
  <c r="J229" i="5"/>
  <c r="K229" i="5" s="1"/>
  <c r="J230" i="5"/>
  <c r="K230" i="5" s="1"/>
  <c r="J231" i="5"/>
  <c r="K231" i="5" s="1"/>
  <c r="J232" i="5"/>
  <c r="K232" i="5" s="1"/>
  <c r="J233" i="5"/>
  <c r="K233" i="5" s="1"/>
  <c r="J234" i="5"/>
  <c r="K234" i="5" s="1"/>
  <c r="J235" i="5"/>
  <c r="K235" i="5" s="1"/>
  <c r="J236" i="5"/>
  <c r="K236" i="5" s="1"/>
  <c r="J237" i="5"/>
  <c r="K237" i="5" s="1"/>
  <c r="J238" i="5"/>
  <c r="K238" i="5" s="1"/>
  <c r="J239" i="5"/>
  <c r="K239" i="5" s="1"/>
  <c r="J240" i="5"/>
  <c r="K240" i="5" s="1"/>
  <c r="J241" i="5"/>
  <c r="K241" i="5" s="1"/>
  <c r="J242" i="5"/>
  <c r="K242" i="5" s="1"/>
  <c r="J243" i="5"/>
  <c r="K243" i="5" s="1"/>
  <c r="J244" i="5"/>
  <c r="K244" i="5" s="1"/>
  <c r="J245" i="5"/>
  <c r="K245" i="5" s="1"/>
  <c r="J246" i="5"/>
  <c r="K246" i="5" s="1"/>
  <c r="J247" i="5"/>
  <c r="K247" i="5" s="1"/>
  <c r="J248" i="5"/>
  <c r="K248" i="5" s="1"/>
  <c r="J249" i="5"/>
  <c r="K249" i="5" s="1"/>
  <c r="J250" i="5"/>
  <c r="K250" i="5" s="1"/>
  <c r="J251" i="5"/>
  <c r="K251" i="5" s="1"/>
  <c r="J252" i="5"/>
  <c r="K252" i="5" s="1"/>
  <c r="J253" i="5"/>
  <c r="K253" i="5" s="1"/>
  <c r="J254" i="5"/>
  <c r="K254" i="5" s="1"/>
  <c r="J255" i="5"/>
  <c r="K255" i="5" s="1"/>
  <c r="J256" i="5"/>
  <c r="K256" i="5" s="1"/>
  <c r="J257" i="5"/>
  <c r="K257" i="5" s="1"/>
  <c r="J258" i="5"/>
  <c r="K258" i="5" s="1"/>
  <c r="J259" i="5"/>
  <c r="K259" i="5" s="1"/>
  <c r="J260" i="5"/>
  <c r="K260" i="5" s="1"/>
  <c r="J261" i="5"/>
  <c r="K261" i="5" s="1"/>
  <c r="J262" i="5"/>
  <c r="K262" i="5" s="1"/>
  <c r="J263" i="5"/>
  <c r="K263" i="5" s="1"/>
  <c r="J264" i="5"/>
  <c r="K264" i="5" s="1"/>
  <c r="J265" i="5"/>
  <c r="K265" i="5" s="1"/>
  <c r="J266" i="5"/>
  <c r="K266" i="5" s="1"/>
  <c r="J267" i="5"/>
  <c r="K267" i="5" s="1"/>
  <c r="J268" i="5"/>
  <c r="K268" i="5" s="1"/>
  <c r="J269" i="5"/>
  <c r="K269" i="5" s="1"/>
  <c r="J270" i="5"/>
  <c r="K270" i="5" s="1"/>
  <c r="J271" i="5"/>
  <c r="K271" i="5" s="1"/>
  <c r="J272" i="5"/>
  <c r="K272" i="5" s="1"/>
  <c r="J273" i="5"/>
  <c r="K273" i="5" s="1"/>
  <c r="J274" i="5"/>
  <c r="K274" i="5" s="1"/>
  <c r="J275" i="5"/>
  <c r="K275" i="5" s="1"/>
  <c r="J276" i="5"/>
  <c r="K276" i="5" s="1"/>
  <c r="J277" i="5"/>
  <c r="K277" i="5" s="1"/>
  <c r="J278" i="5"/>
  <c r="K278" i="5" s="1"/>
  <c r="J279" i="5"/>
  <c r="K279" i="5" s="1"/>
  <c r="J280" i="5"/>
  <c r="K280" i="5" s="1"/>
  <c r="J281" i="5"/>
  <c r="K281" i="5" s="1"/>
  <c r="J282" i="5"/>
  <c r="K282" i="5" s="1"/>
  <c r="J283" i="5"/>
  <c r="K283" i="5" s="1"/>
  <c r="J284" i="5"/>
  <c r="K284" i="5" s="1"/>
  <c r="J285" i="5"/>
  <c r="K285" i="5" s="1"/>
  <c r="J286" i="5"/>
  <c r="K286" i="5" s="1"/>
  <c r="J287" i="5"/>
  <c r="K287" i="5" s="1"/>
  <c r="J288" i="5"/>
  <c r="K288" i="5" s="1"/>
  <c r="J289" i="5"/>
  <c r="K289" i="5" s="1"/>
  <c r="J290" i="5"/>
  <c r="K290" i="5" s="1"/>
  <c r="J291" i="5"/>
  <c r="K291" i="5" s="1"/>
  <c r="J292" i="5"/>
  <c r="K292" i="5" s="1"/>
  <c r="J293" i="5"/>
  <c r="K293" i="5" s="1"/>
  <c r="J294" i="5"/>
  <c r="K294" i="5" s="1"/>
  <c r="J295" i="5"/>
  <c r="K295" i="5" s="1"/>
  <c r="J296" i="5"/>
  <c r="K296" i="5" s="1"/>
  <c r="J297" i="5"/>
  <c r="K297" i="5" s="1"/>
  <c r="J298" i="5"/>
  <c r="K298" i="5" s="1"/>
  <c r="J299" i="5"/>
  <c r="K299" i="5" s="1"/>
  <c r="J300" i="5"/>
  <c r="K300" i="5" s="1"/>
  <c r="J301" i="5"/>
  <c r="K301" i="5" s="1"/>
  <c r="J302" i="5"/>
  <c r="K302" i="5" s="1"/>
  <c r="J303" i="5"/>
  <c r="K303" i="5" s="1"/>
  <c r="J304" i="5"/>
  <c r="K304" i="5" s="1"/>
  <c r="J305" i="5"/>
  <c r="K305" i="5" s="1"/>
  <c r="J306" i="5"/>
  <c r="K306" i="5" s="1"/>
  <c r="J307" i="5"/>
  <c r="K307" i="5" s="1"/>
  <c r="J308" i="5"/>
  <c r="K308" i="5" s="1"/>
  <c r="J309" i="5"/>
  <c r="K309" i="5" s="1"/>
  <c r="J310" i="5"/>
  <c r="K310" i="5" s="1"/>
  <c r="J311" i="5"/>
  <c r="K311" i="5" s="1"/>
  <c r="J312" i="5"/>
  <c r="K312" i="5" s="1"/>
  <c r="J313" i="5"/>
  <c r="K313" i="5" s="1"/>
  <c r="J314" i="5"/>
  <c r="K314" i="5" s="1"/>
  <c r="J315" i="5"/>
  <c r="K315" i="5" s="1"/>
  <c r="J316" i="5"/>
  <c r="K316" i="5" s="1"/>
  <c r="J317" i="5"/>
  <c r="K317" i="5" s="1"/>
  <c r="J318" i="5"/>
  <c r="K318" i="5" s="1"/>
  <c r="J319" i="5"/>
  <c r="K319" i="5" s="1"/>
  <c r="J320" i="5"/>
  <c r="K320" i="5" s="1"/>
  <c r="J321" i="5"/>
  <c r="K321" i="5" s="1"/>
  <c r="J322" i="5"/>
  <c r="K322" i="5" s="1"/>
  <c r="J323" i="5"/>
  <c r="K323" i="5" s="1"/>
  <c r="J324" i="5"/>
  <c r="K324" i="5" s="1"/>
  <c r="J325" i="5"/>
  <c r="K325" i="5" s="1"/>
  <c r="J326" i="5"/>
  <c r="K326" i="5" s="1"/>
  <c r="J327" i="5"/>
  <c r="K327" i="5" s="1"/>
  <c r="J328" i="5"/>
  <c r="K328" i="5" s="1"/>
  <c r="J329" i="5"/>
  <c r="K329" i="5" s="1"/>
  <c r="J330" i="5"/>
  <c r="K330" i="5" s="1"/>
  <c r="J331" i="5"/>
  <c r="K331" i="5" s="1"/>
  <c r="J332" i="5"/>
  <c r="K332" i="5" s="1"/>
  <c r="J333" i="5"/>
  <c r="K333" i="5" s="1"/>
  <c r="J334" i="5"/>
  <c r="K334" i="5" s="1"/>
  <c r="J335" i="5"/>
  <c r="K335" i="5" s="1"/>
  <c r="J336" i="5"/>
  <c r="K336" i="5" s="1"/>
  <c r="J337" i="5"/>
  <c r="K337" i="5" s="1"/>
  <c r="J338" i="5"/>
  <c r="K338" i="5" s="1"/>
  <c r="J339" i="5"/>
  <c r="K339" i="5" s="1"/>
  <c r="J340" i="5"/>
  <c r="K340" i="5" s="1"/>
  <c r="J341" i="5"/>
  <c r="K341" i="5" s="1"/>
  <c r="J342" i="5"/>
  <c r="K342" i="5" s="1"/>
  <c r="J343" i="5"/>
  <c r="K343" i="5" s="1"/>
  <c r="J344" i="5"/>
  <c r="K344" i="5" s="1"/>
  <c r="J345" i="5"/>
  <c r="K345" i="5" s="1"/>
  <c r="J346" i="5"/>
  <c r="K346" i="5" s="1"/>
  <c r="J347" i="5"/>
  <c r="K347" i="5" s="1"/>
  <c r="J348" i="5"/>
  <c r="K348" i="5" s="1"/>
  <c r="J349" i="5"/>
  <c r="K349" i="5" s="1"/>
  <c r="J350" i="5"/>
  <c r="K350" i="5" s="1"/>
  <c r="J351" i="5"/>
  <c r="K351" i="5" s="1"/>
  <c r="J352" i="5"/>
  <c r="K352" i="5" s="1"/>
  <c r="J353" i="5"/>
  <c r="K353" i="5" s="1"/>
  <c r="J354" i="5"/>
  <c r="K354" i="5" s="1"/>
  <c r="J355" i="5"/>
  <c r="K355" i="5" s="1"/>
  <c r="J356" i="5"/>
  <c r="K356" i="5" s="1"/>
  <c r="J357" i="5"/>
  <c r="K357" i="5" s="1"/>
  <c r="J358" i="5"/>
  <c r="K358" i="5" s="1"/>
  <c r="J359" i="5"/>
  <c r="K359" i="5" s="1"/>
  <c r="J360" i="5"/>
  <c r="K360" i="5" s="1"/>
  <c r="J361" i="5"/>
  <c r="K361" i="5" s="1"/>
  <c r="J362" i="5"/>
  <c r="K362" i="5" s="1"/>
  <c r="J363" i="5"/>
  <c r="K363" i="5" s="1"/>
  <c r="J364" i="5"/>
  <c r="K364" i="5" s="1"/>
  <c r="J365" i="5"/>
  <c r="K365" i="5" s="1"/>
  <c r="J366" i="5"/>
  <c r="K366" i="5" s="1"/>
  <c r="J367" i="5"/>
  <c r="K367" i="5" s="1"/>
  <c r="J368" i="5"/>
  <c r="K368" i="5" s="1"/>
  <c r="J369" i="5"/>
  <c r="K369" i="5" s="1"/>
  <c r="J370" i="5"/>
  <c r="K370" i="5" s="1"/>
  <c r="J371" i="5"/>
  <c r="K371" i="5" s="1"/>
  <c r="J372" i="5"/>
  <c r="K372" i="5" s="1"/>
  <c r="J373" i="5"/>
  <c r="K373" i="5" s="1"/>
  <c r="J374" i="5"/>
  <c r="K374" i="5" s="1"/>
  <c r="J375" i="5"/>
  <c r="K375" i="5" s="1"/>
  <c r="J376" i="5"/>
  <c r="K376" i="5" s="1"/>
  <c r="J377" i="5"/>
  <c r="K377" i="5" s="1"/>
  <c r="J378" i="5"/>
  <c r="K378" i="5" s="1"/>
  <c r="J379" i="5"/>
  <c r="K379" i="5" s="1"/>
  <c r="J380" i="5"/>
  <c r="K380" i="5" s="1"/>
  <c r="J381" i="5"/>
  <c r="K381" i="5" s="1"/>
  <c r="J382" i="5"/>
  <c r="K382" i="5" s="1"/>
  <c r="J383" i="5"/>
  <c r="K383" i="5" s="1"/>
  <c r="J384" i="5"/>
  <c r="K384" i="5" s="1"/>
  <c r="J385" i="5"/>
  <c r="K385" i="5" s="1"/>
  <c r="J386" i="5"/>
  <c r="K386" i="5" s="1"/>
  <c r="J387" i="5"/>
  <c r="K387" i="5" s="1"/>
  <c r="J388" i="5"/>
  <c r="K388" i="5" s="1"/>
  <c r="J389" i="5"/>
  <c r="K389" i="5" s="1"/>
  <c r="J390" i="5"/>
  <c r="K390" i="5" s="1"/>
  <c r="J391" i="5"/>
  <c r="K391" i="5" s="1"/>
  <c r="J392" i="5"/>
  <c r="K392" i="5" s="1"/>
  <c r="J393" i="5"/>
  <c r="K393" i="5" s="1"/>
  <c r="J394" i="5"/>
  <c r="K394" i="5" s="1"/>
  <c r="J395" i="5"/>
  <c r="K395" i="5" s="1"/>
  <c r="J396" i="5"/>
  <c r="K396" i="5" s="1"/>
  <c r="J397" i="5"/>
  <c r="K397" i="5" s="1"/>
  <c r="J398" i="5"/>
  <c r="K398" i="5" s="1"/>
  <c r="J399" i="5"/>
  <c r="K399" i="5" s="1"/>
  <c r="J400" i="5"/>
  <c r="K400" i="5" s="1"/>
  <c r="J401" i="5"/>
  <c r="K401" i="5" s="1"/>
  <c r="J402" i="5"/>
  <c r="K402" i="5" s="1"/>
  <c r="J403" i="5"/>
  <c r="K403" i="5" s="1"/>
  <c r="J404" i="5"/>
  <c r="K404" i="5" s="1"/>
  <c r="J405" i="5"/>
  <c r="K405" i="5" s="1"/>
  <c r="J406" i="5"/>
  <c r="K406" i="5" s="1"/>
  <c r="J407" i="5"/>
  <c r="K407" i="5" s="1"/>
  <c r="J408" i="5"/>
  <c r="K408" i="5" s="1"/>
  <c r="J409" i="5"/>
  <c r="K409" i="5" s="1"/>
  <c r="J410" i="5"/>
  <c r="K410" i="5" s="1"/>
  <c r="J411" i="5"/>
  <c r="K411" i="5" s="1"/>
  <c r="J412" i="5"/>
  <c r="K412" i="5" s="1"/>
  <c r="J413" i="5"/>
  <c r="K413" i="5" s="1"/>
  <c r="J414" i="5"/>
  <c r="K414" i="5" s="1"/>
  <c r="J415" i="5"/>
  <c r="K415" i="5" s="1"/>
  <c r="J416" i="5"/>
  <c r="K416" i="5" s="1"/>
  <c r="J417" i="5"/>
  <c r="K417" i="5" s="1"/>
  <c r="J418" i="5"/>
  <c r="K418" i="5" s="1"/>
  <c r="J419" i="5"/>
  <c r="K419" i="5" s="1"/>
  <c r="J420" i="5"/>
  <c r="K420" i="5" s="1"/>
  <c r="J421" i="5"/>
  <c r="K421" i="5" s="1"/>
  <c r="J422" i="5"/>
  <c r="K422" i="5" s="1"/>
  <c r="J423" i="5"/>
  <c r="K423" i="5" s="1"/>
  <c r="J424" i="5"/>
  <c r="K424" i="5" s="1"/>
  <c r="J425" i="5"/>
  <c r="K425" i="5" s="1"/>
  <c r="J426" i="5"/>
  <c r="K426" i="5" s="1"/>
  <c r="J427" i="5"/>
  <c r="K427" i="5" s="1"/>
  <c r="J428" i="5"/>
  <c r="K428" i="5" s="1"/>
  <c r="J429" i="5"/>
  <c r="K429" i="5" s="1"/>
  <c r="J430" i="5"/>
  <c r="K430" i="5" s="1"/>
  <c r="J431" i="5"/>
  <c r="K431" i="5" s="1"/>
  <c r="J432" i="5"/>
  <c r="K432" i="5" s="1"/>
  <c r="J433" i="5"/>
  <c r="K433" i="5" s="1"/>
  <c r="J434" i="5"/>
  <c r="K434" i="5" s="1"/>
  <c r="J435" i="5"/>
  <c r="K435" i="5" s="1"/>
  <c r="J436" i="5"/>
  <c r="K436" i="5" s="1"/>
  <c r="J437" i="5"/>
  <c r="K437" i="5" s="1"/>
  <c r="J438" i="5"/>
  <c r="K438" i="5" s="1"/>
  <c r="J439" i="5"/>
  <c r="K439" i="5" s="1"/>
  <c r="J440" i="5"/>
  <c r="K440" i="5" s="1"/>
  <c r="J441" i="5"/>
  <c r="K441" i="5" s="1"/>
  <c r="J442" i="5"/>
  <c r="K442" i="5" s="1"/>
  <c r="J443" i="5"/>
  <c r="K443" i="5" s="1"/>
  <c r="J444" i="5"/>
  <c r="K444" i="5" s="1"/>
  <c r="J445" i="5"/>
  <c r="K445" i="5" s="1"/>
  <c r="J446" i="5"/>
  <c r="K446" i="5" s="1"/>
  <c r="J447" i="5"/>
  <c r="K447" i="5" s="1"/>
  <c r="J448" i="5"/>
  <c r="K448" i="5" s="1"/>
  <c r="J449" i="5"/>
  <c r="K449" i="5" s="1"/>
  <c r="J450" i="5"/>
  <c r="K450" i="5" s="1"/>
  <c r="J451" i="5"/>
  <c r="K451" i="5" s="1"/>
  <c r="J452" i="5"/>
  <c r="K452" i="5" s="1"/>
  <c r="J453" i="5"/>
  <c r="K453" i="5" s="1"/>
  <c r="J454" i="5"/>
  <c r="K454" i="5" s="1"/>
  <c r="J455" i="5"/>
  <c r="K455" i="5" s="1"/>
  <c r="J456" i="5"/>
  <c r="K456" i="5" s="1"/>
  <c r="J457" i="5"/>
  <c r="K457" i="5" s="1"/>
  <c r="J458" i="5"/>
  <c r="K458" i="5" s="1"/>
  <c r="J459" i="5"/>
  <c r="K459" i="5" s="1"/>
  <c r="J460" i="5"/>
  <c r="K460" i="5" s="1"/>
  <c r="J461" i="5"/>
  <c r="K461" i="5" s="1"/>
  <c r="J462" i="5"/>
  <c r="K462" i="5" s="1"/>
  <c r="J463" i="5"/>
  <c r="K463" i="5" s="1"/>
  <c r="J464" i="5"/>
  <c r="K464" i="5" s="1"/>
  <c r="J465" i="5"/>
  <c r="K465" i="5" s="1"/>
  <c r="J466" i="5"/>
  <c r="K466" i="5" s="1"/>
  <c r="J467" i="5"/>
  <c r="K467" i="5" s="1"/>
  <c r="J468" i="5"/>
  <c r="K468" i="5" s="1"/>
  <c r="J469" i="5"/>
  <c r="K469" i="5" s="1"/>
  <c r="J470" i="5"/>
  <c r="K470" i="5" s="1"/>
  <c r="J471" i="5"/>
  <c r="K471" i="5" s="1"/>
  <c r="J472" i="5"/>
  <c r="K472" i="5" s="1"/>
  <c r="J473" i="5"/>
  <c r="K473" i="5" s="1"/>
  <c r="J474" i="5"/>
  <c r="K474" i="5" s="1"/>
  <c r="J475" i="5"/>
  <c r="K475" i="5" s="1"/>
  <c r="J476" i="5"/>
  <c r="K476" i="5" s="1"/>
  <c r="J477" i="5"/>
  <c r="K477" i="5" s="1"/>
  <c r="J478" i="5"/>
  <c r="K478" i="5" s="1"/>
  <c r="J479" i="5"/>
  <c r="K479" i="5" s="1"/>
  <c r="J480" i="5"/>
  <c r="K480" i="5" s="1"/>
  <c r="J481" i="5"/>
  <c r="K481" i="5" s="1"/>
  <c r="J482" i="5"/>
  <c r="K482" i="5" s="1"/>
  <c r="J483" i="5"/>
  <c r="K483" i="5" s="1"/>
  <c r="J484" i="5"/>
  <c r="K484" i="5" s="1"/>
  <c r="J485" i="5"/>
  <c r="K485" i="5" s="1"/>
  <c r="J486" i="5"/>
  <c r="K486" i="5" s="1"/>
  <c r="J487" i="5"/>
  <c r="K487" i="5" s="1"/>
  <c r="J488" i="5"/>
  <c r="K488" i="5" s="1"/>
  <c r="J489" i="5"/>
  <c r="K489" i="5" s="1"/>
  <c r="J490" i="5"/>
  <c r="K490" i="5" s="1"/>
  <c r="J491" i="5"/>
  <c r="K491" i="5" s="1"/>
  <c r="J492" i="5"/>
  <c r="K492" i="5" s="1"/>
  <c r="J493" i="5"/>
  <c r="K493" i="5" s="1"/>
  <c r="J494" i="5"/>
  <c r="K494" i="5" s="1"/>
  <c r="J495" i="5"/>
  <c r="K495" i="5" s="1"/>
  <c r="J496" i="5"/>
  <c r="K496" i="5" s="1"/>
  <c r="J497" i="5"/>
  <c r="K497" i="5" s="1"/>
  <c r="J498" i="5"/>
  <c r="K498" i="5" s="1"/>
  <c r="J499" i="5"/>
  <c r="K499" i="5" s="1"/>
  <c r="J500" i="5"/>
  <c r="K500" i="5" s="1"/>
  <c r="J501" i="5"/>
  <c r="K501" i="5" s="1"/>
  <c r="J502" i="5"/>
  <c r="K502" i="5" s="1"/>
  <c r="J503" i="5"/>
  <c r="K503" i="5" s="1"/>
  <c r="J504" i="5"/>
  <c r="K504" i="5" s="1"/>
  <c r="J505" i="5"/>
  <c r="K505" i="5" s="1"/>
  <c r="J506" i="5"/>
  <c r="K506" i="5" s="1"/>
  <c r="J507" i="5"/>
  <c r="K507" i="5" s="1"/>
  <c r="J508" i="5"/>
  <c r="K508" i="5" s="1"/>
  <c r="J509" i="5"/>
  <c r="K509" i="5" s="1"/>
  <c r="J510" i="5"/>
  <c r="K510" i="5" s="1"/>
  <c r="J511" i="5"/>
  <c r="K511" i="5" s="1"/>
  <c r="J512" i="5"/>
  <c r="K512" i="5" s="1"/>
  <c r="J513" i="5"/>
  <c r="K513" i="5" s="1"/>
  <c r="J514" i="5"/>
  <c r="K514" i="5" s="1"/>
  <c r="J515" i="5"/>
  <c r="K515" i="5" s="1"/>
  <c r="J516" i="5"/>
  <c r="K516" i="5" s="1"/>
  <c r="J517" i="5"/>
  <c r="K517" i="5" s="1"/>
  <c r="J518" i="5"/>
  <c r="K518" i="5" s="1"/>
  <c r="J519" i="5"/>
  <c r="K519" i="5" s="1"/>
  <c r="J520" i="5"/>
  <c r="K520" i="5" s="1"/>
  <c r="J521" i="5"/>
  <c r="K521" i="5" s="1"/>
  <c r="J522" i="5"/>
  <c r="K522" i="5" s="1"/>
  <c r="J523" i="5"/>
  <c r="K523" i="5" s="1"/>
  <c r="J524" i="5"/>
  <c r="K524" i="5" s="1"/>
  <c r="J525" i="5"/>
  <c r="K525" i="5" s="1"/>
  <c r="J526" i="5"/>
  <c r="K526" i="5" s="1"/>
  <c r="J527" i="5"/>
  <c r="K527" i="5" s="1"/>
  <c r="J528" i="5"/>
  <c r="K528" i="5" s="1"/>
  <c r="J529" i="5"/>
  <c r="K529" i="5" s="1"/>
  <c r="J530" i="5"/>
  <c r="K530" i="5" s="1"/>
  <c r="J531" i="5"/>
  <c r="K531" i="5" s="1"/>
  <c r="J532" i="5"/>
  <c r="K532" i="5" s="1"/>
  <c r="J533" i="5"/>
  <c r="K533" i="5" s="1"/>
  <c r="J534" i="5"/>
  <c r="K534" i="5" s="1"/>
  <c r="J535" i="5"/>
  <c r="K535" i="5" s="1"/>
  <c r="J536" i="5"/>
  <c r="K536" i="5" s="1"/>
  <c r="J537" i="5"/>
  <c r="K537" i="5" s="1"/>
  <c r="J538" i="5"/>
  <c r="K538" i="5" s="1"/>
  <c r="J539" i="5"/>
  <c r="K539" i="5" s="1"/>
  <c r="J540" i="5"/>
  <c r="K540" i="5" s="1"/>
  <c r="J541" i="5"/>
  <c r="K541" i="5" s="1"/>
  <c r="J542" i="5"/>
  <c r="K542" i="5" s="1"/>
  <c r="J543" i="5"/>
  <c r="K543" i="5" s="1"/>
  <c r="J544" i="5"/>
  <c r="K544" i="5" s="1"/>
  <c r="J545" i="5"/>
  <c r="K545" i="5" s="1"/>
  <c r="J546" i="5"/>
  <c r="K546" i="5" s="1"/>
  <c r="J547" i="5"/>
  <c r="K547" i="5" s="1"/>
  <c r="J548" i="5"/>
  <c r="K548" i="5" s="1"/>
  <c r="J549" i="5"/>
  <c r="K549" i="5" s="1"/>
  <c r="J550" i="5"/>
  <c r="K550" i="5" s="1"/>
  <c r="J551" i="5"/>
  <c r="K551" i="5" s="1"/>
  <c r="J552" i="5"/>
  <c r="K552" i="5" s="1"/>
  <c r="J553" i="5"/>
  <c r="K553" i="5" s="1"/>
  <c r="J554" i="5"/>
  <c r="K554" i="5" s="1"/>
  <c r="J555" i="5"/>
  <c r="K555" i="5" s="1"/>
  <c r="J556" i="5"/>
  <c r="K556" i="5" s="1"/>
  <c r="J557" i="5"/>
  <c r="K557" i="5" s="1"/>
  <c r="J558" i="5"/>
  <c r="K558" i="5" s="1"/>
  <c r="J559" i="5"/>
  <c r="K559" i="5" s="1"/>
  <c r="J560" i="5"/>
  <c r="K560" i="5" s="1"/>
  <c r="J561" i="5"/>
  <c r="K561" i="5" s="1"/>
  <c r="J562" i="5"/>
  <c r="K562" i="5" s="1"/>
  <c r="J563" i="5"/>
  <c r="K563" i="5" s="1"/>
  <c r="J564" i="5"/>
  <c r="K564" i="5" s="1"/>
  <c r="J565" i="5"/>
  <c r="K565" i="5" s="1"/>
  <c r="J566" i="5"/>
  <c r="K566" i="5" s="1"/>
  <c r="J567" i="5"/>
  <c r="K567" i="5" s="1"/>
  <c r="J568" i="5"/>
  <c r="K568" i="5" s="1"/>
  <c r="J569" i="5"/>
  <c r="K569" i="5" s="1"/>
  <c r="J570" i="5"/>
  <c r="K570" i="5" s="1"/>
  <c r="J571" i="5"/>
  <c r="K571" i="5" s="1"/>
  <c r="J572" i="5"/>
  <c r="K572" i="5" s="1"/>
  <c r="J573" i="5"/>
  <c r="K573" i="5" s="1"/>
  <c r="J574" i="5"/>
  <c r="K574" i="5" s="1"/>
  <c r="J575" i="5"/>
  <c r="K575" i="5" s="1"/>
  <c r="J576" i="5"/>
  <c r="K576" i="5" s="1"/>
  <c r="J577" i="5"/>
  <c r="K577" i="5" s="1"/>
  <c r="J578" i="5"/>
  <c r="K578" i="5" s="1"/>
  <c r="J579" i="5"/>
  <c r="K579" i="5" s="1"/>
  <c r="J580" i="5"/>
  <c r="K580" i="5" s="1"/>
  <c r="J581" i="5"/>
  <c r="K581" i="5" s="1"/>
  <c r="J582" i="5"/>
  <c r="K582" i="5" s="1"/>
  <c r="J583" i="5"/>
  <c r="K583" i="5" s="1"/>
  <c r="J584" i="5"/>
  <c r="K584" i="5" s="1"/>
  <c r="J585" i="5"/>
  <c r="K585" i="5" s="1"/>
  <c r="J586" i="5"/>
  <c r="K586" i="5" s="1"/>
  <c r="J587" i="5"/>
  <c r="K587" i="5" s="1"/>
  <c r="J588" i="5"/>
  <c r="K588" i="5" s="1"/>
  <c r="J589" i="5"/>
  <c r="K589" i="5" s="1"/>
  <c r="J590" i="5"/>
  <c r="K590" i="5" s="1"/>
  <c r="J591" i="5"/>
  <c r="K591" i="5" s="1"/>
  <c r="J592" i="5"/>
  <c r="K592" i="5" s="1"/>
  <c r="J593" i="5"/>
  <c r="K593" i="5" s="1"/>
  <c r="J594" i="5"/>
  <c r="K594" i="5" s="1"/>
  <c r="J595" i="5"/>
  <c r="K595" i="5" s="1"/>
  <c r="J596" i="5"/>
  <c r="K596" i="5" s="1"/>
  <c r="J597" i="5"/>
  <c r="K597" i="5" s="1"/>
  <c r="J598" i="5"/>
  <c r="K598" i="5" s="1"/>
  <c r="J599" i="5"/>
  <c r="K599" i="5" s="1"/>
  <c r="J600" i="5"/>
  <c r="K600" i="5" s="1"/>
  <c r="J601" i="5"/>
  <c r="K601" i="5" s="1"/>
  <c r="J602" i="5"/>
  <c r="K602" i="5" s="1"/>
  <c r="J603" i="5"/>
  <c r="K603" i="5" s="1"/>
  <c r="J604" i="5"/>
  <c r="K604" i="5" s="1"/>
  <c r="J605" i="5"/>
  <c r="K605" i="5" s="1"/>
  <c r="J606" i="5"/>
  <c r="K606" i="5" s="1"/>
  <c r="J607" i="5"/>
  <c r="K607" i="5" s="1"/>
  <c r="J608" i="5"/>
  <c r="K608" i="5" s="1"/>
  <c r="J609" i="5"/>
  <c r="K609" i="5" s="1"/>
  <c r="J610" i="5"/>
  <c r="K610" i="5" s="1"/>
  <c r="J611" i="5"/>
  <c r="K611" i="5" s="1"/>
  <c r="J612" i="5"/>
  <c r="K612" i="5" s="1"/>
  <c r="J613" i="5"/>
  <c r="K613" i="5" s="1"/>
  <c r="J614" i="5"/>
  <c r="K614" i="5" s="1"/>
  <c r="J615" i="5"/>
  <c r="K615" i="5" s="1"/>
  <c r="J616" i="5"/>
  <c r="K616" i="5" s="1"/>
  <c r="J617" i="5"/>
  <c r="K617" i="5" s="1"/>
  <c r="J618" i="5"/>
  <c r="K618" i="5" s="1"/>
  <c r="J619" i="5"/>
  <c r="K619" i="5" s="1"/>
  <c r="J620" i="5"/>
  <c r="K620" i="5" s="1"/>
  <c r="J621" i="5"/>
  <c r="K621" i="5" s="1"/>
  <c r="J622" i="5"/>
  <c r="K622" i="5" s="1"/>
  <c r="J623" i="5"/>
  <c r="K623" i="5" s="1"/>
  <c r="J624" i="5"/>
  <c r="K624" i="5" s="1"/>
  <c r="J625" i="5"/>
  <c r="K625" i="5" s="1"/>
  <c r="J626" i="5"/>
  <c r="K626" i="5" s="1"/>
  <c r="J627" i="5"/>
  <c r="K627" i="5" s="1"/>
  <c r="J628" i="5"/>
  <c r="K628" i="5" s="1"/>
  <c r="J629" i="5"/>
  <c r="K629" i="5" s="1"/>
  <c r="J630" i="5"/>
  <c r="K630" i="5" s="1"/>
  <c r="J631" i="5"/>
  <c r="K631" i="5" s="1"/>
  <c r="J632" i="5"/>
  <c r="K632" i="5" s="1"/>
  <c r="J633" i="5"/>
  <c r="K633" i="5" s="1"/>
  <c r="J634" i="5"/>
  <c r="K634" i="5" s="1"/>
  <c r="J635" i="5"/>
  <c r="K635" i="5" s="1"/>
  <c r="J636" i="5"/>
  <c r="K636" i="5" s="1"/>
  <c r="J637" i="5"/>
  <c r="K637" i="5" s="1"/>
  <c r="J638" i="5"/>
  <c r="K638" i="5" s="1"/>
  <c r="J639" i="5"/>
  <c r="K639" i="5" s="1"/>
  <c r="J640" i="5"/>
  <c r="K640" i="5" s="1"/>
  <c r="J641" i="5"/>
  <c r="K641" i="5" s="1"/>
  <c r="J642" i="5"/>
  <c r="K642" i="5" s="1"/>
  <c r="J643" i="5"/>
  <c r="K643" i="5" s="1"/>
  <c r="J644" i="5"/>
  <c r="K644" i="5" s="1"/>
  <c r="J645" i="5"/>
  <c r="K645" i="5" s="1"/>
  <c r="J646" i="5"/>
  <c r="K646" i="5" s="1"/>
  <c r="J647" i="5"/>
  <c r="K647" i="5" s="1"/>
  <c r="J648" i="5"/>
  <c r="K648" i="5" s="1"/>
  <c r="J649" i="5"/>
  <c r="K649" i="5" s="1"/>
  <c r="J650" i="5"/>
  <c r="K650" i="5" s="1"/>
  <c r="J651" i="5"/>
  <c r="K651" i="5" s="1"/>
  <c r="J652" i="5"/>
  <c r="K652" i="5" s="1"/>
  <c r="J653" i="5"/>
  <c r="K653" i="5" s="1"/>
  <c r="J654" i="5"/>
  <c r="K654" i="5" s="1"/>
  <c r="J655" i="5"/>
  <c r="K655" i="5" s="1"/>
  <c r="J656" i="5"/>
  <c r="K656" i="5" s="1"/>
  <c r="J657" i="5"/>
  <c r="K657" i="5" s="1"/>
  <c r="J658" i="5"/>
  <c r="K658" i="5" s="1"/>
  <c r="J659" i="5"/>
  <c r="K659" i="5" s="1"/>
  <c r="J660" i="5"/>
  <c r="K660" i="5" s="1"/>
  <c r="J661" i="5"/>
  <c r="K661" i="5" s="1"/>
  <c r="J662" i="5"/>
  <c r="K662" i="5" s="1"/>
  <c r="J663" i="5"/>
  <c r="K663" i="5" s="1"/>
  <c r="J664" i="5"/>
  <c r="K664" i="5" s="1"/>
  <c r="J665" i="5"/>
  <c r="K665" i="5" s="1"/>
  <c r="J666" i="5"/>
  <c r="K666" i="5" s="1"/>
  <c r="J667" i="5"/>
  <c r="K667" i="5" s="1"/>
  <c r="J668" i="5"/>
  <c r="K668" i="5" s="1"/>
  <c r="J669" i="5"/>
  <c r="K669" i="5" s="1"/>
  <c r="J670" i="5"/>
  <c r="K670" i="5" s="1"/>
  <c r="J671" i="5"/>
  <c r="K671" i="5" s="1"/>
  <c r="J672" i="5"/>
  <c r="K672" i="5" s="1"/>
  <c r="J673" i="5"/>
  <c r="K673" i="5" s="1"/>
  <c r="J674" i="5"/>
  <c r="K674" i="5" s="1"/>
  <c r="J675" i="5"/>
  <c r="K675" i="5" s="1"/>
  <c r="J676" i="5"/>
  <c r="K676" i="5" s="1"/>
  <c r="J677" i="5"/>
  <c r="K677" i="5" s="1"/>
  <c r="J678" i="5"/>
  <c r="K678" i="5" s="1"/>
  <c r="J679" i="5"/>
  <c r="K679" i="5" s="1"/>
  <c r="J680" i="5"/>
  <c r="K680" i="5" s="1"/>
  <c r="J681" i="5"/>
  <c r="K681" i="5" s="1"/>
  <c r="J682" i="5"/>
  <c r="K682" i="5" s="1"/>
  <c r="J683" i="5"/>
  <c r="K683" i="5" s="1"/>
  <c r="J684" i="5"/>
  <c r="K684" i="5" s="1"/>
  <c r="J685" i="5"/>
  <c r="K685" i="5" s="1"/>
  <c r="J686" i="5"/>
  <c r="K686" i="5" s="1"/>
  <c r="J687" i="5"/>
  <c r="K687" i="5" s="1"/>
  <c r="J688" i="5"/>
  <c r="K688" i="5" s="1"/>
  <c r="J689" i="5"/>
  <c r="K689" i="5" s="1"/>
  <c r="J690" i="5"/>
  <c r="K690" i="5" s="1"/>
  <c r="J691" i="5"/>
  <c r="K691" i="5" s="1"/>
  <c r="J692" i="5"/>
  <c r="K692" i="5" s="1"/>
  <c r="J693" i="5"/>
  <c r="K693" i="5" s="1"/>
  <c r="J694" i="5"/>
  <c r="K694" i="5" s="1"/>
  <c r="J695" i="5"/>
  <c r="K695" i="5" s="1"/>
  <c r="J696" i="5"/>
  <c r="K696" i="5" s="1"/>
  <c r="J697" i="5"/>
  <c r="K697" i="5" s="1"/>
  <c r="J698" i="5"/>
  <c r="K698" i="5" s="1"/>
  <c r="J699" i="5"/>
  <c r="K699" i="5" s="1"/>
  <c r="J700" i="5"/>
  <c r="K700" i="5" s="1"/>
  <c r="J701" i="5"/>
  <c r="K701" i="5" s="1"/>
  <c r="J702" i="5"/>
  <c r="K702" i="5" s="1"/>
  <c r="J703" i="5"/>
  <c r="K703" i="5" s="1"/>
  <c r="J704" i="5"/>
  <c r="K704" i="5" s="1"/>
  <c r="J705" i="5"/>
  <c r="K705" i="5" s="1"/>
  <c r="J706" i="5"/>
  <c r="K706" i="5" s="1"/>
  <c r="J707" i="5"/>
  <c r="K707" i="5" s="1"/>
  <c r="J708" i="5"/>
  <c r="K708" i="5" s="1"/>
  <c r="J709" i="5"/>
  <c r="K709" i="5" s="1"/>
  <c r="J710" i="5"/>
  <c r="K710" i="5" s="1"/>
  <c r="J711" i="5"/>
  <c r="K711" i="5" s="1"/>
  <c r="J712" i="5"/>
  <c r="K712" i="5" s="1"/>
  <c r="J713" i="5"/>
  <c r="K713" i="5" s="1"/>
  <c r="J714" i="5"/>
  <c r="K714" i="5" s="1"/>
  <c r="J715" i="5"/>
  <c r="K715" i="5" s="1"/>
  <c r="J716" i="5"/>
  <c r="K716" i="5" s="1"/>
  <c r="J717" i="5"/>
  <c r="K717" i="5" s="1"/>
  <c r="J718" i="5"/>
  <c r="K718" i="5" s="1"/>
  <c r="J719" i="5"/>
  <c r="K719" i="5" s="1"/>
  <c r="J720" i="5"/>
  <c r="K720" i="5" s="1"/>
  <c r="J721" i="5"/>
  <c r="K721" i="5" s="1"/>
  <c r="J722" i="5"/>
  <c r="K722" i="5" s="1"/>
  <c r="J723" i="5"/>
  <c r="K723" i="5" s="1"/>
  <c r="J724" i="5"/>
  <c r="K724" i="5" s="1"/>
  <c r="J725" i="5"/>
  <c r="K725" i="5" s="1"/>
  <c r="J726" i="5"/>
  <c r="K726" i="5" s="1"/>
  <c r="J727" i="5"/>
  <c r="K727" i="5" s="1"/>
  <c r="J728" i="5"/>
  <c r="K728" i="5" s="1"/>
  <c r="J729" i="5"/>
  <c r="K729" i="5" s="1"/>
  <c r="J730" i="5"/>
  <c r="K730" i="5" s="1"/>
  <c r="J731" i="5"/>
  <c r="K731" i="5" s="1"/>
  <c r="J732" i="5"/>
  <c r="K732" i="5" s="1"/>
  <c r="J733" i="5"/>
  <c r="K733" i="5" s="1"/>
  <c r="J734" i="5"/>
  <c r="K734" i="5" s="1"/>
  <c r="J735" i="5"/>
  <c r="K735" i="5" s="1"/>
  <c r="J736" i="5"/>
  <c r="K736" i="5" s="1"/>
  <c r="J737" i="5"/>
  <c r="K737" i="5" s="1"/>
  <c r="J738" i="5"/>
  <c r="K738" i="5" s="1"/>
  <c r="J739" i="5"/>
  <c r="K739" i="5" s="1"/>
  <c r="J740" i="5"/>
  <c r="K740" i="5" s="1"/>
  <c r="J741" i="5"/>
  <c r="K741" i="5" s="1"/>
  <c r="J742" i="5"/>
  <c r="K742" i="5" s="1"/>
  <c r="J743" i="5"/>
  <c r="K743" i="5" s="1"/>
  <c r="J744" i="5"/>
  <c r="K744" i="5" s="1"/>
  <c r="J745" i="5"/>
  <c r="K745" i="5" s="1"/>
  <c r="J746" i="5"/>
  <c r="K746" i="5" s="1"/>
  <c r="J747" i="5"/>
  <c r="K747" i="5" s="1"/>
  <c r="J748" i="5"/>
  <c r="K748" i="5" s="1"/>
  <c r="J749" i="5"/>
  <c r="K749" i="5" s="1"/>
  <c r="J750" i="5"/>
  <c r="K750" i="5" s="1"/>
  <c r="J751" i="5"/>
  <c r="K751" i="5" s="1"/>
  <c r="J752" i="5"/>
  <c r="K752" i="5" s="1"/>
  <c r="J753" i="5"/>
  <c r="K753" i="5" s="1"/>
  <c r="J754" i="5"/>
  <c r="K754" i="5" s="1"/>
  <c r="J755" i="5"/>
  <c r="K755" i="5" s="1"/>
  <c r="J756" i="5"/>
  <c r="K756" i="5" s="1"/>
  <c r="J757" i="5"/>
  <c r="K757" i="5" s="1"/>
  <c r="J758" i="5"/>
  <c r="K758" i="5" s="1"/>
  <c r="J759" i="5"/>
  <c r="K759" i="5" s="1"/>
  <c r="J760" i="5"/>
  <c r="K760" i="5" s="1"/>
  <c r="J761" i="5"/>
  <c r="K761" i="5" s="1"/>
  <c r="J762" i="5"/>
  <c r="K762" i="5" s="1"/>
  <c r="J763" i="5"/>
  <c r="K763" i="5" s="1"/>
  <c r="J764" i="5"/>
  <c r="K764" i="5" s="1"/>
  <c r="J765" i="5"/>
  <c r="K765" i="5" s="1"/>
  <c r="J766" i="5"/>
  <c r="K766" i="5" s="1"/>
  <c r="J767" i="5"/>
  <c r="K767" i="5" s="1"/>
  <c r="J768" i="5"/>
  <c r="K768" i="5" s="1"/>
  <c r="J769" i="5"/>
  <c r="K769" i="5" s="1"/>
  <c r="J770" i="5"/>
  <c r="K770" i="5" s="1"/>
  <c r="J771" i="5"/>
  <c r="K771" i="5" s="1"/>
  <c r="J772" i="5"/>
  <c r="K772" i="5" s="1"/>
  <c r="J773" i="5"/>
  <c r="K773" i="5" s="1"/>
  <c r="J774" i="5"/>
  <c r="K774" i="5" s="1"/>
  <c r="J775" i="5"/>
  <c r="K775" i="5" s="1"/>
  <c r="J776" i="5"/>
  <c r="K776" i="5" s="1"/>
  <c r="J777" i="5"/>
  <c r="K777" i="5" s="1"/>
  <c r="J778" i="5"/>
  <c r="K778" i="5" s="1"/>
  <c r="J779" i="5"/>
  <c r="K779" i="5" s="1"/>
  <c r="J780" i="5"/>
  <c r="K780" i="5" s="1"/>
  <c r="J781" i="5"/>
  <c r="K781" i="5" s="1"/>
  <c r="J782" i="5"/>
  <c r="K782" i="5" s="1"/>
  <c r="J783" i="5"/>
  <c r="K783" i="5" s="1"/>
  <c r="J784" i="5"/>
  <c r="K784" i="5" s="1"/>
  <c r="J785" i="5"/>
  <c r="K785" i="5" s="1"/>
  <c r="J786" i="5"/>
  <c r="K786" i="5" s="1"/>
  <c r="J787" i="5"/>
  <c r="K787" i="5" s="1"/>
  <c r="J788" i="5"/>
  <c r="K788" i="5" s="1"/>
  <c r="J789" i="5"/>
  <c r="K789" i="5" s="1"/>
  <c r="J790" i="5"/>
  <c r="K790" i="5" s="1"/>
  <c r="J791" i="5"/>
  <c r="K791" i="5" s="1"/>
  <c r="J792" i="5"/>
  <c r="K792" i="5" s="1"/>
  <c r="J793" i="5"/>
  <c r="K793" i="5" s="1"/>
  <c r="J794" i="5"/>
  <c r="K794" i="5" s="1"/>
  <c r="J795" i="5"/>
  <c r="K795" i="5" s="1"/>
  <c r="J796" i="5"/>
  <c r="K796" i="5" s="1"/>
  <c r="J797" i="5"/>
  <c r="K797" i="5" s="1"/>
  <c r="J798" i="5"/>
  <c r="K798" i="5" s="1"/>
  <c r="J799" i="5"/>
  <c r="K799" i="5" s="1"/>
  <c r="J800" i="5"/>
  <c r="K800" i="5" s="1"/>
  <c r="J801" i="5"/>
  <c r="K801" i="5" s="1"/>
  <c r="J802" i="5"/>
  <c r="K802" i="5" s="1"/>
  <c r="J803" i="5"/>
  <c r="K803" i="5" s="1"/>
  <c r="J804" i="5"/>
  <c r="K804" i="5" s="1"/>
  <c r="J805" i="5"/>
  <c r="K805" i="5" s="1"/>
  <c r="J806" i="5"/>
  <c r="K806" i="5" s="1"/>
  <c r="J807" i="5"/>
  <c r="K807" i="5" s="1"/>
  <c r="J808" i="5"/>
  <c r="K808" i="5" s="1"/>
  <c r="J809" i="5"/>
  <c r="K809" i="5" s="1"/>
  <c r="J810" i="5"/>
  <c r="K810" i="5" s="1"/>
  <c r="J811" i="5"/>
  <c r="K811" i="5" s="1"/>
  <c r="J812" i="5"/>
  <c r="K812" i="5" s="1"/>
  <c r="J813" i="5"/>
  <c r="K813" i="5" s="1"/>
  <c r="J814" i="5"/>
  <c r="K814" i="5" s="1"/>
  <c r="J815" i="5"/>
  <c r="K815" i="5" s="1"/>
  <c r="J816" i="5"/>
  <c r="K816" i="5" s="1"/>
  <c r="J817" i="5"/>
  <c r="K817" i="5" s="1"/>
  <c r="J818" i="5"/>
  <c r="K818" i="5" s="1"/>
  <c r="J819" i="5"/>
  <c r="K819" i="5" s="1"/>
  <c r="J820" i="5"/>
  <c r="K820" i="5" s="1"/>
  <c r="J821" i="5"/>
  <c r="K821" i="5" s="1"/>
  <c r="J822" i="5"/>
  <c r="K822" i="5" s="1"/>
  <c r="J823" i="5"/>
  <c r="K823" i="5" s="1"/>
  <c r="J824" i="5"/>
  <c r="K824" i="5" s="1"/>
  <c r="J825" i="5"/>
  <c r="K825" i="5" s="1"/>
  <c r="J826" i="5"/>
  <c r="K826" i="5" s="1"/>
  <c r="J827" i="5"/>
  <c r="K827" i="5" s="1"/>
  <c r="J828" i="5"/>
  <c r="K828" i="5" s="1"/>
  <c r="J829" i="5"/>
  <c r="K829" i="5" s="1"/>
  <c r="J830" i="5"/>
  <c r="K830" i="5" s="1"/>
  <c r="J831" i="5"/>
  <c r="K831" i="5" s="1"/>
  <c r="J832" i="5"/>
  <c r="K832" i="5" s="1"/>
  <c r="J833" i="5"/>
  <c r="K833" i="5" s="1"/>
  <c r="J834" i="5"/>
  <c r="K834" i="5" s="1"/>
  <c r="J835" i="5"/>
  <c r="K835" i="5" s="1"/>
  <c r="J836" i="5"/>
  <c r="K836" i="5" s="1"/>
  <c r="J837" i="5"/>
  <c r="K837" i="5" s="1"/>
  <c r="J838" i="5"/>
  <c r="K838" i="5" s="1"/>
  <c r="J839" i="5"/>
  <c r="K839" i="5" s="1"/>
  <c r="J840" i="5"/>
  <c r="K840" i="5" s="1"/>
  <c r="J841" i="5"/>
  <c r="K841" i="5" s="1"/>
  <c r="J842" i="5"/>
  <c r="K842" i="5" s="1"/>
  <c r="J843" i="5"/>
  <c r="K843" i="5" s="1"/>
  <c r="J844" i="5"/>
  <c r="K844" i="5" s="1"/>
  <c r="J845" i="5"/>
  <c r="K845" i="5" s="1"/>
  <c r="J846" i="5"/>
  <c r="K846" i="5" s="1"/>
  <c r="J847" i="5"/>
  <c r="K847" i="5" s="1"/>
  <c r="J848" i="5"/>
  <c r="K848" i="5" s="1"/>
  <c r="J849" i="5"/>
  <c r="K849" i="5" s="1"/>
  <c r="J850" i="5"/>
  <c r="K850" i="5" s="1"/>
  <c r="J851" i="5"/>
  <c r="K851" i="5" s="1"/>
  <c r="J852" i="5"/>
  <c r="K852" i="5" s="1"/>
  <c r="J853" i="5"/>
  <c r="K853" i="5" s="1"/>
  <c r="J854" i="5"/>
  <c r="K854" i="5" s="1"/>
  <c r="J855" i="5"/>
  <c r="K855" i="5" s="1"/>
  <c r="J856" i="5"/>
  <c r="K856" i="5" s="1"/>
  <c r="J857" i="5"/>
  <c r="K857" i="5" s="1"/>
  <c r="J858" i="5"/>
  <c r="K858" i="5" s="1"/>
  <c r="J859" i="5"/>
  <c r="K859" i="5" s="1"/>
  <c r="J860" i="5"/>
  <c r="K860" i="5" s="1"/>
  <c r="J861" i="5"/>
  <c r="K861" i="5" s="1"/>
  <c r="J862" i="5"/>
  <c r="K862" i="5" s="1"/>
  <c r="J863" i="5"/>
  <c r="K863" i="5" s="1"/>
  <c r="J864" i="5"/>
  <c r="K864" i="5" s="1"/>
  <c r="J865" i="5"/>
  <c r="K865" i="5" s="1"/>
  <c r="J866" i="5"/>
  <c r="K866" i="5" s="1"/>
  <c r="J867" i="5"/>
  <c r="K867" i="5" s="1"/>
  <c r="J868" i="5"/>
  <c r="K868" i="5" s="1"/>
  <c r="J869" i="5"/>
  <c r="K869" i="5" s="1"/>
  <c r="J870" i="5"/>
  <c r="K870" i="5" s="1"/>
  <c r="J871" i="5"/>
  <c r="K871" i="5" s="1"/>
  <c r="J872" i="5"/>
  <c r="K872" i="5" s="1"/>
  <c r="J873" i="5"/>
  <c r="K873" i="5" s="1"/>
  <c r="J874" i="5"/>
  <c r="K874" i="5" s="1"/>
  <c r="J875" i="5"/>
  <c r="K875" i="5" s="1"/>
  <c r="J876" i="5"/>
  <c r="K876" i="5" s="1"/>
  <c r="J877" i="5"/>
  <c r="K877" i="5" s="1"/>
  <c r="J878" i="5"/>
  <c r="K878" i="5" s="1"/>
  <c r="J879" i="5"/>
  <c r="K879" i="5" s="1"/>
  <c r="J880" i="5"/>
  <c r="K880" i="5" s="1"/>
  <c r="J881" i="5"/>
  <c r="K881" i="5" s="1"/>
  <c r="J882" i="5"/>
  <c r="K882" i="5" s="1"/>
  <c r="J883" i="5"/>
  <c r="K883" i="5" s="1"/>
  <c r="J884" i="5"/>
  <c r="K884" i="5" s="1"/>
  <c r="J885" i="5"/>
  <c r="K885" i="5" s="1"/>
  <c r="J886" i="5"/>
  <c r="K886" i="5" s="1"/>
  <c r="J887" i="5"/>
  <c r="K887" i="5" s="1"/>
  <c r="J888" i="5"/>
  <c r="K888" i="5" s="1"/>
  <c r="J889" i="5"/>
  <c r="K889" i="5" s="1"/>
  <c r="J890" i="5"/>
  <c r="K890" i="5" s="1"/>
  <c r="J891" i="5"/>
  <c r="K891" i="5" s="1"/>
  <c r="J892" i="5"/>
  <c r="K892" i="5" s="1"/>
  <c r="J893" i="5"/>
  <c r="K893" i="5" s="1"/>
  <c r="J894" i="5"/>
  <c r="K894" i="5" s="1"/>
  <c r="J895" i="5"/>
  <c r="K895" i="5" s="1"/>
  <c r="J896" i="5"/>
  <c r="K896" i="5" s="1"/>
  <c r="J897" i="5"/>
  <c r="K897" i="5" s="1"/>
  <c r="J898" i="5"/>
  <c r="K898" i="5" s="1"/>
  <c r="J899" i="5"/>
  <c r="K899" i="5" s="1"/>
  <c r="J900" i="5"/>
  <c r="K900" i="5" s="1"/>
  <c r="J901" i="5"/>
  <c r="K901" i="5" s="1"/>
  <c r="J902" i="5"/>
  <c r="K902" i="5" s="1"/>
  <c r="J903" i="5"/>
  <c r="K903" i="5" s="1"/>
  <c r="J904" i="5"/>
  <c r="K904" i="5" s="1"/>
  <c r="J905" i="5"/>
  <c r="K905" i="5" s="1"/>
  <c r="J906" i="5"/>
  <c r="K906" i="5" s="1"/>
  <c r="J907" i="5"/>
  <c r="K907" i="5" s="1"/>
  <c r="J908" i="5"/>
  <c r="K908" i="5" s="1"/>
  <c r="J909" i="5"/>
  <c r="K909" i="5" s="1"/>
  <c r="J910" i="5"/>
  <c r="K910" i="5" s="1"/>
  <c r="J911" i="5"/>
  <c r="K911" i="5" s="1"/>
  <c r="J912" i="5"/>
  <c r="K912" i="5" s="1"/>
  <c r="J913" i="5"/>
  <c r="K913" i="5" s="1"/>
  <c r="J914" i="5"/>
  <c r="K914" i="5" s="1"/>
  <c r="J915" i="5"/>
  <c r="K915" i="5" s="1"/>
  <c r="J916" i="5"/>
  <c r="K916" i="5" s="1"/>
  <c r="J917" i="5"/>
  <c r="K917" i="5" s="1"/>
  <c r="J918" i="5"/>
  <c r="K918" i="5" s="1"/>
  <c r="J919" i="5"/>
  <c r="K919" i="5" s="1"/>
  <c r="J920" i="5"/>
  <c r="K920" i="5" s="1"/>
  <c r="J921" i="5"/>
  <c r="K921" i="5" s="1"/>
  <c r="J922" i="5"/>
  <c r="K922" i="5" s="1"/>
  <c r="J923" i="5"/>
  <c r="K923" i="5" s="1"/>
  <c r="J924" i="5"/>
  <c r="K924" i="5" s="1"/>
  <c r="J925" i="5"/>
  <c r="K925" i="5" s="1"/>
  <c r="J926" i="5"/>
  <c r="K926" i="5" s="1"/>
  <c r="J927" i="5"/>
  <c r="K927" i="5" s="1"/>
  <c r="J928" i="5"/>
  <c r="K928" i="5" s="1"/>
  <c r="J929" i="5"/>
  <c r="K929" i="5" s="1"/>
  <c r="J930" i="5"/>
  <c r="K930" i="5" s="1"/>
  <c r="J931" i="5"/>
  <c r="K931" i="5" s="1"/>
  <c r="J932" i="5"/>
  <c r="K932" i="5" s="1"/>
  <c r="J933" i="5"/>
  <c r="K933" i="5" s="1"/>
  <c r="J934" i="5"/>
  <c r="K934" i="5" s="1"/>
  <c r="J935" i="5"/>
  <c r="K935" i="5" s="1"/>
  <c r="J936" i="5"/>
  <c r="K936" i="5" s="1"/>
  <c r="J937" i="5"/>
  <c r="K937" i="5" s="1"/>
  <c r="J938" i="5"/>
  <c r="K938" i="5" s="1"/>
  <c r="J939" i="5"/>
  <c r="K939" i="5" s="1"/>
  <c r="J940" i="5"/>
  <c r="K940" i="5" s="1"/>
  <c r="J941" i="5"/>
  <c r="K941" i="5" s="1"/>
  <c r="J942" i="5"/>
  <c r="K942" i="5" s="1"/>
  <c r="J943" i="5"/>
  <c r="K943" i="5" s="1"/>
  <c r="J944" i="5"/>
  <c r="K944" i="5" s="1"/>
  <c r="J945" i="5"/>
  <c r="K945" i="5" s="1"/>
  <c r="J946" i="5"/>
  <c r="K946" i="5" s="1"/>
  <c r="J947" i="5"/>
  <c r="K947" i="5" s="1"/>
  <c r="J948" i="5"/>
  <c r="K948" i="5" s="1"/>
  <c r="J949" i="5"/>
  <c r="K949" i="5" s="1"/>
  <c r="J950" i="5"/>
  <c r="K950" i="5" s="1"/>
  <c r="J951" i="5"/>
  <c r="K951" i="5" s="1"/>
  <c r="J952" i="5"/>
  <c r="K952" i="5" s="1"/>
  <c r="J953" i="5"/>
  <c r="K953" i="5" s="1"/>
  <c r="J954" i="5"/>
  <c r="K954" i="5" s="1"/>
  <c r="J955" i="5"/>
  <c r="K955" i="5" s="1"/>
  <c r="J956" i="5"/>
  <c r="K956" i="5" s="1"/>
  <c r="J957" i="5"/>
  <c r="K957" i="5" s="1"/>
  <c r="J958" i="5"/>
  <c r="K958" i="5" s="1"/>
  <c r="J959" i="5"/>
  <c r="K959" i="5" s="1"/>
  <c r="J960" i="5"/>
  <c r="K960" i="5" s="1"/>
  <c r="J961" i="5"/>
  <c r="K961" i="5" s="1"/>
  <c r="J962" i="5"/>
  <c r="K962" i="5" s="1"/>
  <c r="J963" i="5"/>
  <c r="K963" i="5" s="1"/>
  <c r="J964" i="5"/>
  <c r="K964" i="5" s="1"/>
  <c r="J965" i="5"/>
  <c r="K965" i="5" s="1"/>
  <c r="J966" i="5"/>
  <c r="K966" i="5" s="1"/>
  <c r="J967" i="5"/>
  <c r="K967" i="5" s="1"/>
  <c r="J968" i="5"/>
  <c r="K968" i="5" s="1"/>
  <c r="J969" i="5"/>
  <c r="K969" i="5" s="1"/>
  <c r="J970" i="5"/>
  <c r="K970" i="5" s="1"/>
  <c r="J971" i="5"/>
  <c r="K971" i="5" s="1"/>
  <c r="J972" i="5"/>
  <c r="K972" i="5" s="1"/>
  <c r="J973" i="5"/>
  <c r="K973" i="5" s="1"/>
  <c r="J974" i="5"/>
  <c r="K974" i="5" s="1"/>
  <c r="J975" i="5"/>
  <c r="K975" i="5" s="1"/>
  <c r="J976" i="5"/>
  <c r="K976" i="5" s="1"/>
  <c r="J977" i="5"/>
  <c r="K977" i="5" s="1"/>
  <c r="J978" i="5"/>
  <c r="K978" i="5" s="1"/>
  <c r="J979" i="5"/>
  <c r="K979" i="5" s="1"/>
  <c r="J980" i="5"/>
  <c r="K980" i="5" s="1"/>
  <c r="J981" i="5"/>
  <c r="K981" i="5" s="1"/>
  <c r="J982" i="5"/>
  <c r="K982" i="5" s="1"/>
  <c r="J983" i="5"/>
  <c r="K983" i="5" s="1"/>
  <c r="J984" i="5"/>
  <c r="K984" i="5" s="1"/>
  <c r="J985" i="5"/>
  <c r="K985" i="5" s="1"/>
  <c r="J986" i="5"/>
  <c r="K986" i="5" s="1"/>
  <c r="J987" i="5"/>
  <c r="K987" i="5" s="1"/>
  <c r="J988" i="5"/>
  <c r="K988" i="5" s="1"/>
  <c r="J989" i="5"/>
  <c r="K989" i="5" s="1"/>
  <c r="J990" i="5"/>
  <c r="K990" i="5" s="1"/>
  <c r="J991" i="5"/>
  <c r="K991" i="5" s="1"/>
  <c r="J992" i="5"/>
  <c r="K992" i="5" s="1"/>
  <c r="J993" i="5"/>
  <c r="K993" i="5" s="1"/>
  <c r="J994" i="5"/>
  <c r="K994" i="5" s="1"/>
  <c r="J995" i="5"/>
  <c r="K995" i="5" s="1"/>
  <c r="J996" i="5"/>
  <c r="K996" i="5" s="1"/>
  <c r="J997" i="5"/>
  <c r="K997" i="5" s="1"/>
  <c r="J998" i="5"/>
  <c r="K998" i="5" s="1"/>
  <c r="J999" i="5"/>
  <c r="K999" i="5" s="1"/>
  <c r="J1000" i="5"/>
  <c r="K1000" i="5" s="1"/>
  <c r="J1001" i="5"/>
  <c r="K1001" i="5" s="1"/>
  <c r="J1002" i="5"/>
  <c r="K1002" i="5" s="1"/>
  <c r="J1003" i="5"/>
  <c r="K1003" i="5" s="1"/>
  <c r="J1004" i="5"/>
  <c r="K1004" i="5" s="1"/>
  <c r="J1005" i="5"/>
  <c r="K1005" i="5" s="1"/>
  <c r="J1006" i="5"/>
  <c r="K1006" i="5" s="1"/>
  <c r="J1007" i="5"/>
  <c r="K1007" i="5" s="1"/>
  <c r="J1008" i="5"/>
  <c r="K1008" i="5" s="1"/>
  <c r="J1009" i="5"/>
  <c r="K1009" i="5" s="1"/>
  <c r="J1010" i="5"/>
  <c r="K1010" i="5" s="1"/>
  <c r="J1011" i="5"/>
  <c r="K1011" i="5" s="1"/>
  <c r="J1012" i="5"/>
  <c r="K1012" i="5" s="1"/>
  <c r="J1013" i="5"/>
  <c r="K1013" i="5" s="1"/>
  <c r="J1014" i="5"/>
  <c r="K1014" i="5" s="1"/>
  <c r="J1015" i="5"/>
  <c r="K1015" i="5" s="1"/>
  <c r="J1016" i="5"/>
  <c r="K1016" i="5" s="1"/>
  <c r="J1017" i="5"/>
  <c r="K1017" i="5" s="1"/>
  <c r="J1018" i="5"/>
  <c r="K1018" i="5" s="1"/>
  <c r="J1019" i="5"/>
  <c r="K1019" i="5" s="1"/>
  <c r="J1020" i="5"/>
  <c r="K1020" i="5" s="1"/>
  <c r="J1021" i="5"/>
  <c r="K1021" i="5" s="1"/>
  <c r="J1022" i="5"/>
  <c r="K1022" i="5" s="1"/>
  <c r="J1023" i="5"/>
  <c r="K1023" i="5" s="1"/>
  <c r="J1024" i="5"/>
  <c r="K1024" i="5" s="1"/>
  <c r="J1025" i="5"/>
  <c r="K1025" i="5" s="1"/>
  <c r="J1026" i="5"/>
  <c r="K1026" i="5" s="1"/>
  <c r="J1027" i="5"/>
  <c r="K1027" i="5" s="1"/>
  <c r="J1028" i="5"/>
  <c r="K1028" i="5" s="1"/>
  <c r="J1029" i="5"/>
  <c r="K1029" i="5" s="1"/>
  <c r="J1030" i="5"/>
  <c r="K1030" i="5" s="1"/>
  <c r="J1031" i="5"/>
  <c r="K1031" i="5" s="1"/>
  <c r="J1032" i="5"/>
  <c r="K1032" i="5" s="1"/>
  <c r="J1033" i="5"/>
  <c r="K1033" i="5" s="1"/>
  <c r="J1034" i="5"/>
  <c r="K1034" i="5" s="1"/>
  <c r="J1035" i="5"/>
  <c r="K1035" i="5" s="1"/>
  <c r="J1036" i="5"/>
  <c r="K1036" i="5" s="1"/>
  <c r="J1037" i="5"/>
  <c r="K1037" i="5" s="1"/>
  <c r="J1038" i="5"/>
  <c r="K1038" i="5" s="1"/>
  <c r="J1039" i="5"/>
  <c r="K1039" i="5" s="1"/>
  <c r="J1040" i="5"/>
  <c r="K1040" i="5" s="1"/>
  <c r="J1041" i="5"/>
  <c r="K1041" i="5" s="1"/>
  <c r="J1042" i="5"/>
  <c r="K1042" i="5" s="1"/>
  <c r="J1043" i="5"/>
  <c r="K1043" i="5" s="1"/>
  <c r="J1044" i="5"/>
  <c r="K1044" i="5" s="1"/>
  <c r="J1045" i="5"/>
  <c r="K1045" i="5" s="1"/>
  <c r="J1046" i="5"/>
  <c r="K1046" i="5" s="1"/>
  <c r="J1047" i="5"/>
  <c r="K1047" i="5" s="1"/>
  <c r="J1048" i="5"/>
  <c r="K1048" i="5" s="1"/>
  <c r="J1049" i="5"/>
  <c r="K1049" i="5" s="1"/>
  <c r="J1050" i="5"/>
  <c r="K1050" i="5" s="1"/>
  <c r="J1051" i="5"/>
  <c r="K1051" i="5" s="1"/>
  <c r="J1052" i="5"/>
  <c r="K1052" i="5" s="1"/>
  <c r="J1053" i="5"/>
  <c r="K1053" i="5" s="1"/>
  <c r="J1054" i="5"/>
  <c r="K1054" i="5" s="1"/>
  <c r="J1055" i="5"/>
  <c r="K1055" i="5" s="1"/>
  <c r="J1056" i="5"/>
  <c r="K1056" i="5" s="1"/>
  <c r="J1057" i="5"/>
  <c r="K1057" i="5" s="1"/>
  <c r="J1058" i="5"/>
  <c r="K1058" i="5" s="1"/>
  <c r="J1059" i="5"/>
  <c r="K1059" i="5" s="1"/>
  <c r="J1060" i="5"/>
  <c r="K1060" i="5" s="1"/>
  <c r="J1061" i="5"/>
  <c r="K1061" i="5" s="1"/>
  <c r="J1062" i="5"/>
  <c r="K1062" i="5" s="1"/>
  <c r="J1063" i="5"/>
  <c r="K1063" i="5" s="1"/>
  <c r="J1064" i="5"/>
  <c r="K1064" i="5" s="1"/>
  <c r="J1065" i="5"/>
  <c r="K1065" i="5" s="1"/>
  <c r="J1066" i="5"/>
  <c r="K1066" i="5" s="1"/>
  <c r="J1067" i="5"/>
  <c r="K1067" i="5" s="1"/>
  <c r="J1068" i="5"/>
  <c r="K1068" i="5" s="1"/>
  <c r="J1069" i="5"/>
  <c r="K1069" i="5" s="1"/>
  <c r="J1070" i="5"/>
  <c r="K1070" i="5" s="1"/>
  <c r="J1071" i="5"/>
  <c r="K1071" i="5" s="1"/>
  <c r="J1072" i="5"/>
  <c r="K1072" i="5" s="1"/>
  <c r="J1073" i="5"/>
  <c r="K1073" i="5" s="1"/>
  <c r="J1074" i="5"/>
  <c r="K1074" i="5" s="1"/>
  <c r="J1075" i="5"/>
  <c r="K1075" i="5" s="1"/>
  <c r="J1076" i="5"/>
  <c r="K1076" i="5" s="1"/>
  <c r="J1077" i="5"/>
  <c r="K1077" i="5" s="1"/>
  <c r="J1078" i="5"/>
  <c r="K1078" i="5" s="1"/>
  <c r="J1079" i="5"/>
  <c r="K1079" i="5" s="1"/>
  <c r="J1080" i="5"/>
  <c r="K1080" i="5" s="1"/>
  <c r="J1081" i="5"/>
  <c r="K1081" i="5" s="1"/>
  <c r="J1082" i="5"/>
  <c r="K1082" i="5" s="1"/>
  <c r="J1083" i="5"/>
  <c r="K1083" i="5" s="1"/>
  <c r="J1084" i="5"/>
  <c r="K1084" i="5" s="1"/>
  <c r="J1085" i="5"/>
  <c r="K1085" i="5" s="1"/>
  <c r="J1086" i="5"/>
  <c r="K1086" i="5" s="1"/>
  <c r="J1087" i="5"/>
  <c r="K1087" i="5" s="1"/>
  <c r="J1088" i="5"/>
  <c r="K1088" i="5" s="1"/>
  <c r="J1089" i="5"/>
  <c r="K1089" i="5" s="1"/>
  <c r="J1090" i="5"/>
  <c r="K1090" i="5" s="1"/>
  <c r="J1091" i="5"/>
  <c r="K1091" i="5" s="1"/>
  <c r="J1092" i="5"/>
  <c r="K1092" i="5" s="1"/>
  <c r="J1093" i="5"/>
  <c r="K1093" i="5" s="1"/>
  <c r="J1094" i="5"/>
  <c r="K1094" i="5" s="1"/>
  <c r="J1095" i="5"/>
  <c r="K1095" i="5" s="1"/>
  <c r="J1096" i="5"/>
  <c r="K1096" i="5" s="1"/>
  <c r="J1097" i="5"/>
  <c r="K1097" i="5" s="1"/>
  <c r="J1098" i="5"/>
  <c r="K1098" i="5" s="1"/>
  <c r="J1099" i="5"/>
  <c r="K1099" i="5" s="1"/>
  <c r="J1100" i="5"/>
  <c r="K1100" i="5" s="1"/>
  <c r="J1101" i="5"/>
  <c r="K1101" i="5" s="1"/>
  <c r="J1102" i="5"/>
  <c r="K1102" i="5" s="1"/>
  <c r="J1103" i="5"/>
  <c r="K1103" i="5" s="1"/>
  <c r="J1104" i="5"/>
  <c r="K1104" i="5" s="1"/>
  <c r="J1105" i="5"/>
  <c r="K1105" i="5" s="1"/>
  <c r="J1106" i="5"/>
  <c r="K1106" i="5" s="1"/>
  <c r="J1107" i="5"/>
  <c r="K1107" i="5" s="1"/>
  <c r="J1108" i="5"/>
  <c r="K1108" i="5" s="1"/>
  <c r="J1109" i="5"/>
  <c r="K1109" i="5" s="1"/>
  <c r="J1110" i="5"/>
  <c r="K1110" i="5" s="1"/>
  <c r="J1111" i="5"/>
  <c r="K1111" i="5" s="1"/>
  <c r="J1112" i="5"/>
  <c r="K1112" i="5" s="1"/>
  <c r="J1113" i="5"/>
  <c r="K1113" i="5" s="1"/>
  <c r="J1114" i="5"/>
  <c r="K1114" i="5" s="1"/>
  <c r="J1115" i="5"/>
  <c r="K1115" i="5" s="1"/>
  <c r="J1116" i="5"/>
  <c r="K1116" i="5" s="1"/>
  <c r="J1117" i="5"/>
  <c r="K1117" i="5" s="1"/>
  <c r="J1118" i="5"/>
  <c r="K1118" i="5" s="1"/>
  <c r="J1119" i="5"/>
  <c r="K1119" i="5" s="1"/>
  <c r="J1120" i="5"/>
  <c r="K1120" i="5" s="1"/>
  <c r="J1121" i="5"/>
  <c r="K1121" i="5" s="1"/>
  <c r="J1122" i="5"/>
  <c r="K1122" i="5" s="1"/>
  <c r="J1123" i="5"/>
  <c r="K1123" i="5" s="1"/>
  <c r="J1124" i="5"/>
  <c r="K1124" i="5" s="1"/>
  <c r="J1125" i="5"/>
  <c r="K1125" i="5" s="1"/>
  <c r="J1126" i="5"/>
  <c r="K1126" i="5" s="1"/>
  <c r="J1127" i="5"/>
  <c r="K1127" i="5" s="1"/>
  <c r="J1128" i="5"/>
  <c r="K1128" i="5" s="1"/>
  <c r="J1129" i="5"/>
  <c r="K1129" i="5" s="1"/>
  <c r="J1130" i="5"/>
  <c r="K1130" i="5" s="1"/>
  <c r="J1131" i="5"/>
  <c r="K1131" i="5" s="1"/>
  <c r="J1132" i="5"/>
  <c r="K1132" i="5" s="1"/>
  <c r="J1133" i="5"/>
  <c r="K1133" i="5" s="1"/>
  <c r="J1134" i="5"/>
  <c r="K1134" i="5" s="1"/>
  <c r="J1135" i="5"/>
  <c r="K1135" i="5" s="1"/>
  <c r="J1136" i="5"/>
  <c r="K1136" i="5" s="1"/>
  <c r="J1137" i="5"/>
  <c r="K1137" i="5" s="1"/>
  <c r="J1138" i="5"/>
  <c r="K1138" i="5" s="1"/>
  <c r="J1139" i="5"/>
  <c r="K1139" i="5" s="1"/>
  <c r="J1140" i="5"/>
  <c r="K1140" i="5" s="1"/>
  <c r="J1141" i="5"/>
  <c r="K1141" i="5" s="1"/>
  <c r="J1142" i="5"/>
  <c r="K1142" i="5" s="1"/>
  <c r="J1143" i="5"/>
  <c r="K1143" i="5" s="1"/>
  <c r="J1144" i="5"/>
  <c r="K1144" i="5" s="1"/>
  <c r="J1145" i="5"/>
  <c r="K1145" i="5" s="1"/>
  <c r="J1146" i="5"/>
  <c r="K1146" i="5" s="1"/>
  <c r="J2" i="5"/>
  <c r="K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2" i="5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2" i="1"/>
  <c r="K1" i="4" l="1"/>
  <c r="K3" i="4" s="1"/>
  <c r="N5" i="5"/>
  <c r="N2" i="5"/>
  <c r="N7" i="5" s="1"/>
  <c r="N9" i="5" s="1"/>
  <c r="N3" i="5"/>
  <c r="N4" i="5"/>
</calcChain>
</file>

<file path=xl/sharedStrings.xml><?xml version="1.0" encoding="utf-8"?>
<sst xmlns="http://schemas.openxmlformats.org/spreadsheetml/2006/main" count="3108" uniqueCount="410">
  <si>
    <t>CustomerID</t>
  </si>
  <si>
    <t>CustomerName</t>
  </si>
  <si>
    <t>Region</t>
  </si>
  <si>
    <t>Customer 001</t>
  </si>
  <si>
    <t>North</t>
  </si>
  <si>
    <t>Customer 002</t>
  </si>
  <si>
    <t>Customer 003</t>
  </si>
  <si>
    <t>East</t>
  </si>
  <si>
    <t>Customer 004</t>
  </si>
  <si>
    <t>South</t>
  </si>
  <si>
    <t>Customer 005</t>
  </si>
  <si>
    <t>Customer 006</t>
  </si>
  <si>
    <t>Customer 007</t>
  </si>
  <si>
    <t>Customer 008</t>
  </si>
  <si>
    <t>Customer 009</t>
  </si>
  <si>
    <t>West</t>
  </si>
  <si>
    <t>Customer 010</t>
  </si>
  <si>
    <t>Customer 011</t>
  </si>
  <si>
    <t>Customer 012</t>
  </si>
  <si>
    <t xml:space="preserve"> north </t>
  </si>
  <si>
    <t>Customer 013</t>
  </si>
  <si>
    <t>Customer 014</t>
  </si>
  <si>
    <t>Customer 015</t>
  </si>
  <si>
    <t>Customer 016</t>
  </si>
  <si>
    <t>Customer 017</t>
  </si>
  <si>
    <t>Customer 018</t>
  </si>
  <si>
    <t>Customer 019</t>
  </si>
  <si>
    <t>Customer 020</t>
  </si>
  <si>
    <t>Customer 021</t>
  </si>
  <si>
    <t>Customer 022</t>
  </si>
  <si>
    <t>Customer 023</t>
  </si>
  <si>
    <t>Customer 024</t>
  </si>
  <si>
    <t>Customer 025</t>
  </si>
  <si>
    <t>Customer 026</t>
  </si>
  <si>
    <t>Customer 027</t>
  </si>
  <si>
    <t>Customer 028</t>
  </si>
  <si>
    <t>Customer 029</t>
  </si>
  <si>
    <t>Customer 030</t>
  </si>
  <si>
    <t>Customer 031</t>
  </si>
  <si>
    <t>Customer 032</t>
  </si>
  <si>
    <t>Customer 033</t>
  </si>
  <si>
    <t>Customer 034</t>
  </si>
  <si>
    <t>Customer 035</t>
  </si>
  <si>
    <t>Customer 036</t>
  </si>
  <si>
    <t>Customer 037</t>
  </si>
  <si>
    <t>Customer 038</t>
  </si>
  <si>
    <t>Customer 039</t>
  </si>
  <si>
    <t>Customer 040</t>
  </si>
  <si>
    <t>Customer 041</t>
  </si>
  <si>
    <t>Customer 042</t>
  </si>
  <si>
    <t>Customer 043</t>
  </si>
  <si>
    <t>Customer 044</t>
  </si>
  <si>
    <t>Customer 045</t>
  </si>
  <si>
    <t>SOUTH</t>
  </si>
  <si>
    <t>Customer 046</t>
  </si>
  <si>
    <t>Customer 047</t>
  </si>
  <si>
    <t>Customer 048</t>
  </si>
  <si>
    <t>Customer 049</t>
  </si>
  <si>
    <t>Customer 050</t>
  </si>
  <si>
    <t>Customer 051</t>
  </si>
  <si>
    <t>Customer 052</t>
  </si>
  <si>
    <t>Customer 053</t>
  </si>
  <si>
    <t>Customer 054</t>
  </si>
  <si>
    <t>Customer 055</t>
  </si>
  <si>
    <t>Customer 056</t>
  </si>
  <si>
    <t>Customer 057</t>
  </si>
  <si>
    <t>Customer 058</t>
  </si>
  <si>
    <t>Customer 059</t>
  </si>
  <si>
    <t>Customer 060</t>
  </si>
  <si>
    <t>Customer 061</t>
  </si>
  <si>
    <t>Customer 062</t>
  </si>
  <si>
    <t>Customer 063</t>
  </si>
  <si>
    <t>Customer 064</t>
  </si>
  <si>
    <t>Customer 065</t>
  </si>
  <si>
    <t>Customer 066</t>
  </si>
  <si>
    <t>Customer 067</t>
  </si>
  <si>
    <t>Customer 068</t>
  </si>
  <si>
    <t>Customer 069</t>
  </si>
  <si>
    <t>Customer 070</t>
  </si>
  <si>
    <t>Customer 071</t>
  </si>
  <si>
    <t>Customer 072</t>
  </si>
  <si>
    <t>Customer 073</t>
  </si>
  <si>
    <t>Customer 074</t>
  </si>
  <si>
    <t>Customer 075</t>
  </si>
  <si>
    <t>Customer 076</t>
  </si>
  <si>
    <t>Customer 077</t>
  </si>
  <si>
    <t>Customer 078</t>
  </si>
  <si>
    <t>Customer 079</t>
  </si>
  <si>
    <t>Customer 080</t>
  </si>
  <si>
    <t>Customer 081</t>
  </si>
  <si>
    <t>Customer 082</t>
  </si>
  <si>
    <t>Customer 083</t>
  </si>
  <si>
    <t>Customer 084</t>
  </si>
  <si>
    <t>Customer 085</t>
  </si>
  <si>
    <t>Customer 086</t>
  </si>
  <si>
    <t>Customer 087</t>
  </si>
  <si>
    <t>Customer 088</t>
  </si>
  <si>
    <t>Customer 089</t>
  </si>
  <si>
    <t>Customer 090</t>
  </si>
  <si>
    <t>Customer 091</t>
  </si>
  <si>
    <t>Customer 092</t>
  </si>
  <si>
    <t>Customer 093</t>
  </si>
  <si>
    <t>Customer 094</t>
  </si>
  <si>
    <t>Customer 095</t>
  </si>
  <si>
    <t>Customer 096</t>
  </si>
  <si>
    <t>Customer 097</t>
  </si>
  <si>
    <t>Customer 098</t>
  </si>
  <si>
    <t>Customer 099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</si>
  <si>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</si>
  <si>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</si>
  <si>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</si>
  <si>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</si>
  <si>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</si>
  <si>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</si>
  <si>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</si>
  <si>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</si>
  <si>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</si>
  <si>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</si>
  <si>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</si>
  <si>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</si>
  <si>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</si>
  <si>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</si>
  <si>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</si>
  <si>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</si>
  <si>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</si>
  <si>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</si>
  <si>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</si>
  <si>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</si>
  <si>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</si>
  <si>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</si>
  <si>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</si>
  <si>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</si>
  <si>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</si>
  <si>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</si>
  <si>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</si>
  <si>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</si>
  <si>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</si>
  <si>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</si>
  <si>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</si>
  <si>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</si>
  <si>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</si>
  <si>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</si>
  <si>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</si>
  <si>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</si>
  <si>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</si>
  <si>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</si>
  <si>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</si>
  <si>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</si>
  <si>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</si>
  <si>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</si>
  <si>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</si>
  <si>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</si>
  <si>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</si>
  <si>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</si>
  <si>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</si>
  <si>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</si>
  <si>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</si>
  <si>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</si>
  <si>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</si>
  <si>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</si>
  <si>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</si>
  <si>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</si>
  <si>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</si>
  <si>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</si>
  <si>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</si>
  <si>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</si>
  <si>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</si>
  <si>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</si>
  <si>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</si>
  <si>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</si>
  <si>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</si>
  <si>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</si>
  <si>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</si>
  <si>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</si>
  <si>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</si>
  <si>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</si>
  <si>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</si>
  <si>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</si>
  <si>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</si>
  <si>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</si>
  <si>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</si>
  <si>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</si>
  <si>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</si>
  <si>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</si>
  <si>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</si>
  <si>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</si>
  <si>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</si>
  <si>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</si>
  <si>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</si>
  <si>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</si>
  <si>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</si>
  <si>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</si>
  <si>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</si>
  <si>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</si>
  <si>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</si>
  <si>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</si>
  <si>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</si>
  <si>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</si>
  <si>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</si>
  <si>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</si>
  <si>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</si>
  <si>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</si>
  <si>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</si>
  <si>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</si>
  <si>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</si>
  <si>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</si>
  <si>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</si>
  <si>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</si>
  <si>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</si>
  <si>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</si>
  <si>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</si>
  <si>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</si>
  <si>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</si>
  <si>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</si>
  <si>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</si>
  <si>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</si>
  <si>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</si>
  <si>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</si>
  <si>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</si>
  <si>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</si>
  <si>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</si>
  <si>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</si>
  <si>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</si>
  <si>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</si>
  <si>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</si>
  <si>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</si>
  <si>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</si>
  <si>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</si>
  <si>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</si>
  <si>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</si>
  <si>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</si>
  <si>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</si>
  <si>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</si>
  <si>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</si>
  <si>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</si>
  <si>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</si>
  <si>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</si>
  <si>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</si>
  <si>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</si>
  <si>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</si>
  <si>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</si>
  <si>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</si>
  <si>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</si>
  <si>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</si>
  <si>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</si>
  <si>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</si>
  <si>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</si>
  <si>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</si>
  <si>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</si>
  <si>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</si>
  <si>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</si>
  <si>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</si>
  <si>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</si>
  <si>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</si>
  <si>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</si>
  <si>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</si>
  <si>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</si>
  <si>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</si>
  <si>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</si>
  <si>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</si>
  <si>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</si>
  <si>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</si>
  <si>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</si>
  <si>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</si>
  <si>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</si>
  <si>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</si>
  <si>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</si>
  <si>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</si>
  <si>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</si>
  <si>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</si>
  <si>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</si>
  <si>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</si>
  <si>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</si>
  <si>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</si>
  <si>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</si>
  <si>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</si>
  <si>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</si>
  <si>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</si>
  <si>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</si>
  <si>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</si>
  <si>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</si>
  <si>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</si>
  <si>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</si>
  <si>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</si>
  <si>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</si>
  <si>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</si>
  <si>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</si>
  <si>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</si>
  <si>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</si>
  <si>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</si>
  <si>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</si>
  <si>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</si>
  <si>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</si>
  <si>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</si>
  <si>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</si>
  <si>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</si>
  <si>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</si>
  <si>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</si>
  <si>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</si>
  <si>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</si>
  <si>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</si>
  <si>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</si>
  <si>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</si>
  <si>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</si>
  <si>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</si>
  <si>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</si>
  <si>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</si>
  <si>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</si>
  <si>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</si>
  <si>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ProductID</t>
  </si>
  <si>
    <t>ProductName</t>
  </si>
  <si>
    <t>Category</t>
  </si>
  <si>
    <t>ListPrice</t>
  </si>
  <si>
    <t>Laptop</t>
  </si>
  <si>
    <t>Electronics</t>
  </si>
  <si>
    <t>Monitor</t>
  </si>
  <si>
    <t>Keyboard</t>
  </si>
  <si>
    <t>Accessories</t>
  </si>
  <si>
    <t>Mouse</t>
  </si>
  <si>
    <t>Desk</t>
  </si>
  <si>
    <t>Furniture</t>
  </si>
  <si>
    <t>Chair</t>
  </si>
  <si>
    <t>Headphones</t>
  </si>
  <si>
    <t>Webcam</t>
  </si>
  <si>
    <t>Lamp</t>
  </si>
  <si>
    <t>Home</t>
  </si>
  <si>
    <t>Notebook</t>
  </si>
  <si>
    <t>Office</t>
  </si>
  <si>
    <t>Backpack</t>
  </si>
  <si>
    <t>Storage Box</t>
  </si>
  <si>
    <t>OrderID</t>
  </si>
  <si>
    <t>OrderDate</t>
  </si>
  <si>
    <t>Status</t>
  </si>
  <si>
    <t>Shipped</t>
  </si>
  <si>
    <t>Cancelled</t>
  </si>
  <si>
    <t>Delivered</t>
  </si>
  <si>
    <t>Pending</t>
  </si>
  <si>
    <t>OrderItemID</t>
  </si>
  <si>
    <t>Quantity</t>
  </si>
  <si>
    <t>UnitPrice</t>
  </si>
  <si>
    <t>Carrier</t>
  </si>
  <si>
    <t>PromisedDispatchDate</t>
  </si>
  <si>
    <t>OrderDispatchDate</t>
  </si>
  <si>
    <t>PromisedDeliveryDate</t>
  </si>
  <si>
    <t>ActualDeliveryDate</t>
  </si>
  <si>
    <t>DeliveryStatusUpdateDate</t>
  </si>
  <si>
    <t>SwiftShip</t>
  </si>
  <si>
    <t>ParcelOne</t>
  </si>
  <si>
    <t>MetroLogistics</t>
  </si>
  <si>
    <t xml:space="preserve"> SwiftShip </t>
  </si>
  <si>
    <t>Table</t>
  </si>
  <si>
    <t>Issue</t>
  </si>
  <si>
    <t>Action</t>
  </si>
  <si>
    <t>Rows Removed</t>
  </si>
  <si>
    <t>OrderItems</t>
  </si>
  <si>
    <t>Exact duplicate of OrderItemID 16</t>
  </si>
  <si>
    <t>Removed one copy after checking all columns matched</t>
  </si>
  <si>
    <t>Customers</t>
  </si>
  <si>
    <t>Missing Region for CustomerID 78</t>
  </si>
  <si>
    <t>Retained customer; left Region blank</t>
  </si>
  <si>
    <t>Region_Clean</t>
  </si>
  <si>
    <t>Inconsistent Region capitalization and extra spaces</t>
  </si>
  <si>
    <t>Created Region_Clean using TRIM and PROPER; preserved blanks</t>
  </si>
  <si>
    <t>Carrier_Space_Check</t>
  </si>
  <si>
    <t>Carrier_Clean</t>
  </si>
  <si>
    <t xml:space="preserve">Deliveries </t>
  </si>
  <si>
    <t>Extra spaces in Carrier for OrderID 1024</t>
  </si>
  <si>
    <t>Created Carrier_Clean using TRIM</t>
  </si>
  <si>
    <t>OrderStatus</t>
  </si>
  <si>
    <t>OrderID 1005 marked Delivered with missing ActualDeliveryDate</t>
  </si>
  <si>
    <t>Retained; timing unknown; exclude from on-time KPI pending verification</t>
  </si>
  <si>
    <t>DeliveryTiming</t>
  </si>
  <si>
    <t>OrderCount</t>
  </si>
  <si>
    <t>On time</t>
  </si>
  <si>
    <t>Late</t>
  </si>
  <si>
    <t>Unknown</t>
  </si>
  <si>
    <t>Not Delivered</t>
  </si>
  <si>
    <t>On-time delivery rate</t>
  </si>
  <si>
    <t>On-time delivery target</t>
  </si>
  <si>
    <t>Gap below target (percentage points)</t>
  </si>
  <si>
    <t>Row Labels</t>
  </si>
  <si>
    <t>Grand Total</t>
  </si>
  <si>
    <t>Column Labels</t>
  </si>
  <si>
    <t>Not delivered</t>
  </si>
  <si>
    <t>Count of OrderID</t>
  </si>
  <si>
    <t>On-time rate</t>
  </si>
  <si>
    <t>DispatchTiming</t>
  </si>
  <si>
    <t>On-time Delivery Rate</t>
  </si>
  <si>
    <t>StatusUpdateLagDays</t>
  </si>
  <si>
    <t>Updates after delivery date</t>
  </si>
  <si>
    <t>Updates after delivery date (%)</t>
  </si>
  <si>
    <t>Status update finding</t>
  </si>
  <si>
    <t>In this synthetic dataset, 20.81% of orders with both dates available had their delivery status updated at least one day after physical delivery. This indicates a reporting delay; it does not explain the physical delivery delays measured by our on-time KPI.</t>
  </si>
  <si>
    <t>LineSales</t>
  </si>
  <si>
    <t>IncludedLineSales</t>
  </si>
  <si>
    <t>Gross Order Sales</t>
  </si>
  <si>
    <t>Total non-cancelled orders</t>
  </si>
  <si>
    <t>Average Order Value</t>
  </si>
  <si>
    <t>Jan</t>
  </si>
  <si>
    <t>Feb</t>
  </si>
  <si>
    <t>Mar</t>
  </si>
  <si>
    <t>Apr</t>
  </si>
  <si>
    <t>May</t>
  </si>
  <si>
    <t>Jun</t>
  </si>
  <si>
    <t>Sum of IncludedLineSales</t>
  </si>
  <si>
    <t>(Multiple Items)</t>
  </si>
  <si>
    <t>June</t>
  </si>
  <si>
    <t>OrderMonth</t>
  </si>
  <si>
    <t>2026-05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</si>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</sst>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[$$-409]#,##0.00"/>
    <numFmt numFmtId="170" formatCode="yyyy/mm/dd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9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0" fontId="0" fillId="0" borderId="0" xfId="0" applyNumberFormat="1"/>
    <xf numFmtId="10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169" fontId="0" fillId="0" borderId="0" xfId="0" applyNumberFormat="1"/>
    <xf numFmtId="170" fontId="0" fillId="0" borderId="0" xfId="0" applyNumberFormat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10</xdr:row>
      <xdr:rowOff>148590</xdr:rowOff>
    </xdr:from>
    <xdr:to>
      <xdr:col>2</xdr:col>
      <xdr:colOff>251460</xdr:colOff>
      <xdr:row>16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CCFEFE3-9DB0-5D34-E913-0386E084627A}"/>
            </a:ext>
          </a:extLst>
        </xdr:cNvPr>
        <xdr:cNvSpPr txBox="1"/>
      </xdr:nvSpPr>
      <xdr:spPr>
        <a:xfrm>
          <a:off x="83820" y="1977390"/>
          <a:ext cx="2590800" cy="10782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June recorded the highest gross order sales at $150,969. Further analysis is needed to determine whether this reflects more orders, higher average order value, or a different product mix.</a:t>
          </a:r>
          <a:endParaRPr lang="en-IN" sz="1100"/>
        </a:p>
      </xdr:txBody>
    </xdr:sp>
    <xdr:clientData/>
  </xdr:twoCellAnchor>
  <xdr:twoCellAnchor>
    <xdr:from>
      <xdr:col>3</xdr:col>
      <xdr:colOff>160020</xdr:colOff>
      <xdr:row>10</xdr:row>
      <xdr:rowOff>148590</xdr:rowOff>
    </xdr:from>
    <xdr:to>
      <xdr:col>8</xdr:col>
      <xdr:colOff>175260</xdr:colOff>
      <xdr:row>17</xdr:row>
      <xdr:rowOff>15240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D693E8-6876-ECE7-A97F-78E111981FA3}"/>
            </a:ext>
          </a:extLst>
        </xdr:cNvPr>
        <xdr:cNvSpPr txBox="1"/>
      </xdr:nvSpPr>
      <xdr:spPr>
        <a:xfrm>
          <a:off x="3192780" y="1977390"/>
          <a:ext cx="3063240" cy="11468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June’s gross order sales increased 20.24% from May while order volume remained unchanged at 202 orders. The increase reflects higher average order value; product-level analysis is needed to understand what contributed to it.</a:t>
          </a:r>
          <a:endParaRPr lang="en-IN" sz="1100"/>
        </a:p>
      </xdr:txBody>
    </xdr:sp>
    <xdr:clientData/>
  </xdr:twoCellAnchor>
  <xdr:oneCellAnchor>
    <xdr:from>
      <xdr:col>11</xdr:col>
      <xdr:colOff>274320</xdr:colOff>
      <xdr:row>15</xdr:row>
      <xdr:rowOff>45720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8114EA0-23EF-2937-93F7-062E7A1D136A}"/>
            </a:ext>
          </a:extLst>
        </xdr:cNvPr>
        <xdr:cNvSpPr txBox="1"/>
      </xdr:nvSpPr>
      <xdr:spPr>
        <a:xfrm>
          <a:off x="8183880" y="27889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68580</xdr:colOff>
      <xdr:row>18</xdr:row>
      <xdr:rowOff>19050</xdr:rowOff>
    </xdr:from>
    <xdr:to>
      <xdr:col>2</xdr:col>
      <xdr:colOff>403860</xdr:colOff>
      <xdr:row>24</xdr:row>
      <xdr:rowOff>144780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CE1604A-F477-EAB8-D2BB-339856FF4404}"/>
            </a:ext>
          </a:extLst>
        </xdr:cNvPr>
        <xdr:cNvSpPr txBox="1"/>
      </xdr:nvSpPr>
      <xdr:spPr>
        <a:xfrm>
          <a:off x="68580" y="3310890"/>
          <a:ext cx="2758440" cy="12230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June recorded the highest gross order sales at $150,969, increasing 20.24% from May’s $125,556. Further analysis is needed to determine whether growth reflects more orders, higher average order value, or a different product mix.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  <xdr:oneCellAnchor>
    <xdr:from>
      <xdr:col>11</xdr:col>
      <xdr:colOff>541020</xdr:colOff>
      <xdr:row>16</xdr:row>
      <xdr:rowOff>121920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9C91197-BD23-52DB-A4D0-F9EC545734A3}"/>
            </a:ext>
          </a:extLst>
        </xdr:cNvPr>
        <xdr:cNvSpPr txBox="1"/>
      </xdr:nvSpPr>
      <xdr:spPr>
        <a:xfrm>
          <a:off x="8450580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18</xdr:row>
      <xdr:rowOff>118110</xdr:rowOff>
    </xdr:from>
    <xdr:to>
      <xdr:col>3</xdr:col>
      <xdr:colOff>716280</xdr:colOff>
      <xdr:row>23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87D5DA7-1A5A-AA79-C658-F3E83081FF74}"/>
            </a:ext>
          </a:extLst>
        </xdr:cNvPr>
        <xdr:cNvSpPr txBox="1"/>
      </xdr:nvSpPr>
      <xdr:spPr>
        <a:xfrm>
          <a:off x="91440" y="3409950"/>
          <a:ext cx="4053840" cy="8267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June’s gross order sales increased 20.24% while order volume remained at 202. Laptop sales contributed $19,500—76.73% of the net increase—making laptops the largest product contributor to the growth.</a:t>
          </a:r>
          <a:endParaRPr lang="en-IN" sz="1100"/>
        </a:p>
      </xdr:txBody>
    </xdr:sp>
    <xdr:clientData/>
  </xdr:twoCellAnchor>
  <xdr:oneCellAnchor>
    <xdr:from>
      <xdr:col>10</xdr:col>
      <xdr:colOff>419100</xdr:colOff>
      <xdr:row>15</xdr:row>
      <xdr:rowOff>60960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3D5B4C-F315-8865-2D35-24EDFA42906B}"/>
            </a:ext>
          </a:extLst>
        </xdr:cNvPr>
        <xdr:cNvSpPr txBox="1"/>
      </xdr:nvSpPr>
      <xdr:spPr>
        <a:xfrm>
          <a:off x="8183880" y="2804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9</xdr:row>
      <xdr:rowOff>114300</xdr:rowOff>
    </xdr:from>
    <xdr:ext cx="4953000" cy="95346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B1A9014-E19B-4D01-E177-DAC9404B42F7}"/>
            </a:ext>
          </a:extLst>
        </xdr:cNvPr>
        <xdr:cNvSpPr txBox="1"/>
      </xdr:nvSpPr>
      <xdr:spPr>
        <a:xfrm>
          <a:off x="114300" y="1760220"/>
          <a:ext cx="4953000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IN"/>
            <a:t>In this synthetic dataset, all three carriers fall below the illustrative 95% on-time delivery target: ParcelOne leads at 70.21%, followed by SwiftShip at 69.05% and MetroLogistics at 68.45%. Before recommending a carrier change, investigate warehouse dispatch timing and compare delivery performance for orders dispatched on time.</a:t>
          </a:r>
          <a:endParaRPr lang="en-IN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9</xdr:row>
      <xdr:rowOff>140970</xdr:rowOff>
    </xdr:from>
    <xdr:to>
      <xdr:col>6</xdr:col>
      <xdr:colOff>312420</xdr:colOff>
      <xdr:row>15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3EE991A-E666-A352-26C7-E35B92752698}"/>
            </a:ext>
          </a:extLst>
        </xdr:cNvPr>
        <xdr:cNvSpPr txBox="1"/>
      </xdr:nvSpPr>
      <xdr:spPr>
        <a:xfrm>
          <a:off x="198120" y="1786890"/>
          <a:ext cx="4983480" cy="10248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Among delivered orders with known timing that were dispatched on time, ParcelOne achieved 71.21% on-time delivery, MetroLogistics 71.17%, and SwiftShip 70.00%—all below the illustrative 95% target. Investigate transit delays and delivery commitments before recommending a carrier change, because these results alone do not establish the cause or show that another carrier would perform better.</a:t>
          </a:r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ha reddy" refreshedDate="46301.886096296294" createdVersion="8" refreshedVersion="8" minRefreshableVersion="3" recordCount="1145" xr:uid="{E8249A4B-D4CE-4277-BE90-018055FCDF87}">
  <cacheSource type="worksheet">
    <worksheetSource ref="A1:K1146" sheet="Deliveries"/>
  </cacheSource>
  <cacheFields count="11">
    <cacheField name="OrderID" numFmtId="0">
      <sharedItems containsSemiMixedTypes="0" containsString="0" containsNumber="1" containsInteger="1" minValue="1001" maxValue="2200"/>
    </cacheField>
    <cacheField name="Carrier" numFmtId="0">
      <sharedItems/>
    </cacheField>
    <cacheField name="PromisedDispatchDate" numFmtId="0">
      <sharedItems/>
    </cacheField>
    <cacheField name="OrderDispatchDate" numFmtId="0">
      <sharedItems containsBlank="1"/>
    </cacheField>
    <cacheField name="PromisedDeliveryDate" numFmtId="14">
      <sharedItems containsSemiMixedTypes="0" containsNonDate="0" containsDate="1" containsString="0" minDate="2026-01-08T00:00:00" maxDate="2026-07-08T00:00:00"/>
    </cacheField>
    <cacheField name="ActualDeliveryDate" numFmtId="0">
      <sharedItems containsNonDate="0" containsDate="1" containsString="0" containsBlank="1" minDate="2026-01-07T00:00:00" maxDate="2026-07-10T00:00:00"/>
    </cacheField>
    <cacheField name="DeliveryStatusUpdateDate" numFmtId="0">
      <sharedItems containsBlank="1"/>
    </cacheField>
    <cacheField name="Carrier_Space_Check" numFmtId="0">
      <sharedItems containsSemiMixedTypes="0" containsString="0" containsNumber="1" containsInteger="1" minValue="0" maxValue="2"/>
    </cacheField>
    <cacheField name="Carrier_Clean" numFmtId="0">
      <sharedItems count="3">
        <s v="SwiftShip"/>
        <s v="ParcelOne"/>
        <s v="MetroLogistics"/>
      </sharedItems>
    </cacheField>
    <cacheField name="OrderStatus" numFmtId="0">
      <sharedItems/>
    </cacheField>
    <cacheField name="DeliveryTiming" numFmtId="0">
      <sharedItems count="4">
        <s v="Not delivered"/>
        <s v="Unknown"/>
        <s v="Late"/>
        <s v="On ti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ha reddy" refreshedDate="46302.801796180553" createdVersion="8" refreshedVersion="8" minRefreshableVersion="3" recordCount="1145" xr:uid="{10BB9EF0-F612-4E59-B034-C7BFEC9BE345}">
  <cacheSource type="worksheet">
    <worksheetSource ref="A1:L1146" sheet="Deliveries"/>
  </cacheSource>
  <cacheFields count="12">
    <cacheField name="OrderID" numFmtId="0">
      <sharedItems containsSemiMixedTypes="0" containsString="0" containsNumber="1" containsInteger="1" minValue="1001" maxValue="2200"/>
    </cacheField>
    <cacheField name="Carrier" numFmtId="0">
      <sharedItems/>
    </cacheField>
    <cacheField name="PromisedDispatchDate" numFmtId="14">
      <sharedItems containsSemiMixedTypes="0" containsNonDate="0" containsDate="1" containsString="0" minDate="2026-01-03T00:00:00" maxDate="2026-07-03T00:00:00"/>
    </cacheField>
    <cacheField name="OrderDispatchDate" numFmtId="0">
      <sharedItems containsNonDate="0" containsDate="1" containsString="0" containsBlank="1" minDate="2026-01-03T00:00:00" maxDate="2026-07-04T00:00:00"/>
    </cacheField>
    <cacheField name="PromisedDeliveryDate" numFmtId="14">
      <sharedItems containsSemiMixedTypes="0" containsNonDate="0" containsDate="1" containsString="0" minDate="2026-01-08T00:00:00" maxDate="2026-07-08T00:00:00"/>
    </cacheField>
    <cacheField name="ActualDeliveryDate" numFmtId="0">
      <sharedItems containsNonDate="0" containsDate="1" containsString="0" containsBlank="1" minDate="2026-01-07T00:00:00" maxDate="2026-07-10T00:00:00"/>
    </cacheField>
    <cacheField name="DeliveryStatusUpdateDate" numFmtId="0">
      <sharedItems containsBlank="1"/>
    </cacheField>
    <cacheField name="Carrier_Space_Check" numFmtId="0">
      <sharedItems containsSemiMixedTypes="0" containsString="0" containsNumber="1" containsInteger="1" minValue="0" maxValue="2"/>
    </cacheField>
    <cacheField name="Carrier_Clean" numFmtId="0">
      <sharedItems count="3">
        <s v="SwiftShip"/>
        <s v="ParcelOne"/>
        <s v="MetroLogistics"/>
      </sharedItems>
    </cacheField>
    <cacheField name="OrderStatus" numFmtId="0">
      <sharedItems/>
    </cacheField>
    <cacheField name="DeliveryTiming" numFmtId="0">
      <sharedItems count="4">
        <s v="Not delivered"/>
        <s v="Unknown"/>
        <s v="Late"/>
        <s v="On time"/>
      </sharedItems>
    </cacheField>
    <cacheField name="DispatchTiming" numFmtId="0">
      <sharedItems count="3">
        <s v="On time"/>
        <s v="Late"/>
        <s v="Not dispatch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ha reddy" refreshedDate="46302.850307291665" createdVersion="8" refreshedVersion="8" minRefreshableVersion="3" recordCount="2427" xr:uid="{9FFBCB0F-6D67-4807-BF50-583A1FDB2292}">
  <cacheSource type="worksheet">
    <worksheetSource ref="A1:I2428" sheet="OrderItems"/>
  </cacheSource>
  <cacheFields count="11">
    <cacheField name="OrderItemID" numFmtId="0">
      <sharedItems containsSemiMixedTypes="0" containsString="0" containsNumber="1" containsInteger="1" minValue="1" maxValue="2427"/>
    </cacheField>
    <cacheField name="OrderID" numFmtId="0">
      <sharedItems containsSemiMixedTypes="0" containsString="0" containsNumber="1" containsInteger="1" minValue="1001" maxValue="2200"/>
    </cacheField>
    <cacheField name="ProductID" numFmtId="0">
      <sharedItems containsSemiMixedTypes="0" containsString="0" containsNumber="1" containsInteger="1" minValue="1" maxValue="12"/>
    </cacheField>
    <cacheField name="Quantity" numFmtId="0">
      <sharedItems containsSemiMixedTypes="0" containsString="0" containsNumber="1" containsInteger="1" minValue="1" maxValue="4"/>
    </cacheField>
    <cacheField name="UnitPrice" numFmtId="0">
      <sharedItems containsSemiMixedTypes="0" containsString="0" containsNumber="1" containsInteger="1" minValue="8" maxValue="750"/>
    </cacheField>
    <cacheField name="LineSales" numFmtId="0">
      <sharedItems containsSemiMixedTypes="0" containsString="0" containsNumber="1" containsInteger="1" minValue="8" maxValue="3000"/>
    </cacheField>
    <cacheField name="OrderStatus" numFmtId="0">
      <sharedItems/>
    </cacheField>
    <cacheField name="IncludedLineSales" numFmtId="0">
      <sharedItems containsSemiMixedTypes="0" containsString="0" containsNumber="1" containsInteger="1" minValue="0" maxValue="3000"/>
    </cacheField>
    <cacheField name="OrderDate" numFmtId="170">
      <sharedItems containsSemiMixedTypes="0" containsNonDate="0" containsDate="1" containsString="0" minDate="2026-01-01T00:00:00" maxDate="2026-07-01T00:00:00" count="181">
        <d v="2026-01-20T00:00:00"/>
        <d v="2026-01-11T00:00:00"/>
        <d v="2026-03-02T00:00:00"/>
        <d v="2026-06-21T00:00:00"/>
        <d v="2026-05-01T00:00:00"/>
        <d v="2026-03-13T00:00:00"/>
        <d v="2026-01-10T00:00:00"/>
        <d v="2026-04-22T00:00:00"/>
        <d v="2026-02-01T00:00:00"/>
        <d v="2026-06-23T00:00:00"/>
        <d v="2026-04-30T00:00:00"/>
        <d v="2026-02-20T00:00:00"/>
        <d v="2026-06-28T00:00:00"/>
        <d v="2026-02-26T00:00:00"/>
        <d v="2026-06-02T00:00:00"/>
        <d v="2026-05-14T00:00:00"/>
        <d v="2026-02-08T00:00:00"/>
        <d v="2026-05-18T00:00:00"/>
        <d v="2026-02-12T00:00:00"/>
        <d v="2026-03-25T00:00:00"/>
        <d v="2026-03-31T00:00:00"/>
        <d v="2026-01-07T00:00:00"/>
        <d v="2026-06-25T00:00:00"/>
        <d v="2026-01-28T00:00:00"/>
        <d v="2026-03-04T00:00:00"/>
        <d v="2026-02-24T00:00:00"/>
        <d v="2026-05-06T00:00:00"/>
        <d v="2026-05-29T00:00:00"/>
        <d v="2026-03-22T00:00:00"/>
        <d v="2026-02-15T00:00:00"/>
        <d v="2026-06-13T00:00:00"/>
        <d v="2026-06-05T00:00:00"/>
        <d v="2026-02-23T00:00:00"/>
        <d v="2026-01-09T00:00:00"/>
        <d v="2026-02-06T00:00:00"/>
        <d v="2026-05-09T00:00:00"/>
        <d v="2026-01-24T00:00:00"/>
        <d v="2026-03-26T00:00:00"/>
        <d v="2026-05-12T00:00:00"/>
        <d v="2026-02-22T00:00:00"/>
        <d v="2026-03-21T00:00:00"/>
        <d v="2026-03-16T00:00:00"/>
        <d v="2026-02-04T00:00:00"/>
        <d v="2026-03-14T00:00:00"/>
        <d v="2026-02-18T00:00:00"/>
        <d v="2026-04-08T00:00:00"/>
        <d v="2026-01-04T00:00:00"/>
        <d v="2026-01-26T00:00:00"/>
        <d v="2026-02-07T00:00:00"/>
        <d v="2026-03-01T00:00:00"/>
        <d v="2026-03-30T00:00:00"/>
        <d v="2026-06-18T00:00:00"/>
        <d v="2026-05-04T00:00:00"/>
        <d v="2026-06-22T00:00:00"/>
        <d v="2026-04-17T00:00:00"/>
        <d v="2026-04-05T00:00:00"/>
        <d v="2026-02-14T00:00:00"/>
        <d v="2026-03-09T00:00:00"/>
        <d v="2026-03-24T00:00:00"/>
        <d v="2026-06-04T00:00:00"/>
        <d v="2026-01-25T00:00:00"/>
        <d v="2026-04-06T00:00:00"/>
        <d v="2026-01-14T00:00:00"/>
        <d v="2026-05-25T00:00:00"/>
        <d v="2026-03-29T00:00:00"/>
        <d v="2026-04-24T00:00:00"/>
        <d v="2026-05-15T00:00:00"/>
        <d v="2026-03-07T00:00:00"/>
        <d v="2026-05-24T00:00:00"/>
        <d v="2026-05-28T00:00:00"/>
        <d v="2026-06-26T00:00:00"/>
        <d v="2026-06-01T00:00:00"/>
        <d v="2026-06-15T00:00:00"/>
        <d v="2026-05-27T00:00:00"/>
        <d v="2026-05-10T00:00:00"/>
        <d v="2026-05-23T00:00:00"/>
        <d v="2026-06-17T00:00:00"/>
        <d v="2026-04-23T00:00:00"/>
        <d v="2026-02-19T00:00:00"/>
        <d v="2026-03-06T00:00:00"/>
        <d v="2026-01-29T00:00:00"/>
        <d v="2026-02-17T00:00:00"/>
        <d v="2026-01-05T00:00:00"/>
        <d v="2026-03-15T00:00:00"/>
        <d v="2026-05-08T00:00:00"/>
        <d v="2026-03-17T00:00:00"/>
        <d v="2026-06-07T00:00:00"/>
        <d v="2026-01-30T00:00:00"/>
        <d v="2026-01-23T00:00:00"/>
        <d v="2026-05-11T00:00:00"/>
        <d v="2026-02-03T00:00:00"/>
        <d v="2026-06-14T00:00:00"/>
        <d v="2026-01-21T00:00:00"/>
        <d v="2026-03-20T00:00:00"/>
        <d v="2026-04-27T00:00:00"/>
        <d v="2026-05-31T00:00:00"/>
        <d v="2026-01-02T00:00:00"/>
        <d v="2026-03-27T00:00:00"/>
        <d v="2026-03-19T00:00:00"/>
        <d v="2026-02-10T00:00:00"/>
        <d v="2026-04-25T00:00:00"/>
        <d v="2026-05-19T00:00:00"/>
        <d v="2026-06-24T00:00:00"/>
        <d v="2026-04-11T00:00:00"/>
        <d v="2026-02-28T00:00:00"/>
        <d v="2026-04-18T00:00:00"/>
        <d v="2026-01-13T00:00:00"/>
        <d v="2026-01-16T00:00:00"/>
        <d v="2026-01-15T00:00:00"/>
        <d v="2026-02-13T00:00:00"/>
        <d v="2026-04-01T00:00:00"/>
        <d v="2026-01-22T00:00:00"/>
        <d v="2026-01-12T00:00:00"/>
        <d v="2026-04-07T00:00:00"/>
        <d v="2026-02-09T00:00:00"/>
        <d v="2026-03-10T00:00:00"/>
        <d v="2026-04-03T00:00:00"/>
        <d v="2026-01-19T00:00:00"/>
        <d v="2026-04-21T00:00:00"/>
        <d v="2026-01-06T00:00:00"/>
        <d v="2026-06-11T00:00:00"/>
        <d v="2026-06-08T00:00:00"/>
        <d v="2026-05-07T00:00:00"/>
        <d v="2026-02-05T00:00:00"/>
        <d v="2026-04-14T00:00:00"/>
        <d v="2026-01-17T00:00:00"/>
        <d v="2026-04-20T00:00:00"/>
        <d v="2026-01-03T00:00:00"/>
        <d v="2026-01-27T00:00:00"/>
        <d v="2026-06-06T00:00:00"/>
        <d v="2026-05-13T00:00:00"/>
        <d v="2026-01-08T00:00:00"/>
        <d v="2026-03-11T00:00:00"/>
        <d v="2026-01-18T00:00:00"/>
        <d v="2026-05-20T00:00:00"/>
        <d v="2026-06-29T00:00:00"/>
        <d v="2026-01-31T00:00:00"/>
        <d v="2026-04-29T00:00:00"/>
        <d v="2026-03-05T00:00:00"/>
        <d v="2026-06-30T00:00:00"/>
        <d v="2026-01-01T00:00:00"/>
        <d v="2026-06-16T00:00:00"/>
        <d v="2026-05-02T00:00:00"/>
        <d v="2026-06-20T00:00:00"/>
        <d v="2026-04-28T00:00:00"/>
        <d v="2026-04-12T00:00:00"/>
        <d v="2026-03-28T00:00:00"/>
        <d v="2026-05-26T00:00:00"/>
        <d v="2026-03-12T00:00:00"/>
        <d v="2026-03-08T00:00:00"/>
        <d v="2026-04-26T00:00:00"/>
        <d v="2026-05-17T00:00:00"/>
        <d v="2026-06-27T00:00:00"/>
        <d v="2026-02-27T00:00:00"/>
        <d v="2026-05-21T00:00:00"/>
        <d v="2026-06-09T00:00:00"/>
        <d v="2026-06-19T00:00:00"/>
        <d v="2026-06-03T00:00:00"/>
        <d v="2026-05-30T00:00:00"/>
        <d v="2026-04-09T00:00:00"/>
        <d v="2026-05-03T00:00:00"/>
        <d v="2026-04-13T00:00:00"/>
        <d v="2026-04-15T00:00:00"/>
        <d v="2026-02-11T00:00:00"/>
        <d v="2026-05-05T00:00:00"/>
        <d v="2026-02-02T00:00:00"/>
        <d v="2026-04-16T00:00:00"/>
        <d v="2026-06-12T00:00:00"/>
        <d v="2026-06-10T00:00:00"/>
        <d v="2026-02-16T00:00:00"/>
        <d v="2026-05-16T00:00:00"/>
        <d v="2026-02-21T00:00:00"/>
        <d v="2026-04-04T00:00:00"/>
        <d v="2026-05-22T00:00:00"/>
        <d v="2026-03-18T00:00:00"/>
        <d v="2026-04-10T00:00:00"/>
        <d v="2026-03-23T00:00:00"/>
        <d v="2026-03-03T00:00:00"/>
        <d v="2026-02-25T00:00:00"/>
        <d v="2026-04-19T00:00:00"/>
        <d v="2026-04-02T00:00:00"/>
      </sharedItems>
      <fieldGroup par="10"/>
    </cacheField>
    <cacheField name="Months (OrderDate)" numFmtId="0" databaseField="0">
      <fieldGroup base="8">
        <rangePr groupBy="months" startDate="2026-01-01T00:00:00" endDate="2026-07-0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6"/>
        </groupItems>
      </fieldGroup>
    </cacheField>
    <cacheField name="Years (OrderDate)" numFmtId="0" databaseField="0">
      <fieldGroup base="8">
        <rangePr groupBy="years" startDate="2026-01-01T00:00:00" endDate="2026-07-01T00:00:00"/>
        <groupItems count="3">
          <s v="&lt;01-01-2026"/>
          <s v="2026"/>
          <s v="&gt;01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ha reddy" refreshedDate="46302.85926203704" createdVersion="8" refreshedVersion="8" minRefreshableVersion="3" recordCount="1200" xr:uid="{FBBFF72E-41E7-4085-AD9B-0CCB506A0957}">
  <cacheSource type="worksheet">
    <worksheetSource ref="A1:D1201" sheet="Orders"/>
  </cacheSource>
  <cacheFields count="6">
    <cacheField name="OrderID" numFmtId="0">
      <sharedItems containsSemiMixedTypes="0" containsString="0" containsNumber="1" containsInteger="1" minValue="1001" maxValue="2200"/>
    </cacheField>
    <cacheField name="CustomerID" numFmtId="0">
      <sharedItems containsSemiMixedTypes="0" containsString="0" containsNumber="1" containsInteger="1" minValue="1" maxValue="300"/>
    </cacheField>
    <cacheField name="OrderDate" numFmtId="14">
      <sharedItems containsSemiMixedTypes="0" containsNonDate="0" containsDate="1" containsString="0" minDate="2026-01-01T00:00:00" maxDate="2026-07-01T00:00:00" count="181">
        <d v="2026-01-20T00:00:00"/>
        <d v="2026-01-11T00:00:00"/>
        <d v="2026-03-02T00:00:00"/>
        <d v="2026-06-21T00:00:00"/>
        <d v="2026-05-01T00:00:00"/>
        <d v="2026-03-13T00:00:00"/>
        <d v="2026-01-10T00:00:00"/>
        <d v="2026-04-22T00:00:00"/>
        <d v="2026-02-01T00:00:00"/>
        <d v="2026-06-23T00:00:00"/>
        <d v="2026-04-30T00:00:00"/>
        <d v="2026-02-20T00:00:00"/>
        <d v="2026-06-28T00:00:00"/>
        <d v="2026-02-26T00:00:00"/>
        <d v="2026-06-02T00:00:00"/>
        <d v="2026-05-14T00:00:00"/>
        <d v="2026-02-08T00:00:00"/>
        <d v="2026-05-18T00:00:00"/>
        <d v="2026-02-12T00:00:00"/>
        <d v="2026-03-25T00:00:00"/>
        <d v="2026-03-31T00:00:00"/>
        <d v="2026-01-07T00:00:00"/>
        <d v="2026-06-25T00:00:00"/>
        <d v="2026-01-28T00:00:00"/>
        <d v="2026-03-04T00:00:00"/>
        <d v="2026-02-24T00:00:00"/>
        <d v="2026-05-06T00:00:00"/>
        <d v="2026-05-29T00:00:00"/>
        <d v="2026-03-22T00:00:00"/>
        <d v="2026-02-15T00:00:00"/>
        <d v="2026-06-13T00:00:00"/>
        <d v="2026-06-05T00:00:00"/>
        <d v="2026-02-23T00:00:00"/>
        <d v="2026-01-09T00:00:00"/>
        <d v="2026-02-06T00:00:00"/>
        <d v="2026-05-09T00:00:00"/>
        <d v="2026-01-24T00:00:00"/>
        <d v="2026-03-26T00:00:00"/>
        <d v="2026-05-12T00:00:00"/>
        <d v="2026-02-22T00:00:00"/>
        <d v="2026-03-21T00:00:00"/>
        <d v="2026-03-16T00:00:00"/>
        <d v="2026-02-04T00:00:00"/>
        <d v="2026-03-14T00:00:00"/>
        <d v="2026-02-18T00:00:00"/>
        <d v="2026-04-08T00:00:00"/>
        <d v="2026-01-04T00:00:00"/>
        <d v="2026-01-26T00:00:00"/>
        <d v="2026-02-07T00:00:00"/>
        <d v="2026-03-01T00:00:00"/>
        <d v="2026-03-30T00:00:00"/>
        <d v="2026-06-18T00:00:00"/>
        <d v="2026-05-04T00:00:00"/>
        <d v="2026-06-22T00:00:00"/>
        <d v="2026-04-17T00:00:00"/>
        <d v="2026-04-05T00:00:00"/>
        <d v="2026-02-14T00:00:00"/>
        <d v="2026-03-09T00:00:00"/>
        <d v="2026-03-24T00:00:00"/>
        <d v="2026-06-04T00:00:00"/>
        <d v="2026-01-25T00:00:00"/>
        <d v="2026-04-06T00:00:00"/>
        <d v="2026-01-14T00:00:00"/>
        <d v="2026-05-25T00:00:00"/>
        <d v="2026-03-29T00:00:00"/>
        <d v="2026-04-24T00:00:00"/>
        <d v="2026-05-15T00:00:00"/>
        <d v="2026-03-07T00:00:00"/>
        <d v="2026-05-24T00:00:00"/>
        <d v="2026-05-28T00:00:00"/>
        <d v="2026-06-26T00:00:00"/>
        <d v="2026-06-01T00:00:00"/>
        <d v="2026-06-15T00:00:00"/>
        <d v="2026-05-27T00:00:00"/>
        <d v="2026-05-10T00:00:00"/>
        <d v="2026-05-23T00:00:00"/>
        <d v="2026-06-17T00:00:00"/>
        <d v="2026-04-23T00:00:00"/>
        <d v="2026-02-19T00:00:00"/>
        <d v="2026-03-06T00:00:00"/>
        <d v="2026-01-29T00:00:00"/>
        <d v="2026-02-17T00:00:00"/>
        <d v="2026-01-05T00:00:00"/>
        <d v="2026-03-15T00:00:00"/>
        <d v="2026-05-08T00:00:00"/>
        <d v="2026-03-17T00:00:00"/>
        <d v="2026-06-07T00:00:00"/>
        <d v="2026-01-30T00:00:00"/>
        <d v="2026-01-23T00:00:00"/>
        <d v="2026-05-11T00:00:00"/>
        <d v="2026-02-03T00:00:00"/>
        <d v="2026-06-14T00:00:00"/>
        <d v="2026-01-21T00:00:00"/>
        <d v="2026-03-20T00:00:00"/>
        <d v="2026-04-27T00:00:00"/>
        <d v="2026-05-31T00:00:00"/>
        <d v="2026-01-02T00:00:00"/>
        <d v="2026-03-27T00:00:00"/>
        <d v="2026-03-19T00:00:00"/>
        <d v="2026-02-10T00:00:00"/>
        <d v="2026-04-25T00:00:00"/>
        <d v="2026-05-19T00:00:00"/>
        <d v="2026-06-24T00:00:00"/>
        <d v="2026-04-11T00:00:00"/>
        <d v="2026-02-28T00:00:00"/>
        <d v="2026-04-18T00:00:00"/>
        <d v="2026-01-13T00:00:00"/>
        <d v="2026-01-16T00:00:00"/>
        <d v="2026-01-15T00:00:00"/>
        <d v="2026-02-13T00:00:00"/>
        <d v="2026-04-01T00:00:00"/>
        <d v="2026-01-22T00:00:00"/>
        <d v="2026-01-12T00:00:00"/>
        <d v="2026-04-07T00:00:00"/>
        <d v="2026-02-09T00:00:00"/>
        <d v="2026-03-10T00:00:00"/>
        <d v="2026-04-03T00:00:00"/>
        <d v="2026-01-19T00:00:00"/>
        <d v="2026-04-21T00:00:00"/>
        <d v="2026-01-06T00:00:00"/>
        <d v="2026-06-11T00:00:00"/>
        <d v="2026-06-08T00:00:00"/>
        <d v="2026-05-07T00:00:00"/>
        <d v="2026-02-05T00:00:00"/>
        <d v="2026-04-14T00:00:00"/>
        <d v="2026-01-17T00:00:00"/>
        <d v="2026-04-20T00:00:00"/>
        <d v="2026-01-03T00:00:00"/>
        <d v="2026-01-27T00:00:00"/>
        <d v="2026-06-06T00:00:00"/>
        <d v="2026-05-13T00:00:00"/>
        <d v="2026-01-08T00:00:00"/>
        <d v="2026-03-11T00:00:00"/>
        <d v="2026-01-18T00:00:00"/>
        <d v="2026-05-20T00:00:00"/>
        <d v="2026-06-29T00:00:00"/>
        <d v="2026-01-31T00:00:00"/>
        <d v="2026-04-29T00:00:00"/>
        <d v="2026-03-05T00:00:00"/>
        <d v="2026-06-30T00:00:00"/>
        <d v="2026-01-01T00:00:00"/>
        <d v="2026-06-16T00:00:00"/>
        <d v="2026-05-02T00:00:00"/>
        <d v="2026-06-20T00:00:00"/>
        <d v="2026-04-28T00:00:00"/>
        <d v="2026-04-12T00:00:00"/>
        <d v="2026-03-28T00:00:00"/>
        <d v="2026-05-26T00:00:00"/>
        <d v="2026-03-12T00:00:00"/>
        <d v="2026-03-08T00:00:00"/>
        <d v="2026-04-26T00:00:00"/>
        <d v="2026-05-17T00:00:00"/>
        <d v="2026-06-27T00:00:00"/>
        <d v="2026-02-27T00:00:00"/>
        <d v="2026-05-21T00:00:00"/>
        <d v="2026-06-09T00:00:00"/>
        <d v="2026-06-19T00:00:00"/>
        <d v="2026-06-03T00:00:00"/>
        <d v="2026-05-30T00:00:00"/>
        <d v="2026-04-09T00:00:00"/>
        <d v="2026-05-03T00:00:00"/>
        <d v="2026-04-13T00:00:00"/>
        <d v="2026-04-15T00:00:00"/>
        <d v="2026-02-11T00:00:00"/>
        <d v="2026-05-05T00:00:00"/>
        <d v="2026-02-02T00:00:00"/>
        <d v="2026-04-16T00:00:00"/>
        <d v="2026-06-12T00:00:00"/>
        <d v="2026-06-10T00:00:00"/>
        <d v="2026-02-16T00:00:00"/>
        <d v="2026-05-16T00:00:00"/>
        <d v="2026-02-21T00:00:00"/>
        <d v="2026-04-04T00:00:00"/>
        <d v="2026-05-22T00:00:00"/>
        <d v="2026-03-18T00:00:00"/>
        <d v="2026-04-10T00:00:00"/>
        <d v="2026-03-23T00:00:00"/>
        <d v="2026-03-03T00:00:00"/>
        <d v="2026-02-25T00:00:00"/>
        <d v="2026-04-19T00:00:00"/>
        <d v="2026-04-02T00:00:00"/>
      </sharedItems>
      <fieldGroup par="5"/>
    </cacheField>
    <cacheField name="Status" numFmtId="0">
      <sharedItems count="4">
        <s v="Shipped"/>
        <s v="Cancelled"/>
        <s v="Delivered"/>
        <s v="Pending"/>
      </sharedItems>
    </cacheField>
    <cacheField name="Days (OrderDate)" numFmtId="0" databaseField="0">
      <fieldGroup base="2">
        <rangePr groupBy="days" startDate="2026-01-01T00:00:00" endDate="2026-07-0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7-2026"/>
        </groupItems>
      </fieldGroup>
    </cacheField>
    <cacheField name="Months (OrderDate)" numFmtId="0" databaseField="0">
      <fieldGroup base="2">
        <rangePr groupBy="months" startDate="2026-01-01T00:00:00" endDate="2026-07-0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ha reddy" refreshedDate="46302.871909953705" createdVersion="8" refreshedVersion="8" minRefreshableVersion="3" recordCount="2427" xr:uid="{642E1DF6-7769-49D9-B928-DE00C1706829}">
  <cacheSource type="worksheet">
    <worksheetSource ref="A1:M2428" sheet="OrderItems"/>
  </cacheSource>
  <cacheFields count="13">
    <cacheField name="OrderItemID" numFmtId="0">
      <sharedItems containsSemiMixedTypes="0" containsString="0" containsNumber="1" containsInteger="1" minValue="1" maxValue="2427"/>
    </cacheField>
    <cacheField name="OrderID" numFmtId="0">
      <sharedItems containsSemiMixedTypes="0" containsString="0" containsNumber="1" containsInteger="1" minValue="1001" maxValue="2200"/>
    </cacheField>
    <cacheField name="ProductID" numFmtId="0">
      <sharedItems containsSemiMixedTypes="0" containsString="0" containsNumber="1" containsInteger="1" minValue="1" maxValue="12" count="12">
        <n v="1"/>
        <n v="6"/>
        <n v="10"/>
        <n v="4"/>
        <n v="11"/>
        <n v="2"/>
        <n v="3"/>
        <n v="5"/>
        <n v="9"/>
        <n v="12"/>
        <n v="7"/>
        <n v="8"/>
      </sharedItems>
    </cacheField>
    <cacheField name="Quantity" numFmtId="0">
      <sharedItems containsSemiMixedTypes="0" containsString="0" containsNumber="1" containsInteger="1" minValue="1" maxValue="4"/>
    </cacheField>
    <cacheField name="UnitPrice" numFmtId="0">
      <sharedItems containsSemiMixedTypes="0" containsString="0" containsNumber="1" containsInteger="1" minValue="8" maxValue="750"/>
    </cacheField>
    <cacheField name="LineSales" numFmtId="0">
      <sharedItems containsSemiMixedTypes="0" containsString="0" containsNumber="1" containsInteger="1" minValue="8" maxValue="3000"/>
    </cacheField>
    <cacheField name="OrderStatus" numFmtId="0">
      <sharedItems/>
    </cacheField>
    <cacheField name="IncludedLineSales" numFmtId="0">
      <sharedItems containsSemiMixedTypes="0" containsString="0" containsNumber="1" containsInteger="1" minValue="0" maxValue="3000"/>
    </cacheField>
    <cacheField name="OrderDate" numFmtId="170">
      <sharedItems containsSemiMixedTypes="0" containsNonDate="0" containsDate="1" containsString="0" minDate="2026-01-01T00:00:00" maxDate="2026-07-01T00:00:00"/>
    </cacheField>
    <cacheField name="Gross Order Sales" numFmtId="0">
      <sharedItems containsBlank="1"/>
    </cacheField>
    <cacheField name="$7,55,536.00" numFmtId="0">
      <sharedItems containsString="0" containsBlank="1" containsNumber="1" minValue="659.85676855895201" maxValue="1145"/>
    </cacheField>
    <cacheField name="ProductName" numFmtId="0">
      <sharedItems count="12">
        <s v="Laptop"/>
        <s v="Chair"/>
        <s v="Notebook"/>
        <s v="Mouse"/>
        <s v="Backpack"/>
        <s v="Monitor"/>
        <s v="Keyboard"/>
        <s v="Desk"/>
        <s v="Lamp"/>
        <s v="Storage Box"/>
        <s v="Headphones"/>
        <s v="Webcam"/>
      </sharedItems>
    </cacheField>
    <cacheField name="OrderMonth" numFmtId="0">
      <sharedItems count="6">
        <s v="2026-01"/>
        <s v="2026-03"/>
        <s v="2026-06"/>
        <s v="2026-05"/>
        <s v="2026-04"/>
        <s v="2026-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5">
  <r>
    <n v="1001"/>
    <s v="SwiftShip"/>
    <s v="2026-01-22"/>
    <s v="2026-01-22"/>
    <d v="2026-01-27T00:00:00"/>
    <m/>
    <m/>
    <n v="0"/>
    <x v="0"/>
    <s v="Shipped"/>
    <x v="0"/>
  </r>
  <r>
    <n v="1005"/>
    <s v="ParcelOne"/>
    <s v="2026-05-03"/>
    <s v="2026-05-03"/>
    <d v="2026-05-08T00:00:00"/>
    <m/>
    <s v="2026-05-08"/>
    <n v="0"/>
    <x v="1"/>
    <s v="Delivered"/>
    <x v="1"/>
  </r>
  <r>
    <n v="1006"/>
    <s v="SwiftShip"/>
    <s v="2026-03-15"/>
    <s v="2026-03-15"/>
    <d v="2026-03-20T00:00:00"/>
    <d v="2026-03-24T00:00:00"/>
    <s v="2026-03-24"/>
    <n v="0"/>
    <x v="0"/>
    <s v="Delivered"/>
    <x v="2"/>
  </r>
  <r>
    <n v="1007"/>
    <s v="MetroLogistics"/>
    <s v="2026-01-12"/>
    <s v="2026-01-12"/>
    <d v="2026-01-17T00:00:00"/>
    <d v="2026-01-17T00:00:00"/>
    <s v="2026-01-17"/>
    <n v="0"/>
    <x v="2"/>
    <s v="Delivered"/>
    <x v="3"/>
  </r>
  <r>
    <n v="1008"/>
    <s v="MetroLogistics"/>
    <s v="2026-04-24"/>
    <s v="2026-04-26"/>
    <d v="2026-04-29T00:00:00"/>
    <d v="2026-05-03T00:00:00"/>
    <s v="2026-05-03"/>
    <n v="0"/>
    <x v="2"/>
    <s v="Delivered"/>
    <x v="2"/>
  </r>
  <r>
    <n v="1009"/>
    <s v="SwiftShip"/>
    <s v="2026-02-03"/>
    <s v="2026-02-03"/>
    <d v="2026-02-08T00:00:00"/>
    <d v="2026-02-07T00:00:00"/>
    <s v="2026-02-07"/>
    <n v="0"/>
    <x v="0"/>
    <s v="Delivered"/>
    <x v="3"/>
  </r>
  <r>
    <n v="1010"/>
    <s v="SwiftShip"/>
    <s v="2026-06-25"/>
    <s v="2026-06-25"/>
    <d v="2026-06-30T00:00:00"/>
    <d v="2026-07-01T00:00:00"/>
    <s v="2026-07-01"/>
    <n v="0"/>
    <x v="0"/>
    <s v="Delivered"/>
    <x v="2"/>
  </r>
  <r>
    <n v="1011"/>
    <s v="ParcelOne"/>
    <s v="2026-05-02"/>
    <s v="2026-05-03"/>
    <d v="2026-05-07T00:00:00"/>
    <d v="2026-05-08T00:00:00"/>
    <s v="2026-05-08"/>
    <n v="0"/>
    <x v="1"/>
    <s v="Delivered"/>
    <x v="2"/>
  </r>
  <r>
    <n v="1012"/>
    <s v="MetroLogistics"/>
    <s v="2026-02-22"/>
    <s v="2026-02-22"/>
    <d v="2026-02-27T00:00:00"/>
    <d v="2026-03-01T00:00:00"/>
    <s v="2026-03-01"/>
    <n v="0"/>
    <x v="2"/>
    <s v="Delivered"/>
    <x v="2"/>
  </r>
  <r>
    <n v="1013"/>
    <s v="SwiftShip"/>
    <s v="2026-06-30"/>
    <s v="2026-07-01"/>
    <d v="2026-07-05T00:00:00"/>
    <d v="2026-07-07T00:00:00"/>
    <s v="2026-07-08"/>
    <n v="0"/>
    <x v="0"/>
    <s v="Delivered"/>
    <x v="2"/>
  </r>
  <r>
    <n v="1014"/>
    <s v="MetroLogistics"/>
    <s v="2026-02-28"/>
    <s v="2026-02-28"/>
    <d v="2026-03-05T00:00:00"/>
    <d v="2026-03-06T00:00:00"/>
    <s v="2026-03-06"/>
    <n v="0"/>
    <x v="2"/>
    <s v="Delivered"/>
    <x v="2"/>
  </r>
  <r>
    <n v="1015"/>
    <s v="SwiftShip"/>
    <s v="2026-06-04"/>
    <s v="2026-06-04"/>
    <d v="2026-06-09T00:00:00"/>
    <d v="2026-06-10T00:00:00"/>
    <s v="2026-06-11"/>
    <n v="0"/>
    <x v="0"/>
    <s v="Delivered"/>
    <x v="2"/>
  </r>
  <r>
    <n v="1016"/>
    <s v="ParcelOne"/>
    <s v="2026-05-16"/>
    <s v="2026-05-16"/>
    <d v="2026-05-21T00:00:00"/>
    <d v="2026-05-21T00:00:00"/>
    <s v="2026-05-21"/>
    <n v="0"/>
    <x v="1"/>
    <s v="Delivered"/>
    <x v="3"/>
  </r>
  <r>
    <n v="1017"/>
    <s v="MetroLogistics"/>
    <s v="2026-02-10"/>
    <s v="2026-02-10"/>
    <d v="2026-02-15T00:00:00"/>
    <d v="2026-02-14T00:00:00"/>
    <s v="2026-02-14"/>
    <n v="0"/>
    <x v="2"/>
    <s v="Delivered"/>
    <x v="3"/>
  </r>
  <r>
    <n v="1018"/>
    <s v="SwiftShip"/>
    <s v="2026-06-30"/>
    <s v="2026-06-30"/>
    <d v="2026-07-05T00:00:00"/>
    <d v="2026-07-07T00:00:00"/>
    <s v="2026-07-09"/>
    <n v="0"/>
    <x v="0"/>
    <s v="Delivered"/>
    <x v="2"/>
  </r>
  <r>
    <n v="1019"/>
    <s v="SwiftShip"/>
    <s v="2026-05-20"/>
    <s v="2026-05-20"/>
    <d v="2026-05-25T00:00:00"/>
    <d v="2026-05-25T00:00:00"/>
    <s v="2026-05-25"/>
    <n v="0"/>
    <x v="0"/>
    <s v="Delivered"/>
    <x v="3"/>
  </r>
  <r>
    <n v="1020"/>
    <s v="SwiftShip"/>
    <s v="2026-02-14"/>
    <s v="2026-02-14"/>
    <d v="2026-02-19T00:00:00"/>
    <d v="2026-02-19T00:00:00"/>
    <s v="2026-02-19"/>
    <n v="0"/>
    <x v="0"/>
    <s v="Delivered"/>
    <x v="3"/>
  </r>
  <r>
    <n v="1021"/>
    <s v="ParcelOne"/>
    <s v="2026-03-27"/>
    <s v="2026-03-28"/>
    <d v="2026-04-01T00:00:00"/>
    <d v="2026-04-01T00:00:00"/>
    <s v="2026-04-01"/>
    <n v="0"/>
    <x v="1"/>
    <s v="Delivered"/>
    <x v="3"/>
  </r>
  <r>
    <n v="1022"/>
    <s v="ParcelOne"/>
    <s v="2026-04-02"/>
    <s v="2026-04-02"/>
    <d v="2026-04-07T00:00:00"/>
    <d v="2026-04-07T00:00:00"/>
    <s v="2026-04-07"/>
    <n v="0"/>
    <x v="1"/>
    <s v="Delivered"/>
    <x v="3"/>
  </r>
  <r>
    <n v="1023"/>
    <s v="MetroLogistics"/>
    <s v="2026-05-02"/>
    <s v="2026-05-02"/>
    <d v="2026-05-07T00:00:00"/>
    <d v="2026-05-06T00:00:00"/>
    <s v="2026-05-06"/>
    <n v="0"/>
    <x v="2"/>
    <s v="Delivered"/>
    <x v="3"/>
  </r>
  <r>
    <n v="1024"/>
    <s v=" SwiftShip "/>
    <s v="2026-01-09"/>
    <s v="2026-01-09"/>
    <d v="2026-01-14T00:00:00"/>
    <m/>
    <m/>
    <n v="2"/>
    <x v="0"/>
    <s v="Shipped"/>
    <x v="0"/>
  </r>
  <r>
    <n v="1025"/>
    <s v="SwiftShip"/>
    <s v="2026-06-27"/>
    <s v="2026-06-27"/>
    <d v="2026-07-02T00:00:00"/>
    <d v="2026-07-02T00:00:00"/>
    <s v="2026-07-03"/>
    <n v="0"/>
    <x v="0"/>
    <s v="Delivered"/>
    <x v="3"/>
  </r>
  <r>
    <n v="1026"/>
    <s v="SwiftShip"/>
    <s v="2026-01-30"/>
    <s v="2026-01-30"/>
    <d v="2026-02-04T00:00:00"/>
    <d v="2026-02-05T00:00:00"/>
    <s v="2026-02-05"/>
    <n v="0"/>
    <x v="0"/>
    <s v="Delivered"/>
    <x v="2"/>
  </r>
  <r>
    <n v="1027"/>
    <s v="SwiftShip"/>
    <s v="2026-03-06"/>
    <s v="2026-03-06"/>
    <d v="2026-03-11T00:00:00"/>
    <d v="2026-03-11T00:00:00"/>
    <s v="2026-03-11"/>
    <n v="0"/>
    <x v="0"/>
    <s v="Delivered"/>
    <x v="3"/>
  </r>
  <r>
    <n v="1028"/>
    <s v="SwiftShip"/>
    <s v="2026-02-26"/>
    <s v="2026-02-26"/>
    <d v="2026-03-03T00:00:00"/>
    <d v="2026-03-02T00:00:00"/>
    <s v="2026-03-02"/>
    <n v="0"/>
    <x v="0"/>
    <s v="Delivered"/>
    <x v="3"/>
  </r>
  <r>
    <n v="1029"/>
    <s v="MetroLogistics"/>
    <s v="2026-05-08"/>
    <s v="2026-05-08"/>
    <d v="2026-05-13T00:00:00"/>
    <d v="2026-05-13T00:00:00"/>
    <s v="2026-05-13"/>
    <n v="0"/>
    <x v="2"/>
    <s v="Delivered"/>
    <x v="3"/>
  </r>
  <r>
    <n v="1030"/>
    <s v="ParcelOne"/>
    <s v="2026-05-31"/>
    <s v="2026-05-31"/>
    <d v="2026-06-05T00:00:00"/>
    <d v="2026-06-05T00:00:00"/>
    <s v="2026-06-05"/>
    <n v="0"/>
    <x v="1"/>
    <s v="Delivered"/>
    <x v="3"/>
  </r>
  <r>
    <n v="1031"/>
    <s v="SwiftShip"/>
    <s v="2026-03-24"/>
    <s v="2026-03-26"/>
    <d v="2026-03-29T00:00:00"/>
    <d v="2026-03-30T00:00:00"/>
    <s v="2026-03-30"/>
    <n v="0"/>
    <x v="0"/>
    <s v="Delivered"/>
    <x v="2"/>
  </r>
  <r>
    <n v="1032"/>
    <s v="ParcelOne"/>
    <s v="2026-02-17"/>
    <s v="2026-02-19"/>
    <d v="2026-02-22T00:00:00"/>
    <d v="2026-02-22T00:00:00"/>
    <s v="2026-02-22"/>
    <n v="0"/>
    <x v="1"/>
    <s v="Delivered"/>
    <x v="3"/>
  </r>
  <r>
    <n v="1034"/>
    <s v="SwiftShip"/>
    <s v="2026-05-03"/>
    <s v="2026-05-05"/>
    <d v="2026-05-08T00:00:00"/>
    <d v="2026-05-08T00:00:00"/>
    <s v="2026-05-09"/>
    <n v="0"/>
    <x v="0"/>
    <s v="Delivered"/>
    <x v="3"/>
  </r>
  <r>
    <n v="1035"/>
    <s v="SwiftShip"/>
    <s v="2026-05-08"/>
    <s v="2026-05-08"/>
    <d v="2026-05-13T00:00:00"/>
    <d v="2026-05-12T00:00:00"/>
    <s v="2026-05-12"/>
    <n v="0"/>
    <x v="0"/>
    <s v="Delivered"/>
    <x v="3"/>
  </r>
  <r>
    <n v="1036"/>
    <s v="ParcelOne"/>
    <s v="2026-06-07"/>
    <s v="2026-06-07"/>
    <d v="2026-06-12T00:00:00"/>
    <d v="2026-06-10T00:00:00"/>
    <s v="2026-06-12"/>
    <n v="0"/>
    <x v="1"/>
    <s v="Delivered"/>
    <x v="3"/>
  </r>
  <r>
    <n v="1037"/>
    <s v="SwiftShip"/>
    <s v="2026-02-25"/>
    <s v="2026-02-25"/>
    <d v="2026-03-02T00:00:00"/>
    <d v="2026-03-02T00:00:00"/>
    <s v="2026-03-02"/>
    <n v="0"/>
    <x v="0"/>
    <s v="Delivered"/>
    <x v="3"/>
  </r>
  <r>
    <n v="1038"/>
    <s v="SwiftShip"/>
    <s v="2026-01-11"/>
    <s v="2026-01-11"/>
    <d v="2026-01-16T00:00:00"/>
    <d v="2026-01-15T00:00:00"/>
    <s v="2026-01-15"/>
    <n v="0"/>
    <x v="0"/>
    <s v="Delivered"/>
    <x v="3"/>
  </r>
  <r>
    <n v="1039"/>
    <s v="SwiftShip"/>
    <s v="2026-02-08"/>
    <s v="2026-02-08"/>
    <d v="2026-02-13T00:00:00"/>
    <d v="2026-02-14T00:00:00"/>
    <s v="2026-02-14"/>
    <n v="0"/>
    <x v="0"/>
    <s v="Delivered"/>
    <x v="2"/>
  </r>
  <r>
    <n v="1040"/>
    <s v="ParcelOne"/>
    <s v="2026-05-11"/>
    <s v="2026-05-12"/>
    <d v="2026-05-16T00:00:00"/>
    <d v="2026-05-17T00:00:00"/>
    <s v="2026-05-17"/>
    <n v="0"/>
    <x v="1"/>
    <s v="Delivered"/>
    <x v="2"/>
  </r>
  <r>
    <n v="1041"/>
    <s v="MetroLogistics"/>
    <s v="2026-01-26"/>
    <s v="2026-01-26"/>
    <d v="2026-01-31T00:00:00"/>
    <d v="2026-01-31T00:00:00"/>
    <s v="2026-01-31"/>
    <n v="0"/>
    <x v="2"/>
    <s v="Delivered"/>
    <x v="3"/>
  </r>
  <r>
    <n v="1042"/>
    <s v="ParcelOne"/>
    <s v="2026-04-24"/>
    <s v="2026-04-24"/>
    <d v="2026-04-29T00:00:00"/>
    <d v="2026-04-29T00:00:00"/>
    <s v="2026-04-29"/>
    <n v="0"/>
    <x v="1"/>
    <s v="Delivered"/>
    <x v="3"/>
  </r>
  <r>
    <n v="1043"/>
    <s v="SwiftShip"/>
    <s v="2026-03-28"/>
    <s v="2026-03-28"/>
    <d v="2026-04-02T00:00:00"/>
    <d v="2026-04-02T00:00:00"/>
    <s v="2026-04-02"/>
    <n v="0"/>
    <x v="0"/>
    <s v="Delivered"/>
    <x v="3"/>
  </r>
  <r>
    <n v="1044"/>
    <s v="ParcelOne"/>
    <s v="2026-05-14"/>
    <s v="2026-05-14"/>
    <d v="2026-05-19T00:00:00"/>
    <d v="2026-05-19T00:00:00"/>
    <s v="2026-05-19"/>
    <n v="0"/>
    <x v="1"/>
    <s v="Delivered"/>
    <x v="3"/>
  </r>
  <r>
    <n v="1045"/>
    <s v="ParcelOne"/>
    <s v="2026-02-24"/>
    <s v="2026-02-26"/>
    <d v="2026-03-01T00:00:00"/>
    <d v="2026-03-01T00:00:00"/>
    <s v="2026-03-01"/>
    <n v="0"/>
    <x v="1"/>
    <s v="Delivered"/>
    <x v="3"/>
  </r>
  <r>
    <n v="1046"/>
    <s v="MetroLogistics"/>
    <s v="2026-03-23"/>
    <s v="2026-03-25"/>
    <d v="2026-03-28T00:00:00"/>
    <d v="2026-03-28T00:00:00"/>
    <s v="2026-03-28"/>
    <n v="0"/>
    <x v="2"/>
    <s v="Delivered"/>
    <x v="3"/>
  </r>
  <r>
    <n v="1047"/>
    <s v="MetroLogistics"/>
    <s v="2026-03-18"/>
    <s v="2026-03-18"/>
    <d v="2026-03-23T00:00:00"/>
    <d v="2026-03-23T00:00:00"/>
    <s v="2026-03-25"/>
    <n v="0"/>
    <x v="2"/>
    <s v="Delivered"/>
    <x v="3"/>
  </r>
  <r>
    <n v="1049"/>
    <s v="SwiftShip"/>
    <s v="2026-03-16"/>
    <s v="2026-03-16"/>
    <d v="2026-03-21T00:00:00"/>
    <d v="2026-03-21T00:00:00"/>
    <s v="2026-03-21"/>
    <n v="0"/>
    <x v="0"/>
    <s v="Delivered"/>
    <x v="3"/>
  </r>
  <r>
    <n v="1050"/>
    <s v="MetroLogistics"/>
    <s v="2026-02-20"/>
    <m/>
    <d v="2026-02-25T00:00:00"/>
    <m/>
    <m/>
    <n v="0"/>
    <x v="2"/>
    <s v="Pending"/>
    <x v="0"/>
  </r>
  <r>
    <n v="1051"/>
    <s v="SwiftShip"/>
    <s v="2026-04-10"/>
    <s v="2026-04-11"/>
    <d v="2026-04-15T00:00:00"/>
    <d v="2026-04-15T00:00:00"/>
    <s v="2026-04-15"/>
    <n v="0"/>
    <x v="0"/>
    <s v="Delivered"/>
    <x v="3"/>
  </r>
  <r>
    <n v="1052"/>
    <s v="MetroLogistics"/>
    <s v="2026-01-06"/>
    <s v="2026-01-06"/>
    <d v="2026-01-11T00:00:00"/>
    <d v="2026-01-13T00:00:00"/>
    <s v="2026-01-14"/>
    <n v="0"/>
    <x v="2"/>
    <s v="Delivered"/>
    <x v="2"/>
  </r>
  <r>
    <n v="1053"/>
    <s v="SwiftShip"/>
    <s v="2026-04-10"/>
    <s v="2026-04-10"/>
    <d v="2026-04-15T00:00:00"/>
    <m/>
    <m/>
    <n v="0"/>
    <x v="0"/>
    <s v="Shipped"/>
    <x v="0"/>
  </r>
  <r>
    <n v="1054"/>
    <s v="SwiftShip"/>
    <s v="2026-01-28"/>
    <s v="2026-01-28"/>
    <d v="2026-02-02T00:00:00"/>
    <d v="2026-01-31T00:00:00"/>
    <s v="2026-01-31"/>
    <n v="0"/>
    <x v="0"/>
    <s v="Delivered"/>
    <x v="3"/>
  </r>
  <r>
    <n v="1055"/>
    <s v="ParcelOne"/>
    <s v="2026-02-09"/>
    <s v="2026-02-09"/>
    <d v="2026-02-14T00:00:00"/>
    <d v="2026-02-13T00:00:00"/>
    <s v="2026-02-15"/>
    <n v="0"/>
    <x v="1"/>
    <s v="Delivered"/>
    <x v="3"/>
  </r>
  <r>
    <n v="1056"/>
    <s v="SwiftShip"/>
    <s v="2026-03-03"/>
    <s v="2026-03-05"/>
    <d v="2026-03-08T00:00:00"/>
    <d v="2026-03-09T00:00:00"/>
    <s v="2026-03-09"/>
    <n v="0"/>
    <x v="0"/>
    <s v="Delivered"/>
    <x v="2"/>
  </r>
  <r>
    <n v="1057"/>
    <s v="SwiftShip"/>
    <s v="2026-04-01"/>
    <m/>
    <d v="2026-04-06T00:00:00"/>
    <m/>
    <m/>
    <n v="0"/>
    <x v="0"/>
    <s v="Pending"/>
    <x v="0"/>
  </r>
  <r>
    <n v="1058"/>
    <s v="MetroLogistics"/>
    <s v="2026-01-30"/>
    <s v="2026-02-01"/>
    <d v="2026-02-04T00:00:00"/>
    <d v="2026-02-04T00:00:00"/>
    <s v="2026-02-04"/>
    <n v="0"/>
    <x v="2"/>
    <s v="Delivered"/>
    <x v="3"/>
  </r>
  <r>
    <n v="1059"/>
    <s v="MetroLogistics"/>
    <s v="2026-06-27"/>
    <s v="2026-06-27"/>
    <d v="2026-07-02T00:00:00"/>
    <d v="2026-07-02T00:00:00"/>
    <s v="2026-07-02"/>
    <n v="0"/>
    <x v="2"/>
    <s v="Delivered"/>
    <x v="3"/>
  </r>
  <r>
    <n v="1060"/>
    <s v="SwiftShip"/>
    <s v="2026-06-20"/>
    <s v="2026-06-20"/>
    <d v="2026-06-25T00:00:00"/>
    <d v="2026-06-26T00:00:00"/>
    <s v="2026-06-26"/>
    <n v="0"/>
    <x v="0"/>
    <s v="Delivered"/>
    <x v="2"/>
  </r>
  <r>
    <n v="1061"/>
    <s v="SwiftShip"/>
    <s v="2026-03-27"/>
    <s v="2026-03-27"/>
    <d v="2026-04-01T00:00:00"/>
    <d v="2026-04-03T00:00:00"/>
    <s v="2026-04-04"/>
    <n v="0"/>
    <x v="0"/>
    <s v="Delivered"/>
    <x v="2"/>
  </r>
  <r>
    <n v="1062"/>
    <s v="MetroLogistics"/>
    <s v="2026-05-06"/>
    <s v="2026-05-07"/>
    <d v="2026-05-11T00:00:00"/>
    <m/>
    <m/>
    <n v="0"/>
    <x v="2"/>
    <s v="Shipped"/>
    <x v="0"/>
  </r>
  <r>
    <n v="1063"/>
    <s v="MetroLogistics"/>
    <s v="2026-06-24"/>
    <m/>
    <d v="2026-06-29T00:00:00"/>
    <m/>
    <m/>
    <n v="0"/>
    <x v="2"/>
    <s v="Pending"/>
    <x v="0"/>
  </r>
  <r>
    <n v="1064"/>
    <s v="MetroLogistics"/>
    <s v="2026-02-03"/>
    <s v="2026-02-03"/>
    <d v="2026-02-08T00:00:00"/>
    <d v="2026-02-10T00:00:00"/>
    <s v="2026-02-10"/>
    <n v="0"/>
    <x v="2"/>
    <s v="Delivered"/>
    <x v="2"/>
  </r>
  <r>
    <n v="1065"/>
    <s v="ParcelOne"/>
    <s v="2026-02-28"/>
    <s v="2026-03-02"/>
    <d v="2026-03-05T00:00:00"/>
    <d v="2026-03-05T00:00:00"/>
    <s v="2026-03-05"/>
    <n v="0"/>
    <x v="1"/>
    <s v="Delivered"/>
    <x v="3"/>
  </r>
  <r>
    <n v="1067"/>
    <s v="MetroLogistics"/>
    <s v="2026-04-19"/>
    <s v="2026-04-19"/>
    <d v="2026-04-24T00:00:00"/>
    <d v="2026-04-23T00:00:00"/>
    <s v="2026-04-23"/>
    <n v="0"/>
    <x v="2"/>
    <s v="Delivered"/>
    <x v="3"/>
  </r>
  <r>
    <n v="1068"/>
    <s v="SwiftShip"/>
    <s v="2026-04-07"/>
    <s v="2026-04-07"/>
    <d v="2026-04-12T00:00:00"/>
    <d v="2026-04-11T00:00:00"/>
    <s v="2026-04-12"/>
    <n v="0"/>
    <x v="0"/>
    <s v="Delivered"/>
    <x v="3"/>
  </r>
  <r>
    <n v="1069"/>
    <s v="MetroLogistics"/>
    <s v="2026-01-26"/>
    <s v="2026-01-28"/>
    <d v="2026-01-31T00:00:00"/>
    <d v="2026-02-01T00:00:00"/>
    <s v="2026-02-01"/>
    <n v="0"/>
    <x v="2"/>
    <s v="Delivered"/>
    <x v="2"/>
  </r>
  <r>
    <n v="1070"/>
    <s v="SwiftShip"/>
    <s v="2026-02-25"/>
    <s v="2026-02-26"/>
    <d v="2026-03-02T00:00:00"/>
    <d v="2026-03-01T00:00:00"/>
    <s v="2026-03-01"/>
    <n v="0"/>
    <x v="0"/>
    <s v="Delivered"/>
    <x v="3"/>
  </r>
  <r>
    <n v="1071"/>
    <s v="ParcelOne"/>
    <s v="2026-02-16"/>
    <s v="2026-02-16"/>
    <d v="2026-02-21T00:00:00"/>
    <d v="2026-02-20T00:00:00"/>
    <s v="2026-02-20"/>
    <n v="0"/>
    <x v="1"/>
    <s v="Delivered"/>
    <x v="3"/>
  </r>
  <r>
    <n v="1072"/>
    <s v="MetroLogistics"/>
    <s v="2026-03-11"/>
    <s v="2026-03-11"/>
    <d v="2026-03-16T00:00:00"/>
    <d v="2026-03-15T00:00:00"/>
    <s v="2026-03-15"/>
    <n v="0"/>
    <x v="2"/>
    <s v="Delivered"/>
    <x v="3"/>
  </r>
  <r>
    <n v="1073"/>
    <s v="ParcelOne"/>
    <s v="2026-06-20"/>
    <s v="2026-06-20"/>
    <d v="2026-06-25T00:00:00"/>
    <d v="2026-06-27T00:00:00"/>
    <s v="2026-06-27"/>
    <n v="0"/>
    <x v="1"/>
    <s v="Delivered"/>
    <x v="2"/>
  </r>
  <r>
    <n v="1074"/>
    <s v="MetroLogistics"/>
    <s v="2026-03-26"/>
    <s v="2026-03-26"/>
    <d v="2026-03-31T00:00:00"/>
    <d v="2026-03-31T00:00:00"/>
    <s v="2026-03-31"/>
    <n v="0"/>
    <x v="2"/>
    <s v="Delivered"/>
    <x v="3"/>
  </r>
  <r>
    <n v="1075"/>
    <s v="MetroLogistics"/>
    <s v="2026-06-06"/>
    <s v="2026-06-06"/>
    <d v="2026-06-11T00:00:00"/>
    <d v="2026-06-12T00:00:00"/>
    <s v="2026-06-12"/>
    <n v="0"/>
    <x v="2"/>
    <s v="Delivered"/>
    <x v="2"/>
  </r>
  <r>
    <n v="1076"/>
    <s v="MetroLogistics"/>
    <s v="2026-01-27"/>
    <s v="2026-01-28"/>
    <d v="2026-02-01T00:00:00"/>
    <d v="2026-01-31T00:00:00"/>
    <s v="2026-01-31"/>
    <n v="0"/>
    <x v="2"/>
    <s v="Delivered"/>
    <x v="3"/>
  </r>
  <r>
    <n v="1077"/>
    <s v="SwiftShip"/>
    <s v="2026-04-08"/>
    <s v="2026-04-08"/>
    <d v="2026-04-13T00:00:00"/>
    <d v="2026-04-13T00:00:00"/>
    <s v="2026-04-14"/>
    <n v="0"/>
    <x v="0"/>
    <s v="Delivered"/>
    <x v="3"/>
  </r>
  <r>
    <n v="1078"/>
    <s v="ParcelOne"/>
    <s v="2026-01-16"/>
    <s v="2026-01-16"/>
    <d v="2026-01-21T00:00:00"/>
    <m/>
    <m/>
    <n v="0"/>
    <x v="1"/>
    <s v="Shipped"/>
    <x v="0"/>
  </r>
  <r>
    <n v="1079"/>
    <s v="MetroLogistics"/>
    <s v="2026-01-30"/>
    <s v="2026-01-31"/>
    <d v="2026-02-04T00:00:00"/>
    <d v="2026-02-08T00:00:00"/>
    <s v="2026-02-09"/>
    <n v="0"/>
    <x v="2"/>
    <s v="Delivered"/>
    <x v="2"/>
  </r>
  <r>
    <n v="1080"/>
    <s v="ParcelOne"/>
    <s v="2026-06-24"/>
    <s v="2026-06-26"/>
    <d v="2026-06-29T00:00:00"/>
    <d v="2026-06-29T00:00:00"/>
    <s v="2026-06-29"/>
    <n v="0"/>
    <x v="1"/>
    <s v="Delivered"/>
    <x v="3"/>
  </r>
  <r>
    <n v="1081"/>
    <s v="SwiftShip"/>
    <s v="2026-05-27"/>
    <s v="2026-05-27"/>
    <d v="2026-06-01T00:00:00"/>
    <d v="2026-06-01T00:00:00"/>
    <s v="2026-06-01"/>
    <n v="0"/>
    <x v="0"/>
    <s v="Delivered"/>
    <x v="3"/>
  </r>
  <r>
    <n v="1082"/>
    <s v="SwiftShip"/>
    <s v="2026-03-31"/>
    <s v="2026-03-31"/>
    <d v="2026-04-05T00:00:00"/>
    <d v="2026-04-05T00:00:00"/>
    <s v="2026-04-05"/>
    <n v="0"/>
    <x v="0"/>
    <s v="Delivered"/>
    <x v="3"/>
  </r>
  <r>
    <n v="1083"/>
    <s v="SwiftShip"/>
    <s v="2026-04-26"/>
    <s v="2026-04-26"/>
    <d v="2026-05-01T00:00:00"/>
    <d v="2026-05-01T00:00:00"/>
    <s v="2026-05-01"/>
    <n v="0"/>
    <x v="0"/>
    <s v="Delivered"/>
    <x v="3"/>
  </r>
  <r>
    <n v="1084"/>
    <s v="ParcelOne"/>
    <s v="2026-05-17"/>
    <s v="2026-05-17"/>
    <d v="2026-05-22T00:00:00"/>
    <d v="2026-05-22T00:00:00"/>
    <s v="2026-05-22"/>
    <n v="0"/>
    <x v="1"/>
    <s v="Delivered"/>
    <x v="3"/>
  </r>
  <r>
    <n v="1085"/>
    <s v="MetroLogistics"/>
    <s v="2026-03-09"/>
    <s v="2026-03-09"/>
    <d v="2026-03-14T00:00:00"/>
    <d v="2026-03-14T00:00:00"/>
    <s v="2026-03-14"/>
    <n v="0"/>
    <x v="2"/>
    <s v="Delivered"/>
    <x v="3"/>
  </r>
  <r>
    <n v="1086"/>
    <s v="SwiftShip"/>
    <s v="2026-05-26"/>
    <s v="2026-05-26"/>
    <d v="2026-05-31T00:00:00"/>
    <d v="2026-05-31T00:00:00"/>
    <s v="2026-05-31"/>
    <n v="0"/>
    <x v="0"/>
    <s v="Delivered"/>
    <x v="3"/>
  </r>
  <r>
    <n v="1087"/>
    <s v="SwiftShip"/>
    <s v="2026-05-30"/>
    <s v="2026-06-01"/>
    <d v="2026-06-04T00:00:00"/>
    <d v="2026-06-03T00:00:00"/>
    <s v="2026-06-05"/>
    <n v="0"/>
    <x v="0"/>
    <s v="Delivered"/>
    <x v="3"/>
  </r>
  <r>
    <n v="1088"/>
    <s v="SwiftShip"/>
    <s v="2026-06-28"/>
    <s v="2026-06-28"/>
    <d v="2026-07-03T00:00:00"/>
    <m/>
    <m/>
    <n v="0"/>
    <x v="0"/>
    <s v="Shipped"/>
    <x v="0"/>
  </r>
  <r>
    <n v="1089"/>
    <s v="MetroLogistics"/>
    <s v="2026-03-23"/>
    <s v="2026-03-25"/>
    <d v="2026-03-28T00:00:00"/>
    <d v="2026-03-28T00:00:00"/>
    <s v="2026-03-28"/>
    <n v="0"/>
    <x v="2"/>
    <s v="Delivered"/>
    <x v="3"/>
  </r>
  <r>
    <n v="1090"/>
    <s v="MetroLogistics"/>
    <s v="2026-02-09"/>
    <s v="2026-02-09"/>
    <d v="2026-02-14T00:00:00"/>
    <d v="2026-02-15T00:00:00"/>
    <s v="2026-02-15"/>
    <n v="0"/>
    <x v="2"/>
    <s v="Delivered"/>
    <x v="2"/>
  </r>
  <r>
    <n v="1091"/>
    <s v="SwiftShip"/>
    <s v="2026-05-31"/>
    <s v="2026-05-31"/>
    <d v="2026-06-05T00:00:00"/>
    <d v="2026-06-05T00:00:00"/>
    <s v="2026-06-05"/>
    <n v="0"/>
    <x v="0"/>
    <s v="Delivered"/>
    <x v="3"/>
  </r>
  <r>
    <n v="1092"/>
    <s v="ParcelOne"/>
    <s v="2026-06-03"/>
    <s v="2026-06-03"/>
    <d v="2026-06-08T00:00:00"/>
    <d v="2026-06-06T00:00:00"/>
    <s v="2026-06-07"/>
    <n v="0"/>
    <x v="1"/>
    <s v="Delivered"/>
    <x v="3"/>
  </r>
  <r>
    <n v="1094"/>
    <s v="ParcelOne"/>
    <s v="2026-05-29"/>
    <s v="2026-05-30"/>
    <d v="2026-06-03T00:00:00"/>
    <d v="2026-06-05T00:00:00"/>
    <s v="2026-06-07"/>
    <n v="0"/>
    <x v="1"/>
    <s v="Delivered"/>
    <x v="2"/>
  </r>
  <r>
    <n v="1095"/>
    <s v="SwiftShip"/>
    <s v="2026-05-12"/>
    <s v="2026-05-14"/>
    <d v="2026-05-17T00:00:00"/>
    <d v="2026-05-17T00:00:00"/>
    <s v="2026-05-17"/>
    <n v="0"/>
    <x v="0"/>
    <s v="Delivered"/>
    <x v="3"/>
  </r>
  <r>
    <n v="1096"/>
    <s v="ParcelOne"/>
    <s v="2026-04-08"/>
    <s v="2026-04-08"/>
    <d v="2026-04-13T00:00:00"/>
    <m/>
    <m/>
    <n v="0"/>
    <x v="1"/>
    <s v="Shipped"/>
    <x v="0"/>
  </r>
  <r>
    <n v="1097"/>
    <s v="SwiftShip"/>
    <s v="2026-05-25"/>
    <s v="2026-05-25"/>
    <d v="2026-05-30T00:00:00"/>
    <d v="2026-05-30T00:00:00"/>
    <s v="2026-06-01"/>
    <n v="0"/>
    <x v="0"/>
    <s v="Delivered"/>
    <x v="3"/>
  </r>
  <r>
    <n v="1098"/>
    <s v="ParcelOne"/>
    <s v="2026-06-19"/>
    <s v="2026-06-19"/>
    <d v="2026-06-24T00:00:00"/>
    <d v="2026-06-24T00:00:00"/>
    <s v="2026-06-24"/>
    <n v="0"/>
    <x v="1"/>
    <s v="Delivered"/>
    <x v="3"/>
  </r>
  <r>
    <n v="1099"/>
    <s v="ParcelOne"/>
    <s v="2026-06-23"/>
    <s v="2026-06-23"/>
    <d v="2026-06-28T00:00:00"/>
    <d v="2026-06-26T00:00:00"/>
    <s v="2026-06-26"/>
    <n v="0"/>
    <x v="1"/>
    <s v="Delivered"/>
    <x v="3"/>
  </r>
  <r>
    <n v="1100"/>
    <s v="SwiftShip"/>
    <s v="2026-03-31"/>
    <s v="2026-03-31"/>
    <d v="2026-04-05T00:00:00"/>
    <m/>
    <m/>
    <n v="0"/>
    <x v="0"/>
    <s v="Shipped"/>
    <x v="0"/>
  </r>
  <r>
    <n v="1101"/>
    <s v="ParcelOne"/>
    <s v="2026-01-28"/>
    <s v="2026-01-28"/>
    <d v="2026-02-02T00:00:00"/>
    <d v="2026-02-03T00:00:00"/>
    <s v="2026-02-03"/>
    <n v="0"/>
    <x v="1"/>
    <s v="Delivered"/>
    <x v="2"/>
  </r>
  <r>
    <n v="1102"/>
    <s v="SwiftShip"/>
    <s v="2026-04-25"/>
    <s v="2026-04-25"/>
    <d v="2026-04-30T00:00:00"/>
    <d v="2026-04-30T00:00:00"/>
    <s v="2026-05-01"/>
    <n v="0"/>
    <x v="0"/>
    <s v="Delivered"/>
    <x v="3"/>
  </r>
  <r>
    <n v="1103"/>
    <s v="ParcelOne"/>
    <s v="2026-02-21"/>
    <s v="2026-02-23"/>
    <d v="2026-02-26T00:00:00"/>
    <d v="2026-02-27T00:00:00"/>
    <s v="2026-02-28"/>
    <n v="0"/>
    <x v="1"/>
    <s v="Delivered"/>
    <x v="2"/>
  </r>
  <r>
    <n v="1104"/>
    <s v="MetroLogistics"/>
    <s v="2026-03-08"/>
    <s v="2026-03-08"/>
    <d v="2026-03-13T00:00:00"/>
    <d v="2026-03-12T00:00:00"/>
    <s v="2026-03-12"/>
    <n v="0"/>
    <x v="2"/>
    <s v="Delivered"/>
    <x v="3"/>
  </r>
  <r>
    <n v="1105"/>
    <s v="SwiftShip"/>
    <s v="2026-02-09"/>
    <s v="2026-02-11"/>
    <d v="2026-02-14T00:00:00"/>
    <d v="2026-02-14T00:00:00"/>
    <s v="2026-02-14"/>
    <n v="0"/>
    <x v="0"/>
    <s v="Delivered"/>
    <x v="3"/>
  </r>
  <r>
    <n v="1106"/>
    <s v="ParcelOne"/>
    <s v="2026-03-04"/>
    <s v="2026-03-05"/>
    <d v="2026-03-09T00:00:00"/>
    <d v="2026-03-09T00:00:00"/>
    <s v="2026-03-09"/>
    <n v="0"/>
    <x v="1"/>
    <s v="Delivered"/>
    <x v="3"/>
  </r>
  <r>
    <n v="1107"/>
    <s v="MetroLogistics"/>
    <s v="2026-01-12"/>
    <s v="2026-01-12"/>
    <d v="2026-01-17T00:00:00"/>
    <d v="2026-01-19T00:00:00"/>
    <s v="2026-01-19"/>
    <n v="0"/>
    <x v="2"/>
    <s v="Delivered"/>
    <x v="2"/>
  </r>
  <r>
    <n v="1108"/>
    <s v="ParcelOne"/>
    <s v="2026-06-07"/>
    <s v="2026-06-07"/>
    <d v="2026-06-12T00:00:00"/>
    <d v="2026-06-12T00:00:00"/>
    <s v="2026-06-12"/>
    <n v="0"/>
    <x v="1"/>
    <s v="Delivered"/>
    <x v="3"/>
  </r>
  <r>
    <n v="1109"/>
    <s v="SwiftShip"/>
    <s v="2026-01-31"/>
    <s v="2026-01-31"/>
    <d v="2026-02-05T00:00:00"/>
    <d v="2026-02-05T00:00:00"/>
    <s v="2026-02-05"/>
    <n v="0"/>
    <x v="0"/>
    <s v="Delivered"/>
    <x v="3"/>
  </r>
  <r>
    <n v="1110"/>
    <s v="MetroLogistics"/>
    <s v="2026-02-19"/>
    <s v="2026-02-19"/>
    <d v="2026-02-24T00:00:00"/>
    <d v="2026-02-24T00:00:00"/>
    <s v="2026-02-24"/>
    <n v="0"/>
    <x v="2"/>
    <s v="Delivered"/>
    <x v="3"/>
  </r>
  <r>
    <n v="1111"/>
    <s v="MetroLogistics"/>
    <s v="2026-01-07"/>
    <s v="2026-01-07"/>
    <d v="2026-01-12T00:00:00"/>
    <d v="2026-01-12T00:00:00"/>
    <s v="2026-01-12"/>
    <n v="0"/>
    <x v="2"/>
    <s v="Delivered"/>
    <x v="3"/>
  </r>
  <r>
    <n v="1112"/>
    <s v="ParcelOne"/>
    <s v="2026-02-16"/>
    <s v="2026-02-16"/>
    <d v="2026-02-21T00:00:00"/>
    <d v="2026-02-20T00:00:00"/>
    <s v="2026-02-20"/>
    <n v="0"/>
    <x v="1"/>
    <s v="Delivered"/>
    <x v="3"/>
  </r>
  <r>
    <n v="1113"/>
    <s v="ParcelOne"/>
    <s v="2026-03-24"/>
    <s v="2026-03-24"/>
    <d v="2026-03-29T00:00:00"/>
    <m/>
    <m/>
    <n v="0"/>
    <x v="1"/>
    <s v="Shipped"/>
    <x v="0"/>
  </r>
  <r>
    <n v="1114"/>
    <s v="ParcelOne"/>
    <s v="2026-03-17"/>
    <s v="2026-03-17"/>
    <d v="2026-03-22T00:00:00"/>
    <d v="2026-03-24T00:00:00"/>
    <s v="2026-03-24"/>
    <n v="0"/>
    <x v="1"/>
    <s v="Delivered"/>
    <x v="2"/>
  </r>
  <r>
    <n v="1115"/>
    <s v="MetroLogistics"/>
    <s v="2026-05-10"/>
    <s v="2026-05-10"/>
    <d v="2026-05-15T00:00:00"/>
    <d v="2026-05-15T00:00:00"/>
    <s v="2026-05-15"/>
    <n v="0"/>
    <x v="2"/>
    <s v="Delivered"/>
    <x v="3"/>
  </r>
  <r>
    <n v="1116"/>
    <s v="SwiftShip"/>
    <s v="2026-03-19"/>
    <s v="2026-03-19"/>
    <d v="2026-03-24T00:00:00"/>
    <d v="2026-03-22T00:00:00"/>
    <s v="2026-03-23"/>
    <n v="0"/>
    <x v="0"/>
    <s v="Delivered"/>
    <x v="3"/>
  </r>
  <r>
    <n v="1117"/>
    <s v="ParcelOne"/>
    <s v="2026-06-09"/>
    <m/>
    <d v="2026-06-14T00:00:00"/>
    <m/>
    <m/>
    <n v="0"/>
    <x v="1"/>
    <s v="Pending"/>
    <x v="0"/>
  </r>
  <r>
    <n v="1118"/>
    <s v="MetroLogistics"/>
    <s v="2026-06-07"/>
    <s v="2026-06-07"/>
    <d v="2026-06-12T00:00:00"/>
    <d v="2026-06-12T00:00:00"/>
    <s v="2026-06-12"/>
    <n v="0"/>
    <x v="2"/>
    <s v="Delivered"/>
    <x v="3"/>
  </r>
  <r>
    <n v="1119"/>
    <s v="ParcelOne"/>
    <s v="2026-01-11"/>
    <s v="2026-01-11"/>
    <d v="2026-01-16T00:00:00"/>
    <d v="2026-01-16T00:00:00"/>
    <s v="2026-01-16"/>
    <n v="0"/>
    <x v="1"/>
    <s v="Delivered"/>
    <x v="3"/>
  </r>
  <r>
    <n v="1120"/>
    <s v="MetroLogistics"/>
    <s v="2026-02-01"/>
    <s v="2026-02-01"/>
    <d v="2026-02-06T00:00:00"/>
    <d v="2026-02-07T00:00:00"/>
    <s v="2026-02-07"/>
    <n v="0"/>
    <x v="2"/>
    <s v="Delivered"/>
    <x v="2"/>
  </r>
  <r>
    <n v="1121"/>
    <s v="SwiftShip"/>
    <s v="2026-03-17"/>
    <s v="2026-03-18"/>
    <d v="2026-03-22T00:00:00"/>
    <d v="2026-03-22T00:00:00"/>
    <s v="2026-03-23"/>
    <n v="0"/>
    <x v="0"/>
    <s v="Delivered"/>
    <x v="3"/>
  </r>
  <r>
    <n v="1122"/>
    <s v="SwiftShip"/>
    <s v="2026-01-25"/>
    <s v="2026-01-25"/>
    <d v="2026-01-30T00:00:00"/>
    <d v="2026-02-03T00:00:00"/>
    <s v="2026-02-03"/>
    <n v="0"/>
    <x v="0"/>
    <s v="Delivered"/>
    <x v="2"/>
  </r>
  <r>
    <n v="1123"/>
    <s v="MetroLogistics"/>
    <s v="2026-05-13"/>
    <s v="2026-05-13"/>
    <d v="2026-05-18T00:00:00"/>
    <d v="2026-05-18T00:00:00"/>
    <s v="2026-05-18"/>
    <n v="0"/>
    <x v="2"/>
    <s v="Delivered"/>
    <x v="3"/>
  </r>
  <r>
    <n v="1124"/>
    <s v="SwiftShip"/>
    <s v="2026-02-05"/>
    <s v="2026-02-07"/>
    <d v="2026-02-10T00:00:00"/>
    <d v="2026-02-11T00:00:00"/>
    <s v="2026-02-11"/>
    <n v="0"/>
    <x v="0"/>
    <s v="Delivered"/>
    <x v="2"/>
  </r>
  <r>
    <n v="1125"/>
    <s v="ParcelOne"/>
    <s v="2026-05-30"/>
    <s v="2026-05-30"/>
    <d v="2026-06-04T00:00:00"/>
    <d v="2026-06-03T00:00:00"/>
    <s v="2026-06-03"/>
    <n v="0"/>
    <x v="1"/>
    <s v="Delivered"/>
    <x v="3"/>
  </r>
  <r>
    <n v="1126"/>
    <s v="MetroLogistics"/>
    <s v="2026-02-03"/>
    <s v="2026-02-05"/>
    <d v="2026-02-08T00:00:00"/>
    <d v="2026-02-07T00:00:00"/>
    <s v="2026-02-09"/>
    <n v="0"/>
    <x v="2"/>
    <s v="Delivered"/>
    <x v="3"/>
  </r>
  <r>
    <n v="1127"/>
    <s v="MetroLogistics"/>
    <s v="2026-03-16"/>
    <s v="2026-03-16"/>
    <d v="2026-03-21T00:00:00"/>
    <d v="2026-03-21T00:00:00"/>
    <s v="2026-03-21"/>
    <n v="0"/>
    <x v="2"/>
    <s v="Delivered"/>
    <x v="3"/>
  </r>
  <r>
    <n v="1128"/>
    <s v="ParcelOne"/>
    <s v="2026-06-16"/>
    <s v="2026-06-17"/>
    <d v="2026-06-21T00:00:00"/>
    <d v="2026-06-21T00:00:00"/>
    <s v="2026-06-22"/>
    <n v="0"/>
    <x v="1"/>
    <s v="Delivered"/>
    <x v="3"/>
  </r>
  <r>
    <n v="1129"/>
    <s v="SwiftShip"/>
    <s v="2026-01-23"/>
    <s v="2026-01-23"/>
    <d v="2026-01-28T00:00:00"/>
    <d v="2026-01-28T00:00:00"/>
    <s v="2026-01-28"/>
    <n v="0"/>
    <x v="0"/>
    <s v="Delivered"/>
    <x v="3"/>
  </r>
  <r>
    <n v="1130"/>
    <s v="MetroLogistics"/>
    <s v="2026-05-06"/>
    <s v="2026-05-06"/>
    <d v="2026-05-11T00:00:00"/>
    <d v="2026-05-11T00:00:00"/>
    <s v="2026-05-11"/>
    <n v="0"/>
    <x v="2"/>
    <s v="Delivered"/>
    <x v="3"/>
  </r>
  <r>
    <n v="1131"/>
    <s v="ParcelOne"/>
    <s v="2026-02-08"/>
    <s v="2026-02-08"/>
    <d v="2026-02-13T00:00:00"/>
    <d v="2026-02-12T00:00:00"/>
    <s v="2026-02-12"/>
    <n v="0"/>
    <x v="1"/>
    <s v="Delivered"/>
    <x v="3"/>
  </r>
  <r>
    <n v="1132"/>
    <s v="SwiftShip"/>
    <s v="2026-01-27"/>
    <s v="2026-01-27"/>
    <d v="2026-02-01T00:00:00"/>
    <d v="2026-02-01T00:00:00"/>
    <s v="2026-02-01"/>
    <n v="0"/>
    <x v="0"/>
    <s v="Delivered"/>
    <x v="3"/>
  </r>
  <r>
    <n v="1133"/>
    <s v="MetroLogistics"/>
    <s v="2026-03-22"/>
    <s v="2026-03-22"/>
    <d v="2026-03-27T00:00:00"/>
    <d v="2026-03-25T00:00:00"/>
    <s v="2026-03-25"/>
    <n v="0"/>
    <x v="2"/>
    <s v="Delivered"/>
    <x v="3"/>
  </r>
  <r>
    <n v="1134"/>
    <s v="MetroLogistics"/>
    <s v="2026-06-19"/>
    <s v="2026-06-19"/>
    <d v="2026-06-24T00:00:00"/>
    <d v="2026-06-24T00:00:00"/>
    <s v="2026-06-24"/>
    <n v="0"/>
    <x v="2"/>
    <s v="Delivered"/>
    <x v="3"/>
  </r>
  <r>
    <n v="1135"/>
    <s v="ParcelOne"/>
    <s v="2026-05-26"/>
    <s v="2026-05-27"/>
    <d v="2026-05-31T00:00:00"/>
    <d v="2026-05-31T00:00:00"/>
    <s v="2026-05-31"/>
    <n v="0"/>
    <x v="1"/>
    <s v="Delivered"/>
    <x v="3"/>
  </r>
  <r>
    <n v="1136"/>
    <s v="MetroLogistics"/>
    <s v="2026-01-27"/>
    <s v="2026-01-27"/>
    <d v="2026-02-01T00:00:00"/>
    <d v="2026-02-02T00:00:00"/>
    <s v="2026-02-03"/>
    <n v="0"/>
    <x v="2"/>
    <s v="Delivered"/>
    <x v="2"/>
  </r>
  <r>
    <n v="1137"/>
    <s v="SwiftShip"/>
    <s v="2026-04-29"/>
    <s v="2026-04-29"/>
    <d v="2026-05-04T00:00:00"/>
    <d v="2026-05-08T00:00:00"/>
    <s v="2026-05-08"/>
    <n v="0"/>
    <x v="0"/>
    <s v="Delivered"/>
    <x v="2"/>
  </r>
  <r>
    <n v="1138"/>
    <s v="SwiftShip"/>
    <s v="2026-06-03"/>
    <s v="2026-06-03"/>
    <d v="2026-06-08T00:00:00"/>
    <d v="2026-06-07T00:00:00"/>
    <s v="2026-06-07"/>
    <n v="0"/>
    <x v="0"/>
    <s v="Delivered"/>
    <x v="3"/>
  </r>
  <r>
    <n v="1139"/>
    <s v="MetroLogistics"/>
    <s v="2026-06-28"/>
    <s v="2026-06-28"/>
    <d v="2026-07-03T00:00:00"/>
    <d v="2026-07-02T00:00:00"/>
    <s v="2026-07-02"/>
    <n v="0"/>
    <x v="2"/>
    <s v="Delivered"/>
    <x v="3"/>
  </r>
  <r>
    <n v="1140"/>
    <s v="SwiftShip"/>
    <s v="2026-04-10"/>
    <s v="2026-04-10"/>
    <d v="2026-04-15T00:00:00"/>
    <d v="2026-04-15T00:00:00"/>
    <s v="2026-04-15"/>
    <n v="0"/>
    <x v="0"/>
    <s v="Delivered"/>
    <x v="3"/>
  </r>
  <r>
    <n v="1141"/>
    <s v="MetroLogistics"/>
    <s v="2026-06-28"/>
    <s v="2026-06-28"/>
    <d v="2026-07-03T00:00:00"/>
    <d v="2026-07-03T00:00:00"/>
    <s v="2026-07-03"/>
    <n v="0"/>
    <x v="2"/>
    <s v="Delivered"/>
    <x v="3"/>
  </r>
  <r>
    <n v="1142"/>
    <s v="MetroLogistics"/>
    <s v="2026-03-31"/>
    <s v="2026-04-02"/>
    <d v="2026-04-05T00:00:00"/>
    <d v="2026-04-09T00:00:00"/>
    <s v="2026-04-09"/>
    <n v="0"/>
    <x v="2"/>
    <s v="Delivered"/>
    <x v="2"/>
  </r>
  <r>
    <n v="1143"/>
    <s v="SwiftShip"/>
    <s v="2026-02-25"/>
    <s v="2026-02-25"/>
    <d v="2026-03-02T00:00:00"/>
    <d v="2026-03-03T00:00:00"/>
    <s v="2026-03-03"/>
    <n v="0"/>
    <x v="0"/>
    <s v="Delivered"/>
    <x v="2"/>
  </r>
  <r>
    <n v="1144"/>
    <s v="MetroLogistics"/>
    <s v="2026-04-01"/>
    <s v="2026-04-03"/>
    <d v="2026-04-06T00:00:00"/>
    <m/>
    <m/>
    <n v="0"/>
    <x v="2"/>
    <s v="Shipped"/>
    <x v="0"/>
  </r>
  <r>
    <n v="1145"/>
    <s v="MetroLogistics"/>
    <s v="2026-03-09"/>
    <s v="2026-03-11"/>
    <d v="2026-03-14T00:00:00"/>
    <d v="2026-03-15T00:00:00"/>
    <s v="2026-03-15"/>
    <n v="0"/>
    <x v="2"/>
    <s v="Delivered"/>
    <x v="2"/>
  </r>
  <r>
    <n v="1146"/>
    <s v="ParcelOne"/>
    <s v="2026-06-02"/>
    <s v="2026-06-02"/>
    <d v="2026-06-07T00:00:00"/>
    <d v="2026-06-07T00:00:00"/>
    <s v="2026-06-07"/>
    <n v="0"/>
    <x v="1"/>
    <s v="Delivered"/>
    <x v="3"/>
  </r>
  <r>
    <n v="1147"/>
    <s v="SwiftShip"/>
    <s v="2026-01-04"/>
    <s v="2026-01-04"/>
    <d v="2026-01-09T00:00:00"/>
    <m/>
    <m/>
    <n v="0"/>
    <x v="0"/>
    <s v="Shipped"/>
    <x v="0"/>
  </r>
  <r>
    <n v="1148"/>
    <s v="ParcelOne"/>
    <s v="2026-03-26"/>
    <s v="2026-03-26"/>
    <d v="2026-03-31T00:00:00"/>
    <d v="2026-04-01T00:00:00"/>
    <s v="2026-04-03"/>
    <n v="0"/>
    <x v="1"/>
    <s v="Delivered"/>
    <x v="2"/>
  </r>
  <r>
    <n v="1150"/>
    <s v="ParcelOne"/>
    <s v="2026-02-19"/>
    <s v="2026-02-19"/>
    <d v="2026-02-24T00:00:00"/>
    <m/>
    <m/>
    <n v="0"/>
    <x v="1"/>
    <s v="Shipped"/>
    <x v="0"/>
  </r>
  <r>
    <n v="1151"/>
    <s v="MetroLogistics"/>
    <s v="2026-03-29"/>
    <s v="2026-03-30"/>
    <d v="2026-04-03T00:00:00"/>
    <d v="2026-04-03T00:00:00"/>
    <s v="2026-04-03"/>
    <n v="0"/>
    <x v="2"/>
    <s v="Delivered"/>
    <x v="3"/>
  </r>
  <r>
    <n v="1152"/>
    <s v="MetroLogistics"/>
    <s v="2026-03-09"/>
    <s v="2026-03-10"/>
    <d v="2026-03-14T00:00:00"/>
    <d v="2026-03-14T00:00:00"/>
    <s v="2026-03-14"/>
    <n v="0"/>
    <x v="2"/>
    <s v="Delivered"/>
    <x v="3"/>
  </r>
  <r>
    <n v="1153"/>
    <s v="SwiftShip"/>
    <s v="2026-01-27"/>
    <s v="2026-01-27"/>
    <d v="2026-02-01T00:00:00"/>
    <d v="2026-02-01T00:00:00"/>
    <s v="2026-02-01"/>
    <n v="0"/>
    <x v="0"/>
    <s v="Delivered"/>
    <x v="3"/>
  </r>
  <r>
    <n v="1154"/>
    <s v="SwiftShip"/>
    <s v="2026-03-21"/>
    <s v="2026-03-21"/>
    <d v="2026-03-26T00:00:00"/>
    <d v="2026-03-24T00:00:00"/>
    <s v="2026-03-24"/>
    <n v="0"/>
    <x v="0"/>
    <s v="Delivered"/>
    <x v="3"/>
  </r>
  <r>
    <n v="1155"/>
    <s v="MetroLogistics"/>
    <s v="2026-02-12"/>
    <s v="2026-02-14"/>
    <d v="2026-02-17T00:00:00"/>
    <d v="2026-02-17T00:00:00"/>
    <s v="2026-02-17"/>
    <n v="0"/>
    <x v="2"/>
    <s v="Delivered"/>
    <x v="3"/>
  </r>
  <r>
    <n v="1156"/>
    <s v="MetroLogistics"/>
    <s v="2026-04-08"/>
    <s v="2026-04-08"/>
    <d v="2026-04-13T00:00:00"/>
    <d v="2026-04-13T00:00:00"/>
    <s v="2026-04-13"/>
    <n v="0"/>
    <x v="2"/>
    <s v="Delivered"/>
    <x v="3"/>
  </r>
  <r>
    <n v="1157"/>
    <s v="MetroLogistics"/>
    <s v="2026-04-27"/>
    <s v="2026-04-27"/>
    <d v="2026-05-02T00:00:00"/>
    <d v="2026-05-02T00:00:00"/>
    <s v="2026-05-02"/>
    <n v="0"/>
    <x v="2"/>
    <s v="Delivered"/>
    <x v="3"/>
  </r>
  <r>
    <n v="1158"/>
    <s v="SwiftShip"/>
    <s v="2026-05-20"/>
    <s v="2026-05-21"/>
    <d v="2026-05-25T00:00:00"/>
    <d v="2026-05-25T00:00:00"/>
    <s v="2026-05-25"/>
    <n v="0"/>
    <x v="0"/>
    <s v="Delivered"/>
    <x v="3"/>
  </r>
  <r>
    <n v="1159"/>
    <s v="ParcelOne"/>
    <s v="2026-05-27"/>
    <s v="2026-05-27"/>
    <d v="2026-06-01T00:00:00"/>
    <d v="2026-05-30T00:00:00"/>
    <s v="2026-05-30"/>
    <n v="0"/>
    <x v="1"/>
    <s v="Delivered"/>
    <x v="3"/>
  </r>
  <r>
    <n v="1160"/>
    <s v="ParcelOne"/>
    <s v="2026-05-21"/>
    <m/>
    <d v="2026-05-26T00:00:00"/>
    <m/>
    <m/>
    <n v="0"/>
    <x v="1"/>
    <s v="Pending"/>
    <x v="0"/>
  </r>
  <r>
    <n v="1161"/>
    <s v="ParcelOne"/>
    <s v="2026-06-16"/>
    <m/>
    <d v="2026-06-21T00:00:00"/>
    <m/>
    <m/>
    <n v="0"/>
    <x v="1"/>
    <s v="Pending"/>
    <x v="0"/>
  </r>
  <r>
    <n v="1162"/>
    <s v="MetroLogistics"/>
    <s v="2026-06-26"/>
    <s v="2026-06-26"/>
    <d v="2026-07-01T00:00:00"/>
    <m/>
    <m/>
    <n v="0"/>
    <x v="2"/>
    <s v="Shipped"/>
    <x v="0"/>
  </r>
  <r>
    <n v="1163"/>
    <s v="SwiftShip"/>
    <s v="2026-04-13"/>
    <s v="2026-04-13"/>
    <d v="2026-04-18T00:00:00"/>
    <d v="2026-04-19T00:00:00"/>
    <s v="2026-04-19"/>
    <n v="0"/>
    <x v="0"/>
    <s v="Delivered"/>
    <x v="2"/>
  </r>
  <r>
    <n v="1164"/>
    <s v="MetroLogistics"/>
    <s v="2026-03-02"/>
    <s v="2026-03-04"/>
    <d v="2026-03-07T00:00:00"/>
    <d v="2026-03-08T00:00:00"/>
    <s v="2026-03-08"/>
    <n v="0"/>
    <x v="2"/>
    <s v="Delivered"/>
    <x v="2"/>
  </r>
  <r>
    <n v="1165"/>
    <s v="MetroLogistics"/>
    <s v="2026-04-20"/>
    <s v="2026-04-20"/>
    <d v="2026-04-25T00:00:00"/>
    <d v="2026-04-23T00:00:00"/>
    <s v="2026-04-23"/>
    <n v="0"/>
    <x v="2"/>
    <s v="Delivered"/>
    <x v="3"/>
  </r>
  <r>
    <n v="1166"/>
    <s v="MetroLogistics"/>
    <s v="2026-01-15"/>
    <s v="2026-01-15"/>
    <d v="2026-01-20T00:00:00"/>
    <d v="2026-01-24T00:00:00"/>
    <s v="2026-01-24"/>
    <n v="0"/>
    <x v="2"/>
    <s v="Delivered"/>
    <x v="2"/>
  </r>
  <r>
    <n v="1167"/>
    <s v="SwiftShip"/>
    <s v="2026-05-30"/>
    <s v="2026-06-01"/>
    <d v="2026-06-04T00:00:00"/>
    <d v="2026-06-04T00:00:00"/>
    <s v="2026-06-04"/>
    <n v="0"/>
    <x v="0"/>
    <s v="Delivered"/>
    <x v="3"/>
  </r>
  <r>
    <n v="1168"/>
    <s v="SwiftShip"/>
    <s v="2026-01-18"/>
    <s v="2026-01-20"/>
    <d v="2026-01-23T00:00:00"/>
    <d v="2026-01-24T00:00:00"/>
    <s v="2026-01-24"/>
    <n v="0"/>
    <x v="0"/>
    <s v="Delivered"/>
    <x v="2"/>
  </r>
  <r>
    <n v="1169"/>
    <s v="SwiftShip"/>
    <s v="2026-06-30"/>
    <s v="2026-07-01"/>
    <d v="2026-07-05T00:00:00"/>
    <d v="2026-07-05T00:00:00"/>
    <s v="2026-07-05"/>
    <n v="0"/>
    <x v="0"/>
    <s v="Delivered"/>
    <x v="3"/>
  </r>
  <r>
    <n v="1170"/>
    <s v="SwiftShip"/>
    <s v="2026-01-17"/>
    <s v="2026-01-17"/>
    <d v="2026-01-22T00:00:00"/>
    <d v="2026-01-20T00:00:00"/>
    <s v="2026-01-20"/>
    <n v="0"/>
    <x v="0"/>
    <s v="Delivered"/>
    <x v="3"/>
  </r>
  <r>
    <n v="1171"/>
    <s v="ParcelOne"/>
    <s v="2026-01-26"/>
    <s v="2026-01-26"/>
    <d v="2026-01-31T00:00:00"/>
    <d v="2026-01-31T00:00:00"/>
    <s v="2026-02-01"/>
    <n v="0"/>
    <x v="1"/>
    <s v="Delivered"/>
    <x v="3"/>
  </r>
  <r>
    <n v="1172"/>
    <s v="ParcelOne"/>
    <s v="2026-06-02"/>
    <s v="2026-06-03"/>
    <d v="2026-06-07T00:00:00"/>
    <d v="2026-06-07T00:00:00"/>
    <s v="2026-06-09"/>
    <n v="0"/>
    <x v="1"/>
    <s v="Delivered"/>
    <x v="3"/>
  </r>
  <r>
    <n v="1173"/>
    <s v="SwiftShip"/>
    <s v="2026-02-26"/>
    <s v="2026-02-26"/>
    <d v="2026-03-03T00:00:00"/>
    <m/>
    <m/>
    <n v="0"/>
    <x v="0"/>
    <s v="Shipped"/>
    <x v="0"/>
  </r>
  <r>
    <n v="1174"/>
    <s v="SwiftShip"/>
    <s v="2026-04-10"/>
    <s v="2026-04-10"/>
    <d v="2026-04-15T00:00:00"/>
    <d v="2026-04-19T00:00:00"/>
    <s v="2026-04-19"/>
    <n v="0"/>
    <x v="0"/>
    <s v="Delivered"/>
    <x v="2"/>
  </r>
  <r>
    <n v="1175"/>
    <s v="MetroLogistics"/>
    <s v="2026-02-24"/>
    <s v="2026-02-24"/>
    <d v="2026-03-01T00:00:00"/>
    <d v="2026-02-27T00:00:00"/>
    <s v="2026-02-27"/>
    <n v="0"/>
    <x v="2"/>
    <s v="Delivered"/>
    <x v="3"/>
  </r>
  <r>
    <n v="1176"/>
    <s v="MetroLogistics"/>
    <s v="2026-05-31"/>
    <s v="2026-05-31"/>
    <d v="2026-06-05T00:00:00"/>
    <d v="2026-06-05T00:00:00"/>
    <s v="2026-06-05"/>
    <n v="0"/>
    <x v="2"/>
    <s v="Delivered"/>
    <x v="3"/>
  </r>
  <r>
    <n v="1177"/>
    <s v="SwiftShip"/>
    <s v="2026-06-19"/>
    <s v="2026-06-19"/>
    <d v="2026-06-24T00:00:00"/>
    <m/>
    <m/>
    <n v="0"/>
    <x v="0"/>
    <s v="Shipped"/>
    <x v="0"/>
  </r>
  <r>
    <n v="1178"/>
    <s v="ParcelOne"/>
    <s v="2026-02-15"/>
    <s v="2026-02-16"/>
    <d v="2026-02-20T00:00:00"/>
    <d v="2026-02-18T00:00:00"/>
    <s v="2026-02-19"/>
    <n v="0"/>
    <x v="1"/>
    <s v="Delivered"/>
    <x v="3"/>
  </r>
  <r>
    <n v="1179"/>
    <s v="MetroLogistics"/>
    <s v="2026-01-04"/>
    <s v="2026-01-04"/>
    <d v="2026-01-09T00:00:00"/>
    <d v="2026-01-09T00:00:00"/>
    <s v="2026-01-09"/>
    <n v="0"/>
    <x v="2"/>
    <s v="Delivered"/>
    <x v="3"/>
  </r>
  <r>
    <n v="1180"/>
    <s v="ParcelOne"/>
    <s v="2026-06-15"/>
    <s v="2026-06-15"/>
    <d v="2026-06-20T00:00:00"/>
    <d v="2026-06-20T00:00:00"/>
    <s v="2026-06-22"/>
    <n v="0"/>
    <x v="1"/>
    <s v="Delivered"/>
    <x v="3"/>
  </r>
  <r>
    <n v="1181"/>
    <s v="SwiftShip"/>
    <s v="2026-05-11"/>
    <s v="2026-05-11"/>
    <d v="2026-05-16T00:00:00"/>
    <d v="2026-05-15T00:00:00"/>
    <s v="2026-05-15"/>
    <n v="0"/>
    <x v="0"/>
    <s v="Delivered"/>
    <x v="3"/>
  </r>
  <r>
    <n v="1182"/>
    <s v="SwiftShip"/>
    <s v="2026-04-03"/>
    <s v="2026-04-03"/>
    <d v="2026-04-08T00:00:00"/>
    <d v="2026-04-07T00:00:00"/>
    <s v="2026-04-07"/>
    <n v="0"/>
    <x v="0"/>
    <s v="Delivered"/>
    <x v="3"/>
  </r>
  <r>
    <n v="1183"/>
    <s v="ParcelOne"/>
    <s v="2026-06-27"/>
    <s v="2026-06-27"/>
    <d v="2026-07-02T00:00:00"/>
    <d v="2026-06-30T00:00:00"/>
    <s v="2026-06-30"/>
    <n v="0"/>
    <x v="1"/>
    <s v="Delivered"/>
    <x v="3"/>
  </r>
  <r>
    <n v="1184"/>
    <s v="SwiftShip"/>
    <s v="2026-01-24"/>
    <s v="2026-01-26"/>
    <d v="2026-01-29T00:00:00"/>
    <d v="2026-01-30T00:00:00"/>
    <s v="2026-01-30"/>
    <n v="0"/>
    <x v="0"/>
    <s v="Delivered"/>
    <x v="2"/>
  </r>
  <r>
    <n v="1185"/>
    <s v="MetroLogistics"/>
    <s v="2026-01-14"/>
    <s v="2026-01-16"/>
    <d v="2026-01-19T00:00:00"/>
    <m/>
    <m/>
    <n v="0"/>
    <x v="2"/>
    <s v="Shipped"/>
    <x v="0"/>
  </r>
  <r>
    <n v="1186"/>
    <s v="MetroLogistics"/>
    <s v="2026-02-08"/>
    <s v="2026-02-08"/>
    <d v="2026-02-13T00:00:00"/>
    <d v="2026-02-13T00:00:00"/>
    <s v="2026-02-14"/>
    <n v="0"/>
    <x v="2"/>
    <s v="Delivered"/>
    <x v="3"/>
  </r>
  <r>
    <n v="1187"/>
    <s v="MetroLogistics"/>
    <s v="2026-05-21"/>
    <s v="2026-05-21"/>
    <d v="2026-05-26T00:00:00"/>
    <d v="2026-05-28T00:00:00"/>
    <s v="2026-05-28"/>
    <n v="0"/>
    <x v="2"/>
    <s v="Delivered"/>
    <x v="2"/>
  </r>
  <r>
    <n v="1188"/>
    <s v="MetroLogistics"/>
    <s v="2026-06-04"/>
    <s v="2026-06-04"/>
    <d v="2026-06-09T00:00:00"/>
    <d v="2026-06-09T00:00:00"/>
    <s v="2026-06-09"/>
    <n v="0"/>
    <x v="2"/>
    <s v="Delivered"/>
    <x v="3"/>
  </r>
  <r>
    <n v="1189"/>
    <s v="MetroLogistics"/>
    <s v="2026-04-09"/>
    <s v="2026-04-09"/>
    <d v="2026-04-14T00:00:00"/>
    <d v="2026-04-13T00:00:00"/>
    <s v="2026-04-13"/>
    <n v="0"/>
    <x v="2"/>
    <s v="Delivered"/>
    <x v="3"/>
  </r>
  <r>
    <n v="1190"/>
    <s v="ParcelOne"/>
    <s v="2026-02-11"/>
    <s v="2026-02-11"/>
    <d v="2026-02-16T00:00:00"/>
    <d v="2026-02-17T00:00:00"/>
    <s v="2026-02-17"/>
    <n v="0"/>
    <x v="1"/>
    <s v="Delivered"/>
    <x v="2"/>
  </r>
  <r>
    <n v="1191"/>
    <s v="SwiftShip"/>
    <s v="2026-02-19"/>
    <s v="2026-02-19"/>
    <d v="2026-02-24T00:00:00"/>
    <d v="2026-02-24T00:00:00"/>
    <s v="2026-02-24"/>
    <n v="0"/>
    <x v="0"/>
    <s v="Delivered"/>
    <x v="3"/>
  </r>
  <r>
    <n v="1192"/>
    <s v="ParcelOne"/>
    <s v="2026-01-06"/>
    <s v="2026-01-06"/>
    <d v="2026-01-11T00:00:00"/>
    <d v="2026-01-10T00:00:00"/>
    <s v="2026-01-10"/>
    <n v="0"/>
    <x v="1"/>
    <s v="Delivered"/>
    <x v="3"/>
  </r>
  <r>
    <n v="1193"/>
    <s v="ParcelOne"/>
    <s v="2026-03-12"/>
    <s v="2026-03-12"/>
    <d v="2026-03-17T00:00:00"/>
    <d v="2026-03-17T00:00:00"/>
    <s v="2026-03-17"/>
    <n v="0"/>
    <x v="1"/>
    <s v="Delivered"/>
    <x v="3"/>
  </r>
  <r>
    <n v="1194"/>
    <s v="MetroLogistics"/>
    <s v="2026-04-05"/>
    <s v="2026-04-05"/>
    <d v="2026-04-10T00:00:00"/>
    <d v="2026-04-08T00:00:00"/>
    <s v="2026-04-08"/>
    <n v="0"/>
    <x v="2"/>
    <s v="Delivered"/>
    <x v="3"/>
  </r>
  <r>
    <n v="1195"/>
    <s v="SwiftShip"/>
    <s v="2026-04-10"/>
    <s v="2026-04-10"/>
    <d v="2026-04-15T00:00:00"/>
    <d v="2026-04-19T00:00:00"/>
    <s v="2026-04-19"/>
    <n v="0"/>
    <x v="0"/>
    <s v="Delivered"/>
    <x v="2"/>
  </r>
  <r>
    <n v="1196"/>
    <s v="SwiftShip"/>
    <s v="2026-02-17"/>
    <s v="2026-02-17"/>
    <d v="2026-02-22T00:00:00"/>
    <m/>
    <m/>
    <n v="0"/>
    <x v="0"/>
    <s v="Shipped"/>
    <x v="0"/>
  </r>
  <r>
    <n v="1197"/>
    <s v="SwiftShip"/>
    <s v="2026-04-13"/>
    <s v="2026-04-13"/>
    <d v="2026-04-18T00:00:00"/>
    <d v="2026-04-18T00:00:00"/>
    <s v="2026-04-20"/>
    <n v="0"/>
    <x v="0"/>
    <s v="Delivered"/>
    <x v="3"/>
  </r>
  <r>
    <n v="1198"/>
    <s v="SwiftShip"/>
    <s v="2026-02-25"/>
    <s v="2026-02-25"/>
    <d v="2026-03-02T00:00:00"/>
    <d v="2026-03-01T00:00:00"/>
    <s v="2026-03-01"/>
    <n v="0"/>
    <x v="0"/>
    <s v="Delivered"/>
    <x v="3"/>
  </r>
  <r>
    <n v="1199"/>
    <s v="ParcelOne"/>
    <s v="2026-01-21"/>
    <s v="2026-01-21"/>
    <d v="2026-01-26T00:00:00"/>
    <d v="2026-01-27T00:00:00"/>
    <s v="2026-01-27"/>
    <n v="0"/>
    <x v="1"/>
    <s v="Delivered"/>
    <x v="2"/>
  </r>
  <r>
    <n v="1200"/>
    <s v="SwiftShip"/>
    <s v="2026-01-30"/>
    <s v="2026-01-30"/>
    <d v="2026-02-04T00:00:00"/>
    <d v="2026-02-04T00:00:00"/>
    <s v="2026-02-04"/>
    <n v="0"/>
    <x v="0"/>
    <s v="Delivered"/>
    <x v="3"/>
  </r>
  <r>
    <n v="1201"/>
    <s v="MetroLogistics"/>
    <s v="2026-04-23"/>
    <s v="2026-04-23"/>
    <d v="2026-04-28T00:00:00"/>
    <d v="2026-04-28T00:00:00"/>
    <s v="2026-04-28"/>
    <n v="0"/>
    <x v="2"/>
    <s v="Delivered"/>
    <x v="3"/>
  </r>
  <r>
    <n v="1202"/>
    <s v="SwiftShip"/>
    <s v="2026-05-11"/>
    <s v="2026-05-11"/>
    <d v="2026-05-16T00:00:00"/>
    <d v="2026-05-20T00:00:00"/>
    <s v="2026-05-20"/>
    <n v="0"/>
    <x v="0"/>
    <s v="Delivered"/>
    <x v="2"/>
  </r>
  <r>
    <n v="1203"/>
    <s v="ParcelOne"/>
    <s v="2026-03-31"/>
    <s v="2026-03-31"/>
    <d v="2026-04-05T00:00:00"/>
    <d v="2026-04-05T00:00:00"/>
    <s v="2026-04-06"/>
    <n v="0"/>
    <x v="1"/>
    <s v="Delivered"/>
    <x v="3"/>
  </r>
  <r>
    <n v="1204"/>
    <s v="SwiftShip"/>
    <s v="2026-01-08"/>
    <s v="2026-01-08"/>
    <d v="2026-01-13T00:00:00"/>
    <d v="2026-01-17T00:00:00"/>
    <s v="2026-01-17"/>
    <n v="0"/>
    <x v="0"/>
    <s v="Delivered"/>
    <x v="2"/>
  </r>
  <r>
    <n v="1205"/>
    <s v="ParcelOne"/>
    <s v="2026-06-13"/>
    <s v="2026-06-13"/>
    <d v="2026-06-18T00:00:00"/>
    <d v="2026-06-18T00:00:00"/>
    <s v="2026-06-18"/>
    <n v="0"/>
    <x v="1"/>
    <s v="Delivered"/>
    <x v="3"/>
  </r>
  <r>
    <n v="1206"/>
    <s v="MetroLogistics"/>
    <s v="2026-03-15"/>
    <s v="2026-03-15"/>
    <d v="2026-03-20T00:00:00"/>
    <d v="2026-03-20T00:00:00"/>
    <s v="2026-03-21"/>
    <n v="0"/>
    <x v="2"/>
    <s v="Delivered"/>
    <x v="3"/>
  </r>
  <r>
    <n v="1207"/>
    <s v="SwiftShip"/>
    <s v="2026-06-15"/>
    <s v="2026-06-15"/>
    <d v="2026-06-20T00:00:00"/>
    <d v="2026-06-21T00:00:00"/>
    <s v="2026-06-21"/>
    <n v="0"/>
    <x v="0"/>
    <s v="Delivered"/>
    <x v="2"/>
  </r>
  <r>
    <n v="1208"/>
    <s v="SwiftShip"/>
    <s v="2026-06-09"/>
    <s v="2026-06-09"/>
    <d v="2026-06-14T00:00:00"/>
    <d v="2026-06-15T00:00:00"/>
    <s v="2026-06-15"/>
    <n v="0"/>
    <x v="0"/>
    <s v="Delivered"/>
    <x v="2"/>
  </r>
  <r>
    <n v="1209"/>
    <s v="SwiftShip"/>
    <s v="2026-06-04"/>
    <s v="2026-06-04"/>
    <d v="2026-06-09T00:00:00"/>
    <d v="2026-06-08T00:00:00"/>
    <s v="2026-06-08"/>
    <n v="0"/>
    <x v="0"/>
    <s v="Delivered"/>
    <x v="3"/>
  </r>
  <r>
    <n v="1210"/>
    <s v="MetroLogistics"/>
    <s v="2026-06-10"/>
    <s v="2026-06-10"/>
    <d v="2026-06-15T00:00:00"/>
    <d v="2026-06-15T00:00:00"/>
    <s v="2026-06-15"/>
    <n v="0"/>
    <x v="2"/>
    <s v="Delivered"/>
    <x v="3"/>
  </r>
  <r>
    <n v="1211"/>
    <s v="SwiftShip"/>
    <s v="2026-05-09"/>
    <s v="2026-05-09"/>
    <d v="2026-05-14T00:00:00"/>
    <d v="2026-05-12T00:00:00"/>
    <s v="2026-05-12"/>
    <n v="0"/>
    <x v="0"/>
    <s v="Delivered"/>
    <x v="3"/>
  </r>
  <r>
    <n v="1212"/>
    <s v="SwiftShip"/>
    <s v="2026-01-11"/>
    <s v="2026-01-11"/>
    <d v="2026-01-16T00:00:00"/>
    <d v="2026-01-16T00:00:00"/>
    <s v="2026-01-16"/>
    <n v="0"/>
    <x v="0"/>
    <s v="Delivered"/>
    <x v="3"/>
  </r>
  <r>
    <n v="1213"/>
    <s v="SwiftShip"/>
    <s v="2026-05-21"/>
    <s v="2026-05-21"/>
    <d v="2026-05-26T00:00:00"/>
    <d v="2026-05-30T00:00:00"/>
    <s v="2026-05-30"/>
    <n v="0"/>
    <x v="0"/>
    <s v="Delivered"/>
    <x v="2"/>
  </r>
  <r>
    <n v="1214"/>
    <s v="MetroLogistics"/>
    <s v="2026-01-25"/>
    <s v="2026-01-26"/>
    <d v="2026-01-30T00:00:00"/>
    <d v="2026-01-30T00:00:00"/>
    <s v="2026-01-30"/>
    <n v="0"/>
    <x v="2"/>
    <s v="Delivered"/>
    <x v="3"/>
  </r>
  <r>
    <n v="1215"/>
    <s v="MetroLogistics"/>
    <s v="2026-02-07"/>
    <s v="2026-02-07"/>
    <d v="2026-02-12T00:00:00"/>
    <d v="2026-02-12T00:00:00"/>
    <s v="2026-02-12"/>
    <n v="0"/>
    <x v="2"/>
    <s v="Delivered"/>
    <x v="3"/>
  </r>
  <r>
    <n v="1216"/>
    <s v="ParcelOne"/>
    <s v="2026-03-18"/>
    <s v="2026-03-19"/>
    <d v="2026-03-23T00:00:00"/>
    <d v="2026-03-22T00:00:00"/>
    <s v="2026-03-23"/>
    <n v="0"/>
    <x v="1"/>
    <s v="Delivered"/>
    <x v="3"/>
  </r>
  <r>
    <n v="1217"/>
    <s v="ParcelOne"/>
    <s v="2026-02-09"/>
    <s v="2026-02-09"/>
    <d v="2026-02-14T00:00:00"/>
    <d v="2026-02-14T00:00:00"/>
    <s v="2026-02-15"/>
    <n v="0"/>
    <x v="1"/>
    <s v="Delivered"/>
    <x v="3"/>
  </r>
  <r>
    <n v="1218"/>
    <s v="SwiftShip"/>
    <s v="2026-04-16"/>
    <s v="2026-04-16"/>
    <d v="2026-04-21T00:00:00"/>
    <d v="2026-04-21T00:00:00"/>
    <s v="2026-04-21"/>
    <n v="0"/>
    <x v="0"/>
    <s v="Delivered"/>
    <x v="3"/>
  </r>
  <r>
    <n v="1219"/>
    <s v="MetroLogistics"/>
    <s v="2026-01-19"/>
    <s v="2026-01-19"/>
    <d v="2026-01-24T00:00:00"/>
    <d v="2026-01-24T00:00:00"/>
    <s v="2026-01-24"/>
    <n v="0"/>
    <x v="2"/>
    <s v="Delivered"/>
    <x v="3"/>
  </r>
  <r>
    <n v="1220"/>
    <s v="ParcelOne"/>
    <s v="2026-05-30"/>
    <s v="2026-05-30"/>
    <d v="2026-06-04T00:00:00"/>
    <d v="2026-06-06T00:00:00"/>
    <s v="2026-06-06"/>
    <n v="0"/>
    <x v="1"/>
    <s v="Delivered"/>
    <x v="2"/>
  </r>
  <r>
    <n v="1221"/>
    <s v="SwiftShip"/>
    <s v="2026-04-25"/>
    <s v="2026-04-26"/>
    <d v="2026-04-30T00:00:00"/>
    <d v="2026-04-30T00:00:00"/>
    <s v="2026-05-01"/>
    <n v="0"/>
    <x v="0"/>
    <s v="Delivered"/>
    <x v="3"/>
  </r>
  <r>
    <n v="1222"/>
    <s v="ParcelOne"/>
    <s v="2026-01-26"/>
    <s v="2026-01-26"/>
    <d v="2026-01-31T00:00:00"/>
    <d v="2026-01-31T00:00:00"/>
    <s v="2026-01-31"/>
    <n v="0"/>
    <x v="1"/>
    <s v="Delivered"/>
    <x v="3"/>
  </r>
  <r>
    <n v="1223"/>
    <s v="SwiftShip"/>
    <s v="2026-04-22"/>
    <s v="2026-04-22"/>
    <d v="2026-04-27T00:00:00"/>
    <d v="2026-04-27T00:00:00"/>
    <s v="2026-04-27"/>
    <n v="0"/>
    <x v="0"/>
    <s v="Delivered"/>
    <x v="3"/>
  </r>
  <r>
    <n v="1224"/>
    <s v="ParcelOne"/>
    <s v="2026-01-05"/>
    <s v="2026-01-05"/>
    <d v="2026-01-10T00:00:00"/>
    <d v="2026-01-09T00:00:00"/>
    <s v="2026-01-09"/>
    <n v="0"/>
    <x v="1"/>
    <s v="Delivered"/>
    <x v="3"/>
  </r>
  <r>
    <n v="1225"/>
    <s v="MetroLogistics"/>
    <s v="2026-01-29"/>
    <s v="2026-01-29"/>
    <d v="2026-02-03T00:00:00"/>
    <d v="2026-02-04T00:00:00"/>
    <s v="2026-02-04"/>
    <n v="0"/>
    <x v="2"/>
    <s v="Delivered"/>
    <x v="2"/>
  </r>
  <r>
    <n v="1226"/>
    <s v="ParcelOne"/>
    <s v="2026-01-05"/>
    <s v="2026-01-05"/>
    <d v="2026-01-10T00:00:00"/>
    <d v="2026-01-10T00:00:00"/>
    <s v="2026-01-10"/>
    <n v="0"/>
    <x v="1"/>
    <s v="Delivered"/>
    <x v="3"/>
  </r>
  <r>
    <n v="1227"/>
    <s v="MetroLogistics"/>
    <s v="2026-02-07"/>
    <s v="2026-02-07"/>
    <d v="2026-02-12T00:00:00"/>
    <d v="2026-02-11T00:00:00"/>
    <s v="2026-02-11"/>
    <n v="0"/>
    <x v="2"/>
    <s v="Delivered"/>
    <x v="3"/>
  </r>
  <r>
    <n v="1228"/>
    <s v="ParcelOne"/>
    <s v="2026-06-07"/>
    <s v="2026-06-07"/>
    <d v="2026-06-12T00:00:00"/>
    <d v="2026-06-13T00:00:00"/>
    <s v="2026-06-13"/>
    <n v="0"/>
    <x v="1"/>
    <s v="Delivered"/>
    <x v="2"/>
  </r>
  <r>
    <n v="1229"/>
    <s v="MetroLogistics"/>
    <s v="2026-05-09"/>
    <s v="2026-05-11"/>
    <d v="2026-05-14T00:00:00"/>
    <d v="2026-05-18T00:00:00"/>
    <s v="2026-05-18"/>
    <n v="0"/>
    <x v="2"/>
    <s v="Delivered"/>
    <x v="2"/>
  </r>
  <r>
    <n v="1230"/>
    <s v="SwiftShip"/>
    <s v="2026-04-20"/>
    <s v="2026-04-20"/>
    <d v="2026-04-25T00:00:00"/>
    <d v="2026-04-23T00:00:00"/>
    <s v="2026-04-23"/>
    <n v="0"/>
    <x v="0"/>
    <s v="Delivered"/>
    <x v="3"/>
  </r>
  <r>
    <n v="1231"/>
    <s v="ParcelOne"/>
    <s v="2026-05-12"/>
    <s v="2026-05-12"/>
    <d v="2026-05-17T00:00:00"/>
    <d v="2026-05-17T00:00:00"/>
    <s v="2026-05-17"/>
    <n v="0"/>
    <x v="1"/>
    <s v="Delivered"/>
    <x v="3"/>
  </r>
  <r>
    <n v="1232"/>
    <s v="SwiftShip"/>
    <s v="2026-02-11"/>
    <s v="2026-02-11"/>
    <d v="2026-02-16T00:00:00"/>
    <d v="2026-02-15T00:00:00"/>
    <s v="2026-02-15"/>
    <n v="0"/>
    <x v="0"/>
    <s v="Delivered"/>
    <x v="3"/>
  </r>
  <r>
    <n v="1233"/>
    <s v="MetroLogistics"/>
    <s v="2026-06-08"/>
    <s v="2026-06-08"/>
    <d v="2026-06-13T00:00:00"/>
    <d v="2026-06-12T00:00:00"/>
    <s v="2026-06-14"/>
    <n v="0"/>
    <x v="2"/>
    <s v="Delivered"/>
    <x v="3"/>
  </r>
  <r>
    <n v="1234"/>
    <s v="ParcelOne"/>
    <s v="2026-05-15"/>
    <s v="2026-05-15"/>
    <d v="2026-05-20T00:00:00"/>
    <d v="2026-05-22T00:00:00"/>
    <s v="2026-05-22"/>
    <n v="0"/>
    <x v="1"/>
    <s v="Delivered"/>
    <x v="2"/>
  </r>
  <r>
    <n v="1235"/>
    <s v="MetroLogistics"/>
    <s v="2026-01-10"/>
    <s v="2026-01-10"/>
    <d v="2026-01-15T00:00:00"/>
    <d v="2026-01-15T00:00:00"/>
    <s v="2026-01-15"/>
    <n v="0"/>
    <x v="2"/>
    <s v="Delivered"/>
    <x v="3"/>
  </r>
  <r>
    <n v="1236"/>
    <s v="ParcelOne"/>
    <s v="2026-02-14"/>
    <s v="2026-02-14"/>
    <d v="2026-02-19T00:00:00"/>
    <d v="2026-02-19T00:00:00"/>
    <s v="2026-02-19"/>
    <n v="0"/>
    <x v="1"/>
    <s v="Delivered"/>
    <x v="3"/>
  </r>
  <r>
    <n v="1237"/>
    <s v="SwiftShip"/>
    <s v="2026-03-06"/>
    <s v="2026-03-06"/>
    <d v="2026-03-11T00:00:00"/>
    <d v="2026-03-10T00:00:00"/>
    <s v="2026-03-12"/>
    <n v="0"/>
    <x v="0"/>
    <s v="Delivered"/>
    <x v="3"/>
  </r>
  <r>
    <n v="1238"/>
    <s v="SwiftShip"/>
    <s v="2026-03-13"/>
    <s v="2026-03-13"/>
    <d v="2026-03-18T00:00:00"/>
    <d v="2026-03-18T00:00:00"/>
    <s v="2026-03-18"/>
    <n v="0"/>
    <x v="0"/>
    <s v="Delivered"/>
    <x v="3"/>
  </r>
  <r>
    <n v="1240"/>
    <s v="ParcelOne"/>
    <s v="2026-04-07"/>
    <s v="2026-04-07"/>
    <d v="2026-04-12T00:00:00"/>
    <d v="2026-04-16T00:00:00"/>
    <s v="2026-04-18"/>
    <n v="0"/>
    <x v="1"/>
    <s v="Delivered"/>
    <x v="2"/>
  </r>
  <r>
    <n v="1241"/>
    <s v="MetroLogistics"/>
    <s v="2026-05-22"/>
    <s v="2026-05-22"/>
    <d v="2026-05-27T00:00:00"/>
    <d v="2026-05-27T00:00:00"/>
    <s v="2026-05-27"/>
    <n v="0"/>
    <x v="2"/>
    <s v="Delivered"/>
    <x v="3"/>
  </r>
  <r>
    <n v="1242"/>
    <s v="ParcelOne"/>
    <s v="2026-01-05"/>
    <s v="2026-01-05"/>
    <d v="2026-01-10T00:00:00"/>
    <m/>
    <m/>
    <n v="0"/>
    <x v="1"/>
    <s v="Shipped"/>
    <x v="0"/>
  </r>
  <r>
    <n v="1243"/>
    <s v="ParcelOne"/>
    <s v="2026-02-08"/>
    <s v="2026-02-08"/>
    <d v="2026-02-13T00:00:00"/>
    <d v="2026-02-13T00:00:00"/>
    <s v="2026-02-15"/>
    <n v="0"/>
    <x v="1"/>
    <s v="Delivered"/>
    <x v="3"/>
  </r>
  <r>
    <n v="1244"/>
    <s v="SwiftShip"/>
    <s v="2026-05-31"/>
    <s v="2026-05-31"/>
    <d v="2026-06-05T00:00:00"/>
    <d v="2026-06-05T00:00:00"/>
    <s v="2026-06-05"/>
    <n v="0"/>
    <x v="0"/>
    <s v="Delivered"/>
    <x v="3"/>
  </r>
  <r>
    <n v="1245"/>
    <s v="ParcelOne"/>
    <s v="2026-07-01"/>
    <s v="2026-07-03"/>
    <d v="2026-07-06T00:00:00"/>
    <d v="2026-07-05T00:00:00"/>
    <s v="2026-07-05"/>
    <n v="0"/>
    <x v="1"/>
    <s v="Delivered"/>
    <x v="3"/>
  </r>
  <r>
    <n v="1246"/>
    <s v="SwiftShip"/>
    <s v="2026-02-11"/>
    <s v="2026-02-13"/>
    <d v="2026-02-16T00:00:00"/>
    <d v="2026-02-15T00:00:00"/>
    <s v="2026-02-15"/>
    <n v="0"/>
    <x v="0"/>
    <s v="Delivered"/>
    <x v="3"/>
  </r>
  <r>
    <n v="1247"/>
    <s v="MetroLogistics"/>
    <s v="2026-02-02"/>
    <s v="2026-02-02"/>
    <d v="2026-02-07T00:00:00"/>
    <d v="2026-02-06T00:00:00"/>
    <s v="2026-02-06"/>
    <n v="0"/>
    <x v="2"/>
    <s v="Delivered"/>
    <x v="3"/>
  </r>
  <r>
    <n v="1248"/>
    <s v="ParcelOne"/>
    <s v="2026-01-15"/>
    <s v="2026-01-16"/>
    <d v="2026-01-20T00:00:00"/>
    <d v="2026-01-20T00:00:00"/>
    <s v="2026-01-20"/>
    <n v="0"/>
    <x v="1"/>
    <s v="Delivered"/>
    <x v="3"/>
  </r>
  <r>
    <n v="1249"/>
    <s v="SwiftShip"/>
    <s v="2026-05-01"/>
    <s v="2026-05-02"/>
    <d v="2026-05-06T00:00:00"/>
    <d v="2026-05-10T00:00:00"/>
    <s v="2026-05-10"/>
    <n v="0"/>
    <x v="0"/>
    <s v="Delivered"/>
    <x v="2"/>
  </r>
  <r>
    <n v="1250"/>
    <s v="SwiftShip"/>
    <s v="2026-04-08"/>
    <s v="2026-04-10"/>
    <d v="2026-04-13T00:00:00"/>
    <d v="2026-04-13T00:00:00"/>
    <s v="2026-04-13"/>
    <n v="0"/>
    <x v="0"/>
    <s v="Delivered"/>
    <x v="3"/>
  </r>
  <r>
    <n v="1251"/>
    <s v="MetroLogistics"/>
    <s v="2026-02-03"/>
    <s v="2026-02-04"/>
    <d v="2026-02-08T00:00:00"/>
    <d v="2026-02-08T00:00:00"/>
    <s v="2026-02-08"/>
    <n v="0"/>
    <x v="2"/>
    <s v="Delivered"/>
    <x v="3"/>
  </r>
  <r>
    <n v="1252"/>
    <s v="MetroLogistics"/>
    <s v="2026-04-22"/>
    <s v="2026-04-22"/>
    <d v="2026-04-27T00:00:00"/>
    <d v="2026-04-26T00:00:00"/>
    <s v="2026-04-26"/>
    <n v="0"/>
    <x v="2"/>
    <s v="Delivered"/>
    <x v="3"/>
  </r>
  <r>
    <n v="1253"/>
    <s v="MetroLogistics"/>
    <s v="2026-03-06"/>
    <s v="2026-03-06"/>
    <d v="2026-03-11T00:00:00"/>
    <d v="2026-03-10T00:00:00"/>
    <s v="2026-03-10"/>
    <n v="0"/>
    <x v="2"/>
    <s v="Delivered"/>
    <x v="3"/>
  </r>
  <r>
    <n v="1254"/>
    <s v="MetroLogistics"/>
    <s v="2026-03-07"/>
    <s v="2026-03-07"/>
    <d v="2026-03-12T00:00:00"/>
    <d v="2026-03-13T00:00:00"/>
    <s v="2026-03-13"/>
    <n v="0"/>
    <x v="2"/>
    <s v="Delivered"/>
    <x v="2"/>
  </r>
  <r>
    <n v="1255"/>
    <s v="SwiftShip"/>
    <s v="2026-05-11"/>
    <s v="2026-05-11"/>
    <d v="2026-05-16T00:00:00"/>
    <d v="2026-05-14T00:00:00"/>
    <s v="2026-05-15"/>
    <n v="0"/>
    <x v="0"/>
    <s v="Delivered"/>
    <x v="3"/>
  </r>
  <r>
    <n v="1256"/>
    <s v="MetroLogistics"/>
    <s v="2026-01-17"/>
    <s v="2026-01-17"/>
    <d v="2026-01-22T00:00:00"/>
    <d v="2026-01-22T00:00:00"/>
    <s v="2026-01-23"/>
    <n v="0"/>
    <x v="2"/>
    <s v="Delivered"/>
    <x v="3"/>
  </r>
  <r>
    <n v="1257"/>
    <s v="ParcelOne"/>
    <s v="2026-01-17"/>
    <s v="2026-01-18"/>
    <d v="2026-01-22T00:00:00"/>
    <d v="2026-01-23T00:00:00"/>
    <s v="2026-01-25"/>
    <n v="0"/>
    <x v="1"/>
    <s v="Delivered"/>
    <x v="2"/>
  </r>
  <r>
    <n v="1258"/>
    <s v="ParcelOne"/>
    <s v="2026-07-02"/>
    <s v="2026-07-02"/>
    <d v="2026-07-07T00:00:00"/>
    <d v="2026-07-06T00:00:00"/>
    <s v="2026-07-06"/>
    <n v="0"/>
    <x v="1"/>
    <s v="Delivered"/>
    <x v="3"/>
  </r>
  <r>
    <n v="1259"/>
    <s v="SwiftShip"/>
    <s v="2026-01-08"/>
    <s v="2026-01-08"/>
    <d v="2026-01-13T00:00:00"/>
    <d v="2026-01-17T00:00:00"/>
    <s v="2026-01-18"/>
    <n v="0"/>
    <x v="0"/>
    <s v="Delivered"/>
    <x v="2"/>
  </r>
  <r>
    <n v="1260"/>
    <s v="SwiftShip"/>
    <s v="2026-01-18"/>
    <s v="2026-01-20"/>
    <d v="2026-01-23T00:00:00"/>
    <d v="2026-01-23T00:00:00"/>
    <s v="2026-01-25"/>
    <n v="0"/>
    <x v="0"/>
    <s v="Delivered"/>
    <x v="3"/>
  </r>
  <r>
    <n v="1261"/>
    <s v="MetroLogistics"/>
    <s v="2026-06-02"/>
    <s v="2026-06-02"/>
    <d v="2026-06-07T00:00:00"/>
    <d v="2026-06-06T00:00:00"/>
    <s v="2026-06-08"/>
    <n v="0"/>
    <x v="2"/>
    <s v="Delivered"/>
    <x v="3"/>
  </r>
  <r>
    <n v="1262"/>
    <s v="MetroLogistics"/>
    <s v="2026-06-09"/>
    <s v="2026-06-09"/>
    <d v="2026-06-14T00:00:00"/>
    <d v="2026-06-12T00:00:00"/>
    <s v="2026-06-12"/>
    <n v="0"/>
    <x v="2"/>
    <s v="Delivered"/>
    <x v="3"/>
  </r>
  <r>
    <n v="1264"/>
    <s v="SwiftShip"/>
    <s v="2026-06-08"/>
    <s v="2026-06-08"/>
    <d v="2026-06-13T00:00:00"/>
    <d v="2026-06-11T00:00:00"/>
    <s v="2026-06-11"/>
    <n v="0"/>
    <x v="0"/>
    <s v="Delivered"/>
    <x v="3"/>
  </r>
  <r>
    <n v="1265"/>
    <s v="ParcelOne"/>
    <s v="2026-02-14"/>
    <s v="2026-02-14"/>
    <d v="2026-02-19T00:00:00"/>
    <d v="2026-02-20T00:00:00"/>
    <s v="2026-02-20"/>
    <n v="0"/>
    <x v="1"/>
    <s v="Delivered"/>
    <x v="2"/>
  </r>
  <r>
    <n v="1266"/>
    <s v="MetroLogistics"/>
    <s v="2026-01-03"/>
    <s v="2026-01-03"/>
    <d v="2026-01-08T00:00:00"/>
    <d v="2026-01-07T00:00:00"/>
    <s v="2026-01-07"/>
    <n v="0"/>
    <x v="2"/>
    <s v="Delivered"/>
    <x v="3"/>
  </r>
  <r>
    <n v="1267"/>
    <s v="SwiftShip"/>
    <s v="2026-06-18"/>
    <s v="2026-06-18"/>
    <d v="2026-06-23T00:00:00"/>
    <d v="2026-06-21T00:00:00"/>
    <s v="2026-06-21"/>
    <n v="0"/>
    <x v="0"/>
    <s v="Delivered"/>
    <x v="3"/>
  </r>
  <r>
    <n v="1268"/>
    <s v="ParcelOne"/>
    <s v="2026-01-29"/>
    <s v="2026-01-29"/>
    <d v="2026-02-03T00:00:00"/>
    <d v="2026-02-03T00:00:00"/>
    <s v="2026-02-03"/>
    <n v="0"/>
    <x v="1"/>
    <s v="Delivered"/>
    <x v="3"/>
  </r>
  <r>
    <n v="1269"/>
    <s v="SwiftShip"/>
    <s v="2026-04-23"/>
    <s v="2026-04-25"/>
    <d v="2026-04-28T00:00:00"/>
    <m/>
    <m/>
    <n v="0"/>
    <x v="0"/>
    <s v="Shipped"/>
    <x v="0"/>
  </r>
  <r>
    <n v="1270"/>
    <s v="SwiftShip"/>
    <s v="2026-06-30"/>
    <s v="2026-06-30"/>
    <d v="2026-07-05T00:00:00"/>
    <d v="2026-07-05T00:00:00"/>
    <s v="2026-07-05"/>
    <n v="0"/>
    <x v="0"/>
    <s v="Delivered"/>
    <x v="3"/>
  </r>
  <r>
    <n v="1271"/>
    <s v="ParcelOne"/>
    <s v="2026-02-11"/>
    <s v="2026-02-11"/>
    <d v="2026-02-16T00:00:00"/>
    <d v="2026-02-15T00:00:00"/>
    <s v="2026-02-15"/>
    <n v="0"/>
    <x v="1"/>
    <s v="Delivered"/>
    <x v="3"/>
  </r>
  <r>
    <n v="1272"/>
    <s v="SwiftShip"/>
    <s v="2026-05-04"/>
    <s v="2026-05-04"/>
    <d v="2026-05-09T00:00:00"/>
    <d v="2026-05-09T00:00:00"/>
    <s v="2026-05-09"/>
    <n v="0"/>
    <x v="0"/>
    <s v="Delivered"/>
    <x v="3"/>
  </r>
  <r>
    <n v="1273"/>
    <s v="MetroLogistics"/>
    <s v="2026-04-07"/>
    <s v="2026-04-08"/>
    <d v="2026-04-12T00:00:00"/>
    <d v="2026-04-12T00:00:00"/>
    <s v="2026-04-12"/>
    <n v="0"/>
    <x v="2"/>
    <s v="Delivered"/>
    <x v="3"/>
  </r>
  <r>
    <n v="1274"/>
    <s v="MetroLogistics"/>
    <s v="2026-06-22"/>
    <s v="2026-06-24"/>
    <d v="2026-06-27T00:00:00"/>
    <d v="2026-06-28T00:00:00"/>
    <s v="2026-06-30"/>
    <n v="0"/>
    <x v="2"/>
    <s v="Delivered"/>
    <x v="2"/>
  </r>
  <r>
    <n v="1275"/>
    <s v="ParcelOne"/>
    <s v="2026-03-04"/>
    <s v="2026-03-06"/>
    <d v="2026-03-09T00:00:00"/>
    <d v="2026-03-09T00:00:00"/>
    <s v="2026-03-11"/>
    <n v="0"/>
    <x v="1"/>
    <s v="Delivered"/>
    <x v="3"/>
  </r>
  <r>
    <n v="1276"/>
    <s v="MetroLogistics"/>
    <s v="2026-02-26"/>
    <s v="2026-02-28"/>
    <d v="2026-03-03T00:00:00"/>
    <d v="2026-03-03T00:00:00"/>
    <s v="2026-03-05"/>
    <n v="0"/>
    <x v="2"/>
    <s v="Delivered"/>
    <x v="3"/>
  </r>
  <r>
    <n v="1277"/>
    <s v="MetroLogistics"/>
    <s v="2026-02-09"/>
    <s v="2026-02-09"/>
    <d v="2026-02-14T00:00:00"/>
    <d v="2026-02-14T00:00:00"/>
    <s v="2026-02-15"/>
    <n v="0"/>
    <x v="2"/>
    <s v="Delivered"/>
    <x v="3"/>
  </r>
  <r>
    <n v="1278"/>
    <s v="MetroLogistics"/>
    <s v="2026-04-30"/>
    <s v="2026-04-30"/>
    <d v="2026-05-05T00:00:00"/>
    <m/>
    <m/>
    <n v="0"/>
    <x v="2"/>
    <s v="Shipped"/>
    <x v="0"/>
  </r>
  <r>
    <n v="1279"/>
    <s v="SwiftShip"/>
    <s v="2026-06-02"/>
    <s v="2026-06-02"/>
    <d v="2026-06-07T00:00:00"/>
    <d v="2026-06-09T00:00:00"/>
    <s v="2026-06-10"/>
    <n v="0"/>
    <x v="0"/>
    <s v="Delivered"/>
    <x v="2"/>
  </r>
  <r>
    <n v="1280"/>
    <s v="ParcelOne"/>
    <s v="2026-03-11"/>
    <s v="2026-03-11"/>
    <d v="2026-03-16T00:00:00"/>
    <d v="2026-03-16T00:00:00"/>
    <s v="2026-03-16"/>
    <n v="0"/>
    <x v="1"/>
    <s v="Delivered"/>
    <x v="3"/>
  </r>
  <r>
    <n v="1282"/>
    <s v="SwiftShip"/>
    <s v="2026-03-30"/>
    <s v="2026-03-30"/>
    <d v="2026-04-04T00:00:00"/>
    <d v="2026-04-08T00:00:00"/>
    <s v="2026-04-08"/>
    <n v="0"/>
    <x v="0"/>
    <s v="Delivered"/>
    <x v="2"/>
  </r>
  <r>
    <n v="1283"/>
    <s v="MetroLogistics"/>
    <s v="2026-03-12"/>
    <s v="2026-03-14"/>
    <d v="2026-03-17T00:00:00"/>
    <d v="2026-03-17T00:00:00"/>
    <s v="2026-03-17"/>
    <n v="0"/>
    <x v="2"/>
    <s v="Delivered"/>
    <x v="3"/>
  </r>
  <r>
    <n v="1284"/>
    <s v="MetroLogistics"/>
    <s v="2026-04-08"/>
    <s v="2026-04-08"/>
    <d v="2026-04-13T00:00:00"/>
    <d v="2026-04-13T00:00:00"/>
    <s v="2026-04-13"/>
    <n v="0"/>
    <x v="2"/>
    <s v="Delivered"/>
    <x v="3"/>
  </r>
  <r>
    <n v="1285"/>
    <s v="ParcelOne"/>
    <s v="2026-05-28"/>
    <s v="2026-05-28"/>
    <d v="2026-06-02T00:00:00"/>
    <d v="2026-05-31T00:00:00"/>
    <s v="2026-05-31"/>
    <n v="0"/>
    <x v="1"/>
    <s v="Delivered"/>
    <x v="3"/>
  </r>
  <r>
    <n v="1286"/>
    <s v="SwiftShip"/>
    <s v="2026-03-14"/>
    <s v="2026-03-14"/>
    <d v="2026-03-19T00:00:00"/>
    <d v="2026-03-19T00:00:00"/>
    <s v="2026-03-21"/>
    <n v="0"/>
    <x v="0"/>
    <s v="Delivered"/>
    <x v="3"/>
  </r>
  <r>
    <n v="1287"/>
    <s v="MetroLogistics"/>
    <s v="2026-06-02"/>
    <s v="2026-06-02"/>
    <d v="2026-06-07T00:00:00"/>
    <d v="2026-06-07T00:00:00"/>
    <s v="2026-06-07"/>
    <n v="0"/>
    <x v="2"/>
    <s v="Delivered"/>
    <x v="3"/>
  </r>
  <r>
    <n v="1289"/>
    <s v="SwiftShip"/>
    <s v="2026-02-05"/>
    <s v="2026-02-05"/>
    <d v="2026-02-10T00:00:00"/>
    <d v="2026-02-11T00:00:00"/>
    <s v="2026-02-11"/>
    <n v="0"/>
    <x v="0"/>
    <s v="Delivered"/>
    <x v="2"/>
  </r>
  <r>
    <n v="1290"/>
    <s v="SwiftShip"/>
    <s v="2026-04-02"/>
    <s v="2026-04-02"/>
    <d v="2026-04-07T00:00:00"/>
    <d v="2026-04-11T00:00:00"/>
    <s v="2026-04-13"/>
    <n v="0"/>
    <x v="0"/>
    <s v="Delivered"/>
    <x v="2"/>
  </r>
  <r>
    <n v="1291"/>
    <s v="SwiftShip"/>
    <s v="2026-05-26"/>
    <s v="2026-05-26"/>
    <d v="2026-05-31T00:00:00"/>
    <d v="2026-05-31T00:00:00"/>
    <s v="2026-05-31"/>
    <n v="0"/>
    <x v="0"/>
    <s v="Delivered"/>
    <x v="3"/>
  </r>
  <r>
    <n v="1292"/>
    <s v="MetroLogistics"/>
    <s v="2026-03-10"/>
    <s v="2026-03-11"/>
    <d v="2026-03-15T00:00:00"/>
    <d v="2026-03-16T00:00:00"/>
    <s v="2026-03-17"/>
    <n v="0"/>
    <x v="2"/>
    <s v="Delivered"/>
    <x v="2"/>
  </r>
  <r>
    <n v="1293"/>
    <s v="MetroLogistics"/>
    <s v="2026-04-16"/>
    <s v="2026-04-16"/>
    <d v="2026-04-21T00:00:00"/>
    <d v="2026-04-22T00:00:00"/>
    <s v="2026-04-22"/>
    <n v="0"/>
    <x v="2"/>
    <s v="Delivered"/>
    <x v="2"/>
  </r>
  <r>
    <n v="1294"/>
    <s v="ParcelOne"/>
    <s v="2026-02-20"/>
    <s v="2026-02-21"/>
    <d v="2026-02-25T00:00:00"/>
    <d v="2026-02-27T00:00:00"/>
    <s v="2026-02-27"/>
    <n v="0"/>
    <x v="1"/>
    <s v="Delivered"/>
    <x v="2"/>
  </r>
  <r>
    <n v="1295"/>
    <s v="SwiftShip"/>
    <s v="2026-05-03"/>
    <s v="2026-05-03"/>
    <d v="2026-05-08T00:00:00"/>
    <d v="2026-05-10T00:00:00"/>
    <s v="2026-05-10"/>
    <n v="0"/>
    <x v="0"/>
    <s v="Delivered"/>
    <x v="2"/>
  </r>
  <r>
    <n v="1296"/>
    <s v="MetroLogistics"/>
    <s v="2026-04-08"/>
    <s v="2026-04-08"/>
    <d v="2026-04-13T00:00:00"/>
    <d v="2026-04-12T00:00:00"/>
    <s v="2026-04-12"/>
    <n v="0"/>
    <x v="2"/>
    <s v="Delivered"/>
    <x v="3"/>
  </r>
  <r>
    <n v="1297"/>
    <s v="SwiftShip"/>
    <s v="2026-04-10"/>
    <s v="2026-04-12"/>
    <d v="2026-04-15T00:00:00"/>
    <d v="2026-04-15T00:00:00"/>
    <s v="2026-04-17"/>
    <n v="0"/>
    <x v="0"/>
    <s v="Delivered"/>
    <x v="3"/>
  </r>
  <r>
    <n v="1298"/>
    <s v="ParcelOne"/>
    <s v="2026-02-08"/>
    <s v="2026-02-08"/>
    <d v="2026-02-13T00:00:00"/>
    <d v="2026-02-12T00:00:00"/>
    <s v="2026-02-12"/>
    <n v="0"/>
    <x v="1"/>
    <s v="Delivered"/>
    <x v="3"/>
  </r>
  <r>
    <n v="1299"/>
    <s v="ParcelOne"/>
    <s v="2026-04-28"/>
    <s v="2026-04-28"/>
    <d v="2026-05-03T00:00:00"/>
    <d v="2026-05-07T00:00:00"/>
    <s v="2026-05-07"/>
    <n v="0"/>
    <x v="1"/>
    <s v="Delivered"/>
    <x v="2"/>
  </r>
  <r>
    <n v="1300"/>
    <s v="ParcelOne"/>
    <s v="2026-05-19"/>
    <s v="2026-05-19"/>
    <d v="2026-05-24T00:00:00"/>
    <d v="2026-05-22T00:00:00"/>
    <s v="2026-05-22"/>
    <n v="0"/>
    <x v="1"/>
    <s v="Delivered"/>
    <x v="3"/>
  </r>
  <r>
    <n v="1302"/>
    <s v="MetroLogistics"/>
    <s v="2026-05-11"/>
    <s v="2026-05-13"/>
    <d v="2026-05-16T00:00:00"/>
    <d v="2026-05-16T00:00:00"/>
    <s v="2026-05-16"/>
    <n v="0"/>
    <x v="2"/>
    <s v="Delivered"/>
    <x v="3"/>
  </r>
  <r>
    <n v="1303"/>
    <s v="ParcelOne"/>
    <s v="2026-03-30"/>
    <s v="2026-04-01"/>
    <d v="2026-04-04T00:00:00"/>
    <d v="2026-04-08T00:00:00"/>
    <s v="2026-04-08"/>
    <n v="0"/>
    <x v="1"/>
    <s v="Delivered"/>
    <x v="2"/>
  </r>
  <r>
    <n v="1304"/>
    <s v="MetroLogistics"/>
    <s v="2026-03-01"/>
    <s v="2026-03-01"/>
    <d v="2026-03-06T00:00:00"/>
    <d v="2026-03-05T00:00:00"/>
    <s v="2026-03-05"/>
    <n v="0"/>
    <x v="2"/>
    <s v="Delivered"/>
    <x v="3"/>
  </r>
  <r>
    <n v="1305"/>
    <s v="ParcelOne"/>
    <s v="2026-01-12"/>
    <s v="2026-01-12"/>
    <d v="2026-01-17T00:00:00"/>
    <d v="2026-01-16T00:00:00"/>
    <s v="2026-01-16"/>
    <n v="0"/>
    <x v="1"/>
    <s v="Delivered"/>
    <x v="3"/>
  </r>
  <r>
    <n v="1306"/>
    <s v="SwiftShip"/>
    <s v="2026-05-23"/>
    <s v="2026-05-23"/>
    <d v="2026-05-28T00:00:00"/>
    <d v="2026-05-28T00:00:00"/>
    <s v="2026-05-28"/>
    <n v="0"/>
    <x v="0"/>
    <s v="Delivered"/>
    <x v="3"/>
  </r>
  <r>
    <n v="1307"/>
    <s v="ParcelOne"/>
    <s v="2026-06-11"/>
    <s v="2026-06-11"/>
    <d v="2026-06-16T00:00:00"/>
    <d v="2026-06-15T00:00:00"/>
    <s v="2026-06-15"/>
    <n v="0"/>
    <x v="1"/>
    <s v="Delivered"/>
    <x v="3"/>
  </r>
  <r>
    <n v="1308"/>
    <s v="SwiftShip"/>
    <s v="2026-03-11"/>
    <s v="2026-03-11"/>
    <d v="2026-03-16T00:00:00"/>
    <d v="2026-03-16T00:00:00"/>
    <s v="2026-03-16"/>
    <n v="0"/>
    <x v="0"/>
    <s v="Delivered"/>
    <x v="3"/>
  </r>
  <r>
    <n v="1309"/>
    <s v="SwiftShip"/>
    <s v="2026-03-28"/>
    <s v="2026-03-28"/>
    <d v="2026-04-02T00:00:00"/>
    <d v="2026-03-31T00:00:00"/>
    <s v="2026-03-31"/>
    <n v="0"/>
    <x v="0"/>
    <s v="Delivered"/>
    <x v="3"/>
  </r>
  <r>
    <n v="1310"/>
    <s v="MetroLogistics"/>
    <s v="2026-06-16"/>
    <s v="2026-06-17"/>
    <d v="2026-06-21T00:00:00"/>
    <d v="2026-06-23T00:00:00"/>
    <s v="2026-06-23"/>
    <n v="0"/>
    <x v="2"/>
    <s v="Delivered"/>
    <x v="2"/>
  </r>
  <r>
    <n v="1311"/>
    <s v="SwiftShip"/>
    <s v="2026-03-24"/>
    <s v="2026-03-25"/>
    <d v="2026-03-29T00:00:00"/>
    <d v="2026-03-29T00:00:00"/>
    <s v="2026-03-29"/>
    <n v="0"/>
    <x v="0"/>
    <s v="Delivered"/>
    <x v="3"/>
  </r>
  <r>
    <n v="1312"/>
    <s v="SwiftShip"/>
    <s v="2026-04-25"/>
    <s v="2026-04-25"/>
    <d v="2026-04-30T00:00:00"/>
    <m/>
    <m/>
    <n v="0"/>
    <x v="0"/>
    <s v="Shipped"/>
    <x v="0"/>
  </r>
  <r>
    <n v="1313"/>
    <s v="ParcelOne"/>
    <s v="2026-03-13"/>
    <s v="2026-03-13"/>
    <d v="2026-03-18T00:00:00"/>
    <d v="2026-03-16T00:00:00"/>
    <s v="2026-03-18"/>
    <n v="0"/>
    <x v="1"/>
    <s v="Delivered"/>
    <x v="3"/>
  </r>
  <r>
    <n v="1314"/>
    <s v="ParcelOne"/>
    <s v="2026-01-29"/>
    <s v="2026-01-30"/>
    <d v="2026-02-03T00:00:00"/>
    <d v="2026-02-05T00:00:00"/>
    <s v="2026-02-05"/>
    <n v="0"/>
    <x v="1"/>
    <s v="Delivered"/>
    <x v="2"/>
  </r>
  <r>
    <n v="1315"/>
    <s v="ParcelOne"/>
    <s v="2026-05-06"/>
    <s v="2026-05-06"/>
    <d v="2026-05-11T00:00:00"/>
    <m/>
    <m/>
    <n v="0"/>
    <x v="1"/>
    <s v="Shipped"/>
    <x v="0"/>
  </r>
  <r>
    <n v="1317"/>
    <s v="ParcelOne"/>
    <s v="2026-06-21"/>
    <s v="2026-06-22"/>
    <d v="2026-06-26T00:00:00"/>
    <d v="2026-06-26T00:00:00"/>
    <s v="2026-06-28"/>
    <n v="0"/>
    <x v="1"/>
    <s v="Delivered"/>
    <x v="3"/>
  </r>
  <r>
    <n v="1318"/>
    <s v="ParcelOne"/>
    <s v="2026-01-05"/>
    <s v="2026-01-05"/>
    <d v="2026-01-10T00:00:00"/>
    <d v="2026-01-14T00:00:00"/>
    <s v="2026-01-14"/>
    <n v="0"/>
    <x v="1"/>
    <s v="Delivered"/>
    <x v="2"/>
  </r>
  <r>
    <n v="1319"/>
    <s v="SwiftShip"/>
    <s v="2026-05-23"/>
    <s v="2026-05-23"/>
    <d v="2026-05-28T00:00:00"/>
    <d v="2026-05-28T00:00:00"/>
    <s v="2026-05-28"/>
    <n v="0"/>
    <x v="0"/>
    <s v="Delivered"/>
    <x v="3"/>
  </r>
  <r>
    <n v="1320"/>
    <s v="MetroLogistics"/>
    <s v="2026-04-27"/>
    <s v="2026-04-27"/>
    <d v="2026-05-02T00:00:00"/>
    <d v="2026-04-30T00:00:00"/>
    <s v="2026-04-30"/>
    <n v="0"/>
    <x v="2"/>
    <s v="Delivered"/>
    <x v="3"/>
  </r>
  <r>
    <n v="1321"/>
    <s v="MetroLogistics"/>
    <s v="2026-06-10"/>
    <s v="2026-06-11"/>
    <d v="2026-06-15T00:00:00"/>
    <d v="2026-06-17T00:00:00"/>
    <s v="2026-06-17"/>
    <n v="0"/>
    <x v="2"/>
    <s v="Delivered"/>
    <x v="2"/>
  </r>
  <r>
    <n v="1322"/>
    <s v="MetroLogistics"/>
    <s v="2026-06-05"/>
    <s v="2026-06-05"/>
    <d v="2026-06-10T00:00:00"/>
    <d v="2026-06-10T00:00:00"/>
    <s v="2026-06-10"/>
    <n v="0"/>
    <x v="2"/>
    <s v="Delivered"/>
    <x v="3"/>
  </r>
  <r>
    <n v="1323"/>
    <s v="ParcelOne"/>
    <s v="2026-05-16"/>
    <s v="2026-05-16"/>
    <d v="2026-05-21T00:00:00"/>
    <d v="2026-05-22T00:00:00"/>
    <s v="2026-05-22"/>
    <n v="0"/>
    <x v="1"/>
    <s v="Delivered"/>
    <x v="2"/>
  </r>
  <r>
    <n v="1324"/>
    <s v="ParcelOne"/>
    <s v="2026-03-09"/>
    <s v="2026-03-09"/>
    <d v="2026-03-14T00:00:00"/>
    <d v="2026-03-15T00:00:00"/>
    <s v="2026-03-15"/>
    <n v="0"/>
    <x v="1"/>
    <s v="Delivered"/>
    <x v="2"/>
  </r>
  <r>
    <n v="1325"/>
    <s v="SwiftShip"/>
    <s v="2026-04-19"/>
    <s v="2026-04-19"/>
    <d v="2026-04-24T00:00:00"/>
    <d v="2026-04-25T00:00:00"/>
    <s v="2026-04-25"/>
    <n v="0"/>
    <x v="0"/>
    <s v="Delivered"/>
    <x v="2"/>
  </r>
  <r>
    <n v="1326"/>
    <s v="MetroLogistics"/>
    <s v="2026-06-01"/>
    <s v="2026-06-01"/>
    <d v="2026-06-06T00:00:00"/>
    <d v="2026-06-05T00:00:00"/>
    <s v="2026-06-05"/>
    <n v="0"/>
    <x v="2"/>
    <s v="Delivered"/>
    <x v="3"/>
  </r>
  <r>
    <n v="1328"/>
    <s v="MetroLogistics"/>
    <s v="2026-04-14"/>
    <s v="2026-04-15"/>
    <d v="2026-04-19T00:00:00"/>
    <m/>
    <m/>
    <n v="0"/>
    <x v="2"/>
    <s v="Shipped"/>
    <x v="0"/>
  </r>
  <r>
    <n v="1329"/>
    <s v="MetroLogistics"/>
    <s v="2026-03-24"/>
    <s v="2026-03-26"/>
    <d v="2026-03-29T00:00:00"/>
    <d v="2026-03-29T00:00:00"/>
    <s v="2026-03-31"/>
    <n v="0"/>
    <x v="2"/>
    <s v="Delivered"/>
    <x v="3"/>
  </r>
  <r>
    <n v="1330"/>
    <s v="ParcelOne"/>
    <s v="2026-05-21"/>
    <s v="2026-05-22"/>
    <d v="2026-05-26T00:00:00"/>
    <d v="2026-05-26T00:00:00"/>
    <s v="2026-05-26"/>
    <n v="0"/>
    <x v="1"/>
    <s v="Delivered"/>
    <x v="3"/>
  </r>
  <r>
    <n v="1331"/>
    <s v="ParcelOne"/>
    <s v="2026-01-09"/>
    <s v="2026-01-09"/>
    <d v="2026-01-14T00:00:00"/>
    <d v="2026-01-12T00:00:00"/>
    <s v="2026-01-12"/>
    <n v="0"/>
    <x v="1"/>
    <s v="Delivered"/>
    <x v="3"/>
  </r>
  <r>
    <n v="1332"/>
    <s v="MetroLogistics"/>
    <s v="2026-05-21"/>
    <s v="2026-05-21"/>
    <d v="2026-05-26T00:00:00"/>
    <d v="2026-05-26T00:00:00"/>
    <s v="2026-05-26"/>
    <n v="0"/>
    <x v="2"/>
    <s v="Delivered"/>
    <x v="3"/>
  </r>
  <r>
    <n v="1333"/>
    <s v="SwiftShip"/>
    <s v="2026-03-17"/>
    <s v="2026-03-17"/>
    <d v="2026-03-22T00:00:00"/>
    <d v="2026-03-22T00:00:00"/>
    <s v="2026-03-22"/>
    <n v="0"/>
    <x v="0"/>
    <s v="Delivered"/>
    <x v="3"/>
  </r>
  <r>
    <n v="1334"/>
    <s v="MetroLogistics"/>
    <s v="2026-03-01"/>
    <s v="2026-03-01"/>
    <d v="2026-03-06T00:00:00"/>
    <m/>
    <m/>
    <n v="0"/>
    <x v="2"/>
    <s v="Shipped"/>
    <x v="0"/>
  </r>
  <r>
    <n v="1335"/>
    <s v="SwiftShip"/>
    <s v="2026-01-22"/>
    <s v="2026-01-22"/>
    <d v="2026-01-27T00:00:00"/>
    <d v="2026-01-26T00:00:00"/>
    <s v="2026-01-26"/>
    <n v="0"/>
    <x v="0"/>
    <s v="Delivered"/>
    <x v="3"/>
  </r>
  <r>
    <n v="1336"/>
    <s v="MetroLogistics"/>
    <s v="2026-01-04"/>
    <s v="2026-01-04"/>
    <d v="2026-01-09T00:00:00"/>
    <d v="2026-01-10T00:00:00"/>
    <s v="2026-01-10"/>
    <n v="0"/>
    <x v="2"/>
    <s v="Delivered"/>
    <x v="2"/>
  </r>
  <r>
    <n v="1337"/>
    <s v="SwiftShip"/>
    <s v="2026-03-21"/>
    <s v="2026-03-21"/>
    <d v="2026-03-26T00:00:00"/>
    <d v="2026-03-25T00:00:00"/>
    <s v="2026-03-25"/>
    <n v="0"/>
    <x v="0"/>
    <s v="Delivered"/>
    <x v="3"/>
  </r>
  <r>
    <n v="1338"/>
    <s v="ParcelOne"/>
    <s v="2026-01-26"/>
    <s v="2026-01-28"/>
    <d v="2026-01-31T00:00:00"/>
    <d v="2026-02-01T00:00:00"/>
    <s v="2026-02-03"/>
    <n v="0"/>
    <x v="1"/>
    <s v="Delivered"/>
    <x v="2"/>
  </r>
  <r>
    <n v="1339"/>
    <s v="ParcelOne"/>
    <s v="2026-02-01"/>
    <s v="2026-02-03"/>
    <d v="2026-02-06T00:00:00"/>
    <d v="2026-02-07T00:00:00"/>
    <s v="2026-02-07"/>
    <n v="0"/>
    <x v="1"/>
    <s v="Delivered"/>
    <x v="2"/>
  </r>
  <r>
    <n v="1340"/>
    <s v="SwiftShip"/>
    <s v="2026-04-11"/>
    <s v="2026-04-11"/>
    <d v="2026-04-16T00:00:00"/>
    <d v="2026-04-16T00:00:00"/>
    <s v="2026-04-16"/>
    <n v="0"/>
    <x v="0"/>
    <s v="Delivered"/>
    <x v="3"/>
  </r>
  <r>
    <n v="1341"/>
    <s v="MetroLogistics"/>
    <s v="2026-06-18"/>
    <s v="2026-06-20"/>
    <d v="2026-06-23T00:00:00"/>
    <d v="2026-06-24T00:00:00"/>
    <s v="2026-06-24"/>
    <n v="0"/>
    <x v="2"/>
    <s v="Delivered"/>
    <x v="2"/>
  </r>
  <r>
    <n v="1342"/>
    <s v="ParcelOne"/>
    <s v="2026-01-19"/>
    <s v="2026-01-19"/>
    <d v="2026-01-24T00:00:00"/>
    <d v="2026-01-25T00:00:00"/>
    <s v="2026-01-25"/>
    <n v="0"/>
    <x v="1"/>
    <s v="Delivered"/>
    <x v="2"/>
  </r>
  <r>
    <n v="1343"/>
    <s v="SwiftShip"/>
    <s v="2026-01-16"/>
    <s v="2026-01-16"/>
    <d v="2026-01-21T00:00:00"/>
    <d v="2026-01-21T00:00:00"/>
    <s v="2026-01-21"/>
    <n v="0"/>
    <x v="0"/>
    <s v="Delivered"/>
    <x v="3"/>
  </r>
  <r>
    <n v="1344"/>
    <s v="SwiftShip"/>
    <s v="2026-06-24"/>
    <s v="2026-06-26"/>
    <d v="2026-06-29T00:00:00"/>
    <d v="2026-06-28T00:00:00"/>
    <s v="2026-06-28"/>
    <n v="0"/>
    <x v="0"/>
    <s v="Delivered"/>
    <x v="3"/>
  </r>
  <r>
    <n v="1345"/>
    <s v="MetroLogistics"/>
    <s v="2026-06-07"/>
    <s v="2026-06-07"/>
    <d v="2026-06-12T00:00:00"/>
    <d v="2026-06-11T00:00:00"/>
    <s v="2026-06-11"/>
    <n v="0"/>
    <x v="2"/>
    <s v="Delivered"/>
    <x v="3"/>
  </r>
  <r>
    <n v="1346"/>
    <s v="MetroLogistics"/>
    <s v="2026-03-19"/>
    <s v="2026-03-19"/>
    <d v="2026-03-24T00:00:00"/>
    <m/>
    <m/>
    <n v="0"/>
    <x v="2"/>
    <s v="Shipped"/>
    <x v="0"/>
  </r>
  <r>
    <n v="1347"/>
    <s v="SwiftShip"/>
    <s v="2026-02-08"/>
    <s v="2026-02-08"/>
    <d v="2026-02-13T00:00:00"/>
    <d v="2026-02-15T00:00:00"/>
    <s v="2026-02-15"/>
    <n v="0"/>
    <x v="0"/>
    <s v="Delivered"/>
    <x v="2"/>
  </r>
  <r>
    <n v="1349"/>
    <s v="SwiftShip"/>
    <s v="2026-06-09"/>
    <s v="2026-06-10"/>
    <d v="2026-06-14T00:00:00"/>
    <d v="2026-06-18T00:00:00"/>
    <s v="2026-06-20"/>
    <n v="0"/>
    <x v="0"/>
    <s v="Delivered"/>
    <x v="2"/>
  </r>
  <r>
    <n v="1350"/>
    <s v="SwiftShip"/>
    <s v="2026-06-17"/>
    <s v="2026-06-17"/>
    <d v="2026-06-22T00:00:00"/>
    <d v="2026-06-23T00:00:00"/>
    <s v="2026-06-23"/>
    <n v="0"/>
    <x v="0"/>
    <s v="Delivered"/>
    <x v="2"/>
  </r>
  <r>
    <n v="1351"/>
    <s v="SwiftShip"/>
    <s v="2026-06-10"/>
    <s v="2026-06-10"/>
    <d v="2026-06-15T00:00:00"/>
    <d v="2026-06-14T00:00:00"/>
    <s v="2026-06-14"/>
    <n v="0"/>
    <x v="0"/>
    <s v="Delivered"/>
    <x v="3"/>
  </r>
  <r>
    <n v="1352"/>
    <s v="SwiftShip"/>
    <s v="2026-04-22"/>
    <s v="2026-04-22"/>
    <d v="2026-04-27T00:00:00"/>
    <d v="2026-04-27T00:00:00"/>
    <s v="2026-04-27"/>
    <n v="0"/>
    <x v="0"/>
    <s v="Delivered"/>
    <x v="3"/>
  </r>
  <r>
    <n v="1353"/>
    <s v="ParcelOne"/>
    <s v="2026-05-05"/>
    <s v="2026-05-05"/>
    <d v="2026-05-10T00:00:00"/>
    <d v="2026-05-08T00:00:00"/>
    <s v="2026-05-08"/>
    <n v="0"/>
    <x v="1"/>
    <s v="Delivered"/>
    <x v="3"/>
  </r>
  <r>
    <n v="1354"/>
    <s v="MetroLogistics"/>
    <s v="2026-05-20"/>
    <s v="2026-05-22"/>
    <d v="2026-05-25T00:00:00"/>
    <d v="2026-05-25T00:00:00"/>
    <s v="2026-05-25"/>
    <n v="0"/>
    <x v="2"/>
    <s v="Delivered"/>
    <x v="3"/>
  </r>
  <r>
    <n v="1355"/>
    <s v="MetroLogistics"/>
    <s v="2026-05-03"/>
    <s v="2026-05-03"/>
    <d v="2026-05-08T00:00:00"/>
    <d v="2026-05-08T00:00:00"/>
    <s v="2026-05-08"/>
    <n v="0"/>
    <x v="2"/>
    <s v="Delivered"/>
    <x v="3"/>
  </r>
  <r>
    <n v="1356"/>
    <s v="ParcelOne"/>
    <s v="2026-01-05"/>
    <s v="2026-01-07"/>
    <d v="2026-01-10T00:00:00"/>
    <d v="2026-01-08T00:00:00"/>
    <s v="2026-01-08"/>
    <n v="0"/>
    <x v="1"/>
    <s v="Delivered"/>
    <x v="3"/>
  </r>
  <r>
    <n v="1357"/>
    <s v="SwiftShip"/>
    <s v="2026-01-19"/>
    <s v="2026-01-19"/>
    <d v="2026-01-24T00:00:00"/>
    <d v="2026-01-25T00:00:00"/>
    <s v="2026-01-25"/>
    <n v="0"/>
    <x v="0"/>
    <s v="Delivered"/>
    <x v="2"/>
  </r>
  <r>
    <n v="1358"/>
    <s v="ParcelOne"/>
    <s v="2026-01-14"/>
    <s v="2026-01-15"/>
    <d v="2026-01-19T00:00:00"/>
    <d v="2026-01-19T00:00:00"/>
    <s v="2026-01-19"/>
    <n v="0"/>
    <x v="1"/>
    <s v="Delivered"/>
    <x v="3"/>
  </r>
  <r>
    <n v="1359"/>
    <s v="SwiftShip"/>
    <s v="2026-04-09"/>
    <s v="2026-04-09"/>
    <d v="2026-04-14T00:00:00"/>
    <d v="2026-04-14T00:00:00"/>
    <s v="2026-04-15"/>
    <n v="0"/>
    <x v="0"/>
    <s v="Delivered"/>
    <x v="3"/>
  </r>
  <r>
    <n v="1361"/>
    <s v="SwiftShip"/>
    <s v="2026-02-26"/>
    <s v="2026-02-27"/>
    <d v="2026-03-03T00:00:00"/>
    <d v="2026-03-04T00:00:00"/>
    <s v="2026-03-04"/>
    <n v="0"/>
    <x v="0"/>
    <s v="Delivered"/>
    <x v="2"/>
  </r>
  <r>
    <n v="1362"/>
    <s v="ParcelOne"/>
    <s v="2026-05-05"/>
    <s v="2026-05-05"/>
    <d v="2026-05-10T00:00:00"/>
    <d v="2026-05-10T00:00:00"/>
    <s v="2026-05-11"/>
    <n v="0"/>
    <x v="1"/>
    <s v="Delivered"/>
    <x v="3"/>
  </r>
  <r>
    <n v="1363"/>
    <s v="SwiftShip"/>
    <s v="2026-01-17"/>
    <s v="2026-01-17"/>
    <d v="2026-01-22T00:00:00"/>
    <d v="2026-01-22T00:00:00"/>
    <s v="2026-01-22"/>
    <n v="0"/>
    <x v="0"/>
    <s v="Delivered"/>
    <x v="3"/>
  </r>
  <r>
    <n v="1364"/>
    <s v="SwiftShip"/>
    <s v="2026-02-15"/>
    <s v="2026-02-17"/>
    <d v="2026-02-20T00:00:00"/>
    <d v="2026-02-20T00:00:00"/>
    <s v="2026-02-20"/>
    <n v="0"/>
    <x v="0"/>
    <s v="Delivered"/>
    <x v="3"/>
  </r>
  <r>
    <n v="1365"/>
    <s v="MetroLogistics"/>
    <s v="2026-04-11"/>
    <s v="2026-04-12"/>
    <d v="2026-04-16T00:00:00"/>
    <d v="2026-04-16T00:00:00"/>
    <s v="2026-04-16"/>
    <n v="0"/>
    <x v="2"/>
    <s v="Delivered"/>
    <x v="3"/>
  </r>
  <r>
    <n v="1366"/>
    <s v="MetroLogistics"/>
    <s v="2026-06-05"/>
    <s v="2026-06-05"/>
    <d v="2026-06-10T00:00:00"/>
    <d v="2026-06-10T00:00:00"/>
    <s v="2026-06-10"/>
    <n v="0"/>
    <x v="2"/>
    <s v="Delivered"/>
    <x v="3"/>
  </r>
  <r>
    <n v="1367"/>
    <s v="ParcelOne"/>
    <s v="2026-04-22"/>
    <s v="2026-04-22"/>
    <d v="2026-04-27T00:00:00"/>
    <d v="2026-04-27T00:00:00"/>
    <s v="2026-04-27"/>
    <n v="0"/>
    <x v="1"/>
    <s v="Delivered"/>
    <x v="3"/>
  </r>
  <r>
    <n v="1368"/>
    <s v="MetroLogistics"/>
    <s v="2026-03-16"/>
    <s v="2026-03-16"/>
    <d v="2026-03-21T00:00:00"/>
    <d v="2026-03-20T00:00:00"/>
    <s v="2026-03-20"/>
    <n v="0"/>
    <x v="2"/>
    <s v="Delivered"/>
    <x v="3"/>
  </r>
  <r>
    <n v="1369"/>
    <s v="SwiftShip"/>
    <s v="2026-02-24"/>
    <s v="2026-02-24"/>
    <d v="2026-03-01T00:00:00"/>
    <d v="2026-03-01T00:00:00"/>
    <s v="2026-03-02"/>
    <n v="0"/>
    <x v="0"/>
    <s v="Delivered"/>
    <x v="3"/>
  </r>
  <r>
    <n v="1370"/>
    <s v="MetroLogistics"/>
    <s v="2026-05-27"/>
    <s v="2026-05-27"/>
    <d v="2026-06-01T00:00:00"/>
    <d v="2026-06-01T00:00:00"/>
    <s v="2026-06-03"/>
    <n v="0"/>
    <x v="2"/>
    <s v="Delivered"/>
    <x v="3"/>
  </r>
  <r>
    <n v="1371"/>
    <s v="MetroLogistics"/>
    <s v="2026-04-01"/>
    <s v="2026-04-01"/>
    <d v="2026-04-06T00:00:00"/>
    <d v="2026-04-06T00:00:00"/>
    <s v="2026-04-06"/>
    <n v="0"/>
    <x v="2"/>
    <s v="Delivered"/>
    <x v="3"/>
  </r>
  <r>
    <n v="1372"/>
    <s v="MetroLogistics"/>
    <s v="2026-06-09"/>
    <s v="2026-06-10"/>
    <d v="2026-06-14T00:00:00"/>
    <d v="2026-06-15T00:00:00"/>
    <s v="2026-06-15"/>
    <n v="0"/>
    <x v="2"/>
    <s v="Delivered"/>
    <x v="2"/>
  </r>
  <r>
    <n v="1373"/>
    <s v="SwiftShip"/>
    <s v="2026-04-24"/>
    <s v="2026-04-24"/>
    <d v="2026-04-29T00:00:00"/>
    <d v="2026-04-30T00:00:00"/>
    <s v="2026-05-02"/>
    <n v="0"/>
    <x v="0"/>
    <s v="Delivered"/>
    <x v="2"/>
  </r>
  <r>
    <n v="1374"/>
    <s v="SwiftShip"/>
    <s v="2026-06-09"/>
    <s v="2026-06-09"/>
    <d v="2026-06-14T00:00:00"/>
    <d v="2026-06-14T00:00:00"/>
    <s v="2026-06-15"/>
    <n v="0"/>
    <x v="0"/>
    <s v="Delivered"/>
    <x v="3"/>
  </r>
  <r>
    <n v="1375"/>
    <s v="SwiftShip"/>
    <s v="2026-02-21"/>
    <s v="2026-02-21"/>
    <d v="2026-02-26T00:00:00"/>
    <d v="2026-02-24T00:00:00"/>
    <s v="2026-02-24"/>
    <n v="0"/>
    <x v="0"/>
    <s v="Delivered"/>
    <x v="3"/>
  </r>
  <r>
    <n v="1376"/>
    <s v="MetroLogistics"/>
    <s v="2026-04-15"/>
    <s v="2026-04-17"/>
    <d v="2026-04-20T00:00:00"/>
    <d v="2026-04-20T00:00:00"/>
    <s v="2026-04-20"/>
    <n v="0"/>
    <x v="2"/>
    <s v="Delivered"/>
    <x v="3"/>
  </r>
  <r>
    <n v="1377"/>
    <s v="ParcelOne"/>
    <s v="2026-06-01"/>
    <s v="2026-06-01"/>
    <d v="2026-06-06T00:00:00"/>
    <d v="2026-06-06T00:00:00"/>
    <s v="2026-06-06"/>
    <n v="0"/>
    <x v="1"/>
    <s v="Delivered"/>
    <x v="3"/>
  </r>
  <r>
    <n v="1378"/>
    <s v="SwiftShip"/>
    <s v="2026-04-17"/>
    <s v="2026-04-17"/>
    <d v="2026-04-22T00:00:00"/>
    <d v="2026-04-21T00:00:00"/>
    <s v="2026-04-21"/>
    <n v="0"/>
    <x v="0"/>
    <s v="Delivered"/>
    <x v="3"/>
  </r>
  <r>
    <n v="1379"/>
    <s v="SwiftShip"/>
    <s v="2026-05-20"/>
    <s v="2026-05-20"/>
    <d v="2026-05-25T00:00:00"/>
    <d v="2026-05-26T00:00:00"/>
    <s v="2026-05-28"/>
    <n v="0"/>
    <x v="0"/>
    <s v="Delivered"/>
    <x v="2"/>
  </r>
  <r>
    <n v="1380"/>
    <s v="ParcelOne"/>
    <s v="2026-06-26"/>
    <s v="2026-06-26"/>
    <d v="2026-07-01T00:00:00"/>
    <d v="2026-07-05T00:00:00"/>
    <s v="2026-07-05"/>
    <n v="0"/>
    <x v="1"/>
    <s v="Delivered"/>
    <x v="2"/>
  </r>
  <r>
    <n v="1381"/>
    <s v="MetroLogistics"/>
    <s v="2026-03-24"/>
    <s v="2026-03-24"/>
    <d v="2026-03-29T00:00:00"/>
    <d v="2026-03-30T00:00:00"/>
    <s v="2026-03-30"/>
    <n v="0"/>
    <x v="2"/>
    <s v="Delivered"/>
    <x v="2"/>
  </r>
  <r>
    <n v="1382"/>
    <s v="ParcelOne"/>
    <s v="2026-02-17"/>
    <s v="2026-02-17"/>
    <d v="2026-02-22T00:00:00"/>
    <d v="2026-02-23T00:00:00"/>
    <s v="2026-02-25"/>
    <n v="0"/>
    <x v="1"/>
    <s v="Delivered"/>
    <x v="2"/>
  </r>
  <r>
    <n v="1383"/>
    <s v="ParcelOne"/>
    <s v="2026-05-10"/>
    <s v="2026-05-11"/>
    <d v="2026-05-15T00:00:00"/>
    <d v="2026-05-15T00:00:00"/>
    <s v="2026-05-15"/>
    <n v="0"/>
    <x v="1"/>
    <s v="Delivered"/>
    <x v="3"/>
  </r>
  <r>
    <n v="1384"/>
    <s v="SwiftShip"/>
    <s v="2026-01-23"/>
    <s v="2026-01-23"/>
    <d v="2026-01-28T00:00:00"/>
    <d v="2026-02-01T00:00:00"/>
    <s v="2026-02-02"/>
    <n v="0"/>
    <x v="0"/>
    <s v="Delivered"/>
    <x v="2"/>
  </r>
  <r>
    <n v="1385"/>
    <s v="ParcelOne"/>
    <s v="2026-05-08"/>
    <s v="2026-05-08"/>
    <d v="2026-05-13T00:00:00"/>
    <d v="2026-05-13T00:00:00"/>
    <s v="2026-05-15"/>
    <n v="0"/>
    <x v="1"/>
    <s v="Delivered"/>
    <x v="3"/>
  </r>
  <r>
    <n v="1386"/>
    <s v="MetroLogistics"/>
    <s v="2026-05-11"/>
    <s v="2026-05-11"/>
    <d v="2026-05-16T00:00:00"/>
    <d v="2026-05-14T00:00:00"/>
    <s v="2026-05-14"/>
    <n v="0"/>
    <x v="2"/>
    <s v="Delivered"/>
    <x v="3"/>
  </r>
  <r>
    <n v="1387"/>
    <s v="SwiftShip"/>
    <s v="2026-01-28"/>
    <s v="2026-01-28"/>
    <d v="2026-02-02T00:00:00"/>
    <d v="2026-02-02T00:00:00"/>
    <s v="2026-02-02"/>
    <n v="0"/>
    <x v="0"/>
    <s v="Delivered"/>
    <x v="3"/>
  </r>
  <r>
    <n v="1388"/>
    <s v="MetroLogistics"/>
    <s v="2026-02-19"/>
    <s v="2026-02-19"/>
    <d v="2026-02-24T00:00:00"/>
    <d v="2026-02-23T00:00:00"/>
    <s v="2026-02-23"/>
    <n v="0"/>
    <x v="2"/>
    <s v="Delivered"/>
    <x v="3"/>
  </r>
  <r>
    <n v="1389"/>
    <s v="ParcelOne"/>
    <s v="2026-06-27"/>
    <s v="2026-06-27"/>
    <d v="2026-07-02T00:00:00"/>
    <d v="2026-07-06T00:00:00"/>
    <s v="2026-07-06"/>
    <n v="0"/>
    <x v="1"/>
    <s v="Delivered"/>
    <x v="2"/>
  </r>
  <r>
    <n v="1390"/>
    <s v="MetroLogistics"/>
    <s v="2026-02-17"/>
    <s v="2026-02-17"/>
    <d v="2026-02-22T00:00:00"/>
    <d v="2026-02-22T00:00:00"/>
    <s v="2026-02-22"/>
    <n v="0"/>
    <x v="2"/>
    <s v="Delivered"/>
    <x v="3"/>
  </r>
  <r>
    <n v="1391"/>
    <s v="SwiftShip"/>
    <s v="2026-02-13"/>
    <s v="2026-02-13"/>
    <d v="2026-02-18T00:00:00"/>
    <d v="2026-02-18T00:00:00"/>
    <s v="2026-02-18"/>
    <n v="0"/>
    <x v="0"/>
    <s v="Delivered"/>
    <x v="3"/>
  </r>
  <r>
    <n v="1392"/>
    <s v="MetroLogistics"/>
    <s v="2026-04-01"/>
    <s v="2026-04-03"/>
    <d v="2026-04-06T00:00:00"/>
    <d v="2026-04-06T00:00:00"/>
    <s v="2026-04-06"/>
    <n v="0"/>
    <x v="2"/>
    <s v="Delivered"/>
    <x v="3"/>
  </r>
  <r>
    <n v="1393"/>
    <s v="MetroLogistics"/>
    <s v="2026-05-07"/>
    <s v="2026-05-07"/>
    <d v="2026-05-12T00:00:00"/>
    <d v="2026-05-16T00:00:00"/>
    <s v="2026-05-17"/>
    <n v="0"/>
    <x v="2"/>
    <s v="Delivered"/>
    <x v="2"/>
  </r>
  <r>
    <n v="1394"/>
    <s v="SwiftShip"/>
    <s v="2026-03-30"/>
    <s v="2026-03-30"/>
    <d v="2026-04-04T00:00:00"/>
    <d v="2026-04-04T00:00:00"/>
    <s v="2026-04-04"/>
    <n v="0"/>
    <x v="0"/>
    <s v="Delivered"/>
    <x v="3"/>
  </r>
  <r>
    <n v="1395"/>
    <s v="ParcelOne"/>
    <s v="2026-06-06"/>
    <s v="2026-06-06"/>
    <d v="2026-06-11T00:00:00"/>
    <d v="2026-06-13T00:00:00"/>
    <s v="2026-06-13"/>
    <n v="0"/>
    <x v="1"/>
    <s v="Delivered"/>
    <x v="2"/>
  </r>
  <r>
    <n v="1396"/>
    <s v="MetroLogistics"/>
    <s v="2026-06-21"/>
    <s v="2026-06-21"/>
    <d v="2026-06-26T00:00:00"/>
    <d v="2026-06-24T00:00:00"/>
    <s v="2026-06-25"/>
    <n v="0"/>
    <x v="2"/>
    <s v="Delivered"/>
    <x v="3"/>
  </r>
  <r>
    <n v="1397"/>
    <s v="MetroLogistics"/>
    <s v="2026-01-16"/>
    <s v="2026-01-16"/>
    <d v="2026-01-21T00:00:00"/>
    <d v="2026-01-20T00:00:00"/>
    <s v="2026-01-20"/>
    <n v="0"/>
    <x v="2"/>
    <s v="Delivered"/>
    <x v="3"/>
  </r>
  <r>
    <n v="1398"/>
    <s v="MetroLogistics"/>
    <s v="2026-02-04"/>
    <s v="2026-02-05"/>
    <d v="2026-02-09T00:00:00"/>
    <d v="2026-02-09T00:00:00"/>
    <s v="2026-02-09"/>
    <n v="0"/>
    <x v="2"/>
    <s v="Delivered"/>
    <x v="3"/>
  </r>
  <r>
    <n v="1399"/>
    <s v="ParcelOne"/>
    <s v="2026-03-13"/>
    <s v="2026-03-15"/>
    <d v="2026-03-18T00:00:00"/>
    <d v="2026-03-18T00:00:00"/>
    <s v="2026-03-18"/>
    <n v="0"/>
    <x v="1"/>
    <s v="Delivered"/>
    <x v="3"/>
  </r>
  <r>
    <n v="1400"/>
    <s v="SwiftShip"/>
    <s v="2026-04-26"/>
    <s v="2026-04-26"/>
    <d v="2026-05-01T00:00:00"/>
    <d v="2026-05-02T00:00:00"/>
    <s v="2026-05-02"/>
    <n v="0"/>
    <x v="0"/>
    <s v="Delivered"/>
    <x v="2"/>
  </r>
  <r>
    <n v="1401"/>
    <s v="ParcelOne"/>
    <s v="2026-05-03"/>
    <s v="2026-05-03"/>
    <d v="2026-05-08T00:00:00"/>
    <d v="2026-05-09T00:00:00"/>
    <s v="2026-05-09"/>
    <n v="0"/>
    <x v="1"/>
    <s v="Delivered"/>
    <x v="2"/>
  </r>
  <r>
    <n v="1403"/>
    <s v="SwiftShip"/>
    <s v="2026-02-28"/>
    <s v="2026-02-28"/>
    <d v="2026-03-05T00:00:00"/>
    <d v="2026-03-07T00:00:00"/>
    <s v="2026-03-07"/>
    <n v="0"/>
    <x v="0"/>
    <s v="Delivered"/>
    <x v="2"/>
  </r>
  <r>
    <n v="1404"/>
    <s v="ParcelOne"/>
    <s v="2026-01-31"/>
    <s v="2026-01-31"/>
    <d v="2026-02-05T00:00:00"/>
    <d v="2026-02-04T00:00:00"/>
    <s v="2026-02-06"/>
    <n v="0"/>
    <x v="1"/>
    <s v="Delivered"/>
    <x v="3"/>
  </r>
  <r>
    <n v="1405"/>
    <s v="ParcelOne"/>
    <s v="2026-02-19"/>
    <m/>
    <d v="2026-02-24T00:00:00"/>
    <m/>
    <m/>
    <n v="0"/>
    <x v="1"/>
    <s v="Pending"/>
    <x v="0"/>
  </r>
  <r>
    <n v="1406"/>
    <s v="ParcelOne"/>
    <s v="2026-02-10"/>
    <s v="2026-02-10"/>
    <d v="2026-02-15T00:00:00"/>
    <d v="2026-02-16T00:00:00"/>
    <s v="2026-02-16"/>
    <n v="0"/>
    <x v="1"/>
    <s v="Delivered"/>
    <x v="2"/>
  </r>
  <r>
    <n v="1407"/>
    <s v="SwiftShip"/>
    <s v="2026-01-17"/>
    <s v="2026-01-17"/>
    <d v="2026-01-22T00:00:00"/>
    <d v="2026-01-24T00:00:00"/>
    <s v="2026-01-24"/>
    <n v="0"/>
    <x v="0"/>
    <s v="Delivered"/>
    <x v="2"/>
  </r>
  <r>
    <n v="1408"/>
    <s v="ParcelOne"/>
    <s v="2026-01-06"/>
    <s v="2026-01-06"/>
    <d v="2026-01-11T00:00:00"/>
    <d v="2026-01-12T00:00:00"/>
    <s v="2026-01-12"/>
    <n v="0"/>
    <x v="1"/>
    <s v="Delivered"/>
    <x v="2"/>
  </r>
  <r>
    <n v="1409"/>
    <s v="ParcelOne"/>
    <s v="2026-05-04"/>
    <s v="2026-05-04"/>
    <d v="2026-05-09T00:00:00"/>
    <d v="2026-05-09T00:00:00"/>
    <s v="2026-05-09"/>
    <n v="0"/>
    <x v="1"/>
    <s v="Delivered"/>
    <x v="3"/>
  </r>
  <r>
    <n v="1410"/>
    <s v="ParcelOne"/>
    <s v="2026-06-22"/>
    <s v="2026-06-22"/>
    <d v="2026-06-27T00:00:00"/>
    <d v="2026-06-26T00:00:00"/>
    <s v="2026-06-26"/>
    <n v="0"/>
    <x v="1"/>
    <s v="Delivered"/>
    <x v="3"/>
  </r>
  <r>
    <n v="1411"/>
    <s v="ParcelOne"/>
    <s v="2026-04-14"/>
    <s v="2026-04-14"/>
    <d v="2026-04-19T00:00:00"/>
    <d v="2026-04-18T00:00:00"/>
    <s v="2026-04-18"/>
    <n v="0"/>
    <x v="1"/>
    <s v="Delivered"/>
    <x v="3"/>
  </r>
  <r>
    <n v="1412"/>
    <s v="MetroLogistics"/>
    <s v="2026-02-12"/>
    <s v="2026-02-12"/>
    <d v="2026-02-17T00:00:00"/>
    <d v="2026-02-17T00:00:00"/>
    <s v="2026-02-17"/>
    <n v="0"/>
    <x v="2"/>
    <s v="Delivered"/>
    <x v="3"/>
  </r>
  <r>
    <n v="1413"/>
    <s v="SwiftShip"/>
    <s v="2026-04-01"/>
    <s v="2026-04-02"/>
    <d v="2026-04-06T00:00:00"/>
    <d v="2026-04-06T00:00:00"/>
    <s v="2026-04-06"/>
    <n v="0"/>
    <x v="0"/>
    <s v="Delivered"/>
    <x v="3"/>
  </r>
  <r>
    <n v="1414"/>
    <s v="ParcelOne"/>
    <s v="2026-05-21"/>
    <s v="2026-05-22"/>
    <d v="2026-05-26T00:00:00"/>
    <d v="2026-05-26T00:00:00"/>
    <s v="2026-05-27"/>
    <n v="0"/>
    <x v="1"/>
    <s v="Delivered"/>
    <x v="3"/>
  </r>
  <r>
    <n v="1415"/>
    <s v="ParcelOne"/>
    <s v="2026-01-20"/>
    <s v="2026-01-20"/>
    <d v="2026-01-25T00:00:00"/>
    <d v="2026-01-25T00:00:00"/>
    <s v="2026-01-25"/>
    <n v="0"/>
    <x v="1"/>
    <s v="Delivered"/>
    <x v="3"/>
  </r>
  <r>
    <n v="1416"/>
    <s v="SwiftShip"/>
    <s v="2026-01-07"/>
    <s v="2026-01-07"/>
    <d v="2026-01-12T00:00:00"/>
    <d v="2026-01-11T00:00:00"/>
    <s v="2026-01-11"/>
    <n v="0"/>
    <x v="0"/>
    <s v="Delivered"/>
    <x v="3"/>
  </r>
  <r>
    <n v="1417"/>
    <s v="MetroLogistics"/>
    <s v="2026-06-16"/>
    <s v="2026-06-16"/>
    <d v="2026-06-21T00:00:00"/>
    <d v="2026-06-21T00:00:00"/>
    <s v="2026-06-21"/>
    <n v="0"/>
    <x v="2"/>
    <s v="Delivered"/>
    <x v="3"/>
  </r>
  <r>
    <n v="1418"/>
    <s v="ParcelOne"/>
    <s v="2026-06-16"/>
    <s v="2026-06-16"/>
    <d v="2026-06-21T00:00:00"/>
    <d v="2026-06-19T00:00:00"/>
    <s v="2026-06-21"/>
    <n v="0"/>
    <x v="1"/>
    <s v="Delivered"/>
    <x v="3"/>
  </r>
  <r>
    <n v="1419"/>
    <s v="MetroLogistics"/>
    <s v="2026-06-19"/>
    <s v="2026-06-20"/>
    <d v="2026-06-24T00:00:00"/>
    <d v="2026-06-25T00:00:00"/>
    <s v="2026-06-25"/>
    <n v="0"/>
    <x v="2"/>
    <s v="Delivered"/>
    <x v="2"/>
  </r>
  <r>
    <n v="1420"/>
    <s v="MetroLogistics"/>
    <s v="2026-03-12"/>
    <s v="2026-03-12"/>
    <d v="2026-03-17T00:00:00"/>
    <d v="2026-03-17T00:00:00"/>
    <s v="2026-03-17"/>
    <n v="0"/>
    <x v="2"/>
    <s v="Delivered"/>
    <x v="3"/>
  </r>
  <r>
    <n v="1421"/>
    <s v="ParcelOne"/>
    <s v="2026-06-20"/>
    <s v="2026-06-20"/>
    <d v="2026-06-25T00:00:00"/>
    <d v="2026-06-25T00:00:00"/>
    <s v="2026-06-25"/>
    <n v="0"/>
    <x v="1"/>
    <s v="Delivered"/>
    <x v="3"/>
  </r>
  <r>
    <n v="1422"/>
    <s v="SwiftShip"/>
    <s v="2026-05-23"/>
    <s v="2026-05-23"/>
    <d v="2026-05-28T00:00:00"/>
    <d v="2026-06-01T00:00:00"/>
    <s v="2026-06-02"/>
    <n v="0"/>
    <x v="0"/>
    <s v="Delivered"/>
    <x v="2"/>
  </r>
  <r>
    <n v="1423"/>
    <s v="ParcelOne"/>
    <s v="2026-06-14"/>
    <s v="2026-06-14"/>
    <d v="2026-06-19T00:00:00"/>
    <d v="2026-06-19T00:00:00"/>
    <s v="2026-06-21"/>
    <n v="0"/>
    <x v="1"/>
    <s v="Delivered"/>
    <x v="3"/>
  </r>
  <r>
    <n v="1424"/>
    <s v="SwiftShip"/>
    <s v="2026-01-11"/>
    <m/>
    <d v="2026-01-16T00:00:00"/>
    <m/>
    <m/>
    <n v="0"/>
    <x v="0"/>
    <s v="Pending"/>
    <x v="0"/>
  </r>
  <r>
    <n v="1425"/>
    <s v="MetroLogistics"/>
    <s v="2026-01-08"/>
    <s v="2026-01-08"/>
    <d v="2026-01-13T00:00:00"/>
    <d v="2026-01-12T00:00:00"/>
    <s v="2026-01-12"/>
    <n v="0"/>
    <x v="2"/>
    <s v="Delivered"/>
    <x v="3"/>
  </r>
  <r>
    <n v="1426"/>
    <s v="SwiftShip"/>
    <s v="2026-03-07"/>
    <s v="2026-03-07"/>
    <d v="2026-03-12T00:00:00"/>
    <d v="2026-03-11T00:00:00"/>
    <s v="2026-03-11"/>
    <n v="0"/>
    <x v="0"/>
    <s v="Delivered"/>
    <x v="3"/>
  </r>
  <r>
    <n v="1427"/>
    <s v="ParcelOne"/>
    <s v="2026-05-06"/>
    <s v="2026-05-06"/>
    <d v="2026-05-11T00:00:00"/>
    <d v="2026-05-12T00:00:00"/>
    <s v="2026-05-12"/>
    <n v="0"/>
    <x v="1"/>
    <s v="Delivered"/>
    <x v="2"/>
  </r>
  <r>
    <n v="1428"/>
    <s v="MetroLogistics"/>
    <s v="2026-03-29"/>
    <s v="2026-03-29"/>
    <d v="2026-04-03T00:00:00"/>
    <d v="2026-04-03T00:00:00"/>
    <s v="2026-04-03"/>
    <n v="0"/>
    <x v="2"/>
    <s v="Delivered"/>
    <x v="3"/>
  </r>
  <r>
    <n v="1429"/>
    <s v="ParcelOne"/>
    <s v="2026-02-10"/>
    <s v="2026-02-12"/>
    <d v="2026-02-15T00:00:00"/>
    <d v="2026-02-16T00:00:00"/>
    <s v="2026-02-16"/>
    <n v="0"/>
    <x v="1"/>
    <s v="Delivered"/>
    <x v="2"/>
  </r>
  <r>
    <n v="1430"/>
    <s v="SwiftShip"/>
    <s v="2026-02-28"/>
    <s v="2026-02-28"/>
    <d v="2026-03-05T00:00:00"/>
    <d v="2026-03-05T00:00:00"/>
    <s v="2026-03-05"/>
    <n v="0"/>
    <x v="0"/>
    <s v="Delivered"/>
    <x v="3"/>
  </r>
  <r>
    <n v="1431"/>
    <s v="ParcelOne"/>
    <s v="2026-03-11"/>
    <s v="2026-03-11"/>
    <d v="2026-03-16T00:00:00"/>
    <d v="2026-03-16T00:00:00"/>
    <s v="2026-03-16"/>
    <n v="0"/>
    <x v="1"/>
    <s v="Delivered"/>
    <x v="3"/>
  </r>
  <r>
    <n v="1432"/>
    <s v="MetroLogistics"/>
    <s v="2026-05-26"/>
    <s v="2026-05-26"/>
    <d v="2026-05-31T00:00:00"/>
    <d v="2026-05-31T00:00:00"/>
    <s v="2026-05-31"/>
    <n v="0"/>
    <x v="2"/>
    <s v="Delivered"/>
    <x v="3"/>
  </r>
  <r>
    <n v="1433"/>
    <s v="ParcelOne"/>
    <s v="2026-01-25"/>
    <s v="2026-01-25"/>
    <d v="2026-01-30T00:00:00"/>
    <d v="2026-01-30T00:00:00"/>
    <s v="2026-01-30"/>
    <n v="0"/>
    <x v="1"/>
    <s v="Delivered"/>
    <x v="3"/>
  </r>
  <r>
    <n v="1434"/>
    <s v="MetroLogistics"/>
    <s v="2026-04-02"/>
    <s v="2026-04-02"/>
    <d v="2026-04-07T00:00:00"/>
    <d v="2026-04-08T00:00:00"/>
    <s v="2026-04-08"/>
    <n v="0"/>
    <x v="2"/>
    <s v="Delivered"/>
    <x v="2"/>
  </r>
  <r>
    <n v="1435"/>
    <s v="MetroLogistics"/>
    <s v="2026-01-16"/>
    <s v="2026-01-16"/>
    <d v="2026-01-21T00:00:00"/>
    <d v="2026-01-19T00:00:00"/>
    <s v="2026-01-19"/>
    <n v="0"/>
    <x v="2"/>
    <s v="Delivered"/>
    <x v="3"/>
  </r>
  <r>
    <n v="1436"/>
    <s v="SwiftShip"/>
    <s v="2026-02-26"/>
    <s v="2026-02-26"/>
    <d v="2026-03-03T00:00:00"/>
    <d v="2026-03-05T00:00:00"/>
    <s v="2026-03-05"/>
    <n v="0"/>
    <x v="0"/>
    <s v="Delivered"/>
    <x v="2"/>
  </r>
  <r>
    <n v="1437"/>
    <s v="MetroLogistics"/>
    <s v="2026-02-15"/>
    <s v="2026-02-15"/>
    <d v="2026-02-20T00:00:00"/>
    <d v="2026-02-20T00:00:00"/>
    <s v="2026-02-21"/>
    <n v="0"/>
    <x v="2"/>
    <s v="Delivered"/>
    <x v="3"/>
  </r>
  <r>
    <n v="1439"/>
    <s v="ParcelOne"/>
    <s v="2026-05-13"/>
    <m/>
    <d v="2026-05-18T00:00:00"/>
    <m/>
    <m/>
    <n v="0"/>
    <x v="1"/>
    <s v="Pending"/>
    <x v="0"/>
  </r>
  <r>
    <n v="1440"/>
    <s v="ParcelOne"/>
    <s v="2026-05-11"/>
    <s v="2026-05-11"/>
    <d v="2026-05-16T00:00:00"/>
    <m/>
    <m/>
    <n v="0"/>
    <x v="1"/>
    <s v="Shipped"/>
    <x v="0"/>
  </r>
  <r>
    <n v="1441"/>
    <s v="ParcelOne"/>
    <s v="2026-01-07"/>
    <s v="2026-01-08"/>
    <d v="2026-01-12T00:00:00"/>
    <d v="2026-01-12T00:00:00"/>
    <s v="2026-01-13"/>
    <n v="0"/>
    <x v="1"/>
    <s v="Delivered"/>
    <x v="3"/>
  </r>
  <r>
    <n v="1442"/>
    <s v="ParcelOne"/>
    <s v="2026-05-25"/>
    <s v="2026-05-25"/>
    <d v="2026-05-30T00:00:00"/>
    <m/>
    <m/>
    <n v="0"/>
    <x v="1"/>
    <s v="Shipped"/>
    <x v="0"/>
  </r>
  <r>
    <n v="1443"/>
    <s v="MetroLogistics"/>
    <s v="2026-04-10"/>
    <s v="2026-04-12"/>
    <d v="2026-04-15T00:00:00"/>
    <d v="2026-04-17T00:00:00"/>
    <s v="2026-04-17"/>
    <n v="0"/>
    <x v="2"/>
    <s v="Delivered"/>
    <x v="2"/>
  </r>
  <r>
    <n v="1444"/>
    <s v="MetroLogistics"/>
    <s v="2026-02-05"/>
    <s v="2026-02-05"/>
    <d v="2026-02-10T00:00:00"/>
    <d v="2026-02-12T00:00:00"/>
    <s v="2026-02-12"/>
    <n v="0"/>
    <x v="2"/>
    <s v="Delivered"/>
    <x v="2"/>
  </r>
  <r>
    <n v="1445"/>
    <s v="ParcelOne"/>
    <s v="2026-05-27"/>
    <s v="2026-05-27"/>
    <d v="2026-06-01T00:00:00"/>
    <m/>
    <m/>
    <n v="0"/>
    <x v="1"/>
    <s v="Shipped"/>
    <x v="0"/>
  </r>
  <r>
    <n v="1446"/>
    <s v="MetroLogistics"/>
    <s v="2026-01-10"/>
    <s v="2026-01-10"/>
    <d v="2026-01-15T00:00:00"/>
    <d v="2026-01-14T00:00:00"/>
    <s v="2026-01-14"/>
    <n v="0"/>
    <x v="2"/>
    <s v="Delivered"/>
    <x v="3"/>
  </r>
  <r>
    <n v="1447"/>
    <s v="MetroLogistics"/>
    <s v="2026-06-09"/>
    <s v="2026-06-09"/>
    <d v="2026-06-14T00:00:00"/>
    <d v="2026-06-15T00:00:00"/>
    <s v="2026-06-15"/>
    <n v="0"/>
    <x v="2"/>
    <s v="Delivered"/>
    <x v="2"/>
  </r>
  <r>
    <n v="1448"/>
    <s v="SwiftShip"/>
    <s v="2026-05-03"/>
    <s v="2026-05-03"/>
    <d v="2026-05-08T00:00:00"/>
    <d v="2026-05-07T00:00:00"/>
    <s v="2026-05-07"/>
    <n v="0"/>
    <x v="0"/>
    <s v="Delivered"/>
    <x v="3"/>
  </r>
  <r>
    <n v="1449"/>
    <s v="ParcelOne"/>
    <s v="2026-01-06"/>
    <s v="2026-01-06"/>
    <d v="2026-01-11T00:00:00"/>
    <m/>
    <m/>
    <n v="0"/>
    <x v="1"/>
    <s v="Shipped"/>
    <x v="0"/>
  </r>
  <r>
    <n v="1450"/>
    <s v="MetroLogistics"/>
    <s v="2026-02-17"/>
    <s v="2026-02-17"/>
    <d v="2026-02-22T00:00:00"/>
    <m/>
    <m/>
    <n v="0"/>
    <x v="2"/>
    <s v="Shipped"/>
    <x v="0"/>
  </r>
  <r>
    <n v="1451"/>
    <s v="ParcelOne"/>
    <s v="2026-04-10"/>
    <s v="2026-04-10"/>
    <d v="2026-04-15T00:00:00"/>
    <d v="2026-04-17T00:00:00"/>
    <s v="2026-04-18"/>
    <n v="0"/>
    <x v="1"/>
    <s v="Delivered"/>
    <x v="2"/>
  </r>
  <r>
    <n v="1452"/>
    <s v="SwiftShip"/>
    <s v="2026-05-15"/>
    <s v="2026-05-15"/>
    <d v="2026-05-20T00:00:00"/>
    <d v="2026-05-20T00:00:00"/>
    <s v="2026-05-21"/>
    <n v="0"/>
    <x v="0"/>
    <s v="Delivered"/>
    <x v="3"/>
  </r>
  <r>
    <n v="1453"/>
    <s v="MetroLogistics"/>
    <s v="2026-02-14"/>
    <s v="2026-02-14"/>
    <d v="2026-02-19T00:00:00"/>
    <d v="2026-02-19T00:00:00"/>
    <s v="2026-02-20"/>
    <n v="0"/>
    <x v="2"/>
    <s v="Delivered"/>
    <x v="3"/>
  </r>
  <r>
    <n v="1454"/>
    <s v="MetroLogistics"/>
    <s v="2026-02-06"/>
    <s v="2026-02-07"/>
    <d v="2026-02-11T00:00:00"/>
    <d v="2026-02-10T00:00:00"/>
    <s v="2026-02-10"/>
    <n v="0"/>
    <x v="2"/>
    <s v="Delivered"/>
    <x v="3"/>
  </r>
  <r>
    <n v="1455"/>
    <s v="MetroLogistics"/>
    <s v="2026-02-13"/>
    <s v="2026-02-13"/>
    <d v="2026-02-18T00:00:00"/>
    <d v="2026-02-17T00:00:00"/>
    <s v="2026-02-17"/>
    <n v="0"/>
    <x v="2"/>
    <s v="Delivered"/>
    <x v="3"/>
  </r>
  <r>
    <n v="1456"/>
    <s v="ParcelOne"/>
    <s v="2026-05-13"/>
    <s v="2026-05-15"/>
    <d v="2026-05-18T00:00:00"/>
    <d v="2026-05-18T00:00:00"/>
    <s v="2026-05-18"/>
    <n v="0"/>
    <x v="1"/>
    <s v="Delivered"/>
    <x v="3"/>
  </r>
  <r>
    <n v="1458"/>
    <s v="ParcelOne"/>
    <s v="2026-06-12"/>
    <s v="2026-06-12"/>
    <d v="2026-06-17T00:00:00"/>
    <d v="2026-06-17T00:00:00"/>
    <s v="2026-06-17"/>
    <n v="0"/>
    <x v="1"/>
    <s v="Delivered"/>
    <x v="3"/>
  </r>
  <r>
    <n v="1460"/>
    <s v="ParcelOne"/>
    <s v="2026-04-29"/>
    <s v="2026-04-29"/>
    <d v="2026-05-04T00:00:00"/>
    <d v="2026-05-02T00:00:00"/>
    <s v="2026-05-02"/>
    <n v="0"/>
    <x v="1"/>
    <s v="Delivered"/>
    <x v="3"/>
  </r>
  <r>
    <n v="1461"/>
    <s v="MetroLogistics"/>
    <s v="2026-01-11"/>
    <s v="2026-01-13"/>
    <d v="2026-01-16T00:00:00"/>
    <d v="2026-01-15T00:00:00"/>
    <s v="2026-01-15"/>
    <n v="0"/>
    <x v="2"/>
    <s v="Delivered"/>
    <x v="3"/>
  </r>
  <r>
    <n v="1462"/>
    <s v="ParcelOne"/>
    <s v="2026-06-29"/>
    <s v="2026-06-29"/>
    <d v="2026-07-04T00:00:00"/>
    <d v="2026-07-04T00:00:00"/>
    <s v="2026-07-05"/>
    <n v="0"/>
    <x v="1"/>
    <s v="Delivered"/>
    <x v="3"/>
  </r>
  <r>
    <n v="1463"/>
    <s v="ParcelOne"/>
    <s v="2026-04-22"/>
    <s v="2026-04-22"/>
    <d v="2026-04-27T00:00:00"/>
    <d v="2026-04-27T00:00:00"/>
    <s v="2026-04-27"/>
    <n v="0"/>
    <x v="1"/>
    <s v="Delivered"/>
    <x v="3"/>
  </r>
  <r>
    <n v="1464"/>
    <s v="MetroLogistics"/>
    <s v="2026-06-08"/>
    <s v="2026-06-08"/>
    <d v="2026-06-13T00:00:00"/>
    <d v="2026-06-13T00:00:00"/>
    <s v="2026-06-13"/>
    <n v="0"/>
    <x v="2"/>
    <s v="Delivered"/>
    <x v="3"/>
  </r>
  <r>
    <n v="1465"/>
    <s v="MetroLogistics"/>
    <s v="2026-04-03"/>
    <s v="2026-04-04"/>
    <d v="2026-04-08T00:00:00"/>
    <m/>
    <m/>
    <n v="0"/>
    <x v="2"/>
    <s v="Shipped"/>
    <x v="0"/>
  </r>
  <r>
    <n v="1466"/>
    <s v="ParcelOne"/>
    <s v="2026-03-03"/>
    <s v="2026-03-03"/>
    <d v="2026-03-08T00:00:00"/>
    <d v="2026-03-09T00:00:00"/>
    <s v="2026-03-09"/>
    <n v="0"/>
    <x v="1"/>
    <s v="Delivered"/>
    <x v="2"/>
  </r>
  <r>
    <n v="1467"/>
    <s v="MetroLogistics"/>
    <s v="2026-06-09"/>
    <m/>
    <d v="2026-06-14T00:00:00"/>
    <m/>
    <m/>
    <n v="0"/>
    <x v="2"/>
    <s v="Pending"/>
    <x v="0"/>
  </r>
  <r>
    <n v="1468"/>
    <s v="SwiftShip"/>
    <s v="2026-06-15"/>
    <s v="2026-06-15"/>
    <d v="2026-06-20T00:00:00"/>
    <d v="2026-06-19T00:00:00"/>
    <s v="2026-06-19"/>
    <n v="0"/>
    <x v="0"/>
    <s v="Delivered"/>
    <x v="3"/>
  </r>
  <r>
    <n v="1469"/>
    <s v="SwiftShip"/>
    <s v="2026-05-28"/>
    <s v="2026-05-29"/>
    <d v="2026-06-02T00:00:00"/>
    <d v="2026-06-06T00:00:00"/>
    <s v="2026-06-06"/>
    <n v="0"/>
    <x v="0"/>
    <s v="Delivered"/>
    <x v="2"/>
  </r>
  <r>
    <n v="1470"/>
    <s v="SwiftShip"/>
    <s v="2026-01-12"/>
    <s v="2026-01-13"/>
    <d v="2026-01-17T00:00:00"/>
    <d v="2026-01-17T00:00:00"/>
    <s v="2026-01-17"/>
    <n v="0"/>
    <x v="0"/>
    <s v="Delivered"/>
    <x v="3"/>
  </r>
  <r>
    <n v="1471"/>
    <s v="ParcelOne"/>
    <s v="2026-01-17"/>
    <s v="2026-01-17"/>
    <d v="2026-01-22T00:00:00"/>
    <d v="2026-01-24T00:00:00"/>
    <s v="2026-01-24"/>
    <n v="0"/>
    <x v="1"/>
    <s v="Delivered"/>
    <x v="2"/>
  </r>
  <r>
    <n v="1472"/>
    <s v="SwiftShip"/>
    <s v="2026-03-15"/>
    <s v="2026-03-15"/>
    <d v="2026-03-20T00:00:00"/>
    <d v="2026-03-19T00:00:00"/>
    <s v="2026-03-19"/>
    <n v="0"/>
    <x v="0"/>
    <s v="Delivered"/>
    <x v="3"/>
  </r>
  <r>
    <n v="1474"/>
    <s v="ParcelOne"/>
    <s v="2026-04-08"/>
    <s v="2026-04-08"/>
    <d v="2026-04-13T00:00:00"/>
    <d v="2026-04-13T00:00:00"/>
    <s v="2026-04-13"/>
    <n v="0"/>
    <x v="1"/>
    <s v="Delivered"/>
    <x v="3"/>
  </r>
  <r>
    <n v="1475"/>
    <s v="SwiftShip"/>
    <s v="2026-01-26"/>
    <s v="2026-01-28"/>
    <d v="2026-01-31T00:00:00"/>
    <d v="2026-02-01T00:00:00"/>
    <s v="2026-02-01"/>
    <n v="0"/>
    <x v="0"/>
    <s v="Delivered"/>
    <x v="2"/>
  </r>
  <r>
    <n v="1476"/>
    <s v="ParcelOne"/>
    <s v="2026-02-08"/>
    <s v="2026-02-08"/>
    <d v="2026-02-13T00:00:00"/>
    <d v="2026-02-13T00:00:00"/>
    <s v="2026-02-13"/>
    <n v="0"/>
    <x v="1"/>
    <s v="Delivered"/>
    <x v="3"/>
  </r>
  <r>
    <n v="1477"/>
    <s v="ParcelOne"/>
    <s v="2026-06-27"/>
    <s v="2026-06-27"/>
    <d v="2026-07-02T00:00:00"/>
    <d v="2026-07-03T00:00:00"/>
    <s v="2026-07-03"/>
    <n v="0"/>
    <x v="1"/>
    <s v="Delivered"/>
    <x v="2"/>
  </r>
  <r>
    <n v="1478"/>
    <s v="MetroLogistics"/>
    <s v="2026-03-26"/>
    <s v="2026-03-26"/>
    <d v="2026-03-31T00:00:00"/>
    <d v="2026-03-30T00:00:00"/>
    <s v="2026-03-30"/>
    <n v="0"/>
    <x v="2"/>
    <s v="Delivered"/>
    <x v="3"/>
  </r>
  <r>
    <n v="1479"/>
    <s v="SwiftShip"/>
    <s v="2026-05-26"/>
    <s v="2026-05-26"/>
    <d v="2026-05-31T00:00:00"/>
    <d v="2026-05-30T00:00:00"/>
    <s v="2026-05-30"/>
    <n v="0"/>
    <x v="0"/>
    <s v="Delivered"/>
    <x v="3"/>
  </r>
  <r>
    <n v="1480"/>
    <s v="ParcelOne"/>
    <s v="2026-05-21"/>
    <s v="2026-05-21"/>
    <d v="2026-05-26T00:00:00"/>
    <d v="2026-05-24T00:00:00"/>
    <s v="2026-05-24"/>
    <n v="0"/>
    <x v="1"/>
    <s v="Delivered"/>
    <x v="3"/>
  </r>
  <r>
    <n v="1481"/>
    <s v="MetroLogistics"/>
    <s v="2026-07-02"/>
    <s v="2026-07-02"/>
    <d v="2026-07-07T00:00:00"/>
    <d v="2026-07-06T00:00:00"/>
    <s v="2026-07-07"/>
    <n v="0"/>
    <x v="2"/>
    <s v="Delivered"/>
    <x v="3"/>
  </r>
  <r>
    <n v="1482"/>
    <s v="SwiftShip"/>
    <s v="2026-05-02"/>
    <s v="2026-05-03"/>
    <d v="2026-05-07T00:00:00"/>
    <d v="2026-05-07T00:00:00"/>
    <s v="2026-05-09"/>
    <n v="0"/>
    <x v="0"/>
    <s v="Delivered"/>
    <x v="3"/>
  </r>
  <r>
    <n v="1483"/>
    <s v="ParcelOne"/>
    <s v="2026-02-18"/>
    <s v="2026-02-18"/>
    <d v="2026-02-23T00:00:00"/>
    <d v="2026-02-23T00:00:00"/>
    <s v="2026-02-23"/>
    <n v="0"/>
    <x v="1"/>
    <s v="Delivered"/>
    <x v="3"/>
  </r>
  <r>
    <n v="1484"/>
    <s v="MetroLogistics"/>
    <s v="2026-03-16"/>
    <s v="2026-03-16"/>
    <d v="2026-03-21T00:00:00"/>
    <d v="2026-03-22T00:00:00"/>
    <s v="2026-03-22"/>
    <n v="0"/>
    <x v="2"/>
    <s v="Delivered"/>
    <x v="2"/>
  </r>
  <r>
    <n v="1485"/>
    <s v="SwiftShip"/>
    <s v="2026-06-18"/>
    <s v="2026-06-18"/>
    <d v="2026-06-23T00:00:00"/>
    <d v="2026-06-27T00:00:00"/>
    <s v="2026-06-27"/>
    <n v="0"/>
    <x v="0"/>
    <s v="Delivered"/>
    <x v="2"/>
  </r>
  <r>
    <n v="1486"/>
    <s v="MetroLogistics"/>
    <s v="2026-02-25"/>
    <s v="2026-02-25"/>
    <d v="2026-03-02T00:00:00"/>
    <d v="2026-02-28T00:00:00"/>
    <s v="2026-03-02"/>
    <n v="0"/>
    <x v="2"/>
    <s v="Delivered"/>
    <x v="3"/>
  </r>
  <r>
    <n v="1487"/>
    <s v="MetroLogistics"/>
    <s v="2026-05-07"/>
    <s v="2026-05-07"/>
    <d v="2026-05-12T00:00:00"/>
    <d v="2026-05-12T00:00:00"/>
    <s v="2026-05-12"/>
    <n v="0"/>
    <x v="2"/>
    <s v="Delivered"/>
    <x v="3"/>
  </r>
  <r>
    <n v="1488"/>
    <s v="MetroLogistics"/>
    <s v="2026-06-04"/>
    <s v="2026-06-04"/>
    <d v="2026-06-09T00:00:00"/>
    <d v="2026-06-08T00:00:00"/>
    <s v="2026-06-08"/>
    <n v="0"/>
    <x v="2"/>
    <s v="Delivered"/>
    <x v="3"/>
  </r>
  <r>
    <n v="1489"/>
    <s v="MetroLogistics"/>
    <s v="2026-01-03"/>
    <s v="2026-01-03"/>
    <d v="2026-01-08T00:00:00"/>
    <d v="2026-01-09T00:00:00"/>
    <s v="2026-01-09"/>
    <n v="0"/>
    <x v="2"/>
    <s v="Delivered"/>
    <x v="2"/>
  </r>
  <r>
    <n v="1490"/>
    <s v="ParcelOne"/>
    <s v="2026-06-25"/>
    <s v="2026-06-26"/>
    <d v="2026-06-30T00:00:00"/>
    <d v="2026-06-28T00:00:00"/>
    <s v="2026-06-30"/>
    <n v="0"/>
    <x v="1"/>
    <s v="Delivered"/>
    <x v="3"/>
  </r>
  <r>
    <n v="1491"/>
    <s v="SwiftShip"/>
    <s v="2026-01-03"/>
    <s v="2026-01-03"/>
    <d v="2026-01-08T00:00:00"/>
    <d v="2026-01-09T00:00:00"/>
    <s v="2026-01-09"/>
    <n v="0"/>
    <x v="0"/>
    <s v="Delivered"/>
    <x v="2"/>
  </r>
  <r>
    <n v="1492"/>
    <s v="SwiftShip"/>
    <s v="2026-04-10"/>
    <s v="2026-04-10"/>
    <d v="2026-04-15T00:00:00"/>
    <d v="2026-04-17T00:00:00"/>
    <s v="2026-04-17"/>
    <n v="0"/>
    <x v="0"/>
    <s v="Delivered"/>
    <x v="2"/>
  </r>
  <r>
    <n v="1493"/>
    <s v="MetroLogistics"/>
    <s v="2026-02-11"/>
    <s v="2026-02-11"/>
    <d v="2026-02-16T00:00:00"/>
    <d v="2026-02-15T00:00:00"/>
    <s v="2026-02-16"/>
    <n v="0"/>
    <x v="2"/>
    <s v="Delivered"/>
    <x v="3"/>
  </r>
  <r>
    <n v="1494"/>
    <s v="SwiftShip"/>
    <s v="2026-04-24"/>
    <m/>
    <d v="2026-04-29T00:00:00"/>
    <m/>
    <m/>
    <n v="0"/>
    <x v="0"/>
    <s v="Pending"/>
    <x v="0"/>
  </r>
  <r>
    <n v="1495"/>
    <s v="MetroLogistics"/>
    <s v="2026-06-30"/>
    <s v="2026-06-30"/>
    <d v="2026-07-05T00:00:00"/>
    <d v="2026-07-04T00:00:00"/>
    <s v="2026-07-04"/>
    <n v="0"/>
    <x v="2"/>
    <s v="Delivered"/>
    <x v="3"/>
  </r>
  <r>
    <n v="1496"/>
    <s v="SwiftShip"/>
    <s v="2026-05-10"/>
    <s v="2026-05-10"/>
    <d v="2026-05-15T00:00:00"/>
    <d v="2026-05-16T00:00:00"/>
    <s v="2026-05-16"/>
    <n v="0"/>
    <x v="0"/>
    <s v="Delivered"/>
    <x v="2"/>
  </r>
  <r>
    <n v="1497"/>
    <s v="MetroLogistics"/>
    <s v="2026-06-28"/>
    <s v="2026-06-28"/>
    <d v="2026-07-03T00:00:00"/>
    <d v="2026-07-03T00:00:00"/>
    <s v="2026-07-03"/>
    <n v="0"/>
    <x v="2"/>
    <s v="Delivered"/>
    <x v="3"/>
  </r>
  <r>
    <n v="1498"/>
    <s v="SwiftShip"/>
    <s v="2026-01-22"/>
    <s v="2026-01-22"/>
    <d v="2026-01-27T00:00:00"/>
    <d v="2026-01-29T00:00:00"/>
    <s v="2026-01-29"/>
    <n v="0"/>
    <x v="0"/>
    <s v="Delivered"/>
    <x v="2"/>
  </r>
  <r>
    <n v="1499"/>
    <s v="ParcelOne"/>
    <s v="2026-04-20"/>
    <s v="2026-04-20"/>
    <d v="2026-04-25T00:00:00"/>
    <d v="2026-04-25T00:00:00"/>
    <s v="2026-04-25"/>
    <n v="0"/>
    <x v="1"/>
    <s v="Delivered"/>
    <x v="3"/>
  </r>
  <r>
    <n v="1500"/>
    <s v="SwiftShip"/>
    <s v="2026-06-20"/>
    <m/>
    <d v="2026-06-25T00:00:00"/>
    <m/>
    <m/>
    <n v="0"/>
    <x v="0"/>
    <s v="Pending"/>
    <x v="0"/>
  </r>
  <r>
    <n v="1501"/>
    <s v="SwiftShip"/>
    <s v="2026-03-08"/>
    <s v="2026-03-10"/>
    <d v="2026-03-13T00:00:00"/>
    <d v="2026-03-14T00:00:00"/>
    <s v="2026-03-14"/>
    <n v="0"/>
    <x v="0"/>
    <s v="Delivered"/>
    <x v="2"/>
  </r>
  <r>
    <n v="1502"/>
    <s v="ParcelOne"/>
    <s v="2026-02-16"/>
    <s v="2026-02-18"/>
    <d v="2026-02-21T00:00:00"/>
    <d v="2026-02-25T00:00:00"/>
    <s v="2026-02-25"/>
    <n v="0"/>
    <x v="1"/>
    <s v="Delivered"/>
    <x v="2"/>
  </r>
  <r>
    <n v="1503"/>
    <s v="MetroLogistics"/>
    <s v="2026-05-09"/>
    <s v="2026-05-09"/>
    <d v="2026-05-14T00:00:00"/>
    <d v="2026-05-15T00:00:00"/>
    <s v="2026-05-15"/>
    <n v="0"/>
    <x v="2"/>
    <s v="Delivered"/>
    <x v="2"/>
  </r>
  <r>
    <n v="1504"/>
    <s v="MetroLogistics"/>
    <s v="2026-03-11"/>
    <s v="2026-03-11"/>
    <d v="2026-03-16T00:00:00"/>
    <d v="2026-03-16T00:00:00"/>
    <s v="2026-03-16"/>
    <n v="0"/>
    <x v="2"/>
    <s v="Delivered"/>
    <x v="3"/>
  </r>
  <r>
    <n v="1505"/>
    <s v="SwiftShip"/>
    <s v="2026-03-03"/>
    <s v="2026-03-03"/>
    <d v="2026-03-08T00:00:00"/>
    <d v="2026-03-09T00:00:00"/>
    <s v="2026-03-09"/>
    <n v="0"/>
    <x v="0"/>
    <s v="Delivered"/>
    <x v="2"/>
  </r>
  <r>
    <n v="1506"/>
    <s v="SwiftShip"/>
    <s v="2026-05-18"/>
    <s v="2026-05-20"/>
    <d v="2026-05-23T00:00:00"/>
    <d v="2026-05-23T00:00:00"/>
    <s v="2026-05-25"/>
    <n v="0"/>
    <x v="0"/>
    <s v="Delivered"/>
    <x v="3"/>
  </r>
  <r>
    <n v="1507"/>
    <s v="MetroLogistics"/>
    <s v="2026-03-29"/>
    <s v="2026-03-29"/>
    <d v="2026-04-03T00:00:00"/>
    <d v="2026-04-04T00:00:00"/>
    <s v="2026-04-04"/>
    <n v="0"/>
    <x v="2"/>
    <s v="Delivered"/>
    <x v="2"/>
  </r>
  <r>
    <n v="1508"/>
    <s v="SwiftShip"/>
    <s v="2026-02-21"/>
    <s v="2026-02-21"/>
    <d v="2026-02-26T00:00:00"/>
    <d v="2026-02-25T00:00:00"/>
    <s v="2026-02-25"/>
    <n v="0"/>
    <x v="0"/>
    <s v="Delivered"/>
    <x v="3"/>
  </r>
  <r>
    <n v="1509"/>
    <s v="ParcelOne"/>
    <s v="2026-04-02"/>
    <s v="2026-04-02"/>
    <d v="2026-04-07T00:00:00"/>
    <d v="2026-04-07T00:00:00"/>
    <s v="2026-04-08"/>
    <n v="0"/>
    <x v="1"/>
    <s v="Delivered"/>
    <x v="3"/>
  </r>
  <r>
    <n v="1510"/>
    <s v="ParcelOne"/>
    <s v="2026-06-05"/>
    <s v="2026-06-05"/>
    <d v="2026-06-10T00:00:00"/>
    <d v="2026-06-11T00:00:00"/>
    <s v="2026-06-11"/>
    <n v="0"/>
    <x v="1"/>
    <s v="Delivered"/>
    <x v="2"/>
  </r>
  <r>
    <n v="1511"/>
    <s v="MetroLogistics"/>
    <s v="2026-01-31"/>
    <s v="2026-02-02"/>
    <d v="2026-02-05T00:00:00"/>
    <d v="2026-02-05T00:00:00"/>
    <s v="2026-02-05"/>
    <n v="0"/>
    <x v="2"/>
    <s v="Delivered"/>
    <x v="3"/>
  </r>
  <r>
    <n v="1512"/>
    <s v="ParcelOne"/>
    <s v="2026-03-26"/>
    <s v="2026-03-28"/>
    <d v="2026-03-31T00:00:00"/>
    <d v="2026-03-31T00:00:00"/>
    <s v="2026-04-01"/>
    <n v="0"/>
    <x v="1"/>
    <s v="Delivered"/>
    <x v="3"/>
  </r>
  <r>
    <n v="1513"/>
    <s v="MetroLogistics"/>
    <s v="2026-04-25"/>
    <s v="2026-04-25"/>
    <d v="2026-04-30T00:00:00"/>
    <d v="2026-04-30T00:00:00"/>
    <s v="2026-05-02"/>
    <n v="0"/>
    <x v="2"/>
    <s v="Delivered"/>
    <x v="3"/>
  </r>
  <r>
    <n v="1514"/>
    <s v="MetroLogistics"/>
    <s v="2026-03-10"/>
    <s v="2026-03-10"/>
    <d v="2026-03-15T00:00:00"/>
    <d v="2026-03-13T00:00:00"/>
    <s v="2026-03-13"/>
    <n v="0"/>
    <x v="2"/>
    <s v="Delivered"/>
    <x v="3"/>
  </r>
  <r>
    <n v="1515"/>
    <s v="SwiftShip"/>
    <s v="2026-06-15"/>
    <s v="2026-06-15"/>
    <d v="2026-06-20T00:00:00"/>
    <d v="2026-06-24T00:00:00"/>
    <s v="2026-06-24"/>
    <n v="0"/>
    <x v="0"/>
    <s v="Delivered"/>
    <x v="2"/>
  </r>
  <r>
    <n v="1516"/>
    <s v="MetroLogistics"/>
    <s v="2026-04-16"/>
    <s v="2026-04-16"/>
    <d v="2026-04-21T00:00:00"/>
    <d v="2026-04-21T00:00:00"/>
    <s v="2026-04-21"/>
    <n v="0"/>
    <x v="2"/>
    <s v="Delivered"/>
    <x v="3"/>
  </r>
  <r>
    <n v="1517"/>
    <s v="SwiftShip"/>
    <s v="2026-01-26"/>
    <s v="2026-01-26"/>
    <d v="2026-01-31T00:00:00"/>
    <d v="2026-01-30T00:00:00"/>
    <s v="2026-01-30"/>
    <n v="0"/>
    <x v="0"/>
    <s v="Delivered"/>
    <x v="3"/>
  </r>
  <r>
    <n v="1518"/>
    <s v="ParcelOne"/>
    <s v="2026-06-21"/>
    <s v="2026-06-21"/>
    <d v="2026-06-26T00:00:00"/>
    <d v="2026-06-28T00:00:00"/>
    <s v="2026-06-28"/>
    <n v="0"/>
    <x v="1"/>
    <s v="Delivered"/>
    <x v="2"/>
  </r>
  <r>
    <n v="1519"/>
    <s v="ParcelOne"/>
    <s v="2026-02-07"/>
    <s v="2026-02-07"/>
    <d v="2026-02-12T00:00:00"/>
    <d v="2026-02-16T00:00:00"/>
    <s v="2026-02-17"/>
    <n v="0"/>
    <x v="1"/>
    <s v="Delivered"/>
    <x v="2"/>
  </r>
  <r>
    <n v="1520"/>
    <s v="MetroLogistics"/>
    <s v="2026-01-12"/>
    <s v="2026-01-12"/>
    <d v="2026-01-17T00:00:00"/>
    <d v="2026-01-16T00:00:00"/>
    <s v="2026-01-16"/>
    <n v="0"/>
    <x v="2"/>
    <s v="Delivered"/>
    <x v="3"/>
  </r>
  <r>
    <n v="1521"/>
    <s v="ParcelOne"/>
    <s v="2026-02-08"/>
    <s v="2026-02-08"/>
    <d v="2026-02-13T00:00:00"/>
    <d v="2026-02-13T00:00:00"/>
    <s v="2026-02-15"/>
    <n v="0"/>
    <x v="1"/>
    <s v="Delivered"/>
    <x v="3"/>
  </r>
  <r>
    <n v="1522"/>
    <s v="ParcelOne"/>
    <s v="2026-04-29"/>
    <s v="2026-04-29"/>
    <d v="2026-05-04T00:00:00"/>
    <d v="2026-05-04T00:00:00"/>
    <s v="2026-05-04"/>
    <n v="0"/>
    <x v="1"/>
    <s v="Delivered"/>
    <x v="3"/>
  </r>
  <r>
    <n v="1523"/>
    <s v="MetroLogistics"/>
    <s v="2026-04-22"/>
    <s v="2026-04-23"/>
    <d v="2026-04-27T00:00:00"/>
    <d v="2026-04-28T00:00:00"/>
    <s v="2026-04-28"/>
    <n v="0"/>
    <x v="2"/>
    <s v="Delivered"/>
    <x v="2"/>
  </r>
  <r>
    <n v="1524"/>
    <s v="ParcelOne"/>
    <s v="2026-02-16"/>
    <s v="2026-02-16"/>
    <d v="2026-02-21T00:00:00"/>
    <d v="2026-02-21T00:00:00"/>
    <s v="2026-02-23"/>
    <n v="0"/>
    <x v="1"/>
    <s v="Delivered"/>
    <x v="3"/>
  </r>
  <r>
    <n v="1525"/>
    <s v="MetroLogistics"/>
    <s v="2026-02-06"/>
    <s v="2026-02-06"/>
    <d v="2026-02-11T00:00:00"/>
    <d v="2026-02-09T00:00:00"/>
    <s v="2026-02-11"/>
    <n v="0"/>
    <x v="2"/>
    <s v="Delivered"/>
    <x v="3"/>
  </r>
  <r>
    <n v="1526"/>
    <s v="ParcelOne"/>
    <s v="2026-06-18"/>
    <s v="2026-06-18"/>
    <d v="2026-06-23T00:00:00"/>
    <d v="2026-06-23T00:00:00"/>
    <s v="2026-06-23"/>
    <n v="0"/>
    <x v="1"/>
    <s v="Delivered"/>
    <x v="3"/>
  </r>
  <r>
    <n v="1527"/>
    <s v="MetroLogistics"/>
    <s v="2026-02-16"/>
    <s v="2026-02-16"/>
    <d v="2026-02-21T00:00:00"/>
    <d v="2026-02-21T00:00:00"/>
    <s v="2026-02-21"/>
    <n v="0"/>
    <x v="2"/>
    <s v="Delivered"/>
    <x v="3"/>
  </r>
  <r>
    <n v="1528"/>
    <s v="SwiftShip"/>
    <s v="2026-01-27"/>
    <s v="2026-01-27"/>
    <d v="2026-02-01T00:00:00"/>
    <d v="2026-01-31T00:00:00"/>
    <s v="2026-02-01"/>
    <n v="0"/>
    <x v="0"/>
    <s v="Delivered"/>
    <x v="3"/>
  </r>
  <r>
    <n v="1529"/>
    <s v="SwiftShip"/>
    <s v="2026-05-10"/>
    <s v="2026-05-10"/>
    <d v="2026-05-15T00:00:00"/>
    <d v="2026-05-15T00:00:00"/>
    <s v="2026-05-15"/>
    <n v="0"/>
    <x v="0"/>
    <s v="Delivered"/>
    <x v="3"/>
  </r>
  <r>
    <n v="1530"/>
    <s v="SwiftShip"/>
    <s v="2026-01-14"/>
    <s v="2026-01-15"/>
    <d v="2026-01-19T00:00:00"/>
    <d v="2026-01-20T00:00:00"/>
    <s v="2026-01-20"/>
    <n v="0"/>
    <x v="0"/>
    <s v="Delivered"/>
    <x v="2"/>
  </r>
  <r>
    <n v="1531"/>
    <s v="ParcelOne"/>
    <s v="2026-04-20"/>
    <s v="2026-04-20"/>
    <d v="2026-04-25T00:00:00"/>
    <d v="2026-04-24T00:00:00"/>
    <s v="2026-04-24"/>
    <n v="0"/>
    <x v="1"/>
    <s v="Delivered"/>
    <x v="3"/>
  </r>
  <r>
    <n v="1533"/>
    <s v="SwiftShip"/>
    <s v="2026-02-09"/>
    <s v="2026-02-09"/>
    <d v="2026-02-14T00:00:00"/>
    <d v="2026-02-15T00:00:00"/>
    <s v="2026-02-15"/>
    <n v="0"/>
    <x v="0"/>
    <s v="Delivered"/>
    <x v="2"/>
  </r>
  <r>
    <n v="1534"/>
    <s v="SwiftShip"/>
    <s v="2026-02-23"/>
    <s v="2026-02-23"/>
    <d v="2026-02-28T00:00:00"/>
    <d v="2026-02-27T00:00:00"/>
    <s v="2026-02-27"/>
    <n v="0"/>
    <x v="0"/>
    <s v="Delivered"/>
    <x v="3"/>
  </r>
  <r>
    <n v="1535"/>
    <s v="MetroLogistics"/>
    <s v="2026-06-06"/>
    <s v="2026-06-06"/>
    <d v="2026-06-11T00:00:00"/>
    <d v="2026-06-13T00:00:00"/>
    <s v="2026-06-13"/>
    <n v="0"/>
    <x v="2"/>
    <s v="Delivered"/>
    <x v="2"/>
  </r>
  <r>
    <n v="1536"/>
    <s v="ParcelOne"/>
    <s v="2026-04-22"/>
    <s v="2026-04-22"/>
    <d v="2026-04-27T00:00:00"/>
    <d v="2026-04-29T00:00:00"/>
    <s v="2026-04-29"/>
    <n v="0"/>
    <x v="1"/>
    <s v="Delivered"/>
    <x v="2"/>
  </r>
  <r>
    <n v="1538"/>
    <s v="MetroLogistics"/>
    <s v="2026-05-12"/>
    <s v="2026-05-12"/>
    <d v="2026-05-17T00:00:00"/>
    <d v="2026-05-17T00:00:00"/>
    <s v="2026-05-17"/>
    <n v="0"/>
    <x v="2"/>
    <s v="Delivered"/>
    <x v="3"/>
  </r>
  <r>
    <n v="1539"/>
    <s v="SwiftShip"/>
    <s v="2026-04-17"/>
    <s v="2026-04-17"/>
    <d v="2026-04-22T00:00:00"/>
    <m/>
    <m/>
    <n v="0"/>
    <x v="0"/>
    <s v="Shipped"/>
    <x v="0"/>
  </r>
  <r>
    <n v="1540"/>
    <s v="MetroLogistics"/>
    <s v="2026-02-13"/>
    <s v="2026-02-13"/>
    <d v="2026-02-18T00:00:00"/>
    <d v="2026-02-20T00:00:00"/>
    <s v="2026-02-20"/>
    <n v="0"/>
    <x v="2"/>
    <s v="Delivered"/>
    <x v="2"/>
  </r>
  <r>
    <n v="1541"/>
    <s v="MetroLogistics"/>
    <s v="2026-06-14"/>
    <s v="2026-06-14"/>
    <d v="2026-06-19T00:00:00"/>
    <d v="2026-06-19T00:00:00"/>
    <s v="2026-06-21"/>
    <n v="0"/>
    <x v="2"/>
    <s v="Delivered"/>
    <x v="3"/>
  </r>
  <r>
    <n v="1542"/>
    <s v="SwiftShip"/>
    <s v="2026-05-30"/>
    <s v="2026-05-30"/>
    <d v="2026-06-04T00:00:00"/>
    <d v="2026-06-04T00:00:00"/>
    <s v="2026-06-04"/>
    <n v="0"/>
    <x v="0"/>
    <s v="Delivered"/>
    <x v="3"/>
  </r>
  <r>
    <n v="1543"/>
    <s v="MetroLogistics"/>
    <s v="2026-02-16"/>
    <s v="2026-02-16"/>
    <d v="2026-02-21T00:00:00"/>
    <d v="2026-02-22T00:00:00"/>
    <s v="2026-02-22"/>
    <n v="0"/>
    <x v="2"/>
    <s v="Delivered"/>
    <x v="2"/>
  </r>
  <r>
    <n v="1544"/>
    <s v="MetroLogistics"/>
    <s v="2026-02-25"/>
    <s v="2026-02-25"/>
    <d v="2026-03-02T00:00:00"/>
    <d v="2026-03-02T00:00:00"/>
    <s v="2026-03-02"/>
    <n v="0"/>
    <x v="2"/>
    <s v="Delivered"/>
    <x v="3"/>
  </r>
  <r>
    <n v="1545"/>
    <s v="ParcelOne"/>
    <s v="2026-05-17"/>
    <s v="2026-05-17"/>
    <d v="2026-05-22T00:00:00"/>
    <d v="2026-05-26T00:00:00"/>
    <s v="2026-05-27"/>
    <n v="0"/>
    <x v="1"/>
    <s v="Delivered"/>
    <x v="2"/>
  </r>
  <r>
    <n v="1547"/>
    <s v="ParcelOne"/>
    <s v="2026-02-17"/>
    <s v="2026-02-17"/>
    <d v="2026-02-22T00:00:00"/>
    <d v="2026-02-21T00:00:00"/>
    <s v="2026-02-21"/>
    <n v="0"/>
    <x v="1"/>
    <s v="Delivered"/>
    <x v="3"/>
  </r>
  <r>
    <n v="1548"/>
    <s v="SwiftShip"/>
    <s v="2026-05-16"/>
    <s v="2026-05-16"/>
    <d v="2026-05-21T00:00:00"/>
    <m/>
    <m/>
    <n v="0"/>
    <x v="0"/>
    <s v="Shipped"/>
    <x v="0"/>
  </r>
  <r>
    <n v="1549"/>
    <s v="MetroLogistics"/>
    <s v="2026-06-17"/>
    <s v="2026-06-18"/>
    <d v="2026-06-22T00:00:00"/>
    <d v="2026-06-22T00:00:00"/>
    <s v="2026-06-22"/>
    <n v="0"/>
    <x v="2"/>
    <s v="Delivered"/>
    <x v="3"/>
  </r>
  <r>
    <n v="1550"/>
    <s v="ParcelOne"/>
    <s v="2026-03-31"/>
    <s v="2026-03-31"/>
    <d v="2026-04-05T00:00:00"/>
    <d v="2026-04-04T00:00:00"/>
    <s v="2026-04-04"/>
    <n v="0"/>
    <x v="1"/>
    <s v="Delivered"/>
    <x v="3"/>
  </r>
  <r>
    <n v="1551"/>
    <s v="MetroLogistics"/>
    <s v="2026-03-10"/>
    <s v="2026-03-10"/>
    <d v="2026-03-15T00:00:00"/>
    <d v="2026-03-14T00:00:00"/>
    <s v="2026-03-16"/>
    <n v="0"/>
    <x v="2"/>
    <s v="Delivered"/>
    <x v="3"/>
  </r>
  <r>
    <n v="1552"/>
    <s v="SwiftShip"/>
    <s v="2026-05-20"/>
    <s v="2026-05-20"/>
    <d v="2026-05-25T00:00:00"/>
    <d v="2026-05-25T00:00:00"/>
    <s v="2026-05-25"/>
    <n v="0"/>
    <x v="0"/>
    <s v="Delivered"/>
    <x v="3"/>
  </r>
  <r>
    <n v="1553"/>
    <s v="ParcelOne"/>
    <s v="2026-04-07"/>
    <s v="2026-04-07"/>
    <d v="2026-04-12T00:00:00"/>
    <d v="2026-04-16T00:00:00"/>
    <s v="2026-04-16"/>
    <n v="0"/>
    <x v="1"/>
    <s v="Delivered"/>
    <x v="2"/>
  </r>
  <r>
    <n v="1554"/>
    <s v="MetroLogistics"/>
    <s v="2026-01-09"/>
    <s v="2026-01-09"/>
    <d v="2026-01-14T00:00:00"/>
    <d v="2026-01-18T00:00:00"/>
    <s v="2026-01-18"/>
    <n v="0"/>
    <x v="2"/>
    <s v="Delivered"/>
    <x v="2"/>
  </r>
  <r>
    <n v="1555"/>
    <s v="ParcelOne"/>
    <s v="2026-03-28"/>
    <s v="2026-03-28"/>
    <d v="2026-04-02T00:00:00"/>
    <d v="2026-04-01T00:00:00"/>
    <s v="2026-04-01"/>
    <n v="0"/>
    <x v="1"/>
    <s v="Delivered"/>
    <x v="3"/>
  </r>
  <r>
    <n v="1556"/>
    <s v="ParcelOne"/>
    <s v="2026-02-07"/>
    <s v="2026-02-07"/>
    <d v="2026-02-12T00:00:00"/>
    <d v="2026-02-12T00:00:00"/>
    <s v="2026-02-12"/>
    <n v="0"/>
    <x v="1"/>
    <s v="Delivered"/>
    <x v="3"/>
  </r>
  <r>
    <n v="1557"/>
    <s v="ParcelOne"/>
    <s v="2026-06-01"/>
    <s v="2026-06-01"/>
    <d v="2026-06-06T00:00:00"/>
    <d v="2026-06-06T00:00:00"/>
    <s v="2026-06-06"/>
    <n v="0"/>
    <x v="1"/>
    <s v="Delivered"/>
    <x v="3"/>
  </r>
  <r>
    <n v="1558"/>
    <s v="SwiftShip"/>
    <s v="2026-05-14"/>
    <s v="2026-05-14"/>
    <d v="2026-05-19T00:00:00"/>
    <d v="2026-05-20T00:00:00"/>
    <s v="2026-05-20"/>
    <n v="0"/>
    <x v="0"/>
    <s v="Delivered"/>
    <x v="2"/>
  </r>
  <r>
    <n v="1559"/>
    <s v="SwiftShip"/>
    <s v="2026-04-08"/>
    <s v="2026-04-08"/>
    <d v="2026-04-13T00:00:00"/>
    <d v="2026-04-13T00:00:00"/>
    <s v="2026-04-15"/>
    <n v="0"/>
    <x v="0"/>
    <s v="Delivered"/>
    <x v="3"/>
  </r>
  <r>
    <n v="1560"/>
    <s v="SwiftShip"/>
    <s v="2026-03-17"/>
    <s v="2026-03-17"/>
    <d v="2026-03-22T00:00:00"/>
    <d v="2026-03-26T00:00:00"/>
    <s v="2026-03-26"/>
    <n v="0"/>
    <x v="0"/>
    <s v="Delivered"/>
    <x v="2"/>
  </r>
  <r>
    <n v="1561"/>
    <s v="SwiftShip"/>
    <s v="2026-01-19"/>
    <s v="2026-01-19"/>
    <d v="2026-01-24T00:00:00"/>
    <m/>
    <m/>
    <n v="0"/>
    <x v="0"/>
    <s v="Shipped"/>
    <x v="0"/>
  </r>
  <r>
    <n v="1562"/>
    <s v="MetroLogistics"/>
    <s v="2026-04-19"/>
    <s v="2026-04-19"/>
    <d v="2026-04-24T00:00:00"/>
    <d v="2026-04-22T00:00:00"/>
    <s v="2026-04-23"/>
    <n v="0"/>
    <x v="2"/>
    <s v="Delivered"/>
    <x v="3"/>
  </r>
  <r>
    <n v="1563"/>
    <s v="MetroLogistics"/>
    <s v="2026-03-21"/>
    <s v="2026-03-21"/>
    <d v="2026-03-26T00:00:00"/>
    <d v="2026-03-26T00:00:00"/>
    <s v="2026-03-26"/>
    <n v="0"/>
    <x v="2"/>
    <s v="Delivered"/>
    <x v="3"/>
  </r>
  <r>
    <n v="1564"/>
    <s v="ParcelOne"/>
    <s v="2026-05-03"/>
    <s v="2026-05-03"/>
    <d v="2026-05-08T00:00:00"/>
    <d v="2026-05-08T00:00:00"/>
    <s v="2026-05-10"/>
    <n v="0"/>
    <x v="1"/>
    <s v="Delivered"/>
    <x v="3"/>
  </r>
  <r>
    <n v="1565"/>
    <s v="MetroLogistics"/>
    <s v="2026-06-05"/>
    <s v="2026-06-07"/>
    <d v="2026-06-10T00:00:00"/>
    <d v="2026-06-11T00:00:00"/>
    <s v="2026-06-11"/>
    <n v="0"/>
    <x v="2"/>
    <s v="Delivered"/>
    <x v="2"/>
  </r>
  <r>
    <n v="1566"/>
    <s v="SwiftShip"/>
    <s v="2026-05-30"/>
    <s v="2026-05-30"/>
    <d v="2026-06-04T00:00:00"/>
    <d v="2026-06-04T00:00:00"/>
    <s v="2026-06-04"/>
    <n v="0"/>
    <x v="0"/>
    <s v="Delivered"/>
    <x v="3"/>
  </r>
  <r>
    <n v="1567"/>
    <s v="ParcelOne"/>
    <s v="2026-02-13"/>
    <s v="2026-02-13"/>
    <d v="2026-02-18T00:00:00"/>
    <d v="2026-02-18T00:00:00"/>
    <s v="2026-02-18"/>
    <n v="0"/>
    <x v="1"/>
    <s v="Delivered"/>
    <x v="3"/>
  </r>
  <r>
    <n v="1568"/>
    <s v="MetroLogistics"/>
    <s v="2026-06-12"/>
    <s v="2026-06-12"/>
    <d v="2026-06-17T00:00:00"/>
    <d v="2026-06-18T00:00:00"/>
    <s v="2026-06-18"/>
    <n v="0"/>
    <x v="2"/>
    <s v="Delivered"/>
    <x v="2"/>
  </r>
  <r>
    <n v="1569"/>
    <s v="ParcelOne"/>
    <s v="2026-04-03"/>
    <s v="2026-04-03"/>
    <d v="2026-04-08T00:00:00"/>
    <d v="2026-04-08T00:00:00"/>
    <s v="2026-04-08"/>
    <n v="0"/>
    <x v="1"/>
    <s v="Delivered"/>
    <x v="3"/>
  </r>
  <r>
    <n v="1570"/>
    <s v="ParcelOne"/>
    <s v="2026-01-29"/>
    <s v="2026-01-29"/>
    <d v="2026-02-03T00:00:00"/>
    <d v="2026-02-05T00:00:00"/>
    <s v="2026-02-05"/>
    <n v="0"/>
    <x v="1"/>
    <s v="Delivered"/>
    <x v="2"/>
  </r>
  <r>
    <n v="1571"/>
    <s v="MetroLogistics"/>
    <s v="2026-01-07"/>
    <s v="2026-01-07"/>
    <d v="2026-01-12T00:00:00"/>
    <d v="2026-01-13T00:00:00"/>
    <s v="2026-01-13"/>
    <n v="0"/>
    <x v="2"/>
    <s v="Delivered"/>
    <x v="2"/>
  </r>
  <r>
    <n v="1572"/>
    <s v="ParcelOne"/>
    <s v="2026-02-08"/>
    <s v="2026-02-10"/>
    <d v="2026-02-13T00:00:00"/>
    <d v="2026-02-13T00:00:00"/>
    <s v="2026-02-13"/>
    <n v="0"/>
    <x v="1"/>
    <s v="Delivered"/>
    <x v="3"/>
  </r>
  <r>
    <n v="1573"/>
    <s v="ParcelOne"/>
    <s v="2026-01-22"/>
    <s v="2026-01-22"/>
    <d v="2026-01-27T00:00:00"/>
    <d v="2026-01-27T00:00:00"/>
    <s v="2026-01-27"/>
    <n v="0"/>
    <x v="1"/>
    <s v="Delivered"/>
    <x v="3"/>
  </r>
  <r>
    <n v="1574"/>
    <s v="MetroLogistics"/>
    <s v="2026-03-08"/>
    <s v="2026-03-08"/>
    <d v="2026-03-13T00:00:00"/>
    <d v="2026-03-11T00:00:00"/>
    <s v="2026-03-11"/>
    <n v="0"/>
    <x v="2"/>
    <s v="Delivered"/>
    <x v="3"/>
  </r>
  <r>
    <n v="1575"/>
    <s v="MetroLogistics"/>
    <s v="2026-03-15"/>
    <s v="2026-03-15"/>
    <d v="2026-03-20T00:00:00"/>
    <m/>
    <m/>
    <n v="0"/>
    <x v="2"/>
    <s v="Shipped"/>
    <x v="0"/>
  </r>
  <r>
    <n v="1576"/>
    <s v="SwiftShip"/>
    <s v="2026-01-06"/>
    <s v="2026-01-08"/>
    <d v="2026-01-11T00:00:00"/>
    <d v="2026-01-15T00:00:00"/>
    <s v="2026-01-16"/>
    <n v="0"/>
    <x v="0"/>
    <s v="Delivered"/>
    <x v="2"/>
  </r>
  <r>
    <n v="1577"/>
    <s v="SwiftShip"/>
    <s v="2026-04-06"/>
    <s v="2026-04-08"/>
    <d v="2026-04-11T00:00:00"/>
    <d v="2026-04-11T00:00:00"/>
    <s v="2026-04-11"/>
    <n v="0"/>
    <x v="0"/>
    <s v="Delivered"/>
    <x v="3"/>
  </r>
  <r>
    <n v="1578"/>
    <s v="SwiftShip"/>
    <s v="2026-01-31"/>
    <s v="2026-01-31"/>
    <d v="2026-02-05T00:00:00"/>
    <d v="2026-02-05T00:00:00"/>
    <s v="2026-02-05"/>
    <n v="0"/>
    <x v="0"/>
    <s v="Delivered"/>
    <x v="3"/>
  </r>
  <r>
    <n v="1579"/>
    <s v="SwiftShip"/>
    <s v="2026-05-25"/>
    <s v="2026-05-25"/>
    <d v="2026-05-30T00:00:00"/>
    <d v="2026-05-31T00:00:00"/>
    <s v="2026-05-31"/>
    <n v="0"/>
    <x v="0"/>
    <s v="Delivered"/>
    <x v="2"/>
  </r>
  <r>
    <n v="1580"/>
    <s v="ParcelOne"/>
    <s v="2026-03-01"/>
    <s v="2026-03-01"/>
    <d v="2026-03-06T00:00:00"/>
    <d v="2026-03-10T00:00:00"/>
    <s v="2026-03-10"/>
    <n v="0"/>
    <x v="1"/>
    <s v="Delivered"/>
    <x v="2"/>
  </r>
  <r>
    <n v="1581"/>
    <s v="ParcelOne"/>
    <s v="2026-04-14"/>
    <s v="2026-04-14"/>
    <d v="2026-04-19T00:00:00"/>
    <d v="2026-04-19T00:00:00"/>
    <s v="2026-04-19"/>
    <n v="0"/>
    <x v="1"/>
    <s v="Delivered"/>
    <x v="3"/>
  </r>
  <r>
    <n v="1582"/>
    <s v="MetroLogistics"/>
    <s v="2026-01-19"/>
    <s v="2026-01-19"/>
    <d v="2026-01-24T00:00:00"/>
    <d v="2026-01-24T00:00:00"/>
    <s v="2026-01-24"/>
    <n v="0"/>
    <x v="2"/>
    <s v="Delivered"/>
    <x v="3"/>
  </r>
  <r>
    <n v="1583"/>
    <s v="ParcelOne"/>
    <s v="2026-05-31"/>
    <s v="2026-05-31"/>
    <d v="2026-06-05T00:00:00"/>
    <d v="2026-06-04T00:00:00"/>
    <s v="2026-06-04"/>
    <n v="0"/>
    <x v="1"/>
    <s v="Delivered"/>
    <x v="3"/>
  </r>
  <r>
    <n v="1584"/>
    <s v="MetroLogistics"/>
    <s v="2026-03-08"/>
    <s v="2026-03-08"/>
    <d v="2026-03-13T00:00:00"/>
    <d v="2026-03-17T00:00:00"/>
    <s v="2026-03-17"/>
    <n v="0"/>
    <x v="2"/>
    <s v="Delivered"/>
    <x v="2"/>
  </r>
  <r>
    <n v="1585"/>
    <s v="SwiftShip"/>
    <s v="2026-03-27"/>
    <s v="2026-03-27"/>
    <d v="2026-04-01T00:00:00"/>
    <d v="2026-03-31T00:00:00"/>
    <s v="2026-03-31"/>
    <n v="0"/>
    <x v="0"/>
    <s v="Delivered"/>
    <x v="3"/>
  </r>
  <r>
    <n v="1586"/>
    <s v="ParcelOne"/>
    <s v="2026-05-12"/>
    <s v="2026-05-12"/>
    <d v="2026-05-17T00:00:00"/>
    <d v="2026-05-19T00:00:00"/>
    <s v="2026-05-19"/>
    <n v="0"/>
    <x v="1"/>
    <s v="Delivered"/>
    <x v="2"/>
  </r>
  <r>
    <n v="1587"/>
    <s v="MetroLogistics"/>
    <s v="2026-01-11"/>
    <s v="2026-01-11"/>
    <d v="2026-01-16T00:00:00"/>
    <d v="2026-01-15T00:00:00"/>
    <s v="2026-01-15"/>
    <n v="0"/>
    <x v="2"/>
    <s v="Delivered"/>
    <x v="3"/>
  </r>
  <r>
    <n v="1588"/>
    <s v="MetroLogistics"/>
    <s v="2026-05-24"/>
    <s v="2026-05-24"/>
    <d v="2026-05-29T00:00:00"/>
    <d v="2026-05-29T00:00:00"/>
    <s v="2026-05-31"/>
    <n v="0"/>
    <x v="2"/>
    <s v="Delivered"/>
    <x v="3"/>
  </r>
  <r>
    <n v="1589"/>
    <s v="ParcelOne"/>
    <s v="2026-06-25"/>
    <s v="2026-06-26"/>
    <d v="2026-06-30T00:00:00"/>
    <d v="2026-06-30T00:00:00"/>
    <s v="2026-06-30"/>
    <n v="0"/>
    <x v="1"/>
    <s v="Delivered"/>
    <x v="3"/>
  </r>
  <r>
    <n v="1590"/>
    <s v="SwiftShip"/>
    <s v="2026-06-12"/>
    <s v="2026-06-12"/>
    <d v="2026-06-17T00:00:00"/>
    <d v="2026-06-16T00:00:00"/>
    <s v="2026-06-16"/>
    <n v="0"/>
    <x v="0"/>
    <s v="Delivered"/>
    <x v="3"/>
  </r>
  <r>
    <n v="1591"/>
    <s v="SwiftShip"/>
    <s v="2026-06-03"/>
    <s v="2026-06-03"/>
    <d v="2026-06-08T00:00:00"/>
    <d v="2026-06-06T00:00:00"/>
    <s v="2026-06-06"/>
    <n v="0"/>
    <x v="0"/>
    <s v="Delivered"/>
    <x v="3"/>
  </r>
  <r>
    <n v="1592"/>
    <s v="SwiftShip"/>
    <s v="2026-05-28"/>
    <s v="2026-05-28"/>
    <d v="2026-06-02T00:00:00"/>
    <d v="2026-06-02T00:00:00"/>
    <s v="2026-06-02"/>
    <n v="0"/>
    <x v="0"/>
    <s v="Delivered"/>
    <x v="3"/>
  </r>
  <r>
    <n v="1593"/>
    <s v="SwiftShip"/>
    <s v="2026-01-28"/>
    <s v="2026-01-28"/>
    <d v="2026-02-02T00:00:00"/>
    <d v="2026-02-02T00:00:00"/>
    <s v="2026-02-02"/>
    <n v="0"/>
    <x v="0"/>
    <s v="Delivered"/>
    <x v="3"/>
  </r>
  <r>
    <n v="1594"/>
    <s v="MetroLogistics"/>
    <s v="2026-06-14"/>
    <s v="2026-06-15"/>
    <d v="2026-06-19T00:00:00"/>
    <d v="2026-06-19T00:00:00"/>
    <s v="2026-06-21"/>
    <n v="0"/>
    <x v="2"/>
    <s v="Delivered"/>
    <x v="3"/>
  </r>
  <r>
    <n v="1595"/>
    <s v="SwiftShip"/>
    <s v="2026-05-31"/>
    <s v="2026-05-31"/>
    <d v="2026-06-05T00:00:00"/>
    <d v="2026-06-06T00:00:00"/>
    <s v="2026-06-06"/>
    <n v="0"/>
    <x v="0"/>
    <s v="Delivered"/>
    <x v="2"/>
  </r>
  <r>
    <n v="1596"/>
    <s v="ParcelOne"/>
    <s v="2026-05-12"/>
    <s v="2026-05-12"/>
    <d v="2026-05-17T00:00:00"/>
    <d v="2026-05-17T00:00:00"/>
    <s v="2026-05-17"/>
    <n v="0"/>
    <x v="1"/>
    <s v="Delivered"/>
    <x v="3"/>
  </r>
  <r>
    <n v="1597"/>
    <s v="SwiftShip"/>
    <s v="2026-01-07"/>
    <s v="2026-01-07"/>
    <d v="2026-01-12T00:00:00"/>
    <d v="2026-01-16T00:00:00"/>
    <s v="2026-01-16"/>
    <n v="0"/>
    <x v="0"/>
    <s v="Delivered"/>
    <x v="2"/>
  </r>
  <r>
    <n v="1598"/>
    <s v="ParcelOne"/>
    <s v="2026-03-12"/>
    <s v="2026-03-12"/>
    <d v="2026-03-17T00:00:00"/>
    <m/>
    <m/>
    <n v="0"/>
    <x v="1"/>
    <s v="Shipped"/>
    <x v="0"/>
  </r>
  <r>
    <n v="1599"/>
    <s v="MetroLogistics"/>
    <s v="2026-06-27"/>
    <s v="2026-06-27"/>
    <d v="2026-07-02T00:00:00"/>
    <d v="2026-07-02T00:00:00"/>
    <s v="2026-07-02"/>
    <n v="0"/>
    <x v="2"/>
    <s v="Delivered"/>
    <x v="3"/>
  </r>
  <r>
    <n v="1600"/>
    <s v="SwiftShip"/>
    <s v="2026-06-05"/>
    <s v="2026-06-05"/>
    <d v="2026-06-10T00:00:00"/>
    <d v="2026-06-11T00:00:00"/>
    <s v="2026-06-11"/>
    <n v="0"/>
    <x v="0"/>
    <s v="Delivered"/>
    <x v="2"/>
  </r>
  <r>
    <n v="1601"/>
    <s v="SwiftShip"/>
    <s v="2026-05-26"/>
    <m/>
    <d v="2026-05-31T00:00:00"/>
    <m/>
    <m/>
    <n v="0"/>
    <x v="0"/>
    <s v="Pending"/>
    <x v="0"/>
  </r>
  <r>
    <n v="1602"/>
    <s v="SwiftShip"/>
    <s v="2026-03-15"/>
    <s v="2026-03-15"/>
    <d v="2026-03-20T00:00:00"/>
    <d v="2026-03-22T00:00:00"/>
    <s v="2026-03-24"/>
    <n v="0"/>
    <x v="0"/>
    <s v="Delivered"/>
    <x v="2"/>
  </r>
  <r>
    <n v="1603"/>
    <s v="MetroLogistics"/>
    <s v="2026-04-06"/>
    <s v="2026-04-06"/>
    <d v="2026-04-11T00:00:00"/>
    <d v="2026-04-11T00:00:00"/>
    <s v="2026-04-11"/>
    <n v="0"/>
    <x v="2"/>
    <s v="Delivered"/>
    <x v="3"/>
  </r>
  <r>
    <n v="1604"/>
    <s v="SwiftShip"/>
    <s v="2026-05-31"/>
    <s v="2026-05-31"/>
    <d v="2026-06-05T00:00:00"/>
    <m/>
    <m/>
    <n v="0"/>
    <x v="0"/>
    <s v="Shipped"/>
    <x v="0"/>
  </r>
  <r>
    <n v="1605"/>
    <s v="SwiftShip"/>
    <s v="2026-03-28"/>
    <s v="2026-03-28"/>
    <d v="2026-04-02T00:00:00"/>
    <d v="2026-04-06T00:00:00"/>
    <s v="2026-04-06"/>
    <n v="0"/>
    <x v="0"/>
    <s v="Delivered"/>
    <x v="2"/>
  </r>
  <r>
    <n v="1606"/>
    <s v="ParcelOne"/>
    <s v="2026-06-02"/>
    <s v="2026-06-02"/>
    <d v="2026-06-07T00:00:00"/>
    <d v="2026-06-06T00:00:00"/>
    <s v="2026-06-06"/>
    <n v="0"/>
    <x v="1"/>
    <s v="Delivered"/>
    <x v="3"/>
  </r>
  <r>
    <n v="1607"/>
    <s v="MetroLogistics"/>
    <s v="2026-04-05"/>
    <s v="2026-04-05"/>
    <d v="2026-04-10T00:00:00"/>
    <d v="2026-04-11T00:00:00"/>
    <s v="2026-04-11"/>
    <n v="0"/>
    <x v="2"/>
    <s v="Delivered"/>
    <x v="2"/>
  </r>
  <r>
    <n v="1608"/>
    <s v="SwiftShip"/>
    <s v="2026-04-11"/>
    <s v="2026-04-13"/>
    <d v="2026-04-16T00:00:00"/>
    <d v="2026-04-16T00:00:00"/>
    <s v="2026-04-18"/>
    <n v="0"/>
    <x v="0"/>
    <s v="Delivered"/>
    <x v="3"/>
  </r>
  <r>
    <n v="1609"/>
    <s v="ParcelOne"/>
    <s v="2026-03-21"/>
    <s v="2026-03-22"/>
    <d v="2026-03-26T00:00:00"/>
    <d v="2026-03-27T00:00:00"/>
    <s v="2026-03-27"/>
    <n v="0"/>
    <x v="1"/>
    <s v="Delivered"/>
    <x v="2"/>
  </r>
  <r>
    <n v="1611"/>
    <s v="SwiftShip"/>
    <s v="2026-01-28"/>
    <s v="2026-01-28"/>
    <d v="2026-02-02T00:00:00"/>
    <d v="2026-02-02T00:00:00"/>
    <s v="2026-02-02"/>
    <n v="0"/>
    <x v="0"/>
    <s v="Delivered"/>
    <x v="3"/>
  </r>
  <r>
    <n v="1612"/>
    <s v="MetroLogistics"/>
    <s v="2026-06-16"/>
    <s v="2026-06-16"/>
    <d v="2026-06-21T00:00:00"/>
    <d v="2026-06-19T00:00:00"/>
    <s v="2026-06-19"/>
    <n v="0"/>
    <x v="2"/>
    <s v="Delivered"/>
    <x v="3"/>
  </r>
  <r>
    <n v="1613"/>
    <s v="SwiftShip"/>
    <s v="2026-06-18"/>
    <s v="2026-06-18"/>
    <d v="2026-06-23T00:00:00"/>
    <d v="2026-06-23T00:00:00"/>
    <s v="2026-06-23"/>
    <n v="0"/>
    <x v="0"/>
    <s v="Delivered"/>
    <x v="3"/>
  </r>
  <r>
    <n v="1614"/>
    <s v="ParcelOne"/>
    <s v="2026-02-22"/>
    <s v="2026-02-24"/>
    <d v="2026-02-27T00:00:00"/>
    <d v="2026-03-01T00:00:00"/>
    <s v="2026-03-01"/>
    <n v="0"/>
    <x v="1"/>
    <s v="Delivered"/>
    <x v="2"/>
  </r>
  <r>
    <n v="1615"/>
    <s v="MetroLogistics"/>
    <s v="2026-05-25"/>
    <s v="2026-05-25"/>
    <d v="2026-05-30T00:00:00"/>
    <d v="2026-06-01T00:00:00"/>
    <s v="2026-06-01"/>
    <n v="0"/>
    <x v="2"/>
    <s v="Delivered"/>
    <x v="2"/>
  </r>
  <r>
    <n v="1616"/>
    <s v="SwiftShip"/>
    <s v="2026-04-22"/>
    <s v="2026-04-24"/>
    <d v="2026-04-27T00:00:00"/>
    <d v="2026-04-26T00:00:00"/>
    <s v="2026-04-26"/>
    <n v="0"/>
    <x v="0"/>
    <s v="Delivered"/>
    <x v="3"/>
  </r>
  <r>
    <n v="1617"/>
    <s v="SwiftShip"/>
    <s v="2026-04-29"/>
    <s v="2026-04-29"/>
    <d v="2026-05-04T00:00:00"/>
    <d v="2026-05-06T00:00:00"/>
    <s v="2026-05-06"/>
    <n v="0"/>
    <x v="0"/>
    <s v="Delivered"/>
    <x v="2"/>
  </r>
  <r>
    <n v="1618"/>
    <s v="SwiftShip"/>
    <s v="2026-05-09"/>
    <s v="2026-05-11"/>
    <d v="2026-05-14T00:00:00"/>
    <d v="2026-05-14T00:00:00"/>
    <s v="2026-05-14"/>
    <n v="0"/>
    <x v="0"/>
    <s v="Delivered"/>
    <x v="3"/>
  </r>
  <r>
    <n v="1619"/>
    <s v="MetroLogistics"/>
    <s v="2026-02-18"/>
    <s v="2026-02-18"/>
    <d v="2026-02-23T00:00:00"/>
    <d v="2026-02-23T00:00:00"/>
    <s v="2026-02-23"/>
    <n v="0"/>
    <x v="2"/>
    <s v="Delivered"/>
    <x v="3"/>
  </r>
  <r>
    <n v="1620"/>
    <s v="ParcelOne"/>
    <s v="2026-06-27"/>
    <s v="2026-06-28"/>
    <d v="2026-07-02T00:00:00"/>
    <d v="2026-07-06T00:00:00"/>
    <s v="2026-07-06"/>
    <n v="0"/>
    <x v="1"/>
    <s v="Delivered"/>
    <x v="2"/>
  </r>
  <r>
    <n v="1621"/>
    <s v="SwiftShip"/>
    <s v="2026-04-11"/>
    <s v="2026-04-11"/>
    <d v="2026-04-16T00:00:00"/>
    <d v="2026-04-20T00:00:00"/>
    <s v="2026-04-20"/>
    <n v="0"/>
    <x v="0"/>
    <s v="Delivered"/>
    <x v="2"/>
  </r>
  <r>
    <n v="1622"/>
    <s v="SwiftShip"/>
    <s v="2026-06-07"/>
    <s v="2026-06-07"/>
    <d v="2026-06-12T00:00:00"/>
    <m/>
    <m/>
    <n v="0"/>
    <x v="0"/>
    <s v="Shipped"/>
    <x v="0"/>
  </r>
  <r>
    <n v="1623"/>
    <s v="SwiftShip"/>
    <s v="2026-06-23"/>
    <s v="2026-06-23"/>
    <d v="2026-06-28T00:00:00"/>
    <d v="2026-06-28T00:00:00"/>
    <s v="2026-06-30"/>
    <n v="0"/>
    <x v="0"/>
    <s v="Delivered"/>
    <x v="3"/>
  </r>
  <r>
    <n v="1624"/>
    <s v="SwiftShip"/>
    <s v="2026-02-05"/>
    <s v="2026-02-05"/>
    <d v="2026-02-10T00:00:00"/>
    <d v="2026-02-09T00:00:00"/>
    <s v="2026-02-10"/>
    <n v="0"/>
    <x v="0"/>
    <s v="Delivered"/>
    <x v="3"/>
  </r>
  <r>
    <n v="1625"/>
    <s v="SwiftShip"/>
    <s v="2026-04-05"/>
    <s v="2026-04-06"/>
    <d v="2026-04-10T00:00:00"/>
    <m/>
    <m/>
    <n v="0"/>
    <x v="0"/>
    <s v="Shipped"/>
    <x v="0"/>
  </r>
  <r>
    <n v="1626"/>
    <s v="ParcelOne"/>
    <s v="2026-05-08"/>
    <s v="2026-05-08"/>
    <d v="2026-05-13T00:00:00"/>
    <d v="2026-05-12T00:00:00"/>
    <s v="2026-05-12"/>
    <n v="0"/>
    <x v="1"/>
    <s v="Delivered"/>
    <x v="3"/>
  </r>
  <r>
    <n v="1627"/>
    <s v="ParcelOne"/>
    <s v="2026-07-02"/>
    <s v="2026-07-02"/>
    <d v="2026-07-07T00:00:00"/>
    <d v="2026-07-06T00:00:00"/>
    <s v="2026-07-06"/>
    <n v="0"/>
    <x v="1"/>
    <s v="Delivered"/>
    <x v="3"/>
  </r>
  <r>
    <n v="1628"/>
    <s v="MetroLogistics"/>
    <s v="2026-02-03"/>
    <s v="2026-02-03"/>
    <d v="2026-02-08T00:00:00"/>
    <d v="2026-02-12T00:00:00"/>
    <s v="2026-02-12"/>
    <n v="0"/>
    <x v="2"/>
    <s v="Delivered"/>
    <x v="2"/>
  </r>
  <r>
    <n v="1629"/>
    <s v="MetroLogistics"/>
    <s v="2026-02-18"/>
    <s v="2026-02-19"/>
    <d v="2026-02-23T00:00:00"/>
    <d v="2026-02-21T00:00:00"/>
    <s v="2026-02-21"/>
    <n v="0"/>
    <x v="2"/>
    <s v="Delivered"/>
    <x v="3"/>
  </r>
  <r>
    <n v="1630"/>
    <s v="SwiftShip"/>
    <s v="2026-02-03"/>
    <s v="2026-02-04"/>
    <d v="2026-02-08T00:00:00"/>
    <d v="2026-02-08T00:00:00"/>
    <s v="2026-02-08"/>
    <n v="0"/>
    <x v="0"/>
    <s v="Delivered"/>
    <x v="3"/>
  </r>
  <r>
    <n v="1631"/>
    <s v="MetroLogistics"/>
    <s v="2026-06-04"/>
    <s v="2026-06-04"/>
    <d v="2026-06-09T00:00:00"/>
    <d v="2026-06-10T00:00:00"/>
    <s v="2026-06-10"/>
    <n v="0"/>
    <x v="2"/>
    <s v="Delivered"/>
    <x v="2"/>
  </r>
  <r>
    <n v="1632"/>
    <s v="SwiftShip"/>
    <s v="2026-02-05"/>
    <s v="2026-02-05"/>
    <d v="2026-02-10T00:00:00"/>
    <d v="2026-02-09T00:00:00"/>
    <s v="2026-02-11"/>
    <n v="0"/>
    <x v="0"/>
    <s v="Delivered"/>
    <x v="3"/>
  </r>
  <r>
    <n v="1633"/>
    <s v="ParcelOne"/>
    <s v="2026-01-25"/>
    <s v="2026-01-25"/>
    <d v="2026-01-30T00:00:00"/>
    <d v="2026-01-31T00:00:00"/>
    <s v="2026-01-31"/>
    <n v="0"/>
    <x v="1"/>
    <s v="Delivered"/>
    <x v="2"/>
  </r>
  <r>
    <n v="1634"/>
    <s v="SwiftShip"/>
    <s v="2026-03-20"/>
    <s v="2026-03-21"/>
    <d v="2026-03-25T00:00:00"/>
    <d v="2026-03-25T00:00:00"/>
    <s v="2026-03-25"/>
    <n v="0"/>
    <x v="0"/>
    <s v="Delivered"/>
    <x v="3"/>
  </r>
  <r>
    <n v="1635"/>
    <s v="ParcelOne"/>
    <s v="2026-05-04"/>
    <s v="2026-05-04"/>
    <d v="2026-05-09T00:00:00"/>
    <d v="2026-05-09T00:00:00"/>
    <s v="2026-05-09"/>
    <n v="0"/>
    <x v="1"/>
    <s v="Delivered"/>
    <x v="3"/>
  </r>
  <r>
    <n v="1636"/>
    <s v="SwiftShip"/>
    <s v="2026-05-14"/>
    <s v="2026-05-14"/>
    <d v="2026-05-19T00:00:00"/>
    <d v="2026-05-17T00:00:00"/>
    <s v="2026-05-18"/>
    <n v="0"/>
    <x v="0"/>
    <s v="Delivered"/>
    <x v="3"/>
  </r>
  <r>
    <n v="1637"/>
    <s v="SwiftShip"/>
    <s v="2026-02-10"/>
    <m/>
    <d v="2026-02-15T00:00:00"/>
    <m/>
    <m/>
    <n v="0"/>
    <x v="0"/>
    <s v="Pending"/>
    <x v="0"/>
  </r>
  <r>
    <n v="1638"/>
    <s v="MetroLogistics"/>
    <s v="2026-05-28"/>
    <s v="2026-05-28"/>
    <d v="2026-06-02T00:00:00"/>
    <d v="2026-06-02T00:00:00"/>
    <s v="2026-06-02"/>
    <n v="0"/>
    <x v="2"/>
    <s v="Delivered"/>
    <x v="3"/>
  </r>
  <r>
    <n v="1639"/>
    <s v="SwiftShip"/>
    <s v="2026-05-28"/>
    <s v="2026-05-28"/>
    <d v="2026-06-02T00:00:00"/>
    <d v="2026-06-02T00:00:00"/>
    <s v="2026-06-02"/>
    <n v="0"/>
    <x v="0"/>
    <s v="Delivered"/>
    <x v="3"/>
  </r>
  <r>
    <n v="1640"/>
    <s v="ParcelOne"/>
    <s v="2026-01-14"/>
    <s v="2026-01-14"/>
    <d v="2026-01-19T00:00:00"/>
    <d v="2026-01-23T00:00:00"/>
    <s v="2026-01-24"/>
    <n v="0"/>
    <x v="1"/>
    <s v="Delivered"/>
    <x v="2"/>
  </r>
  <r>
    <n v="1641"/>
    <s v="MetroLogistics"/>
    <s v="2026-02-19"/>
    <s v="2026-02-19"/>
    <d v="2026-02-24T00:00:00"/>
    <d v="2026-02-23T00:00:00"/>
    <s v="2026-02-23"/>
    <n v="0"/>
    <x v="2"/>
    <s v="Delivered"/>
    <x v="3"/>
  </r>
  <r>
    <n v="1643"/>
    <s v="ParcelOne"/>
    <s v="2026-03-21"/>
    <s v="2026-03-22"/>
    <d v="2026-03-26T00:00:00"/>
    <d v="2026-03-27T00:00:00"/>
    <s v="2026-03-27"/>
    <n v="0"/>
    <x v="1"/>
    <s v="Delivered"/>
    <x v="2"/>
  </r>
  <r>
    <n v="1644"/>
    <s v="ParcelOne"/>
    <s v="2026-02-25"/>
    <s v="2026-02-25"/>
    <d v="2026-03-02T00:00:00"/>
    <d v="2026-03-01T00:00:00"/>
    <s v="2026-03-01"/>
    <n v="0"/>
    <x v="1"/>
    <s v="Delivered"/>
    <x v="3"/>
  </r>
  <r>
    <n v="1646"/>
    <s v="SwiftShip"/>
    <s v="2026-02-23"/>
    <s v="2026-02-23"/>
    <d v="2026-02-28T00:00:00"/>
    <d v="2026-03-02T00:00:00"/>
    <s v="2026-03-02"/>
    <n v="0"/>
    <x v="0"/>
    <s v="Delivered"/>
    <x v="2"/>
  </r>
  <r>
    <n v="1647"/>
    <s v="SwiftShip"/>
    <s v="2026-05-09"/>
    <s v="2026-05-09"/>
    <d v="2026-05-14T00:00:00"/>
    <d v="2026-05-15T00:00:00"/>
    <s v="2026-05-17"/>
    <n v="0"/>
    <x v="0"/>
    <s v="Delivered"/>
    <x v="2"/>
  </r>
  <r>
    <n v="1648"/>
    <s v="SwiftShip"/>
    <s v="2026-03-03"/>
    <s v="2026-03-03"/>
    <d v="2026-03-08T00:00:00"/>
    <d v="2026-03-08T00:00:00"/>
    <s v="2026-03-08"/>
    <n v="0"/>
    <x v="0"/>
    <s v="Delivered"/>
    <x v="3"/>
  </r>
  <r>
    <n v="1649"/>
    <s v="ParcelOne"/>
    <s v="2026-02-01"/>
    <s v="2026-02-01"/>
    <d v="2026-02-06T00:00:00"/>
    <d v="2026-02-05T00:00:00"/>
    <s v="2026-02-05"/>
    <n v="0"/>
    <x v="1"/>
    <s v="Delivered"/>
    <x v="3"/>
  </r>
  <r>
    <n v="1650"/>
    <s v="MetroLogistics"/>
    <s v="2026-05-12"/>
    <s v="2026-05-14"/>
    <d v="2026-05-17T00:00:00"/>
    <d v="2026-05-18T00:00:00"/>
    <s v="2026-05-18"/>
    <n v="0"/>
    <x v="2"/>
    <s v="Delivered"/>
    <x v="2"/>
  </r>
  <r>
    <n v="1651"/>
    <s v="SwiftShip"/>
    <s v="2026-04-05"/>
    <s v="2026-04-05"/>
    <d v="2026-04-10T00:00:00"/>
    <d v="2026-04-10T00:00:00"/>
    <s v="2026-04-10"/>
    <n v="0"/>
    <x v="0"/>
    <s v="Delivered"/>
    <x v="3"/>
  </r>
  <r>
    <n v="1652"/>
    <s v="ParcelOne"/>
    <s v="2026-05-09"/>
    <s v="2026-05-09"/>
    <d v="2026-05-14T00:00:00"/>
    <d v="2026-05-16T00:00:00"/>
    <s v="2026-05-16"/>
    <n v="0"/>
    <x v="1"/>
    <s v="Delivered"/>
    <x v="2"/>
  </r>
  <r>
    <n v="1653"/>
    <s v="ParcelOne"/>
    <s v="2026-03-30"/>
    <s v="2026-03-30"/>
    <d v="2026-04-04T00:00:00"/>
    <d v="2026-04-08T00:00:00"/>
    <s v="2026-04-08"/>
    <n v="0"/>
    <x v="1"/>
    <s v="Delivered"/>
    <x v="2"/>
  </r>
  <r>
    <n v="1654"/>
    <s v="MetroLogistics"/>
    <s v="2026-05-25"/>
    <s v="2026-05-27"/>
    <d v="2026-05-30T00:00:00"/>
    <d v="2026-05-31T00:00:00"/>
    <s v="2026-06-02"/>
    <n v="0"/>
    <x v="2"/>
    <s v="Delivered"/>
    <x v="2"/>
  </r>
  <r>
    <n v="1655"/>
    <s v="SwiftShip"/>
    <s v="2026-06-08"/>
    <s v="2026-06-10"/>
    <d v="2026-06-13T00:00:00"/>
    <d v="2026-06-12T00:00:00"/>
    <s v="2026-06-12"/>
    <n v="0"/>
    <x v="0"/>
    <s v="Delivered"/>
    <x v="3"/>
  </r>
  <r>
    <n v="1656"/>
    <s v="SwiftShip"/>
    <s v="2026-05-12"/>
    <s v="2026-05-12"/>
    <d v="2026-05-17T00:00:00"/>
    <d v="2026-05-16T00:00:00"/>
    <s v="2026-05-17"/>
    <n v="0"/>
    <x v="0"/>
    <s v="Delivered"/>
    <x v="3"/>
  </r>
  <r>
    <n v="1657"/>
    <s v="MetroLogistics"/>
    <s v="2026-04-19"/>
    <s v="2026-04-19"/>
    <d v="2026-04-24T00:00:00"/>
    <d v="2026-04-23T00:00:00"/>
    <s v="2026-04-23"/>
    <n v="0"/>
    <x v="2"/>
    <s v="Delivered"/>
    <x v="3"/>
  </r>
  <r>
    <n v="1658"/>
    <s v="SwiftShip"/>
    <s v="2026-04-19"/>
    <s v="2026-04-19"/>
    <d v="2026-04-24T00:00:00"/>
    <d v="2026-04-23T00:00:00"/>
    <s v="2026-04-23"/>
    <n v="0"/>
    <x v="0"/>
    <s v="Delivered"/>
    <x v="3"/>
  </r>
  <r>
    <n v="1659"/>
    <s v="SwiftShip"/>
    <s v="2026-04-30"/>
    <s v="2026-04-30"/>
    <d v="2026-05-05T00:00:00"/>
    <m/>
    <m/>
    <n v="0"/>
    <x v="0"/>
    <s v="Shipped"/>
    <x v="0"/>
  </r>
  <r>
    <n v="1660"/>
    <s v="MetroLogistics"/>
    <s v="2026-04-15"/>
    <m/>
    <d v="2026-04-20T00:00:00"/>
    <m/>
    <m/>
    <n v="0"/>
    <x v="2"/>
    <s v="Pending"/>
    <x v="0"/>
  </r>
  <r>
    <n v="1661"/>
    <s v="SwiftShip"/>
    <s v="2026-01-17"/>
    <m/>
    <d v="2026-01-22T00:00:00"/>
    <m/>
    <m/>
    <n v="0"/>
    <x v="0"/>
    <s v="Pending"/>
    <x v="0"/>
  </r>
  <r>
    <n v="1662"/>
    <s v="ParcelOne"/>
    <s v="2026-01-05"/>
    <s v="2026-01-06"/>
    <d v="2026-01-10T00:00:00"/>
    <d v="2026-01-11T00:00:00"/>
    <s v="2026-01-11"/>
    <n v="0"/>
    <x v="1"/>
    <s v="Delivered"/>
    <x v="2"/>
  </r>
  <r>
    <n v="1663"/>
    <s v="MetroLogistics"/>
    <s v="2026-03-21"/>
    <s v="2026-03-21"/>
    <d v="2026-03-26T00:00:00"/>
    <d v="2026-03-26T00:00:00"/>
    <s v="2026-03-26"/>
    <n v="0"/>
    <x v="2"/>
    <s v="Delivered"/>
    <x v="3"/>
  </r>
  <r>
    <n v="1664"/>
    <s v="ParcelOne"/>
    <s v="2026-02-12"/>
    <s v="2026-02-13"/>
    <d v="2026-02-17T00:00:00"/>
    <d v="2026-02-17T00:00:00"/>
    <s v="2026-02-17"/>
    <n v="0"/>
    <x v="1"/>
    <s v="Delivered"/>
    <x v="3"/>
  </r>
  <r>
    <n v="1665"/>
    <s v="MetroLogistics"/>
    <s v="2026-01-15"/>
    <s v="2026-01-15"/>
    <d v="2026-01-20T00:00:00"/>
    <d v="2026-01-19T00:00:00"/>
    <s v="2026-01-19"/>
    <n v="0"/>
    <x v="2"/>
    <s v="Delivered"/>
    <x v="3"/>
  </r>
  <r>
    <n v="1666"/>
    <s v="MetroLogistics"/>
    <s v="2026-05-27"/>
    <s v="2026-05-27"/>
    <d v="2026-06-01T00:00:00"/>
    <d v="2026-05-31T00:00:00"/>
    <s v="2026-05-31"/>
    <n v="0"/>
    <x v="2"/>
    <s v="Delivered"/>
    <x v="3"/>
  </r>
  <r>
    <n v="1667"/>
    <s v="SwiftShip"/>
    <s v="2026-02-21"/>
    <s v="2026-02-21"/>
    <d v="2026-02-26T00:00:00"/>
    <d v="2026-02-24T00:00:00"/>
    <s v="2026-02-25"/>
    <n v="0"/>
    <x v="0"/>
    <s v="Delivered"/>
    <x v="3"/>
  </r>
  <r>
    <n v="1668"/>
    <s v="SwiftShip"/>
    <s v="2026-02-26"/>
    <s v="2026-02-26"/>
    <d v="2026-03-03T00:00:00"/>
    <d v="2026-03-07T00:00:00"/>
    <s v="2026-03-07"/>
    <n v="0"/>
    <x v="0"/>
    <s v="Delivered"/>
    <x v="2"/>
  </r>
  <r>
    <n v="1669"/>
    <s v="MetroLogistics"/>
    <s v="2026-04-19"/>
    <s v="2026-04-19"/>
    <d v="2026-04-24T00:00:00"/>
    <d v="2026-04-22T00:00:00"/>
    <s v="2026-04-22"/>
    <n v="0"/>
    <x v="2"/>
    <s v="Delivered"/>
    <x v="3"/>
  </r>
  <r>
    <n v="1670"/>
    <s v="ParcelOne"/>
    <s v="2026-04-07"/>
    <s v="2026-04-07"/>
    <d v="2026-04-12T00:00:00"/>
    <m/>
    <m/>
    <n v="0"/>
    <x v="1"/>
    <s v="Shipped"/>
    <x v="0"/>
  </r>
  <r>
    <n v="1671"/>
    <s v="SwiftShip"/>
    <s v="2026-04-08"/>
    <s v="2026-04-08"/>
    <d v="2026-04-13T00:00:00"/>
    <d v="2026-04-13T00:00:00"/>
    <s v="2026-04-13"/>
    <n v="0"/>
    <x v="0"/>
    <s v="Delivered"/>
    <x v="3"/>
  </r>
  <r>
    <n v="1672"/>
    <s v="SwiftShip"/>
    <s v="2026-03-16"/>
    <s v="2026-03-16"/>
    <d v="2026-03-21T00:00:00"/>
    <d v="2026-03-19T00:00:00"/>
    <s v="2026-03-19"/>
    <n v="0"/>
    <x v="0"/>
    <s v="Delivered"/>
    <x v="3"/>
  </r>
  <r>
    <n v="1673"/>
    <s v="SwiftShip"/>
    <s v="2026-05-27"/>
    <s v="2026-05-27"/>
    <d v="2026-06-01T00:00:00"/>
    <d v="2026-06-01T00:00:00"/>
    <s v="2026-06-01"/>
    <n v="0"/>
    <x v="0"/>
    <s v="Delivered"/>
    <x v="3"/>
  </r>
  <r>
    <n v="1675"/>
    <s v="MetroLogistics"/>
    <s v="2026-04-12"/>
    <s v="2026-04-12"/>
    <d v="2026-04-17T00:00:00"/>
    <d v="2026-04-19T00:00:00"/>
    <s v="2026-04-19"/>
    <n v="0"/>
    <x v="2"/>
    <s v="Delivered"/>
    <x v="2"/>
  </r>
  <r>
    <n v="1676"/>
    <s v="MetroLogistics"/>
    <s v="2026-06-13"/>
    <s v="2026-06-15"/>
    <d v="2026-06-18T00:00:00"/>
    <d v="2026-06-18T00:00:00"/>
    <s v="2026-06-18"/>
    <n v="0"/>
    <x v="2"/>
    <s v="Delivered"/>
    <x v="3"/>
  </r>
  <r>
    <n v="1677"/>
    <s v="MetroLogistics"/>
    <s v="2026-01-07"/>
    <s v="2026-01-07"/>
    <d v="2026-01-12T00:00:00"/>
    <d v="2026-01-11T00:00:00"/>
    <s v="2026-01-11"/>
    <n v="0"/>
    <x v="2"/>
    <s v="Delivered"/>
    <x v="3"/>
  </r>
  <r>
    <n v="1678"/>
    <s v="MetroLogistics"/>
    <s v="2026-04-26"/>
    <s v="2026-04-26"/>
    <d v="2026-05-01T00:00:00"/>
    <d v="2026-04-30T00:00:00"/>
    <s v="2026-04-30"/>
    <n v="0"/>
    <x v="2"/>
    <s v="Delivered"/>
    <x v="3"/>
  </r>
  <r>
    <n v="1679"/>
    <s v="ParcelOne"/>
    <s v="2026-03-25"/>
    <s v="2026-03-25"/>
    <d v="2026-03-30T00:00:00"/>
    <d v="2026-03-29T00:00:00"/>
    <s v="2026-03-29"/>
    <n v="0"/>
    <x v="1"/>
    <s v="Delivered"/>
    <x v="3"/>
  </r>
  <r>
    <n v="1680"/>
    <s v="MetroLogistics"/>
    <s v="2026-03-22"/>
    <s v="2026-03-22"/>
    <d v="2026-03-27T00:00:00"/>
    <m/>
    <m/>
    <n v="0"/>
    <x v="2"/>
    <s v="Shipped"/>
    <x v="0"/>
  </r>
  <r>
    <n v="1681"/>
    <s v="ParcelOne"/>
    <s v="2026-01-17"/>
    <s v="2026-01-17"/>
    <d v="2026-01-22T00:00:00"/>
    <d v="2026-01-23T00:00:00"/>
    <s v="2026-01-23"/>
    <n v="0"/>
    <x v="1"/>
    <s v="Delivered"/>
    <x v="2"/>
  </r>
  <r>
    <n v="1682"/>
    <s v="ParcelOne"/>
    <s v="2026-03-05"/>
    <s v="2026-03-05"/>
    <d v="2026-03-10T00:00:00"/>
    <d v="2026-03-10T00:00:00"/>
    <s v="2026-03-10"/>
    <n v="0"/>
    <x v="1"/>
    <s v="Delivered"/>
    <x v="3"/>
  </r>
  <r>
    <n v="1683"/>
    <s v="SwiftShip"/>
    <s v="2026-05-06"/>
    <s v="2026-05-06"/>
    <d v="2026-05-11T00:00:00"/>
    <d v="2026-05-11T00:00:00"/>
    <s v="2026-05-11"/>
    <n v="0"/>
    <x v="0"/>
    <s v="Delivered"/>
    <x v="3"/>
  </r>
  <r>
    <n v="1684"/>
    <s v="SwiftShip"/>
    <s v="2026-05-28"/>
    <s v="2026-05-28"/>
    <d v="2026-06-02T00:00:00"/>
    <d v="2026-06-02T00:00:00"/>
    <s v="2026-06-04"/>
    <n v="0"/>
    <x v="0"/>
    <s v="Delivered"/>
    <x v="3"/>
  </r>
  <r>
    <n v="1685"/>
    <s v="SwiftShip"/>
    <s v="2026-01-13"/>
    <s v="2026-01-13"/>
    <d v="2026-01-18T00:00:00"/>
    <d v="2026-01-18T00:00:00"/>
    <s v="2026-01-18"/>
    <n v="0"/>
    <x v="0"/>
    <s v="Delivered"/>
    <x v="3"/>
  </r>
  <r>
    <n v="1686"/>
    <s v="MetroLogistics"/>
    <s v="2026-06-13"/>
    <s v="2026-06-13"/>
    <d v="2026-06-18T00:00:00"/>
    <d v="2026-06-19T00:00:00"/>
    <s v="2026-06-20"/>
    <n v="0"/>
    <x v="2"/>
    <s v="Delivered"/>
    <x v="2"/>
  </r>
  <r>
    <n v="1687"/>
    <s v="MetroLogistics"/>
    <s v="2026-05-25"/>
    <m/>
    <d v="2026-05-30T00:00:00"/>
    <m/>
    <m/>
    <n v="0"/>
    <x v="2"/>
    <s v="Pending"/>
    <x v="0"/>
  </r>
  <r>
    <n v="1688"/>
    <s v="MetroLogistics"/>
    <s v="2026-03-31"/>
    <s v="2026-03-31"/>
    <d v="2026-04-05T00:00:00"/>
    <d v="2026-04-09T00:00:00"/>
    <s v="2026-04-09"/>
    <n v="0"/>
    <x v="2"/>
    <s v="Delivered"/>
    <x v="2"/>
  </r>
  <r>
    <n v="1689"/>
    <s v="MetroLogistics"/>
    <s v="2026-02-06"/>
    <s v="2026-02-06"/>
    <d v="2026-02-11T00:00:00"/>
    <d v="2026-02-11T00:00:00"/>
    <s v="2026-02-11"/>
    <n v="0"/>
    <x v="2"/>
    <s v="Delivered"/>
    <x v="3"/>
  </r>
  <r>
    <n v="1690"/>
    <s v="ParcelOne"/>
    <s v="2026-06-18"/>
    <s v="2026-06-18"/>
    <d v="2026-06-23T00:00:00"/>
    <d v="2026-06-25T00:00:00"/>
    <s v="2026-06-26"/>
    <n v="0"/>
    <x v="1"/>
    <s v="Delivered"/>
    <x v="2"/>
  </r>
  <r>
    <n v="1691"/>
    <s v="MetroLogistics"/>
    <s v="2026-02-03"/>
    <s v="2026-02-03"/>
    <d v="2026-02-08T00:00:00"/>
    <d v="2026-02-09T00:00:00"/>
    <s v="2026-02-09"/>
    <n v="0"/>
    <x v="2"/>
    <s v="Delivered"/>
    <x v="2"/>
  </r>
  <r>
    <n v="1692"/>
    <s v="MetroLogistics"/>
    <s v="2026-06-12"/>
    <s v="2026-06-12"/>
    <d v="2026-06-17T00:00:00"/>
    <d v="2026-06-17T00:00:00"/>
    <s v="2026-06-17"/>
    <n v="0"/>
    <x v="2"/>
    <s v="Delivered"/>
    <x v="3"/>
  </r>
  <r>
    <n v="1693"/>
    <s v="MetroLogistics"/>
    <s v="2026-02-25"/>
    <s v="2026-02-25"/>
    <d v="2026-03-02T00:00:00"/>
    <d v="2026-03-01T00:00:00"/>
    <s v="2026-03-01"/>
    <n v="0"/>
    <x v="2"/>
    <s v="Delivered"/>
    <x v="3"/>
  </r>
  <r>
    <n v="1694"/>
    <s v="ParcelOne"/>
    <s v="2026-06-26"/>
    <s v="2026-06-26"/>
    <d v="2026-07-01T00:00:00"/>
    <d v="2026-06-30T00:00:00"/>
    <s v="2026-07-02"/>
    <n v="0"/>
    <x v="1"/>
    <s v="Delivered"/>
    <x v="3"/>
  </r>
  <r>
    <n v="1695"/>
    <s v="SwiftShip"/>
    <s v="2026-05-16"/>
    <s v="2026-05-18"/>
    <d v="2026-05-21T00:00:00"/>
    <d v="2026-05-22T00:00:00"/>
    <s v="2026-05-22"/>
    <n v="0"/>
    <x v="0"/>
    <s v="Delivered"/>
    <x v="2"/>
  </r>
  <r>
    <n v="1696"/>
    <s v="SwiftShip"/>
    <s v="2026-06-26"/>
    <s v="2026-06-27"/>
    <d v="2026-07-01T00:00:00"/>
    <d v="2026-07-01T00:00:00"/>
    <s v="2026-07-02"/>
    <n v="0"/>
    <x v="0"/>
    <s v="Delivered"/>
    <x v="3"/>
  </r>
  <r>
    <n v="1697"/>
    <s v="SwiftShip"/>
    <s v="2026-03-14"/>
    <s v="2026-03-14"/>
    <d v="2026-03-19T00:00:00"/>
    <d v="2026-03-23T00:00:00"/>
    <s v="2026-03-23"/>
    <n v="0"/>
    <x v="0"/>
    <s v="Delivered"/>
    <x v="2"/>
  </r>
  <r>
    <n v="1698"/>
    <s v="ParcelOne"/>
    <s v="2026-01-04"/>
    <s v="2026-01-06"/>
    <d v="2026-01-09T00:00:00"/>
    <d v="2026-01-08T00:00:00"/>
    <s v="2026-01-08"/>
    <n v="0"/>
    <x v="1"/>
    <s v="Delivered"/>
    <x v="3"/>
  </r>
  <r>
    <n v="1699"/>
    <s v="MetroLogistics"/>
    <s v="2026-03-07"/>
    <s v="2026-03-07"/>
    <d v="2026-03-12T00:00:00"/>
    <d v="2026-03-13T00:00:00"/>
    <s v="2026-03-13"/>
    <n v="0"/>
    <x v="2"/>
    <s v="Delivered"/>
    <x v="2"/>
  </r>
  <r>
    <n v="1700"/>
    <s v="MetroLogistics"/>
    <s v="2026-03-29"/>
    <s v="2026-03-31"/>
    <d v="2026-04-03T00:00:00"/>
    <d v="2026-04-04T00:00:00"/>
    <s v="2026-04-05"/>
    <n v="0"/>
    <x v="2"/>
    <s v="Delivered"/>
    <x v="2"/>
  </r>
  <r>
    <n v="1701"/>
    <s v="ParcelOne"/>
    <s v="2026-03-04"/>
    <s v="2026-03-04"/>
    <d v="2026-03-09T00:00:00"/>
    <m/>
    <m/>
    <n v="0"/>
    <x v="1"/>
    <s v="Shipped"/>
    <x v="0"/>
  </r>
  <r>
    <n v="1702"/>
    <s v="SwiftShip"/>
    <s v="2026-01-18"/>
    <s v="2026-01-20"/>
    <d v="2026-01-23T00:00:00"/>
    <m/>
    <m/>
    <n v="0"/>
    <x v="0"/>
    <s v="Shipped"/>
    <x v="0"/>
  </r>
  <r>
    <n v="1703"/>
    <s v="ParcelOne"/>
    <s v="2026-01-17"/>
    <s v="2026-01-17"/>
    <d v="2026-01-22T00:00:00"/>
    <d v="2026-01-22T00:00:00"/>
    <s v="2026-01-22"/>
    <n v="0"/>
    <x v="1"/>
    <s v="Delivered"/>
    <x v="3"/>
  </r>
  <r>
    <n v="1704"/>
    <s v="SwiftShip"/>
    <s v="2026-06-10"/>
    <s v="2026-06-10"/>
    <d v="2026-06-15T00:00:00"/>
    <d v="2026-06-17T00:00:00"/>
    <s v="2026-06-17"/>
    <n v="0"/>
    <x v="0"/>
    <s v="Delivered"/>
    <x v="2"/>
  </r>
  <r>
    <n v="1705"/>
    <s v="MetroLogistics"/>
    <s v="2026-06-18"/>
    <s v="2026-06-18"/>
    <d v="2026-06-23T00:00:00"/>
    <m/>
    <m/>
    <n v="0"/>
    <x v="2"/>
    <s v="Shipped"/>
    <x v="0"/>
  </r>
  <r>
    <n v="1706"/>
    <s v="ParcelOne"/>
    <s v="2026-01-20"/>
    <s v="2026-01-20"/>
    <d v="2026-01-25T00:00:00"/>
    <d v="2026-01-25T00:00:00"/>
    <s v="2026-01-25"/>
    <n v="0"/>
    <x v="1"/>
    <s v="Delivered"/>
    <x v="3"/>
  </r>
  <r>
    <n v="1707"/>
    <s v="ParcelOne"/>
    <s v="2026-01-14"/>
    <s v="2026-01-14"/>
    <d v="2026-01-19T00:00:00"/>
    <d v="2026-01-19T00:00:00"/>
    <s v="2026-01-19"/>
    <n v="0"/>
    <x v="1"/>
    <s v="Delivered"/>
    <x v="3"/>
  </r>
  <r>
    <n v="1708"/>
    <s v="ParcelOne"/>
    <s v="2026-05-15"/>
    <s v="2026-05-15"/>
    <d v="2026-05-20T00:00:00"/>
    <d v="2026-05-19T00:00:00"/>
    <s v="2026-05-19"/>
    <n v="0"/>
    <x v="1"/>
    <s v="Delivered"/>
    <x v="3"/>
  </r>
  <r>
    <n v="1709"/>
    <s v="ParcelOne"/>
    <s v="2026-01-20"/>
    <s v="2026-01-20"/>
    <d v="2026-01-25T00:00:00"/>
    <d v="2026-01-24T00:00:00"/>
    <s v="2026-01-24"/>
    <n v="0"/>
    <x v="1"/>
    <s v="Delivered"/>
    <x v="3"/>
  </r>
  <r>
    <n v="1710"/>
    <s v="MetroLogistics"/>
    <s v="2026-05-09"/>
    <s v="2026-05-09"/>
    <d v="2026-05-14T00:00:00"/>
    <d v="2026-05-18T00:00:00"/>
    <s v="2026-05-18"/>
    <n v="0"/>
    <x v="2"/>
    <s v="Delivered"/>
    <x v="2"/>
  </r>
  <r>
    <n v="1711"/>
    <s v="SwiftShip"/>
    <s v="2026-04-09"/>
    <s v="2026-04-09"/>
    <d v="2026-04-14T00:00:00"/>
    <d v="2026-04-12T00:00:00"/>
    <s v="2026-04-12"/>
    <n v="0"/>
    <x v="0"/>
    <s v="Delivered"/>
    <x v="3"/>
  </r>
  <r>
    <n v="1712"/>
    <s v="ParcelOne"/>
    <s v="2026-04-25"/>
    <s v="2026-04-25"/>
    <d v="2026-04-30T00:00:00"/>
    <d v="2026-04-29T00:00:00"/>
    <s v="2026-04-29"/>
    <n v="0"/>
    <x v="1"/>
    <s v="Delivered"/>
    <x v="3"/>
  </r>
  <r>
    <n v="1713"/>
    <s v="MetroLogistics"/>
    <s v="2026-03-30"/>
    <s v="2026-03-30"/>
    <d v="2026-04-04T00:00:00"/>
    <d v="2026-04-04T00:00:00"/>
    <s v="2026-04-04"/>
    <n v="0"/>
    <x v="2"/>
    <s v="Delivered"/>
    <x v="3"/>
  </r>
  <r>
    <n v="1714"/>
    <s v="MetroLogistics"/>
    <s v="2026-02-07"/>
    <s v="2026-02-07"/>
    <d v="2026-02-12T00:00:00"/>
    <d v="2026-02-12T00:00:00"/>
    <s v="2026-02-12"/>
    <n v="0"/>
    <x v="2"/>
    <s v="Delivered"/>
    <x v="3"/>
  </r>
  <r>
    <n v="1716"/>
    <s v="SwiftShip"/>
    <s v="2026-02-20"/>
    <s v="2026-02-20"/>
    <d v="2026-02-25T00:00:00"/>
    <d v="2026-02-25T00:00:00"/>
    <s v="2026-02-26"/>
    <n v="0"/>
    <x v="0"/>
    <s v="Delivered"/>
    <x v="3"/>
  </r>
  <r>
    <n v="1717"/>
    <s v="ParcelOne"/>
    <s v="2026-02-10"/>
    <s v="2026-02-10"/>
    <d v="2026-02-15T00:00:00"/>
    <d v="2026-02-16T00:00:00"/>
    <s v="2026-02-16"/>
    <n v="0"/>
    <x v="1"/>
    <s v="Delivered"/>
    <x v="2"/>
  </r>
  <r>
    <n v="1718"/>
    <s v="MetroLogistics"/>
    <s v="2026-05-13"/>
    <s v="2026-05-13"/>
    <d v="2026-05-18T00:00:00"/>
    <d v="2026-05-18T00:00:00"/>
    <s v="2026-05-18"/>
    <n v="0"/>
    <x v="2"/>
    <s v="Delivered"/>
    <x v="3"/>
  </r>
  <r>
    <n v="1719"/>
    <s v="SwiftShip"/>
    <s v="2026-05-09"/>
    <s v="2026-05-09"/>
    <d v="2026-05-14T00:00:00"/>
    <d v="2026-05-13T00:00:00"/>
    <s v="2026-05-14"/>
    <n v="0"/>
    <x v="0"/>
    <s v="Delivered"/>
    <x v="3"/>
  </r>
  <r>
    <n v="1720"/>
    <s v="ParcelOne"/>
    <s v="2026-02-27"/>
    <s v="2026-02-27"/>
    <d v="2026-03-04T00:00:00"/>
    <d v="2026-03-04T00:00:00"/>
    <s v="2026-03-04"/>
    <n v="0"/>
    <x v="1"/>
    <s v="Delivered"/>
    <x v="3"/>
  </r>
  <r>
    <n v="1721"/>
    <s v="ParcelOne"/>
    <s v="2026-05-02"/>
    <s v="2026-05-02"/>
    <d v="2026-05-07T00:00:00"/>
    <d v="2026-05-07T00:00:00"/>
    <s v="2026-05-07"/>
    <n v="0"/>
    <x v="1"/>
    <s v="Delivered"/>
    <x v="3"/>
  </r>
  <r>
    <n v="1722"/>
    <s v="ParcelOne"/>
    <s v="2026-02-17"/>
    <s v="2026-02-19"/>
    <d v="2026-02-22T00:00:00"/>
    <d v="2026-02-21T00:00:00"/>
    <s v="2026-02-21"/>
    <n v="0"/>
    <x v="1"/>
    <s v="Delivered"/>
    <x v="3"/>
  </r>
  <r>
    <n v="1723"/>
    <s v="SwiftShip"/>
    <s v="2026-05-22"/>
    <s v="2026-05-24"/>
    <d v="2026-05-27T00:00:00"/>
    <d v="2026-05-28T00:00:00"/>
    <s v="2026-05-28"/>
    <n v="0"/>
    <x v="0"/>
    <s v="Delivered"/>
    <x v="2"/>
  </r>
  <r>
    <n v="1724"/>
    <s v="SwiftShip"/>
    <s v="2026-01-05"/>
    <s v="2026-01-05"/>
    <d v="2026-01-10T00:00:00"/>
    <d v="2026-01-14T00:00:00"/>
    <s v="2026-01-16"/>
    <n v="0"/>
    <x v="0"/>
    <s v="Delivered"/>
    <x v="2"/>
  </r>
  <r>
    <n v="1725"/>
    <s v="SwiftShip"/>
    <s v="2026-03-02"/>
    <s v="2026-03-02"/>
    <d v="2026-03-07T00:00:00"/>
    <d v="2026-03-06T00:00:00"/>
    <s v="2026-03-07"/>
    <n v="0"/>
    <x v="0"/>
    <s v="Delivered"/>
    <x v="3"/>
  </r>
  <r>
    <n v="1726"/>
    <s v="ParcelOne"/>
    <s v="2026-06-30"/>
    <s v="2026-06-30"/>
    <d v="2026-07-05T00:00:00"/>
    <d v="2026-07-04T00:00:00"/>
    <s v="2026-07-06"/>
    <n v="0"/>
    <x v="1"/>
    <s v="Delivered"/>
    <x v="3"/>
  </r>
  <r>
    <n v="1727"/>
    <s v="MetroLogistics"/>
    <s v="2026-05-10"/>
    <s v="2026-05-10"/>
    <d v="2026-05-15T00:00:00"/>
    <d v="2026-05-16T00:00:00"/>
    <s v="2026-05-16"/>
    <n v="0"/>
    <x v="2"/>
    <s v="Delivered"/>
    <x v="2"/>
  </r>
  <r>
    <n v="1728"/>
    <s v="MetroLogistics"/>
    <s v="2026-01-08"/>
    <s v="2026-01-08"/>
    <d v="2026-01-13T00:00:00"/>
    <d v="2026-01-14T00:00:00"/>
    <s v="2026-01-16"/>
    <n v="0"/>
    <x v="2"/>
    <s v="Delivered"/>
    <x v="2"/>
  </r>
  <r>
    <n v="1729"/>
    <s v="SwiftShip"/>
    <s v="2026-04-13"/>
    <m/>
    <d v="2026-04-18T00:00:00"/>
    <m/>
    <m/>
    <n v="0"/>
    <x v="0"/>
    <s v="Pending"/>
    <x v="0"/>
  </r>
  <r>
    <n v="1730"/>
    <s v="ParcelOne"/>
    <s v="2026-01-30"/>
    <s v="2026-01-31"/>
    <d v="2026-02-04T00:00:00"/>
    <d v="2026-02-04T00:00:00"/>
    <s v="2026-02-04"/>
    <n v="0"/>
    <x v="1"/>
    <s v="Delivered"/>
    <x v="3"/>
  </r>
  <r>
    <n v="1731"/>
    <s v="SwiftShip"/>
    <s v="2026-01-20"/>
    <s v="2026-01-20"/>
    <d v="2026-01-25T00:00:00"/>
    <m/>
    <m/>
    <n v="0"/>
    <x v="0"/>
    <s v="Shipped"/>
    <x v="0"/>
  </r>
  <r>
    <n v="1732"/>
    <s v="ParcelOne"/>
    <s v="2026-05-15"/>
    <s v="2026-05-15"/>
    <d v="2026-05-20T00:00:00"/>
    <d v="2026-05-20T00:00:00"/>
    <s v="2026-05-20"/>
    <n v="0"/>
    <x v="1"/>
    <s v="Delivered"/>
    <x v="3"/>
  </r>
  <r>
    <n v="1734"/>
    <s v="MetroLogistics"/>
    <s v="2026-06-06"/>
    <s v="2026-06-08"/>
    <d v="2026-06-11T00:00:00"/>
    <d v="2026-06-11T00:00:00"/>
    <s v="2026-06-12"/>
    <n v="0"/>
    <x v="2"/>
    <s v="Delivered"/>
    <x v="3"/>
  </r>
  <r>
    <n v="1735"/>
    <s v="MetroLogistics"/>
    <s v="2026-03-07"/>
    <s v="2026-03-07"/>
    <d v="2026-03-12T00:00:00"/>
    <d v="2026-03-14T00:00:00"/>
    <s v="2026-03-14"/>
    <n v="0"/>
    <x v="2"/>
    <s v="Delivered"/>
    <x v="2"/>
  </r>
  <r>
    <n v="1736"/>
    <s v="ParcelOne"/>
    <s v="2026-03-20"/>
    <s v="2026-03-20"/>
    <d v="2026-03-25T00:00:00"/>
    <d v="2026-03-25T00:00:00"/>
    <s v="2026-03-25"/>
    <n v="0"/>
    <x v="1"/>
    <s v="Delivered"/>
    <x v="3"/>
  </r>
  <r>
    <n v="1737"/>
    <s v="ParcelOne"/>
    <s v="2026-04-13"/>
    <s v="2026-04-14"/>
    <d v="2026-04-18T00:00:00"/>
    <d v="2026-04-18T00:00:00"/>
    <s v="2026-04-18"/>
    <n v="0"/>
    <x v="1"/>
    <s v="Delivered"/>
    <x v="3"/>
  </r>
  <r>
    <n v="1738"/>
    <s v="SwiftShip"/>
    <s v="2026-06-30"/>
    <s v="2026-06-30"/>
    <d v="2026-07-05T00:00:00"/>
    <d v="2026-07-04T00:00:00"/>
    <s v="2026-07-04"/>
    <n v="0"/>
    <x v="0"/>
    <s v="Delivered"/>
    <x v="3"/>
  </r>
  <r>
    <n v="1739"/>
    <s v="MetroLogistics"/>
    <s v="2026-04-17"/>
    <s v="2026-04-17"/>
    <d v="2026-04-22T00:00:00"/>
    <d v="2026-04-20T00:00:00"/>
    <s v="2026-04-20"/>
    <n v="0"/>
    <x v="2"/>
    <s v="Delivered"/>
    <x v="3"/>
  </r>
  <r>
    <n v="1740"/>
    <s v="SwiftShip"/>
    <s v="2026-05-01"/>
    <s v="2026-05-01"/>
    <d v="2026-05-06T00:00:00"/>
    <d v="2026-05-05T00:00:00"/>
    <s v="2026-05-07"/>
    <n v="0"/>
    <x v="0"/>
    <s v="Delivered"/>
    <x v="3"/>
  </r>
  <r>
    <n v="1741"/>
    <s v="ParcelOne"/>
    <s v="2026-06-23"/>
    <s v="2026-06-23"/>
    <d v="2026-06-28T00:00:00"/>
    <d v="2026-06-29T00:00:00"/>
    <s v="2026-06-30"/>
    <n v="0"/>
    <x v="1"/>
    <s v="Delivered"/>
    <x v="2"/>
  </r>
  <r>
    <n v="1742"/>
    <s v="ParcelOne"/>
    <s v="2026-01-07"/>
    <s v="2026-01-07"/>
    <d v="2026-01-12T00:00:00"/>
    <d v="2026-01-13T00:00:00"/>
    <s v="2026-01-13"/>
    <n v="0"/>
    <x v="1"/>
    <s v="Delivered"/>
    <x v="2"/>
  </r>
  <r>
    <n v="1743"/>
    <s v="MetroLogistics"/>
    <s v="2026-04-25"/>
    <s v="2026-04-26"/>
    <d v="2026-04-30T00:00:00"/>
    <d v="2026-05-01T00:00:00"/>
    <s v="2026-05-01"/>
    <n v="0"/>
    <x v="2"/>
    <s v="Delivered"/>
    <x v="2"/>
  </r>
  <r>
    <n v="1745"/>
    <s v="ParcelOne"/>
    <s v="2026-02-23"/>
    <s v="2026-02-23"/>
    <d v="2026-02-28T00:00:00"/>
    <m/>
    <m/>
    <n v="0"/>
    <x v="1"/>
    <s v="Shipped"/>
    <x v="0"/>
  </r>
  <r>
    <n v="1746"/>
    <s v="SwiftShip"/>
    <s v="2026-01-06"/>
    <s v="2026-01-06"/>
    <d v="2026-01-11T00:00:00"/>
    <d v="2026-01-11T00:00:00"/>
    <s v="2026-01-12"/>
    <n v="0"/>
    <x v="0"/>
    <s v="Delivered"/>
    <x v="3"/>
  </r>
  <r>
    <n v="1747"/>
    <s v="SwiftShip"/>
    <s v="2026-05-26"/>
    <s v="2026-05-26"/>
    <d v="2026-05-31T00:00:00"/>
    <d v="2026-05-30T00:00:00"/>
    <s v="2026-05-30"/>
    <n v="0"/>
    <x v="0"/>
    <s v="Delivered"/>
    <x v="3"/>
  </r>
  <r>
    <n v="1748"/>
    <s v="ParcelOne"/>
    <s v="2026-01-06"/>
    <s v="2026-01-06"/>
    <d v="2026-01-11T00:00:00"/>
    <d v="2026-01-11T00:00:00"/>
    <s v="2026-01-11"/>
    <n v="0"/>
    <x v="1"/>
    <s v="Delivered"/>
    <x v="3"/>
  </r>
  <r>
    <n v="1749"/>
    <s v="MetroLogistics"/>
    <s v="2026-04-18"/>
    <s v="2026-04-18"/>
    <d v="2026-04-23T00:00:00"/>
    <d v="2026-04-22T00:00:00"/>
    <s v="2026-04-22"/>
    <n v="0"/>
    <x v="2"/>
    <s v="Delivered"/>
    <x v="3"/>
  </r>
  <r>
    <n v="1750"/>
    <s v="SwiftShip"/>
    <s v="2026-06-30"/>
    <s v="2026-06-30"/>
    <d v="2026-07-05T00:00:00"/>
    <d v="2026-07-03T00:00:00"/>
    <s v="2026-07-05"/>
    <n v="0"/>
    <x v="0"/>
    <s v="Delivered"/>
    <x v="3"/>
  </r>
  <r>
    <n v="1751"/>
    <s v="ParcelOne"/>
    <s v="2026-04-10"/>
    <s v="2026-04-10"/>
    <d v="2026-04-15T00:00:00"/>
    <d v="2026-04-15T00:00:00"/>
    <s v="2026-04-15"/>
    <n v="0"/>
    <x v="1"/>
    <s v="Delivered"/>
    <x v="3"/>
  </r>
  <r>
    <n v="1752"/>
    <s v="SwiftShip"/>
    <s v="2026-01-18"/>
    <s v="2026-01-18"/>
    <d v="2026-01-23T00:00:00"/>
    <d v="2026-01-22T00:00:00"/>
    <s v="2026-01-22"/>
    <n v="0"/>
    <x v="0"/>
    <s v="Delivered"/>
    <x v="3"/>
  </r>
  <r>
    <n v="1753"/>
    <s v="MetroLogistics"/>
    <s v="2026-03-28"/>
    <s v="2026-03-29"/>
    <d v="2026-04-02T00:00:00"/>
    <d v="2026-04-02T00:00:00"/>
    <s v="2026-04-02"/>
    <n v="0"/>
    <x v="2"/>
    <s v="Delivered"/>
    <x v="3"/>
  </r>
  <r>
    <n v="1755"/>
    <s v="MetroLogistics"/>
    <s v="2026-04-26"/>
    <s v="2026-04-28"/>
    <d v="2026-05-01T00:00:00"/>
    <d v="2026-04-30T00:00:00"/>
    <s v="2026-04-30"/>
    <n v="0"/>
    <x v="2"/>
    <s v="Delivered"/>
    <x v="3"/>
  </r>
  <r>
    <n v="1756"/>
    <s v="ParcelOne"/>
    <s v="2026-02-24"/>
    <s v="2026-02-24"/>
    <d v="2026-03-01T00:00:00"/>
    <d v="2026-02-28T00:00:00"/>
    <s v="2026-02-28"/>
    <n v="0"/>
    <x v="1"/>
    <s v="Delivered"/>
    <x v="3"/>
  </r>
  <r>
    <n v="1757"/>
    <s v="MetroLogistics"/>
    <s v="2026-03-21"/>
    <s v="2026-03-21"/>
    <d v="2026-03-26T00:00:00"/>
    <d v="2026-03-26T00:00:00"/>
    <s v="2026-03-26"/>
    <n v="0"/>
    <x v="2"/>
    <s v="Delivered"/>
    <x v="3"/>
  </r>
  <r>
    <n v="1758"/>
    <s v="MetroLogistics"/>
    <s v="2026-04-23"/>
    <s v="2026-04-24"/>
    <d v="2026-04-28T00:00:00"/>
    <d v="2026-04-29T00:00:00"/>
    <s v="2026-05-01"/>
    <n v="0"/>
    <x v="2"/>
    <s v="Delivered"/>
    <x v="2"/>
  </r>
  <r>
    <n v="1759"/>
    <s v="SwiftShip"/>
    <s v="2026-05-20"/>
    <s v="2026-05-20"/>
    <d v="2026-05-25T00:00:00"/>
    <d v="2026-05-25T00:00:00"/>
    <s v="2026-05-25"/>
    <n v="0"/>
    <x v="0"/>
    <s v="Delivered"/>
    <x v="3"/>
  </r>
  <r>
    <n v="1760"/>
    <s v="SwiftShip"/>
    <s v="2026-02-06"/>
    <s v="2026-02-06"/>
    <d v="2026-02-11T00:00:00"/>
    <d v="2026-02-11T00:00:00"/>
    <s v="2026-02-11"/>
    <n v="0"/>
    <x v="0"/>
    <s v="Delivered"/>
    <x v="3"/>
  </r>
  <r>
    <n v="1761"/>
    <s v="ParcelOne"/>
    <s v="2026-04-16"/>
    <s v="2026-04-17"/>
    <d v="2026-04-21T00:00:00"/>
    <m/>
    <m/>
    <n v="0"/>
    <x v="1"/>
    <s v="Shipped"/>
    <x v="0"/>
  </r>
  <r>
    <n v="1762"/>
    <s v="MetroLogistics"/>
    <s v="2026-04-11"/>
    <s v="2026-04-11"/>
    <d v="2026-04-16T00:00:00"/>
    <m/>
    <m/>
    <n v="0"/>
    <x v="2"/>
    <s v="Shipped"/>
    <x v="0"/>
  </r>
  <r>
    <n v="1763"/>
    <s v="MetroLogistics"/>
    <s v="2026-04-02"/>
    <s v="2026-04-02"/>
    <d v="2026-04-07T00:00:00"/>
    <d v="2026-04-05T00:00:00"/>
    <s v="2026-04-06"/>
    <n v="0"/>
    <x v="2"/>
    <s v="Delivered"/>
    <x v="3"/>
  </r>
  <r>
    <n v="1764"/>
    <s v="ParcelOne"/>
    <s v="2026-07-02"/>
    <s v="2026-07-02"/>
    <d v="2026-07-07T00:00:00"/>
    <d v="2026-07-07T00:00:00"/>
    <s v="2026-07-07"/>
    <n v="0"/>
    <x v="1"/>
    <s v="Delivered"/>
    <x v="3"/>
  </r>
  <r>
    <n v="1765"/>
    <s v="MetroLogistics"/>
    <s v="2026-01-06"/>
    <s v="2026-01-06"/>
    <d v="2026-01-11T00:00:00"/>
    <d v="2026-01-11T00:00:00"/>
    <s v="2026-01-11"/>
    <n v="0"/>
    <x v="2"/>
    <s v="Delivered"/>
    <x v="3"/>
  </r>
  <r>
    <n v="1766"/>
    <s v="MetroLogistics"/>
    <s v="2026-05-19"/>
    <s v="2026-05-19"/>
    <d v="2026-05-24T00:00:00"/>
    <d v="2026-05-23T00:00:00"/>
    <s v="2026-05-23"/>
    <n v="0"/>
    <x v="2"/>
    <s v="Delivered"/>
    <x v="3"/>
  </r>
  <r>
    <n v="1767"/>
    <s v="ParcelOne"/>
    <s v="2026-03-22"/>
    <s v="2026-03-22"/>
    <d v="2026-03-27T00:00:00"/>
    <d v="2026-03-27T00:00:00"/>
    <s v="2026-03-27"/>
    <n v="0"/>
    <x v="1"/>
    <s v="Delivered"/>
    <x v="3"/>
  </r>
  <r>
    <n v="1768"/>
    <s v="ParcelOne"/>
    <s v="2026-02-17"/>
    <s v="2026-02-17"/>
    <d v="2026-02-22T00:00:00"/>
    <d v="2026-02-21T00:00:00"/>
    <s v="2026-02-21"/>
    <n v="0"/>
    <x v="1"/>
    <s v="Delivered"/>
    <x v="3"/>
  </r>
  <r>
    <n v="1769"/>
    <s v="MetroLogistics"/>
    <s v="2026-02-19"/>
    <s v="2026-02-19"/>
    <d v="2026-02-24T00:00:00"/>
    <d v="2026-02-26T00:00:00"/>
    <s v="2026-02-26"/>
    <n v="0"/>
    <x v="2"/>
    <s v="Delivered"/>
    <x v="2"/>
  </r>
  <r>
    <n v="1770"/>
    <s v="ParcelOne"/>
    <s v="2026-02-14"/>
    <s v="2026-02-14"/>
    <d v="2026-02-19T00:00:00"/>
    <d v="2026-02-18T00:00:00"/>
    <s v="2026-02-18"/>
    <n v="0"/>
    <x v="1"/>
    <s v="Delivered"/>
    <x v="3"/>
  </r>
  <r>
    <n v="1771"/>
    <s v="SwiftShip"/>
    <s v="2026-01-05"/>
    <s v="2026-01-05"/>
    <d v="2026-01-10T00:00:00"/>
    <d v="2026-01-14T00:00:00"/>
    <s v="2026-01-14"/>
    <n v="0"/>
    <x v="0"/>
    <s v="Delivered"/>
    <x v="2"/>
  </r>
  <r>
    <n v="1772"/>
    <s v="SwiftShip"/>
    <s v="2026-05-04"/>
    <s v="2026-05-05"/>
    <d v="2026-05-09T00:00:00"/>
    <d v="2026-05-13T00:00:00"/>
    <s v="2026-05-13"/>
    <n v="0"/>
    <x v="0"/>
    <s v="Delivered"/>
    <x v="2"/>
  </r>
  <r>
    <n v="1773"/>
    <s v="MetroLogistics"/>
    <s v="2026-06-08"/>
    <s v="2026-06-08"/>
    <d v="2026-06-13T00:00:00"/>
    <d v="2026-06-15T00:00:00"/>
    <s v="2026-06-15"/>
    <n v="0"/>
    <x v="2"/>
    <s v="Delivered"/>
    <x v="2"/>
  </r>
  <r>
    <n v="1775"/>
    <s v="ParcelOne"/>
    <s v="2026-01-03"/>
    <m/>
    <d v="2026-01-08T00:00:00"/>
    <m/>
    <m/>
    <n v="0"/>
    <x v="1"/>
    <s v="Pending"/>
    <x v="0"/>
  </r>
  <r>
    <n v="1776"/>
    <s v="MetroLogistics"/>
    <s v="2026-03-27"/>
    <s v="2026-03-29"/>
    <d v="2026-04-01T00:00:00"/>
    <d v="2026-04-05T00:00:00"/>
    <s v="2026-04-05"/>
    <n v="0"/>
    <x v="2"/>
    <s v="Delivered"/>
    <x v="2"/>
  </r>
  <r>
    <n v="1778"/>
    <s v="MetroLogistics"/>
    <s v="2026-02-04"/>
    <s v="2026-02-05"/>
    <d v="2026-02-09T00:00:00"/>
    <d v="2026-02-13T00:00:00"/>
    <s v="2026-02-13"/>
    <n v="0"/>
    <x v="2"/>
    <s v="Delivered"/>
    <x v="2"/>
  </r>
  <r>
    <n v="1779"/>
    <s v="SwiftShip"/>
    <s v="2026-03-05"/>
    <s v="2026-03-07"/>
    <d v="2026-03-10T00:00:00"/>
    <d v="2026-03-10T00:00:00"/>
    <s v="2026-03-10"/>
    <n v="0"/>
    <x v="0"/>
    <s v="Delivered"/>
    <x v="3"/>
  </r>
  <r>
    <n v="1780"/>
    <s v="MetroLogistics"/>
    <s v="2026-02-28"/>
    <s v="2026-03-01"/>
    <d v="2026-03-05T00:00:00"/>
    <d v="2026-03-09T00:00:00"/>
    <s v="2026-03-09"/>
    <n v="0"/>
    <x v="2"/>
    <s v="Delivered"/>
    <x v="2"/>
  </r>
  <r>
    <n v="1781"/>
    <s v="SwiftShip"/>
    <s v="2026-01-19"/>
    <s v="2026-01-19"/>
    <d v="2026-01-24T00:00:00"/>
    <d v="2026-01-24T00:00:00"/>
    <s v="2026-01-24"/>
    <n v="0"/>
    <x v="0"/>
    <s v="Delivered"/>
    <x v="3"/>
  </r>
  <r>
    <n v="1782"/>
    <s v="MetroLogistics"/>
    <s v="2026-06-03"/>
    <s v="2026-06-03"/>
    <d v="2026-06-08T00:00:00"/>
    <m/>
    <m/>
    <n v="0"/>
    <x v="2"/>
    <s v="Shipped"/>
    <x v="0"/>
  </r>
  <r>
    <n v="1783"/>
    <s v="SwiftShip"/>
    <s v="2026-02-20"/>
    <s v="2026-02-20"/>
    <d v="2026-02-25T00:00:00"/>
    <d v="2026-02-23T00:00:00"/>
    <s v="2026-02-24"/>
    <n v="0"/>
    <x v="0"/>
    <s v="Delivered"/>
    <x v="3"/>
  </r>
  <r>
    <n v="1784"/>
    <s v="MetroLogistics"/>
    <s v="2026-02-09"/>
    <s v="2026-02-09"/>
    <d v="2026-02-14T00:00:00"/>
    <d v="2026-02-14T00:00:00"/>
    <s v="2026-02-14"/>
    <n v="0"/>
    <x v="2"/>
    <s v="Delivered"/>
    <x v="3"/>
  </r>
  <r>
    <n v="1785"/>
    <s v="SwiftShip"/>
    <s v="2026-01-11"/>
    <s v="2026-01-11"/>
    <d v="2026-01-16T00:00:00"/>
    <d v="2026-01-20T00:00:00"/>
    <s v="2026-01-20"/>
    <n v="0"/>
    <x v="0"/>
    <s v="Delivered"/>
    <x v="2"/>
  </r>
  <r>
    <n v="1786"/>
    <s v="ParcelOne"/>
    <s v="2026-02-11"/>
    <s v="2026-02-13"/>
    <d v="2026-02-16T00:00:00"/>
    <d v="2026-02-16T00:00:00"/>
    <s v="2026-02-17"/>
    <n v="0"/>
    <x v="1"/>
    <s v="Delivered"/>
    <x v="3"/>
  </r>
  <r>
    <n v="1787"/>
    <s v="MetroLogistics"/>
    <s v="2026-05-23"/>
    <s v="2026-05-23"/>
    <d v="2026-05-28T00:00:00"/>
    <d v="2026-06-01T00:00:00"/>
    <s v="2026-06-01"/>
    <n v="0"/>
    <x v="2"/>
    <s v="Delivered"/>
    <x v="2"/>
  </r>
  <r>
    <n v="1788"/>
    <s v="ParcelOne"/>
    <s v="2026-04-13"/>
    <s v="2026-04-13"/>
    <d v="2026-04-18T00:00:00"/>
    <d v="2026-04-18T00:00:00"/>
    <s v="2026-04-18"/>
    <n v="0"/>
    <x v="1"/>
    <s v="Delivered"/>
    <x v="3"/>
  </r>
  <r>
    <n v="1789"/>
    <s v="ParcelOne"/>
    <s v="2026-02-22"/>
    <s v="2026-02-22"/>
    <d v="2026-02-27T00:00:00"/>
    <d v="2026-03-03T00:00:00"/>
    <s v="2026-03-03"/>
    <n v="0"/>
    <x v="1"/>
    <s v="Delivered"/>
    <x v="2"/>
  </r>
  <r>
    <n v="1790"/>
    <s v="ParcelOne"/>
    <s v="2026-01-17"/>
    <s v="2026-01-19"/>
    <d v="2026-01-22T00:00:00"/>
    <d v="2026-01-22T00:00:00"/>
    <s v="2026-01-22"/>
    <n v="0"/>
    <x v="1"/>
    <s v="Delivered"/>
    <x v="3"/>
  </r>
  <r>
    <n v="1791"/>
    <s v="ParcelOne"/>
    <s v="2026-06-12"/>
    <s v="2026-06-12"/>
    <d v="2026-06-17T00:00:00"/>
    <d v="2026-06-17T00:00:00"/>
    <s v="2026-06-17"/>
    <n v="0"/>
    <x v="1"/>
    <s v="Delivered"/>
    <x v="3"/>
  </r>
  <r>
    <n v="1792"/>
    <s v="SwiftShip"/>
    <s v="2026-06-19"/>
    <s v="2026-06-19"/>
    <d v="2026-06-24T00:00:00"/>
    <d v="2026-06-23T00:00:00"/>
    <s v="2026-06-23"/>
    <n v="0"/>
    <x v="0"/>
    <s v="Delivered"/>
    <x v="3"/>
  </r>
  <r>
    <n v="1793"/>
    <s v="ParcelOne"/>
    <s v="2026-06-16"/>
    <s v="2026-06-16"/>
    <d v="2026-06-21T00:00:00"/>
    <d v="2026-06-22T00:00:00"/>
    <s v="2026-06-22"/>
    <n v="0"/>
    <x v="1"/>
    <s v="Delivered"/>
    <x v="2"/>
  </r>
  <r>
    <n v="1794"/>
    <s v="ParcelOne"/>
    <s v="2026-04-11"/>
    <s v="2026-04-11"/>
    <d v="2026-04-16T00:00:00"/>
    <d v="2026-04-18T00:00:00"/>
    <s v="2026-04-18"/>
    <n v="0"/>
    <x v="1"/>
    <s v="Delivered"/>
    <x v="2"/>
  </r>
  <r>
    <n v="1795"/>
    <s v="MetroLogistics"/>
    <s v="2026-04-16"/>
    <s v="2026-04-16"/>
    <d v="2026-04-21T00:00:00"/>
    <d v="2026-04-21T00:00:00"/>
    <s v="2026-04-21"/>
    <n v="0"/>
    <x v="2"/>
    <s v="Delivered"/>
    <x v="3"/>
  </r>
  <r>
    <n v="1796"/>
    <s v="ParcelOne"/>
    <s v="2026-02-03"/>
    <s v="2026-02-04"/>
    <d v="2026-02-08T00:00:00"/>
    <d v="2026-02-07T00:00:00"/>
    <s v="2026-02-07"/>
    <n v="0"/>
    <x v="1"/>
    <s v="Delivered"/>
    <x v="3"/>
  </r>
  <r>
    <n v="1797"/>
    <s v="MetroLogistics"/>
    <s v="2026-06-19"/>
    <s v="2026-06-19"/>
    <d v="2026-06-24T00:00:00"/>
    <d v="2026-06-24T00:00:00"/>
    <s v="2026-06-24"/>
    <n v="0"/>
    <x v="2"/>
    <s v="Delivered"/>
    <x v="3"/>
  </r>
  <r>
    <n v="1798"/>
    <s v="SwiftShip"/>
    <s v="2026-01-03"/>
    <s v="2026-01-03"/>
    <d v="2026-01-08T00:00:00"/>
    <d v="2026-01-08T00:00:00"/>
    <s v="2026-01-10"/>
    <n v="0"/>
    <x v="0"/>
    <s v="Delivered"/>
    <x v="3"/>
  </r>
  <r>
    <n v="1799"/>
    <s v="ParcelOne"/>
    <s v="2026-06-07"/>
    <s v="2026-06-07"/>
    <d v="2026-06-12T00:00:00"/>
    <d v="2026-06-14T00:00:00"/>
    <s v="2026-06-14"/>
    <n v="0"/>
    <x v="1"/>
    <s v="Delivered"/>
    <x v="2"/>
  </r>
  <r>
    <n v="1800"/>
    <s v="ParcelOne"/>
    <s v="2026-06-06"/>
    <s v="2026-06-06"/>
    <d v="2026-06-11T00:00:00"/>
    <d v="2026-06-11T00:00:00"/>
    <s v="2026-06-11"/>
    <n v="0"/>
    <x v="1"/>
    <s v="Delivered"/>
    <x v="3"/>
  </r>
  <r>
    <n v="1801"/>
    <s v="SwiftShip"/>
    <s v="2026-04-15"/>
    <s v="2026-04-17"/>
    <d v="2026-04-20T00:00:00"/>
    <d v="2026-04-21T00:00:00"/>
    <s v="2026-04-21"/>
    <n v="0"/>
    <x v="0"/>
    <s v="Delivered"/>
    <x v="2"/>
  </r>
  <r>
    <n v="1802"/>
    <s v="ParcelOne"/>
    <s v="2026-05-27"/>
    <s v="2026-05-27"/>
    <d v="2026-06-01T00:00:00"/>
    <d v="2026-06-01T00:00:00"/>
    <s v="2026-06-01"/>
    <n v="0"/>
    <x v="1"/>
    <s v="Delivered"/>
    <x v="3"/>
  </r>
  <r>
    <n v="1803"/>
    <s v="ParcelOne"/>
    <s v="2026-05-19"/>
    <s v="2026-05-21"/>
    <d v="2026-05-24T00:00:00"/>
    <d v="2026-05-25T00:00:00"/>
    <s v="2026-05-25"/>
    <n v="0"/>
    <x v="1"/>
    <s v="Delivered"/>
    <x v="2"/>
  </r>
  <r>
    <n v="1804"/>
    <s v="SwiftShip"/>
    <s v="2026-03-14"/>
    <s v="2026-03-14"/>
    <d v="2026-03-19T00:00:00"/>
    <d v="2026-03-18T00:00:00"/>
    <s v="2026-03-18"/>
    <n v="0"/>
    <x v="0"/>
    <s v="Delivered"/>
    <x v="3"/>
  </r>
  <r>
    <n v="1805"/>
    <s v="MetroLogistics"/>
    <s v="2026-06-02"/>
    <s v="2026-06-02"/>
    <d v="2026-06-07T00:00:00"/>
    <d v="2026-06-09T00:00:00"/>
    <s v="2026-06-09"/>
    <n v="0"/>
    <x v="2"/>
    <s v="Delivered"/>
    <x v="2"/>
  </r>
  <r>
    <n v="1807"/>
    <s v="SwiftShip"/>
    <s v="2026-05-05"/>
    <s v="2026-05-05"/>
    <d v="2026-05-10T00:00:00"/>
    <d v="2026-05-09T00:00:00"/>
    <s v="2026-05-09"/>
    <n v="0"/>
    <x v="0"/>
    <s v="Delivered"/>
    <x v="3"/>
  </r>
  <r>
    <n v="1808"/>
    <s v="SwiftShip"/>
    <s v="2026-01-16"/>
    <s v="2026-01-16"/>
    <d v="2026-01-21T00:00:00"/>
    <m/>
    <m/>
    <n v="0"/>
    <x v="0"/>
    <s v="Shipped"/>
    <x v="0"/>
  </r>
  <r>
    <n v="1809"/>
    <s v="ParcelOne"/>
    <s v="2026-05-02"/>
    <s v="2026-05-04"/>
    <d v="2026-05-07T00:00:00"/>
    <d v="2026-05-07T00:00:00"/>
    <s v="2026-05-07"/>
    <n v="0"/>
    <x v="1"/>
    <s v="Delivered"/>
    <x v="3"/>
  </r>
  <r>
    <n v="1810"/>
    <s v="ParcelOne"/>
    <s v="2026-06-14"/>
    <s v="2026-06-14"/>
    <d v="2026-06-19T00:00:00"/>
    <d v="2026-06-19T00:00:00"/>
    <s v="2026-06-21"/>
    <n v="0"/>
    <x v="1"/>
    <s v="Delivered"/>
    <x v="3"/>
  </r>
  <r>
    <n v="1811"/>
    <s v="ParcelOne"/>
    <s v="2026-04-21"/>
    <s v="2026-04-21"/>
    <d v="2026-04-26T00:00:00"/>
    <d v="2026-04-25T00:00:00"/>
    <s v="2026-04-26"/>
    <n v="0"/>
    <x v="1"/>
    <s v="Delivered"/>
    <x v="3"/>
  </r>
  <r>
    <n v="1812"/>
    <s v="MetroLogistics"/>
    <s v="2026-04-21"/>
    <s v="2026-04-21"/>
    <d v="2026-04-26T00:00:00"/>
    <d v="2026-04-30T00:00:00"/>
    <s v="2026-04-30"/>
    <n v="0"/>
    <x v="2"/>
    <s v="Delivered"/>
    <x v="2"/>
  </r>
  <r>
    <n v="1813"/>
    <s v="SwiftShip"/>
    <s v="2026-03-01"/>
    <s v="2026-03-03"/>
    <d v="2026-03-06T00:00:00"/>
    <d v="2026-03-06T00:00:00"/>
    <s v="2026-03-06"/>
    <n v="0"/>
    <x v="0"/>
    <s v="Delivered"/>
    <x v="3"/>
  </r>
  <r>
    <n v="1814"/>
    <s v="ParcelOne"/>
    <s v="2026-01-31"/>
    <s v="2026-01-31"/>
    <d v="2026-02-05T00:00:00"/>
    <d v="2026-02-06T00:00:00"/>
    <s v="2026-02-06"/>
    <n v="0"/>
    <x v="1"/>
    <s v="Delivered"/>
    <x v="2"/>
  </r>
  <r>
    <n v="1815"/>
    <s v="ParcelOne"/>
    <s v="2026-03-22"/>
    <s v="2026-03-22"/>
    <d v="2026-03-27T00:00:00"/>
    <m/>
    <m/>
    <n v="0"/>
    <x v="1"/>
    <s v="Shipped"/>
    <x v="0"/>
  </r>
  <r>
    <n v="1816"/>
    <s v="ParcelOne"/>
    <s v="2026-06-09"/>
    <s v="2026-06-09"/>
    <d v="2026-06-14T00:00:00"/>
    <d v="2026-06-12T00:00:00"/>
    <s v="2026-06-12"/>
    <n v="0"/>
    <x v="1"/>
    <s v="Delivered"/>
    <x v="3"/>
  </r>
  <r>
    <n v="1817"/>
    <s v="SwiftShip"/>
    <s v="2026-01-24"/>
    <s v="2026-01-24"/>
    <d v="2026-01-29T00:00:00"/>
    <d v="2026-01-29T00:00:00"/>
    <s v="2026-01-29"/>
    <n v="0"/>
    <x v="0"/>
    <s v="Delivered"/>
    <x v="3"/>
  </r>
  <r>
    <n v="1818"/>
    <s v="MetroLogistics"/>
    <s v="2026-03-20"/>
    <s v="2026-03-20"/>
    <d v="2026-03-25T00:00:00"/>
    <d v="2026-03-25T00:00:00"/>
    <s v="2026-03-25"/>
    <n v="0"/>
    <x v="2"/>
    <s v="Delivered"/>
    <x v="3"/>
  </r>
  <r>
    <n v="1819"/>
    <s v="MetroLogistics"/>
    <s v="2026-02-22"/>
    <s v="2026-02-22"/>
    <d v="2026-02-27T00:00:00"/>
    <d v="2026-02-27T00:00:00"/>
    <s v="2026-02-27"/>
    <n v="0"/>
    <x v="2"/>
    <s v="Delivered"/>
    <x v="3"/>
  </r>
  <r>
    <n v="1820"/>
    <s v="MetroLogistics"/>
    <s v="2026-02-22"/>
    <s v="2026-02-22"/>
    <d v="2026-02-27T00:00:00"/>
    <m/>
    <m/>
    <n v="0"/>
    <x v="2"/>
    <s v="Shipped"/>
    <x v="0"/>
  </r>
  <r>
    <n v="1821"/>
    <s v="MetroLogistics"/>
    <s v="2026-02-04"/>
    <s v="2026-02-04"/>
    <d v="2026-02-09T00:00:00"/>
    <d v="2026-02-09T00:00:00"/>
    <s v="2026-02-09"/>
    <n v="0"/>
    <x v="2"/>
    <s v="Delivered"/>
    <x v="3"/>
  </r>
  <r>
    <n v="1822"/>
    <s v="ParcelOne"/>
    <s v="2026-03-04"/>
    <s v="2026-03-04"/>
    <d v="2026-03-09T00:00:00"/>
    <d v="2026-03-09T00:00:00"/>
    <s v="2026-03-09"/>
    <n v="0"/>
    <x v="1"/>
    <s v="Delivered"/>
    <x v="3"/>
  </r>
  <r>
    <n v="1823"/>
    <s v="ParcelOne"/>
    <s v="2026-06-10"/>
    <s v="2026-06-10"/>
    <d v="2026-06-15T00:00:00"/>
    <d v="2026-06-17T00:00:00"/>
    <s v="2026-06-19"/>
    <n v="0"/>
    <x v="1"/>
    <s v="Delivered"/>
    <x v="2"/>
  </r>
  <r>
    <n v="1824"/>
    <s v="ParcelOne"/>
    <s v="2026-06-22"/>
    <s v="2026-06-24"/>
    <d v="2026-06-27T00:00:00"/>
    <d v="2026-06-27T00:00:00"/>
    <s v="2026-06-27"/>
    <n v="0"/>
    <x v="1"/>
    <s v="Delivered"/>
    <x v="3"/>
  </r>
  <r>
    <n v="1825"/>
    <s v="SwiftShip"/>
    <s v="2026-02-02"/>
    <s v="2026-02-02"/>
    <d v="2026-02-07T00:00:00"/>
    <d v="2026-02-06T00:00:00"/>
    <s v="2026-02-06"/>
    <n v="0"/>
    <x v="0"/>
    <s v="Delivered"/>
    <x v="3"/>
  </r>
  <r>
    <n v="1826"/>
    <s v="SwiftShip"/>
    <s v="2026-05-17"/>
    <s v="2026-05-17"/>
    <d v="2026-05-22T00:00:00"/>
    <d v="2026-05-22T00:00:00"/>
    <s v="2026-05-22"/>
    <n v="0"/>
    <x v="0"/>
    <s v="Delivered"/>
    <x v="3"/>
  </r>
  <r>
    <n v="1827"/>
    <s v="MetroLogistics"/>
    <s v="2026-01-31"/>
    <s v="2026-02-01"/>
    <d v="2026-02-05T00:00:00"/>
    <d v="2026-02-04T00:00:00"/>
    <s v="2026-02-04"/>
    <n v="0"/>
    <x v="2"/>
    <s v="Delivered"/>
    <x v="3"/>
  </r>
  <r>
    <n v="1828"/>
    <s v="ParcelOne"/>
    <s v="2026-03-26"/>
    <s v="2026-03-26"/>
    <d v="2026-03-31T00:00:00"/>
    <d v="2026-03-31T00:00:00"/>
    <s v="2026-03-31"/>
    <n v="0"/>
    <x v="1"/>
    <s v="Delivered"/>
    <x v="3"/>
  </r>
  <r>
    <n v="1829"/>
    <s v="MetroLogistics"/>
    <s v="2026-01-27"/>
    <s v="2026-01-27"/>
    <d v="2026-02-01T00:00:00"/>
    <d v="2026-02-01T00:00:00"/>
    <s v="2026-02-01"/>
    <n v="0"/>
    <x v="2"/>
    <s v="Delivered"/>
    <x v="3"/>
  </r>
  <r>
    <n v="1830"/>
    <s v="MetroLogistics"/>
    <s v="2026-06-06"/>
    <s v="2026-06-06"/>
    <d v="2026-06-11T00:00:00"/>
    <d v="2026-06-10T00:00:00"/>
    <s v="2026-06-10"/>
    <n v="0"/>
    <x v="2"/>
    <s v="Delivered"/>
    <x v="3"/>
  </r>
  <r>
    <n v="1831"/>
    <s v="SwiftShip"/>
    <s v="2026-02-02"/>
    <s v="2026-02-04"/>
    <d v="2026-02-07T00:00:00"/>
    <d v="2026-02-05T00:00:00"/>
    <s v="2026-02-05"/>
    <n v="0"/>
    <x v="0"/>
    <s v="Delivered"/>
    <x v="3"/>
  </r>
  <r>
    <n v="1832"/>
    <s v="MetroLogistics"/>
    <s v="2026-03-21"/>
    <s v="2026-03-21"/>
    <d v="2026-03-26T00:00:00"/>
    <d v="2026-03-26T00:00:00"/>
    <s v="2026-03-27"/>
    <n v="0"/>
    <x v="2"/>
    <s v="Delivered"/>
    <x v="3"/>
  </r>
  <r>
    <n v="1834"/>
    <s v="ParcelOne"/>
    <s v="2026-05-17"/>
    <s v="2026-05-17"/>
    <d v="2026-05-22T00:00:00"/>
    <m/>
    <m/>
    <n v="0"/>
    <x v="1"/>
    <s v="Shipped"/>
    <x v="0"/>
  </r>
  <r>
    <n v="1835"/>
    <s v="MetroLogistics"/>
    <s v="2026-03-18"/>
    <s v="2026-03-18"/>
    <d v="2026-03-23T00:00:00"/>
    <d v="2026-03-23T00:00:00"/>
    <s v="2026-03-23"/>
    <n v="0"/>
    <x v="2"/>
    <s v="Delivered"/>
    <x v="3"/>
  </r>
  <r>
    <n v="1836"/>
    <s v="MetroLogistics"/>
    <s v="2026-01-22"/>
    <s v="2026-01-22"/>
    <d v="2026-01-27T00:00:00"/>
    <d v="2026-01-25T00:00:00"/>
    <s v="2026-01-25"/>
    <n v="0"/>
    <x v="2"/>
    <s v="Delivered"/>
    <x v="3"/>
  </r>
  <r>
    <n v="1837"/>
    <s v="ParcelOne"/>
    <s v="2026-06-30"/>
    <s v="2026-07-01"/>
    <d v="2026-07-05T00:00:00"/>
    <d v="2026-07-05T00:00:00"/>
    <s v="2026-07-05"/>
    <n v="0"/>
    <x v="1"/>
    <s v="Delivered"/>
    <x v="3"/>
  </r>
  <r>
    <n v="1838"/>
    <s v="ParcelOne"/>
    <s v="2026-02-15"/>
    <s v="2026-02-15"/>
    <d v="2026-02-20T00:00:00"/>
    <d v="2026-02-24T00:00:00"/>
    <s v="2026-02-24"/>
    <n v="0"/>
    <x v="1"/>
    <s v="Delivered"/>
    <x v="2"/>
  </r>
  <r>
    <n v="1840"/>
    <s v="ParcelOne"/>
    <s v="2026-06-13"/>
    <s v="2026-06-13"/>
    <d v="2026-06-18T00:00:00"/>
    <d v="2026-06-18T00:00:00"/>
    <s v="2026-06-18"/>
    <n v="0"/>
    <x v="1"/>
    <s v="Delivered"/>
    <x v="3"/>
  </r>
  <r>
    <n v="1841"/>
    <s v="MetroLogistics"/>
    <s v="2026-06-12"/>
    <s v="2026-06-12"/>
    <d v="2026-06-17T00:00:00"/>
    <d v="2026-06-21T00:00:00"/>
    <s v="2026-06-21"/>
    <n v="0"/>
    <x v="2"/>
    <s v="Delivered"/>
    <x v="2"/>
  </r>
  <r>
    <n v="1842"/>
    <s v="SwiftShip"/>
    <s v="2026-01-30"/>
    <s v="2026-01-30"/>
    <d v="2026-02-04T00:00:00"/>
    <d v="2026-02-03T00:00:00"/>
    <s v="2026-02-03"/>
    <n v="0"/>
    <x v="0"/>
    <s v="Delivered"/>
    <x v="3"/>
  </r>
  <r>
    <n v="1843"/>
    <s v="ParcelOne"/>
    <s v="2026-02-11"/>
    <s v="2026-02-11"/>
    <d v="2026-02-16T00:00:00"/>
    <d v="2026-02-15T00:00:00"/>
    <s v="2026-02-16"/>
    <n v="0"/>
    <x v="1"/>
    <s v="Delivered"/>
    <x v="3"/>
  </r>
  <r>
    <n v="1844"/>
    <s v="SwiftShip"/>
    <s v="2026-05-28"/>
    <s v="2026-05-28"/>
    <d v="2026-06-02T00:00:00"/>
    <d v="2026-06-01T00:00:00"/>
    <s v="2026-06-01"/>
    <n v="0"/>
    <x v="0"/>
    <s v="Delivered"/>
    <x v="3"/>
  </r>
  <r>
    <n v="1845"/>
    <s v="SwiftShip"/>
    <s v="2026-03-06"/>
    <s v="2026-03-06"/>
    <d v="2026-03-11T00:00:00"/>
    <d v="2026-03-12T00:00:00"/>
    <s v="2026-03-12"/>
    <n v="0"/>
    <x v="0"/>
    <s v="Delivered"/>
    <x v="2"/>
  </r>
  <r>
    <n v="1846"/>
    <s v="ParcelOne"/>
    <s v="2026-04-11"/>
    <s v="2026-04-13"/>
    <d v="2026-04-16T00:00:00"/>
    <d v="2026-04-16T00:00:00"/>
    <s v="2026-04-16"/>
    <n v="0"/>
    <x v="1"/>
    <s v="Delivered"/>
    <x v="3"/>
  </r>
  <r>
    <n v="1847"/>
    <s v="MetroLogistics"/>
    <s v="2026-01-30"/>
    <s v="2026-01-30"/>
    <d v="2026-02-04T00:00:00"/>
    <d v="2026-02-04T00:00:00"/>
    <s v="2026-02-04"/>
    <n v="0"/>
    <x v="2"/>
    <s v="Delivered"/>
    <x v="3"/>
  </r>
  <r>
    <n v="1848"/>
    <s v="SwiftShip"/>
    <s v="2026-06-29"/>
    <s v="2026-06-29"/>
    <d v="2026-07-04T00:00:00"/>
    <d v="2026-07-04T00:00:00"/>
    <s v="2026-07-04"/>
    <n v="0"/>
    <x v="0"/>
    <s v="Delivered"/>
    <x v="3"/>
  </r>
  <r>
    <n v="1849"/>
    <s v="MetroLogistics"/>
    <s v="2026-02-08"/>
    <s v="2026-02-08"/>
    <d v="2026-02-13T00:00:00"/>
    <d v="2026-02-13T00:00:00"/>
    <s v="2026-02-13"/>
    <n v="0"/>
    <x v="2"/>
    <s v="Delivered"/>
    <x v="3"/>
  </r>
  <r>
    <n v="1850"/>
    <s v="SwiftShip"/>
    <s v="2026-04-11"/>
    <s v="2026-04-13"/>
    <d v="2026-04-16T00:00:00"/>
    <d v="2026-04-16T00:00:00"/>
    <s v="2026-04-16"/>
    <n v="0"/>
    <x v="0"/>
    <s v="Delivered"/>
    <x v="3"/>
  </r>
  <r>
    <n v="1851"/>
    <s v="MetroLogistics"/>
    <s v="2026-02-02"/>
    <s v="2026-02-02"/>
    <d v="2026-02-07T00:00:00"/>
    <d v="2026-02-07T00:00:00"/>
    <s v="2026-02-07"/>
    <n v="0"/>
    <x v="2"/>
    <s v="Delivered"/>
    <x v="3"/>
  </r>
  <r>
    <n v="1852"/>
    <s v="ParcelOne"/>
    <s v="2026-04-21"/>
    <s v="2026-04-23"/>
    <d v="2026-04-26T00:00:00"/>
    <d v="2026-04-27T00:00:00"/>
    <s v="2026-04-27"/>
    <n v="0"/>
    <x v="1"/>
    <s v="Delivered"/>
    <x v="2"/>
  </r>
  <r>
    <n v="1854"/>
    <s v="SwiftShip"/>
    <s v="2026-01-20"/>
    <s v="2026-01-20"/>
    <d v="2026-01-25T00:00:00"/>
    <d v="2026-01-25T00:00:00"/>
    <s v="2026-01-25"/>
    <n v="0"/>
    <x v="0"/>
    <s v="Delivered"/>
    <x v="3"/>
  </r>
  <r>
    <n v="1855"/>
    <s v="SwiftShip"/>
    <s v="2026-06-29"/>
    <m/>
    <d v="2026-07-04T00:00:00"/>
    <m/>
    <m/>
    <n v="0"/>
    <x v="0"/>
    <s v="Pending"/>
    <x v="0"/>
  </r>
  <r>
    <n v="1856"/>
    <s v="MetroLogistics"/>
    <s v="2026-04-20"/>
    <s v="2026-04-20"/>
    <d v="2026-04-25T00:00:00"/>
    <d v="2026-04-25T00:00:00"/>
    <s v="2026-04-25"/>
    <n v="0"/>
    <x v="2"/>
    <s v="Delivered"/>
    <x v="3"/>
  </r>
  <r>
    <n v="1857"/>
    <s v="ParcelOne"/>
    <s v="2026-02-28"/>
    <s v="2026-02-28"/>
    <d v="2026-03-05T00:00:00"/>
    <d v="2026-03-09T00:00:00"/>
    <s v="2026-03-11"/>
    <n v="0"/>
    <x v="1"/>
    <s v="Delivered"/>
    <x v="2"/>
  </r>
  <r>
    <n v="1858"/>
    <s v="ParcelOne"/>
    <s v="2026-04-02"/>
    <s v="2026-04-02"/>
    <d v="2026-04-07T00:00:00"/>
    <d v="2026-04-06T00:00:00"/>
    <s v="2026-04-06"/>
    <n v="0"/>
    <x v="1"/>
    <s v="Delivered"/>
    <x v="3"/>
  </r>
  <r>
    <n v="1859"/>
    <s v="ParcelOne"/>
    <s v="2026-06-30"/>
    <s v="2026-06-30"/>
    <d v="2026-07-05T00:00:00"/>
    <d v="2026-07-05T00:00:00"/>
    <s v="2026-07-05"/>
    <n v="0"/>
    <x v="1"/>
    <s v="Delivered"/>
    <x v="3"/>
  </r>
  <r>
    <n v="1860"/>
    <s v="MetroLogistics"/>
    <s v="2026-04-06"/>
    <s v="2026-04-06"/>
    <d v="2026-04-11T00:00:00"/>
    <d v="2026-04-10T00:00:00"/>
    <s v="2026-04-10"/>
    <n v="0"/>
    <x v="2"/>
    <s v="Delivered"/>
    <x v="3"/>
  </r>
  <r>
    <n v="1861"/>
    <s v="ParcelOne"/>
    <s v="2026-05-18"/>
    <s v="2026-05-18"/>
    <d v="2026-05-23T00:00:00"/>
    <d v="2026-05-22T00:00:00"/>
    <s v="2026-05-23"/>
    <n v="0"/>
    <x v="1"/>
    <s v="Delivered"/>
    <x v="3"/>
  </r>
  <r>
    <n v="1862"/>
    <s v="MetroLogistics"/>
    <s v="2026-06-06"/>
    <s v="2026-06-07"/>
    <d v="2026-06-11T00:00:00"/>
    <d v="2026-06-12T00:00:00"/>
    <s v="2026-06-13"/>
    <n v="0"/>
    <x v="2"/>
    <s v="Delivered"/>
    <x v="2"/>
  </r>
  <r>
    <n v="1863"/>
    <s v="ParcelOne"/>
    <s v="2026-03-10"/>
    <s v="2026-03-10"/>
    <d v="2026-03-15T00:00:00"/>
    <m/>
    <m/>
    <n v="0"/>
    <x v="1"/>
    <s v="Shipped"/>
    <x v="0"/>
  </r>
  <r>
    <n v="1864"/>
    <s v="ParcelOne"/>
    <s v="2026-05-16"/>
    <s v="2026-05-16"/>
    <d v="2026-05-21T00:00:00"/>
    <d v="2026-05-22T00:00:00"/>
    <s v="2026-05-22"/>
    <n v="0"/>
    <x v="1"/>
    <s v="Delivered"/>
    <x v="2"/>
  </r>
  <r>
    <n v="1865"/>
    <s v="ParcelOne"/>
    <s v="2026-06-29"/>
    <s v="2026-06-29"/>
    <d v="2026-07-04T00:00:00"/>
    <d v="2026-07-03T00:00:00"/>
    <s v="2026-07-03"/>
    <n v="0"/>
    <x v="1"/>
    <s v="Delivered"/>
    <x v="3"/>
  </r>
  <r>
    <n v="1866"/>
    <s v="ParcelOne"/>
    <s v="2026-04-05"/>
    <s v="2026-04-05"/>
    <d v="2026-04-10T00:00:00"/>
    <d v="2026-04-09T00:00:00"/>
    <s v="2026-04-09"/>
    <n v="0"/>
    <x v="1"/>
    <s v="Delivered"/>
    <x v="3"/>
  </r>
  <r>
    <n v="1867"/>
    <s v="ParcelOne"/>
    <s v="2026-03-23"/>
    <s v="2026-03-23"/>
    <d v="2026-03-28T00:00:00"/>
    <d v="2026-03-28T00:00:00"/>
    <s v="2026-03-30"/>
    <n v="0"/>
    <x v="1"/>
    <s v="Delivered"/>
    <x v="3"/>
  </r>
  <r>
    <n v="1868"/>
    <s v="MetroLogistics"/>
    <s v="2026-04-04"/>
    <s v="2026-04-04"/>
    <d v="2026-04-09T00:00:00"/>
    <d v="2026-04-11T00:00:00"/>
    <s v="2026-04-11"/>
    <n v="0"/>
    <x v="2"/>
    <s v="Delivered"/>
    <x v="2"/>
  </r>
  <r>
    <n v="1869"/>
    <s v="ParcelOne"/>
    <s v="2026-02-10"/>
    <s v="2026-02-10"/>
    <d v="2026-02-15T00:00:00"/>
    <d v="2026-02-15T00:00:00"/>
    <s v="2026-02-16"/>
    <n v="0"/>
    <x v="1"/>
    <s v="Delivered"/>
    <x v="3"/>
  </r>
  <r>
    <n v="1871"/>
    <s v="ParcelOne"/>
    <s v="2026-03-30"/>
    <s v="2026-03-30"/>
    <d v="2026-04-04T00:00:00"/>
    <d v="2026-04-08T00:00:00"/>
    <s v="2026-04-08"/>
    <n v="0"/>
    <x v="1"/>
    <s v="Delivered"/>
    <x v="2"/>
  </r>
  <r>
    <n v="1872"/>
    <s v="ParcelOne"/>
    <s v="2026-05-28"/>
    <s v="2026-05-28"/>
    <d v="2026-06-02T00:00:00"/>
    <d v="2026-06-02T00:00:00"/>
    <s v="2026-06-03"/>
    <n v="0"/>
    <x v="1"/>
    <s v="Delivered"/>
    <x v="3"/>
  </r>
  <r>
    <n v="1873"/>
    <s v="ParcelOne"/>
    <s v="2026-05-10"/>
    <s v="2026-05-10"/>
    <d v="2026-05-15T00:00:00"/>
    <d v="2026-05-15T00:00:00"/>
    <s v="2026-05-15"/>
    <n v="0"/>
    <x v="1"/>
    <s v="Delivered"/>
    <x v="3"/>
  </r>
  <r>
    <n v="1874"/>
    <s v="SwiftShip"/>
    <s v="2026-02-17"/>
    <s v="2026-02-19"/>
    <d v="2026-02-22T00:00:00"/>
    <d v="2026-02-26T00:00:00"/>
    <s v="2026-02-26"/>
    <n v="0"/>
    <x v="0"/>
    <s v="Delivered"/>
    <x v="2"/>
  </r>
  <r>
    <n v="1875"/>
    <s v="MetroLogistics"/>
    <s v="2026-03-17"/>
    <s v="2026-03-17"/>
    <d v="2026-03-22T00:00:00"/>
    <d v="2026-03-22T00:00:00"/>
    <s v="2026-03-22"/>
    <n v="0"/>
    <x v="2"/>
    <s v="Delivered"/>
    <x v="3"/>
  </r>
  <r>
    <n v="1876"/>
    <s v="ParcelOne"/>
    <s v="2026-01-13"/>
    <s v="2026-01-13"/>
    <d v="2026-01-18T00:00:00"/>
    <d v="2026-01-18T00:00:00"/>
    <s v="2026-01-19"/>
    <n v="0"/>
    <x v="1"/>
    <s v="Delivered"/>
    <x v="3"/>
  </r>
  <r>
    <n v="1878"/>
    <s v="ParcelOne"/>
    <s v="2026-01-24"/>
    <s v="2026-01-24"/>
    <d v="2026-01-29T00:00:00"/>
    <d v="2026-01-29T00:00:00"/>
    <s v="2026-01-29"/>
    <n v="0"/>
    <x v="1"/>
    <s v="Delivered"/>
    <x v="3"/>
  </r>
  <r>
    <n v="1879"/>
    <s v="MetroLogistics"/>
    <s v="2026-07-01"/>
    <s v="2026-07-01"/>
    <d v="2026-07-06T00:00:00"/>
    <d v="2026-07-05T00:00:00"/>
    <s v="2026-07-05"/>
    <n v="0"/>
    <x v="2"/>
    <s v="Delivered"/>
    <x v="3"/>
  </r>
  <r>
    <n v="1880"/>
    <s v="SwiftShip"/>
    <s v="2026-04-10"/>
    <s v="2026-04-11"/>
    <d v="2026-04-15T00:00:00"/>
    <d v="2026-04-19T00:00:00"/>
    <s v="2026-04-19"/>
    <n v="0"/>
    <x v="0"/>
    <s v="Delivered"/>
    <x v="2"/>
  </r>
  <r>
    <n v="1881"/>
    <s v="SwiftShip"/>
    <s v="2026-03-08"/>
    <s v="2026-03-08"/>
    <d v="2026-03-13T00:00:00"/>
    <d v="2026-03-13T00:00:00"/>
    <s v="2026-03-13"/>
    <n v="0"/>
    <x v="0"/>
    <s v="Delivered"/>
    <x v="3"/>
  </r>
  <r>
    <n v="1882"/>
    <s v="SwiftShip"/>
    <s v="2026-05-17"/>
    <s v="2026-05-18"/>
    <d v="2026-05-22T00:00:00"/>
    <d v="2026-05-22T00:00:00"/>
    <s v="2026-05-24"/>
    <n v="0"/>
    <x v="0"/>
    <s v="Delivered"/>
    <x v="3"/>
  </r>
  <r>
    <n v="1883"/>
    <s v="ParcelOne"/>
    <s v="2026-02-14"/>
    <s v="2026-02-14"/>
    <d v="2026-02-19T00:00:00"/>
    <d v="2026-02-20T00:00:00"/>
    <s v="2026-02-20"/>
    <n v="0"/>
    <x v="1"/>
    <s v="Delivered"/>
    <x v="2"/>
  </r>
  <r>
    <n v="1884"/>
    <s v="MetroLogistics"/>
    <s v="2026-05-26"/>
    <s v="2026-05-26"/>
    <d v="2026-05-31T00:00:00"/>
    <d v="2026-06-04T00:00:00"/>
    <s v="2026-06-06"/>
    <n v="0"/>
    <x v="2"/>
    <s v="Delivered"/>
    <x v="2"/>
  </r>
  <r>
    <n v="1885"/>
    <s v="MetroLogistics"/>
    <s v="2026-03-25"/>
    <s v="2026-03-25"/>
    <d v="2026-03-30T00:00:00"/>
    <d v="2026-04-03T00:00:00"/>
    <s v="2026-04-03"/>
    <n v="0"/>
    <x v="2"/>
    <s v="Delivered"/>
    <x v="2"/>
  </r>
  <r>
    <n v="1886"/>
    <s v="MetroLogistics"/>
    <s v="2026-01-03"/>
    <m/>
    <d v="2026-01-08T00:00:00"/>
    <m/>
    <m/>
    <n v="0"/>
    <x v="2"/>
    <s v="Pending"/>
    <x v="0"/>
  </r>
  <r>
    <n v="1887"/>
    <s v="MetroLogistics"/>
    <s v="2026-02-20"/>
    <s v="2026-02-20"/>
    <d v="2026-02-25T00:00:00"/>
    <d v="2026-02-24T00:00:00"/>
    <s v="2026-02-24"/>
    <n v="0"/>
    <x v="2"/>
    <s v="Delivered"/>
    <x v="3"/>
  </r>
  <r>
    <n v="1888"/>
    <s v="MetroLogistics"/>
    <s v="2026-05-30"/>
    <s v="2026-05-30"/>
    <d v="2026-06-04T00:00:00"/>
    <m/>
    <m/>
    <n v="0"/>
    <x v="2"/>
    <s v="Shipped"/>
    <x v="0"/>
  </r>
  <r>
    <n v="1889"/>
    <s v="MetroLogistics"/>
    <s v="2026-04-29"/>
    <s v="2026-05-01"/>
    <d v="2026-05-04T00:00:00"/>
    <d v="2026-05-04T00:00:00"/>
    <s v="2026-05-04"/>
    <n v="0"/>
    <x v="2"/>
    <s v="Delivered"/>
    <x v="3"/>
  </r>
  <r>
    <n v="1890"/>
    <s v="ParcelOne"/>
    <s v="2026-06-04"/>
    <s v="2026-06-04"/>
    <d v="2026-06-09T00:00:00"/>
    <d v="2026-06-13T00:00:00"/>
    <s v="2026-06-15"/>
    <n v="0"/>
    <x v="1"/>
    <s v="Delivered"/>
    <x v="2"/>
  </r>
  <r>
    <n v="1891"/>
    <s v="MetroLogistics"/>
    <s v="2026-01-25"/>
    <s v="2026-01-25"/>
    <d v="2026-01-30T00:00:00"/>
    <d v="2026-01-30T00:00:00"/>
    <s v="2026-01-30"/>
    <n v="0"/>
    <x v="2"/>
    <s v="Delivered"/>
    <x v="3"/>
  </r>
  <r>
    <n v="1892"/>
    <s v="SwiftShip"/>
    <s v="2026-05-22"/>
    <s v="2026-05-22"/>
    <d v="2026-05-27T00:00:00"/>
    <d v="2026-05-27T00:00:00"/>
    <s v="2026-05-27"/>
    <n v="0"/>
    <x v="0"/>
    <s v="Delivered"/>
    <x v="3"/>
  </r>
  <r>
    <n v="1893"/>
    <s v="MetroLogistics"/>
    <s v="2026-02-03"/>
    <s v="2026-02-03"/>
    <d v="2026-02-08T00:00:00"/>
    <d v="2026-02-08T00:00:00"/>
    <s v="2026-02-08"/>
    <n v="0"/>
    <x v="2"/>
    <s v="Delivered"/>
    <x v="3"/>
  </r>
  <r>
    <n v="1894"/>
    <s v="MetroLogistics"/>
    <s v="2026-03-11"/>
    <s v="2026-03-11"/>
    <d v="2026-03-16T00:00:00"/>
    <d v="2026-03-16T00:00:00"/>
    <s v="2026-03-17"/>
    <n v="0"/>
    <x v="2"/>
    <s v="Delivered"/>
    <x v="3"/>
  </r>
  <r>
    <n v="1895"/>
    <s v="ParcelOne"/>
    <s v="2026-06-05"/>
    <s v="2026-06-06"/>
    <d v="2026-06-10T00:00:00"/>
    <d v="2026-06-11T00:00:00"/>
    <s v="2026-06-11"/>
    <n v="0"/>
    <x v="1"/>
    <s v="Delivered"/>
    <x v="2"/>
  </r>
  <r>
    <n v="1896"/>
    <s v="ParcelOne"/>
    <s v="2026-06-14"/>
    <s v="2026-06-14"/>
    <d v="2026-06-19T00:00:00"/>
    <d v="2026-06-20T00:00:00"/>
    <s v="2026-06-20"/>
    <n v="0"/>
    <x v="1"/>
    <s v="Delivered"/>
    <x v="2"/>
  </r>
  <r>
    <n v="1897"/>
    <s v="MetroLogistics"/>
    <s v="2026-06-13"/>
    <s v="2026-06-13"/>
    <d v="2026-06-18T00:00:00"/>
    <d v="2026-06-18T00:00:00"/>
    <s v="2026-06-18"/>
    <n v="0"/>
    <x v="2"/>
    <s v="Delivered"/>
    <x v="3"/>
  </r>
  <r>
    <n v="1898"/>
    <s v="MetroLogistics"/>
    <s v="2026-02-11"/>
    <s v="2026-02-11"/>
    <d v="2026-02-16T00:00:00"/>
    <d v="2026-02-17T00:00:00"/>
    <s v="2026-02-19"/>
    <n v="0"/>
    <x v="2"/>
    <s v="Delivered"/>
    <x v="2"/>
  </r>
  <r>
    <n v="1899"/>
    <s v="SwiftShip"/>
    <s v="2026-06-13"/>
    <s v="2026-06-13"/>
    <d v="2026-06-18T00:00:00"/>
    <d v="2026-06-18T00:00:00"/>
    <s v="2026-06-18"/>
    <n v="0"/>
    <x v="0"/>
    <s v="Delivered"/>
    <x v="3"/>
  </r>
  <r>
    <n v="1900"/>
    <s v="SwiftShip"/>
    <s v="2026-03-10"/>
    <s v="2026-03-10"/>
    <d v="2026-03-15T00:00:00"/>
    <d v="2026-03-15T00:00:00"/>
    <s v="2026-03-15"/>
    <n v="0"/>
    <x v="0"/>
    <s v="Delivered"/>
    <x v="3"/>
  </r>
  <r>
    <n v="1901"/>
    <s v="SwiftShip"/>
    <s v="2026-06-04"/>
    <s v="2026-06-04"/>
    <d v="2026-06-09T00:00:00"/>
    <d v="2026-06-09T00:00:00"/>
    <s v="2026-06-10"/>
    <n v="0"/>
    <x v="0"/>
    <s v="Delivered"/>
    <x v="3"/>
  </r>
  <r>
    <n v="1902"/>
    <s v="SwiftShip"/>
    <s v="2026-01-28"/>
    <s v="2026-01-28"/>
    <d v="2026-02-02T00:00:00"/>
    <d v="2026-02-02T00:00:00"/>
    <s v="2026-02-02"/>
    <n v="0"/>
    <x v="0"/>
    <s v="Delivered"/>
    <x v="3"/>
  </r>
  <r>
    <n v="1903"/>
    <s v="MetroLogistics"/>
    <s v="2026-02-13"/>
    <s v="2026-02-13"/>
    <d v="2026-02-18T00:00:00"/>
    <d v="2026-02-18T00:00:00"/>
    <s v="2026-02-18"/>
    <n v="0"/>
    <x v="2"/>
    <s v="Delivered"/>
    <x v="3"/>
  </r>
  <r>
    <n v="1904"/>
    <s v="SwiftShip"/>
    <s v="2026-06-05"/>
    <s v="2026-06-05"/>
    <d v="2026-06-10T00:00:00"/>
    <d v="2026-06-11T00:00:00"/>
    <s v="2026-06-11"/>
    <n v="0"/>
    <x v="0"/>
    <s v="Delivered"/>
    <x v="2"/>
  </r>
  <r>
    <n v="1906"/>
    <s v="SwiftShip"/>
    <s v="2026-03-12"/>
    <s v="2026-03-12"/>
    <d v="2026-03-17T00:00:00"/>
    <d v="2026-03-18T00:00:00"/>
    <s v="2026-03-18"/>
    <n v="0"/>
    <x v="0"/>
    <s v="Delivered"/>
    <x v="2"/>
  </r>
  <r>
    <n v="1907"/>
    <s v="SwiftShip"/>
    <s v="2026-02-21"/>
    <s v="2026-02-21"/>
    <d v="2026-02-26T00:00:00"/>
    <d v="2026-03-02T00:00:00"/>
    <s v="2026-03-02"/>
    <n v="0"/>
    <x v="0"/>
    <s v="Delivered"/>
    <x v="2"/>
  </r>
  <r>
    <n v="1908"/>
    <s v="ParcelOne"/>
    <s v="2026-04-21"/>
    <s v="2026-04-21"/>
    <d v="2026-04-26T00:00:00"/>
    <d v="2026-04-26T00:00:00"/>
    <s v="2026-04-27"/>
    <n v="0"/>
    <x v="1"/>
    <s v="Delivered"/>
    <x v="3"/>
  </r>
  <r>
    <n v="1909"/>
    <s v="ParcelOne"/>
    <s v="2026-04-28"/>
    <s v="2026-04-28"/>
    <d v="2026-05-03T00:00:00"/>
    <d v="2026-05-02T00:00:00"/>
    <s v="2026-05-02"/>
    <n v="0"/>
    <x v="1"/>
    <s v="Delivered"/>
    <x v="3"/>
  </r>
  <r>
    <n v="1910"/>
    <s v="SwiftShip"/>
    <s v="2026-04-04"/>
    <s v="2026-04-04"/>
    <d v="2026-04-09T00:00:00"/>
    <d v="2026-04-07T00:00:00"/>
    <s v="2026-04-07"/>
    <n v="0"/>
    <x v="0"/>
    <s v="Delivered"/>
    <x v="3"/>
  </r>
  <r>
    <n v="1911"/>
    <s v="MetroLogistics"/>
    <s v="2026-05-28"/>
    <s v="2026-05-28"/>
    <d v="2026-06-02T00:00:00"/>
    <d v="2026-06-03T00:00:00"/>
    <s v="2026-06-05"/>
    <n v="0"/>
    <x v="2"/>
    <s v="Delivered"/>
    <x v="2"/>
  </r>
  <r>
    <n v="1912"/>
    <s v="SwiftShip"/>
    <s v="2026-01-22"/>
    <s v="2026-01-23"/>
    <d v="2026-01-27T00:00:00"/>
    <d v="2026-01-27T00:00:00"/>
    <s v="2026-01-29"/>
    <n v="0"/>
    <x v="0"/>
    <s v="Delivered"/>
    <x v="3"/>
  </r>
  <r>
    <n v="1913"/>
    <s v="ParcelOne"/>
    <s v="2026-02-02"/>
    <s v="2026-02-02"/>
    <d v="2026-02-07T00:00:00"/>
    <d v="2026-02-08T00:00:00"/>
    <s v="2026-02-08"/>
    <n v="0"/>
    <x v="1"/>
    <s v="Delivered"/>
    <x v="2"/>
  </r>
  <r>
    <n v="1914"/>
    <s v="SwiftShip"/>
    <s v="2026-05-01"/>
    <s v="2026-05-01"/>
    <d v="2026-05-06T00:00:00"/>
    <d v="2026-05-04T00:00:00"/>
    <s v="2026-05-04"/>
    <n v="0"/>
    <x v="0"/>
    <s v="Delivered"/>
    <x v="3"/>
  </r>
  <r>
    <n v="1915"/>
    <s v="SwiftShip"/>
    <s v="2026-03-21"/>
    <s v="2026-03-21"/>
    <d v="2026-03-26T00:00:00"/>
    <d v="2026-03-26T00:00:00"/>
    <s v="2026-03-26"/>
    <n v="0"/>
    <x v="0"/>
    <s v="Delivered"/>
    <x v="3"/>
  </r>
  <r>
    <n v="1916"/>
    <s v="SwiftShip"/>
    <s v="2026-05-09"/>
    <s v="2026-05-09"/>
    <d v="2026-05-14T00:00:00"/>
    <d v="2026-05-12T00:00:00"/>
    <s v="2026-05-12"/>
    <n v="0"/>
    <x v="0"/>
    <s v="Delivered"/>
    <x v="3"/>
  </r>
  <r>
    <n v="1917"/>
    <s v="MetroLogistics"/>
    <s v="2026-06-28"/>
    <s v="2026-06-28"/>
    <d v="2026-07-03T00:00:00"/>
    <d v="2026-07-04T00:00:00"/>
    <s v="2026-07-05"/>
    <n v="0"/>
    <x v="2"/>
    <s v="Delivered"/>
    <x v="2"/>
  </r>
  <r>
    <n v="1918"/>
    <s v="SwiftShip"/>
    <s v="2026-01-04"/>
    <s v="2026-01-04"/>
    <d v="2026-01-09T00:00:00"/>
    <m/>
    <m/>
    <n v="0"/>
    <x v="0"/>
    <s v="Shipped"/>
    <x v="0"/>
  </r>
  <r>
    <n v="1919"/>
    <s v="MetroLogistics"/>
    <s v="2026-06-28"/>
    <s v="2026-06-28"/>
    <d v="2026-07-03T00:00:00"/>
    <d v="2026-07-03T00:00:00"/>
    <s v="2026-07-03"/>
    <n v="0"/>
    <x v="2"/>
    <s v="Delivered"/>
    <x v="3"/>
  </r>
  <r>
    <n v="1920"/>
    <s v="SwiftShip"/>
    <s v="2026-04-18"/>
    <s v="2026-04-18"/>
    <d v="2026-04-23T00:00:00"/>
    <d v="2026-04-24T00:00:00"/>
    <s v="2026-04-24"/>
    <n v="0"/>
    <x v="0"/>
    <s v="Delivered"/>
    <x v="2"/>
  </r>
  <r>
    <n v="1921"/>
    <s v="SwiftShip"/>
    <s v="2026-03-19"/>
    <s v="2026-03-19"/>
    <d v="2026-03-24T00:00:00"/>
    <d v="2026-03-22T00:00:00"/>
    <s v="2026-03-22"/>
    <n v="0"/>
    <x v="0"/>
    <s v="Delivered"/>
    <x v="3"/>
  </r>
  <r>
    <n v="1922"/>
    <s v="ParcelOne"/>
    <s v="2026-02-20"/>
    <s v="2026-02-20"/>
    <d v="2026-02-25T00:00:00"/>
    <d v="2026-02-25T00:00:00"/>
    <s v="2026-02-25"/>
    <n v="0"/>
    <x v="1"/>
    <s v="Delivered"/>
    <x v="3"/>
  </r>
  <r>
    <n v="1923"/>
    <s v="SwiftShip"/>
    <s v="2026-05-12"/>
    <s v="2026-05-14"/>
    <d v="2026-05-17T00:00:00"/>
    <d v="2026-05-19T00:00:00"/>
    <s v="2026-05-19"/>
    <n v="0"/>
    <x v="0"/>
    <s v="Delivered"/>
    <x v="2"/>
  </r>
  <r>
    <n v="1924"/>
    <s v="SwiftShip"/>
    <s v="2026-02-20"/>
    <s v="2026-02-22"/>
    <d v="2026-02-25T00:00:00"/>
    <d v="2026-02-25T00:00:00"/>
    <s v="2026-02-25"/>
    <n v="0"/>
    <x v="0"/>
    <s v="Delivered"/>
    <x v="3"/>
  </r>
  <r>
    <n v="1925"/>
    <s v="SwiftShip"/>
    <s v="2026-01-30"/>
    <s v="2026-01-30"/>
    <d v="2026-02-04T00:00:00"/>
    <d v="2026-02-04T00:00:00"/>
    <s v="2026-02-04"/>
    <n v="0"/>
    <x v="0"/>
    <s v="Delivered"/>
    <x v="3"/>
  </r>
  <r>
    <n v="1926"/>
    <s v="SwiftShip"/>
    <s v="2026-03-11"/>
    <s v="2026-03-11"/>
    <d v="2026-03-16T00:00:00"/>
    <d v="2026-03-16T00:00:00"/>
    <s v="2026-03-16"/>
    <n v="0"/>
    <x v="0"/>
    <s v="Delivered"/>
    <x v="3"/>
  </r>
  <r>
    <n v="1927"/>
    <s v="SwiftShip"/>
    <s v="2026-01-16"/>
    <s v="2026-01-16"/>
    <d v="2026-01-21T00:00:00"/>
    <d v="2026-01-21T00:00:00"/>
    <s v="2026-01-21"/>
    <n v="0"/>
    <x v="0"/>
    <s v="Delivered"/>
    <x v="3"/>
  </r>
  <r>
    <n v="1928"/>
    <s v="ParcelOne"/>
    <s v="2026-02-17"/>
    <s v="2026-02-19"/>
    <d v="2026-02-22T00:00:00"/>
    <d v="2026-02-21T00:00:00"/>
    <s v="2026-02-21"/>
    <n v="0"/>
    <x v="1"/>
    <s v="Delivered"/>
    <x v="3"/>
  </r>
  <r>
    <n v="1929"/>
    <s v="SwiftShip"/>
    <s v="2026-05-30"/>
    <s v="2026-05-30"/>
    <d v="2026-06-04T00:00:00"/>
    <d v="2026-06-05T00:00:00"/>
    <s v="2026-06-06"/>
    <n v="0"/>
    <x v="0"/>
    <s v="Delivered"/>
    <x v="2"/>
  </r>
  <r>
    <n v="1930"/>
    <s v="SwiftShip"/>
    <s v="2026-05-09"/>
    <s v="2026-05-09"/>
    <d v="2026-05-14T00:00:00"/>
    <d v="2026-05-14T00:00:00"/>
    <s v="2026-05-14"/>
    <n v="0"/>
    <x v="0"/>
    <s v="Delivered"/>
    <x v="3"/>
  </r>
  <r>
    <n v="1932"/>
    <s v="ParcelOne"/>
    <s v="2026-02-14"/>
    <s v="2026-02-14"/>
    <d v="2026-02-19T00:00:00"/>
    <d v="2026-02-17T00:00:00"/>
    <s v="2026-02-19"/>
    <n v="0"/>
    <x v="1"/>
    <s v="Delivered"/>
    <x v="3"/>
  </r>
  <r>
    <n v="1933"/>
    <s v="MetroLogistics"/>
    <s v="2026-02-15"/>
    <s v="2026-02-15"/>
    <d v="2026-02-20T00:00:00"/>
    <d v="2026-02-18T00:00:00"/>
    <s v="2026-02-18"/>
    <n v="0"/>
    <x v="2"/>
    <s v="Delivered"/>
    <x v="3"/>
  </r>
  <r>
    <n v="1934"/>
    <s v="SwiftShip"/>
    <s v="2026-03-18"/>
    <s v="2026-03-18"/>
    <d v="2026-03-23T00:00:00"/>
    <d v="2026-03-24T00:00:00"/>
    <s v="2026-03-26"/>
    <n v="0"/>
    <x v="0"/>
    <s v="Delivered"/>
    <x v="2"/>
  </r>
  <r>
    <n v="1935"/>
    <s v="MetroLogistics"/>
    <s v="2026-06-21"/>
    <s v="2026-06-22"/>
    <d v="2026-06-26T00:00:00"/>
    <d v="2026-06-27T00:00:00"/>
    <s v="2026-06-28"/>
    <n v="0"/>
    <x v="2"/>
    <s v="Delivered"/>
    <x v="2"/>
  </r>
  <r>
    <n v="1936"/>
    <s v="MetroLogistics"/>
    <s v="2026-05-06"/>
    <s v="2026-05-06"/>
    <d v="2026-05-11T00:00:00"/>
    <d v="2026-05-09T00:00:00"/>
    <s v="2026-05-09"/>
    <n v="0"/>
    <x v="2"/>
    <s v="Delivered"/>
    <x v="3"/>
  </r>
  <r>
    <n v="1937"/>
    <s v="SwiftShip"/>
    <s v="2026-04-23"/>
    <s v="2026-04-25"/>
    <d v="2026-04-28T00:00:00"/>
    <d v="2026-04-30T00:00:00"/>
    <s v="2026-04-30"/>
    <n v="0"/>
    <x v="0"/>
    <s v="Delivered"/>
    <x v="2"/>
  </r>
  <r>
    <n v="1938"/>
    <s v="SwiftShip"/>
    <s v="2026-05-17"/>
    <s v="2026-05-17"/>
    <d v="2026-05-22T00:00:00"/>
    <d v="2026-05-20T00:00:00"/>
    <s v="2026-05-20"/>
    <n v="0"/>
    <x v="0"/>
    <s v="Delivered"/>
    <x v="3"/>
  </r>
  <r>
    <n v="1939"/>
    <s v="MetroLogistics"/>
    <s v="2026-06-08"/>
    <s v="2026-06-08"/>
    <d v="2026-06-13T00:00:00"/>
    <d v="2026-06-12T00:00:00"/>
    <s v="2026-06-14"/>
    <n v="0"/>
    <x v="2"/>
    <s v="Delivered"/>
    <x v="3"/>
  </r>
  <r>
    <n v="1940"/>
    <s v="ParcelOne"/>
    <s v="2026-05-25"/>
    <s v="2026-05-25"/>
    <d v="2026-05-30T00:00:00"/>
    <d v="2026-05-29T00:00:00"/>
    <s v="2026-05-30"/>
    <n v="0"/>
    <x v="1"/>
    <s v="Delivered"/>
    <x v="3"/>
  </r>
  <r>
    <n v="1941"/>
    <s v="MetroLogistics"/>
    <s v="2026-01-16"/>
    <s v="2026-01-16"/>
    <d v="2026-01-21T00:00:00"/>
    <d v="2026-01-21T00:00:00"/>
    <s v="2026-01-21"/>
    <n v="0"/>
    <x v="2"/>
    <s v="Delivered"/>
    <x v="3"/>
  </r>
  <r>
    <n v="1942"/>
    <s v="MetroLogistics"/>
    <s v="2026-06-22"/>
    <s v="2026-06-22"/>
    <d v="2026-06-27T00:00:00"/>
    <m/>
    <m/>
    <n v="0"/>
    <x v="2"/>
    <s v="Shipped"/>
    <x v="0"/>
  </r>
  <r>
    <n v="1943"/>
    <s v="SwiftShip"/>
    <s v="2026-02-22"/>
    <s v="2026-02-22"/>
    <d v="2026-02-27T00:00:00"/>
    <d v="2026-02-28T00:00:00"/>
    <s v="2026-02-28"/>
    <n v="0"/>
    <x v="0"/>
    <s v="Delivered"/>
    <x v="2"/>
  </r>
  <r>
    <n v="1945"/>
    <s v="MetroLogistics"/>
    <s v="2026-06-26"/>
    <s v="2026-06-26"/>
    <d v="2026-07-01T00:00:00"/>
    <d v="2026-06-30T00:00:00"/>
    <s v="2026-06-30"/>
    <n v="0"/>
    <x v="2"/>
    <s v="Delivered"/>
    <x v="3"/>
  </r>
  <r>
    <n v="1946"/>
    <s v="SwiftShip"/>
    <s v="2026-05-01"/>
    <s v="2026-05-01"/>
    <d v="2026-05-06T00:00:00"/>
    <d v="2026-05-07T00:00:00"/>
    <s v="2026-05-07"/>
    <n v="0"/>
    <x v="0"/>
    <s v="Delivered"/>
    <x v="2"/>
  </r>
  <r>
    <n v="1947"/>
    <s v="ParcelOne"/>
    <s v="2026-04-22"/>
    <s v="2026-04-22"/>
    <d v="2026-04-27T00:00:00"/>
    <d v="2026-04-26T00:00:00"/>
    <s v="2026-04-28"/>
    <n v="0"/>
    <x v="1"/>
    <s v="Delivered"/>
    <x v="3"/>
  </r>
  <r>
    <n v="1948"/>
    <s v="MetroLogistics"/>
    <s v="2026-05-31"/>
    <s v="2026-05-31"/>
    <d v="2026-06-05T00:00:00"/>
    <d v="2026-06-03T00:00:00"/>
    <s v="2026-06-04"/>
    <n v="0"/>
    <x v="2"/>
    <s v="Delivered"/>
    <x v="3"/>
  </r>
  <r>
    <n v="1949"/>
    <s v="SwiftShip"/>
    <s v="2026-04-30"/>
    <s v="2026-04-30"/>
    <d v="2026-05-05T00:00:00"/>
    <d v="2026-05-04T00:00:00"/>
    <s v="2026-05-04"/>
    <n v="0"/>
    <x v="0"/>
    <s v="Delivered"/>
    <x v="3"/>
  </r>
  <r>
    <n v="1950"/>
    <s v="SwiftShip"/>
    <s v="2026-06-28"/>
    <s v="2026-06-28"/>
    <d v="2026-07-03T00:00:00"/>
    <d v="2026-07-03T00:00:00"/>
    <s v="2026-07-03"/>
    <n v="0"/>
    <x v="0"/>
    <s v="Delivered"/>
    <x v="3"/>
  </r>
  <r>
    <n v="1951"/>
    <s v="ParcelOne"/>
    <s v="2026-02-06"/>
    <s v="2026-02-06"/>
    <d v="2026-02-11T00:00:00"/>
    <d v="2026-02-10T00:00:00"/>
    <s v="2026-02-10"/>
    <n v="0"/>
    <x v="1"/>
    <s v="Delivered"/>
    <x v="3"/>
  </r>
  <r>
    <n v="1953"/>
    <s v="MetroLogistics"/>
    <s v="2026-01-29"/>
    <s v="2026-01-29"/>
    <d v="2026-02-03T00:00:00"/>
    <d v="2026-02-07T00:00:00"/>
    <s v="2026-02-08"/>
    <n v="0"/>
    <x v="2"/>
    <s v="Delivered"/>
    <x v="2"/>
  </r>
  <r>
    <n v="1954"/>
    <s v="MetroLogistics"/>
    <s v="2026-03-10"/>
    <s v="2026-03-10"/>
    <d v="2026-03-15T00:00:00"/>
    <d v="2026-03-16T00:00:00"/>
    <s v="2026-03-16"/>
    <n v="0"/>
    <x v="2"/>
    <s v="Delivered"/>
    <x v="2"/>
  </r>
  <r>
    <n v="1955"/>
    <s v="ParcelOne"/>
    <s v="2026-07-01"/>
    <s v="2026-07-01"/>
    <d v="2026-07-06T00:00:00"/>
    <d v="2026-07-06T00:00:00"/>
    <s v="2026-07-06"/>
    <n v="0"/>
    <x v="1"/>
    <s v="Delivered"/>
    <x v="3"/>
  </r>
  <r>
    <n v="1956"/>
    <s v="SwiftShip"/>
    <s v="2026-05-01"/>
    <s v="2026-05-01"/>
    <d v="2026-05-06T00:00:00"/>
    <d v="2026-05-06T00:00:00"/>
    <s v="2026-05-06"/>
    <n v="0"/>
    <x v="0"/>
    <s v="Delivered"/>
    <x v="3"/>
  </r>
  <r>
    <n v="1957"/>
    <s v="ParcelOne"/>
    <s v="2026-01-11"/>
    <s v="2026-01-11"/>
    <d v="2026-01-16T00:00:00"/>
    <d v="2026-01-17T00:00:00"/>
    <s v="2026-01-17"/>
    <n v="0"/>
    <x v="1"/>
    <s v="Delivered"/>
    <x v="2"/>
  </r>
  <r>
    <n v="1958"/>
    <s v="MetroLogistics"/>
    <s v="2026-04-04"/>
    <s v="2026-04-04"/>
    <d v="2026-04-09T00:00:00"/>
    <d v="2026-04-08T00:00:00"/>
    <s v="2026-04-08"/>
    <n v="0"/>
    <x v="2"/>
    <s v="Delivered"/>
    <x v="3"/>
  </r>
  <r>
    <n v="1959"/>
    <s v="SwiftShip"/>
    <s v="2026-05-27"/>
    <s v="2026-05-29"/>
    <d v="2026-06-01T00:00:00"/>
    <d v="2026-06-01T00:00:00"/>
    <s v="2026-06-01"/>
    <n v="0"/>
    <x v="0"/>
    <s v="Delivered"/>
    <x v="3"/>
  </r>
  <r>
    <n v="1960"/>
    <s v="SwiftShip"/>
    <s v="2026-06-07"/>
    <s v="2026-06-07"/>
    <d v="2026-06-12T00:00:00"/>
    <d v="2026-06-12T00:00:00"/>
    <s v="2026-06-12"/>
    <n v="0"/>
    <x v="0"/>
    <s v="Delivered"/>
    <x v="3"/>
  </r>
  <r>
    <n v="1961"/>
    <s v="ParcelOne"/>
    <s v="2026-01-20"/>
    <s v="2026-01-20"/>
    <d v="2026-01-25T00:00:00"/>
    <d v="2026-01-26T00:00:00"/>
    <s v="2026-01-26"/>
    <n v="0"/>
    <x v="1"/>
    <s v="Delivered"/>
    <x v="2"/>
  </r>
  <r>
    <n v="1962"/>
    <s v="SwiftShip"/>
    <s v="2026-03-04"/>
    <s v="2026-03-04"/>
    <d v="2026-03-09T00:00:00"/>
    <d v="2026-03-10T00:00:00"/>
    <s v="2026-03-10"/>
    <n v="0"/>
    <x v="0"/>
    <s v="Delivered"/>
    <x v="2"/>
  </r>
  <r>
    <n v="1963"/>
    <s v="MetroLogistics"/>
    <s v="2026-06-07"/>
    <s v="2026-06-07"/>
    <d v="2026-06-12T00:00:00"/>
    <d v="2026-06-12T00:00:00"/>
    <s v="2026-06-14"/>
    <n v="0"/>
    <x v="2"/>
    <s v="Delivered"/>
    <x v="3"/>
  </r>
  <r>
    <n v="1964"/>
    <s v="ParcelOne"/>
    <s v="2026-05-25"/>
    <s v="2026-05-25"/>
    <d v="2026-05-30T00:00:00"/>
    <d v="2026-05-29T00:00:00"/>
    <s v="2026-05-30"/>
    <n v="0"/>
    <x v="1"/>
    <s v="Delivered"/>
    <x v="3"/>
  </r>
  <r>
    <n v="1965"/>
    <s v="MetroLogistics"/>
    <s v="2026-01-25"/>
    <s v="2026-01-26"/>
    <d v="2026-01-30T00:00:00"/>
    <d v="2026-01-30T00:00:00"/>
    <s v="2026-01-30"/>
    <n v="0"/>
    <x v="2"/>
    <s v="Delivered"/>
    <x v="3"/>
  </r>
  <r>
    <n v="1966"/>
    <s v="ParcelOne"/>
    <s v="2026-01-21"/>
    <s v="2026-01-21"/>
    <d v="2026-01-26T00:00:00"/>
    <d v="2026-01-28T00:00:00"/>
    <s v="2026-01-29"/>
    <n v="0"/>
    <x v="1"/>
    <s v="Delivered"/>
    <x v="2"/>
  </r>
  <r>
    <n v="1967"/>
    <s v="SwiftShip"/>
    <s v="2026-04-25"/>
    <s v="2026-04-25"/>
    <d v="2026-04-30T00:00:00"/>
    <d v="2026-04-30T00:00:00"/>
    <s v="2026-04-30"/>
    <n v="0"/>
    <x v="0"/>
    <s v="Delivered"/>
    <x v="3"/>
  </r>
  <r>
    <n v="1968"/>
    <s v="ParcelOne"/>
    <s v="2026-03-03"/>
    <s v="2026-03-03"/>
    <d v="2026-03-08T00:00:00"/>
    <d v="2026-03-08T00:00:00"/>
    <s v="2026-03-09"/>
    <n v="0"/>
    <x v="1"/>
    <s v="Delivered"/>
    <x v="3"/>
  </r>
  <r>
    <n v="1969"/>
    <s v="ParcelOne"/>
    <s v="2026-03-17"/>
    <s v="2026-03-17"/>
    <d v="2026-03-22T00:00:00"/>
    <d v="2026-03-20T00:00:00"/>
    <s v="2026-03-20"/>
    <n v="0"/>
    <x v="1"/>
    <s v="Delivered"/>
    <x v="3"/>
  </r>
  <r>
    <n v="1970"/>
    <s v="MetroLogistics"/>
    <s v="2026-06-01"/>
    <s v="2026-06-01"/>
    <d v="2026-06-06T00:00:00"/>
    <d v="2026-06-07T00:00:00"/>
    <s v="2026-06-07"/>
    <n v="0"/>
    <x v="2"/>
    <s v="Delivered"/>
    <x v="2"/>
  </r>
  <r>
    <n v="1971"/>
    <s v="MetroLogistics"/>
    <s v="2026-03-28"/>
    <s v="2026-03-29"/>
    <d v="2026-04-02T00:00:00"/>
    <m/>
    <m/>
    <n v="0"/>
    <x v="2"/>
    <s v="Shipped"/>
    <x v="0"/>
  </r>
  <r>
    <n v="1972"/>
    <s v="ParcelOne"/>
    <s v="2026-06-08"/>
    <s v="2026-06-10"/>
    <d v="2026-06-13T00:00:00"/>
    <d v="2026-06-13T00:00:00"/>
    <s v="2026-06-13"/>
    <n v="0"/>
    <x v="1"/>
    <s v="Delivered"/>
    <x v="3"/>
  </r>
  <r>
    <n v="1973"/>
    <s v="ParcelOne"/>
    <s v="2026-05-10"/>
    <s v="2026-05-12"/>
    <d v="2026-05-15T00:00:00"/>
    <d v="2026-05-13T00:00:00"/>
    <s v="2026-05-13"/>
    <n v="0"/>
    <x v="1"/>
    <s v="Delivered"/>
    <x v="3"/>
  </r>
  <r>
    <n v="1974"/>
    <s v="SwiftShip"/>
    <s v="2026-05-19"/>
    <s v="2026-05-19"/>
    <d v="2026-05-24T00:00:00"/>
    <d v="2026-05-25T00:00:00"/>
    <s v="2026-05-25"/>
    <n v="0"/>
    <x v="0"/>
    <s v="Delivered"/>
    <x v="2"/>
  </r>
  <r>
    <n v="1975"/>
    <s v="ParcelOne"/>
    <s v="2026-05-23"/>
    <s v="2026-05-23"/>
    <d v="2026-05-28T00:00:00"/>
    <d v="2026-05-28T00:00:00"/>
    <s v="2026-05-30"/>
    <n v="0"/>
    <x v="1"/>
    <s v="Delivered"/>
    <x v="3"/>
  </r>
  <r>
    <n v="1976"/>
    <s v="ParcelOne"/>
    <s v="2026-03-03"/>
    <s v="2026-03-05"/>
    <d v="2026-03-08T00:00:00"/>
    <d v="2026-03-06T00:00:00"/>
    <s v="2026-03-06"/>
    <n v="0"/>
    <x v="1"/>
    <s v="Delivered"/>
    <x v="3"/>
  </r>
  <r>
    <n v="1977"/>
    <s v="SwiftShip"/>
    <s v="2026-01-22"/>
    <s v="2026-01-22"/>
    <d v="2026-01-27T00:00:00"/>
    <d v="2026-01-27T00:00:00"/>
    <s v="2026-01-28"/>
    <n v="0"/>
    <x v="0"/>
    <s v="Delivered"/>
    <x v="3"/>
  </r>
  <r>
    <n v="1978"/>
    <s v="ParcelOne"/>
    <s v="2026-02-05"/>
    <s v="2026-02-05"/>
    <d v="2026-02-10T00:00:00"/>
    <d v="2026-02-11T00:00:00"/>
    <s v="2026-02-11"/>
    <n v="0"/>
    <x v="1"/>
    <s v="Delivered"/>
    <x v="2"/>
  </r>
  <r>
    <n v="1979"/>
    <s v="MetroLogistics"/>
    <s v="2026-04-26"/>
    <s v="2026-04-26"/>
    <d v="2026-05-01T00:00:00"/>
    <d v="2026-05-03T00:00:00"/>
    <s v="2026-05-03"/>
    <n v="0"/>
    <x v="2"/>
    <s v="Delivered"/>
    <x v="2"/>
  </r>
  <r>
    <n v="1980"/>
    <s v="MetroLogistics"/>
    <s v="2026-05-07"/>
    <s v="2026-05-07"/>
    <d v="2026-05-12T00:00:00"/>
    <d v="2026-05-12T00:00:00"/>
    <s v="2026-05-12"/>
    <n v="0"/>
    <x v="2"/>
    <s v="Delivered"/>
    <x v="3"/>
  </r>
  <r>
    <n v="1981"/>
    <s v="SwiftShip"/>
    <s v="2026-02-08"/>
    <s v="2026-02-09"/>
    <d v="2026-02-13T00:00:00"/>
    <d v="2026-02-13T00:00:00"/>
    <s v="2026-02-13"/>
    <n v="0"/>
    <x v="0"/>
    <s v="Delivered"/>
    <x v="3"/>
  </r>
  <r>
    <n v="1982"/>
    <s v="SwiftShip"/>
    <s v="2026-01-24"/>
    <s v="2026-01-24"/>
    <d v="2026-01-29T00:00:00"/>
    <d v="2026-01-28T00:00:00"/>
    <s v="2026-01-28"/>
    <n v="0"/>
    <x v="0"/>
    <s v="Delivered"/>
    <x v="3"/>
  </r>
  <r>
    <n v="1983"/>
    <s v="SwiftShip"/>
    <s v="2026-05-19"/>
    <s v="2026-05-21"/>
    <d v="2026-05-24T00:00:00"/>
    <d v="2026-05-26T00:00:00"/>
    <s v="2026-05-26"/>
    <n v="0"/>
    <x v="0"/>
    <s v="Delivered"/>
    <x v="2"/>
  </r>
  <r>
    <n v="1984"/>
    <s v="ParcelOne"/>
    <s v="2026-03-11"/>
    <s v="2026-03-12"/>
    <d v="2026-03-16T00:00:00"/>
    <d v="2026-03-17T00:00:00"/>
    <s v="2026-03-19"/>
    <n v="0"/>
    <x v="1"/>
    <s v="Delivered"/>
    <x v="2"/>
  </r>
  <r>
    <n v="1985"/>
    <s v="ParcelOne"/>
    <s v="2026-01-30"/>
    <s v="2026-01-30"/>
    <d v="2026-02-04T00:00:00"/>
    <d v="2026-02-08T00:00:00"/>
    <s v="2026-02-08"/>
    <n v="0"/>
    <x v="1"/>
    <s v="Delivered"/>
    <x v="2"/>
  </r>
  <r>
    <n v="1986"/>
    <s v="SwiftShip"/>
    <s v="2026-03-15"/>
    <s v="2026-03-15"/>
    <d v="2026-03-20T00:00:00"/>
    <d v="2026-03-20T00:00:00"/>
    <s v="2026-03-20"/>
    <n v="0"/>
    <x v="0"/>
    <s v="Delivered"/>
    <x v="3"/>
  </r>
  <r>
    <n v="1987"/>
    <s v="ParcelOne"/>
    <s v="2026-03-12"/>
    <s v="2026-03-13"/>
    <d v="2026-03-17T00:00:00"/>
    <d v="2026-03-19T00:00:00"/>
    <s v="2026-03-19"/>
    <n v="0"/>
    <x v="1"/>
    <s v="Delivered"/>
    <x v="2"/>
  </r>
  <r>
    <n v="1988"/>
    <s v="MetroLogistics"/>
    <s v="2026-04-25"/>
    <s v="2026-04-25"/>
    <d v="2026-04-30T00:00:00"/>
    <d v="2026-05-04T00:00:00"/>
    <s v="2026-05-04"/>
    <n v="0"/>
    <x v="2"/>
    <s v="Delivered"/>
    <x v="2"/>
  </r>
  <r>
    <n v="1989"/>
    <s v="ParcelOne"/>
    <s v="2026-05-24"/>
    <s v="2026-05-25"/>
    <d v="2026-05-29T00:00:00"/>
    <d v="2026-05-28T00:00:00"/>
    <s v="2026-05-28"/>
    <n v="0"/>
    <x v="1"/>
    <s v="Delivered"/>
    <x v="3"/>
  </r>
  <r>
    <n v="1990"/>
    <s v="SwiftShip"/>
    <s v="2026-06-10"/>
    <s v="2026-06-10"/>
    <d v="2026-06-15T00:00:00"/>
    <d v="2026-06-15T00:00:00"/>
    <s v="2026-06-15"/>
    <n v="0"/>
    <x v="0"/>
    <s v="Delivered"/>
    <x v="3"/>
  </r>
  <r>
    <n v="1991"/>
    <s v="SwiftShip"/>
    <s v="2026-01-13"/>
    <s v="2026-01-15"/>
    <d v="2026-01-18T00:00:00"/>
    <d v="2026-01-16T00:00:00"/>
    <s v="2026-01-17"/>
    <n v="0"/>
    <x v="0"/>
    <s v="Delivered"/>
    <x v="3"/>
  </r>
  <r>
    <n v="1992"/>
    <s v="SwiftShip"/>
    <s v="2026-05-21"/>
    <s v="2026-05-21"/>
    <d v="2026-05-26T00:00:00"/>
    <d v="2026-05-25T00:00:00"/>
    <s v="2026-05-25"/>
    <n v="0"/>
    <x v="0"/>
    <s v="Delivered"/>
    <x v="3"/>
  </r>
  <r>
    <n v="1993"/>
    <s v="SwiftShip"/>
    <s v="2026-06-26"/>
    <s v="2026-06-26"/>
    <d v="2026-07-01T00:00:00"/>
    <d v="2026-07-01T00:00:00"/>
    <s v="2026-07-01"/>
    <n v="0"/>
    <x v="0"/>
    <s v="Delivered"/>
    <x v="3"/>
  </r>
  <r>
    <n v="1994"/>
    <s v="MetroLogistics"/>
    <s v="2026-03-19"/>
    <s v="2026-03-19"/>
    <d v="2026-03-24T00:00:00"/>
    <d v="2026-03-23T00:00:00"/>
    <s v="2026-03-23"/>
    <n v="0"/>
    <x v="2"/>
    <s v="Delivered"/>
    <x v="3"/>
  </r>
  <r>
    <n v="1995"/>
    <s v="MetroLogistics"/>
    <s v="2026-05-13"/>
    <s v="2026-05-13"/>
    <d v="2026-05-18T00:00:00"/>
    <d v="2026-05-17T00:00:00"/>
    <s v="2026-05-17"/>
    <n v="0"/>
    <x v="2"/>
    <s v="Delivered"/>
    <x v="3"/>
  </r>
  <r>
    <n v="1996"/>
    <s v="MetroLogistics"/>
    <s v="2026-01-23"/>
    <s v="2026-01-23"/>
    <d v="2026-01-28T00:00:00"/>
    <m/>
    <m/>
    <n v="0"/>
    <x v="2"/>
    <s v="Shipped"/>
    <x v="0"/>
  </r>
  <r>
    <n v="1997"/>
    <s v="ParcelOne"/>
    <s v="2026-05-17"/>
    <s v="2026-05-17"/>
    <d v="2026-05-22T00:00:00"/>
    <d v="2026-05-23T00:00:00"/>
    <s v="2026-05-25"/>
    <n v="0"/>
    <x v="1"/>
    <s v="Delivered"/>
    <x v="2"/>
  </r>
  <r>
    <n v="1998"/>
    <s v="SwiftShip"/>
    <s v="2026-04-29"/>
    <s v="2026-04-29"/>
    <d v="2026-05-04T00:00:00"/>
    <d v="2026-05-02T00:00:00"/>
    <s v="2026-05-02"/>
    <n v="0"/>
    <x v="0"/>
    <s v="Delivered"/>
    <x v="3"/>
  </r>
  <r>
    <n v="1999"/>
    <s v="MetroLogistics"/>
    <s v="2026-06-06"/>
    <s v="2026-06-08"/>
    <d v="2026-06-11T00:00:00"/>
    <d v="2026-06-10T00:00:00"/>
    <s v="2026-06-12"/>
    <n v="0"/>
    <x v="2"/>
    <s v="Delivered"/>
    <x v="3"/>
  </r>
  <r>
    <n v="2000"/>
    <s v="SwiftShip"/>
    <s v="2026-06-01"/>
    <s v="2026-06-01"/>
    <d v="2026-06-06T00:00:00"/>
    <d v="2026-06-06T00:00:00"/>
    <s v="2026-06-06"/>
    <n v="0"/>
    <x v="0"/>
    <s v="Delivered"/>
    <x v="3"/>
  </r>
  <r>
    <n v="2002"/>
    <s v="MetroLogistics"/>
    <s v="2026-02-14"/>
    <s v="2026-02-14"/>
    <d v="2026-02-19T00:00:00"/>
    <d v="2026-02-18T00:00:00"/>
    <s v="2026-02-18"/>
    <n v="0"/>
    <x v="2"/>
    <s v="Delivered"/>
    <x v="3"/>
  </r>
  <r>
    <n v="2003"/>
    <s v="SwiftShip"/>
    <s v="2026-05-18"/>
    <s v="2026-05-18"/>
    <d v="2026-05-23T00:00:00"/>
    <m/>
    <m/>
    <n v="0"/>
    <x v="0"/>
    <s v="Shipped"/>
    <x v="0"/>
  </r>
  <r>
    <n v="2004"/>
    <s v="MetroLogistics"/>
    <s v="2026-06-03"/>
    <s v="2026-06-03"/>
    <d v="2026-06-08T00:00:00"/>
    <d v="2026-06-08T00:00:00"/>
    <s v="2026-06-08"/>
    <n v="0"/>
    <x v="2"/>
    <s v="Delivered"/>
    <x v="3"/>
  </r>
  <r>
    <n v="2005"/>
    <s v="SwiftShip"/>
    <s v="2026-02-06"/>
    <s v="2026-02-06"/>
    <d v="2026-02-11T00:00:00"/>
    <d v="2026-02-11T00:00:00"/>
    <s v="2026-02-11"/>
    <n v="0"/>
    <x v="0"/>
    <s v="Delivered"/>
    <x v="3"/>
  </r>
  <r>
    <n v="2006"/>
    <s v="MetroLogistics"/>
    <s v="2026-03-26"/>
    <s v="2026-03-26"/>
    <d v="2026-03-31T00:00:00"/>
    <d v="2026-03-31T00:00:00"/>
    <s v="2026-04-01"/>
    <n v="0"/>
    <x v="2"/>
    <s v="Delivered"/>
    <x v="3"/>
  </r>
  <r>
    <n v="2007"/>
    <s v="MetroLogistics"/>
    <s v="2026-05-13"/>
    <s v="2026-05-15"/>
    <d v="2026-05-18T00:00:00"/>
    <d v="2026-05-16T00:00:00"/>
    <s v="2026-05-18"/>
    <n v="0"/>
    <x v="2"/>
    <s v="Delivered"/>
    <x v="3"/>
  </r>
  <r>
    <n v="2008"/>
    <s v="ParcelOne"/>
    <s v="2026-02-25"/>
    <s v="2026-02-25"/>
    <d v="2026-03-02T00:00:00"/>
    <d v="2026-03-02T00:00:00"/>
    <s v="2026-03-02"/>
    <n v="0"/>
    <x v="1"/>
    <s v="Delivered"/>
    <x v="3"/>
  </r>
  <r>
    <n v="2009"/>
    <s v="MetroLogistics"/>
    <s v="2026-03-17"/>
    <s v="2026-03-17"/>
    <d v="2026-03-22T00:00:00"/>
    <m/>
    <m/>
    <n v="0"/>
    <x v="2"/>
    <s v="Shipped"/>
    <x v="0"/>
  </r>
  <r>
    <n v="2010"/>
    <s v="MetroLogistics"/>
    <s v="2026-02-15"/>
    <s v="2026-02-15"/>
    <d v="2026-02-20T00:00:00"/>
    <d v="2026-02-24T00:00:00"/>
    <s v="2026-02-24"/>
    <n v="0"/>
    <x v="2"/>
    <s v="Delivered"/>
    <x v="2"/>
  </r>
  <r>
    <n v="2011"/>
    <s v="SwiftShip"/>
    <s v="2026-04-26"/>
    <s v="2026-04-26"/>
    <d v="2026-05-01T00:00:00"/>
    <d v="2026-04-30T00:00:00"/>
    <s v="2026-04-30"/>
    <n v="0"/>
    <x v="0"/>
    <s v="Delivered"/>
    <x v="3"/>
  </r>
  <r>
    <n v="2012"/>
    <s v="SwiftShip"/>
    <s v="2026-06-23"/>
    <s v="2026-06-23"/>
    <d v="2026-06-28T00:00:00"/>
    <d v="2026-06-28T00:00:00"/>
    <s v="2026-06-28"/>
    <n v="0"/>
    <x v="0"/>
    <s v="Delivered"/>
    <x v="3"/>
  </r>
  <r>
    <n v="2013"/>
    <s v="MetroLogistics"/>
    <s v="2026-04-29"/>
    <s v="2026-04-29"/>
    <d v="2026-05-04T00:00:00"/>
    <d v="2026-05-04T00:00:00"/>
    <s v="2026-05-05"/>
    <n v="0"/>
    <x v="2"/>
    <s v="Delivered"/>
    <x v="3"/>
  </r>
  <r>
    <n v="2014"/>
    <s v="ParcelOne"/>
    <s v="2026-01-12"/>
    <s v="2026-01-13"/>
    <d v="2026-01-17T00:00:00"/>
    <m/>
    <m/>
    <n v="0"/>
    <x v="1"/>
    <s v="Shipped"/>
    <x v="0"/>
  </r>
  <r>
    <n v="2015"/>
    <s v="ParcelOne"/>
    <s v="2026-06-24"/>
    <s v="2026-06-24"/>
    <d v="2026-06-29T00:00:00"/>
    <d v="2026-06-29T00:00:00"/>
    <s v="2026-06-29"/>
    <n v="0"/>
    <x v="1"/>
    <s v="Delivered"/>
    <x v="3"/>
  </r>
  <r>
    <n v="2017"/>
    <s v="ParcelOne"/>
    <s v="2026-05-08"/>
    <s v="2026-05-08"/>
    <d v="2026-05-13T00:00:00"/>
    <d v="2026-05-13T00:00:00"/>
    <s v="2026-05-13"/>
    <n v="0"/>
    <x v="1"/>
    <s v="Delivered"/>
    <x v="3"/>
  </r>
  <r>
    <n v="2018"/>
    <s v="SwiftShip"/>
    <s v="2026-03-20"/>
    <s v="2026-03-20"/>
    <d v="2026-03-25T00:00:00"/>
    <d v="2026-03-24T00:00:00"/>
    <s v="2026-03-25"/>
    <n v="0"/>
    <x v="0"/>
    <s v="Delivered"/>
    <x v="3"/>
  </r>
  <r>
    <n v="2019"/>
    <s v="SwiftShip"/>
    <s v="2026-04-20"/>
    <s v="2026-04-20"/>
    <d v="2026-04-25T00:00:00"/>
    <m/>
    <m/>
    <n v="0"/>
    <x v="0"/>
    <s v="Shipped"/>
    <x v="0"/>
  </r>
  <r>
    <n v="2020"/>
    <s v="SwiftShip"/>
    <s v="2026-03-25"/>
    <s v="2026-03-25"/>
    <d v="2026-03-30T00:00:00"/>
    <d v="2026-03-30T00:00:00"/>
    <s v="2026-03-30"/>
    <n v="0"/>
    <x v="0"/>
    <s v="Delivered"/>
    <x v="3"/>
  </r>
  <r>
    <n v="2021"/>
    <s v="ParcelOne"/>
    <s v="2026-01-18"/>
    <s v="2026-01-19"/>
    <d v="2026-01-23T00:00:00"/>
    <d v="2026-01-23T00:00:00"/>
    <s v="2026-01-23"/>
    <n v="0"/>
    <x v="1"/>
    <s v="Delivered"/>
    <x v="3"/>
  </r>
  <r>
    <n v="2022"/>
    <s v="ParcelOne"/>
    <s v="2026-03-12"/>
    <s v="2026-03-12"/>
    <d v="2026-03-17T00:00:00"/>
    <d v="2026-03-17T00:00:00"/>
    <s v="2026-03-17"/>
    <n v="0"/>
    <x v="1"/>
    <s v="Delivered"/>
    <x v="3"/>
  </r>
  <r>
    <n v="2023"/>
    <s v="MetroLogistics"/>
    <s v="2026-06-12"/>
    <s v="2026-06-14"/>
    <d v="2026-06-17T00:00:00"/>
    <d v="2026-06-15T00:00:00"/>
    <s v="2026-06-15"/>
    <n v="0"/>
    <x v="2"/>
    <s v="Delivered"/>
    <x v="3"/>
  </r>
  <r>
    <n v="2024"/>
    <s v="SwiftShip"/>
    <s v="2026-03-29"/>
    <s v="2026-03-29"/>
    <d v="2026-04-03T00:00:00"/>
    <m/>
    <m/>
    <n v="0"/>
    <x v="0"/>
    <s v="Shipped"/>
    <x v="0"/>
  </r>
  <r>
    <n v="2025"/>
    <s v="ParcelOne"/>
    <s v="2026-05-20"/>
    <s v="2026-05-20"/>
    <d v="2026-05-25T00:00:00"/>
    <d v="2026-05-25T00:00:00"/>
    <s v="2026-05-25"/>
    <n v="0"/>
    <x v="1"/>
    <s v="Delivered"/>
    <x v="3"/>
  </r>
  <r>
    <n v="2026"/>
    <s v="ParcelOne"/>
    <s v="2026-01-12"/>
    <s v="2026-01-12"/>
    <d v="2026-01-17T00:00:00"/>
    <d v="2026-01-15T00:00:00"/>
    <s v="2026-01-15"/>
    <n v="0"/>
    <x v="1"/>
    <s v="Delivered"/>
    <x v="3"/>
  </r>
  <r>
    <n v="2027"/>
    <s v="MetroLogistics"/>
    <s v="2026-03-02"/>
    <s v="2026-03-03"/>
    <d v="2026-03-07T00:00:00"/>
    <d v="2026-03-07T00:00:00"/>
    <s v="2026-03-07"/>
    <n v="0"/>
    <x v="2"/>
    <s v="Delivered"/>
    <x v="3"/>
  </r>
  <r>
    <n v="2029"/>
    <s v="SwiftShip"/>
    <s v="2026-01-08"/>
    <s v="2026-01-08"/>
    <d v="2026-01-13T00:00:00"/>
    <d v="2026-01-13T00:00:00"/>
    <s v="2026-01-13"/>
    <n v="0"/>
    <x v="0"/>
    <s v="Delivered"/>
    <x v="3"/>
  </r>
  <r>
    <n v="2030"/>
    <s v="MetroLogistics"/>
    <s v="2026-03-14"/>
    <s v="2026-03-14"/>
    <d v="2026-03-19T00:00:00"/>
    <d v="2026-03-18T00:00:00"/>
    <s v="2026-03-20"/>
    <n v="0"/>
    <x v="2"/>
    <s v="Delivered"/>
    <x v="3"/>
  </r>
  <r>
    <n v="2031"/>
    <s v="MetroLogistics"/>
    <s v="2026-03-15"/>
    <s v="2026-03-15"/>
    <d v="2026-03-20T00:00:00"/>
    <d v="2026-03-21T00:00:00"/>
    <s v="2026-03-21"/>
    <n v="0"/>
    <x v="2"/>
    <s v="Delivered"/>
    <x v="2"/>
  </r>
  <r>
    <n v="2032"/>
    <s v="ParcelOne"/>
    <s v="2026-01-09"/>
    <s v="2026-01-09"/>
    <d v="2026-01-14T00:00:00"/>
    <d v="2026-01-15T00:00:00"/>
    <s v="2026-01-17"/>
    <n v="0"/>
    <x v="1"/>
    <s v="Delivered"/>
    <x v="2"/>
  </r>
  <r>
    <n v="2033"/>
    <s v="MetroLogistics"/>
    <s v="2026-05-26"/>
    <s v="2026-05-26"/>
    <d v="2026-05-31T00:00:00"/>
    <d v="2026-05-31T00:00:00"/>
    <s v="2026-05-31"/>
    <n v="0"/>
    <x v="2"/>
    <s v="Delivered"/>
    <x v="3"/>
  </r>
  <r>
    <n v="2034"/>
    <s v="SwiftShip"/>
    <s v="2026-03-30"/>
    <s v="2026-03-30"/>
    <d v="2026-04-04T00:00:00"/>
    <d v="2026-04-03T00:00:00"/>
    <s v="2026-04-03"/>
    <n v="0"/>
    <x v="0"/>
    <s v="Delivered"/>
    <x v="3"/>
  </r>
  <r>
    <n v="2035"/>
    <s v="ParcelOne"/>
    <s v="2026-05-22"/>
    <s v="2026-05-22"/>
    <d v="2026-05-27T00:00:00"/>
    <d v="2026-05-25T00:00:00"/>
    <s v="2026-05-25"/>
    <n v="0"/>
    <x v="1"/>
    <s v="Delivered"/>
    <x v="3"/>
  </r>
  <r>
    <n v="2036"/>
    <s v="SwiftShip"/>
    <s v="2026-02-13"/>
    <s v="2026-02-14"/>
    <d v="2026-02-18T00:00:00"/>
    <d v="2026-02-17T00:00:00"/>
    <s v="2026-02-18"/>
    <n v="0"/>
    <x v="0"/>
    <s v="Delivered"/>
    <x v="3"/>
  </r>
  <r>
    <n v="2037"/>
    <s v="MetroLogistics"/>
    <s v="2026-02-15"/>
    <s v="2026-02-15"/>
    <d v="2026-02-20T00:00:00"/>
    <d v="2026-02-19T00:00:00"/>
    <s v="2026-02-21"/>
    <n v="0"/>
    <x v="2"/>
    <s v="Delivered"/>
    <x v="3"/>
  </r>
  <r>
    <n v="2038"/>
    <s v="MetroLogistics"/>
    <s v="2026-06-25"/>
    <s v="2026-06-26"/>
    <d v="2026-06-30T00:00:00"/>
    <d v="2026-07-04T00:00:00"/>
    <s v="2026-07-04"/>
    <n v="0"/>
    <x v="2"/>
    <s v="Delivered"/>
    <x v="2"/>
  </r>
  <r>
    <n v="2039"/>
    <s v="ParcelOne"/>
    <s v="2026-03-08"/>
    <s v="2026-03-08"/>
    <d v="2026-03-13T00:00:00"/>
    <d v="2026-03-13T00:00:00"/>
    <s v="2026-03-13"/>
    <n v="0"/>
    <x v="1"/>
    <s v="Delivered"/>
    <x v="3"/>
  </r>
  <r>
    <n v="2040"/>
    <s v="SwiftShip"/>
    <s v="2026-01-04"/>
    <s v="2026-01-04"/>
    <d v="2026-01-09T00:00:00"/>
    <d v="2026-01-09T00:00:00"/>
    <s v="2026-01-09"/>
    <n v="0"/>
    <x v="0"/>
    <s v="Delivered"/>
    <x v="3"/>
  </r>
  <r>
    <n v="2041"/>
    <s v="MetroLogistics"/>
    <s v="2026-06-04"/>
    <s v="2026-06-04"/>
    <d v="2026-06-09T00:00:00"/>
    <d v="2026-06-11T00:00:00"/>
    <s v="2026-06-11"/>
    <n v="0"/>
    <x v="2"/>
    <s v="Delivered"/>
    <x v="2"/>
  </r>
  <r>
    <n v="2042"/>
    <s v="ParcelOne"/>
    <s v="2026-03-22"/>
    <s v="2026-03-22"/>
    <d v="2026-03-27T00:00:00"/>
    <d v="2026-03-26T00:00:00"/>
    <s v="2026-03-26"/>
    <n v="0"/>
    <x v="1"/>
    <s v="Delivered"/>
    <x v="3"/>
  </r>
  <r>
    <n v="2043"/>
    <s v="ParcelOne"/>
    <s v="2026-03-11"/>
    <s v="2026-03-11"/>
    <d v="2026-03-16T00:00:00"/>
    <d v="2026-03-14T00:00:00"/>
    <s v="2026-03-14"/>
    <n v="0"/>
    <x v="1"/>
    <s v="Delivered"/>
    <x v="3"/>
  </r>
  <r>
    <n v="2044"/>
    <s v="SwiftShip"/>
    <s v="2026-01-26"/>
    <s v="2026-01-27"/>
    <d v="2026-01-31T00:00:00"/>
    <m/>
    <m/>
    <n v="0"/>
    <x v="0"/>
    <s v="Shipped"/>
    <x v="0"/>
  </r>
  <r>
    <n v="2046"/>
    <s v="SwiftShip"/>
    <s v="2026-04-21"/>
    <s v="2026-04-21"/>
    <d v="2026-04-26T00:00:00"/>
    <d v="2026-04-26T00:00:00"/>
    <s v="2026-04-26"/>
    <n v="0"/>
    <x v="0"/>
    <s v="Delivered"/>
    <x v="3"/>
  </r>
  <r>
    <n v="2047"/>
    <s v="MetroLogistics"/>
    <s v="2026-05-16"/>
    <s v="2026-05-16"/>
    <d v="2026-05-21T00:00:00"/>
    <d v="2026-05-22T00:00:00"/>
    <s v="2026-05-22"/>
    <n v="0"/>
    <x v="2"/>
    <s v="Delivered"/>
    <x v="2"/>
  </r>
  <r>
    <n v="2048"/>
    <s v="MetroLogistics"/>
    <s v="2026-04-24"/>
    <s v="2026-04-24"/>
    <d v="2026-04-29T00:00:00"/>
    <d v="2026-04-29T00:00:00"/>
    <s v="2026-04-29"/>
    <n v="0"/>
    <x v="2"/>
    <s v="Delivered"/>
    <x v="3"/>
  </r>
  <r>
    <n v="2050"/>
    <s v="MetroLogistics"/>
    <s v="2026-04-26"/>
    <s v="2026-04-26"/>
    <d v="2026-05-01T00:00:00"/>
    <d v="2026-05-03T00:00:00"/>
    <s v="2026-05-05"/>
    <n v="0"/>
    <x v="2"/>
    <s v="Delivered"/>
    <x v="2"/>
  </r>
  <r>
    <n v="2051"/>
    <s v="ParcelOne"/>
    <s v="2026-01-06"/>
    <s v="2026-01-06"/>
    <d v="2026-01-11T00:00:00"/>
    <d v="2026-01-09T00:00:00"/>
    <s v="2026-01-09"/>
    <n v="0"/>
    <x v="1"/>
    <s v="Delivered"/>
    <x v="3"/>
  </r>
  <r>
    <n v="2052"/>
    <s v="SwiftShip"/>
    <s v="2026-05-03"/>
    <m/>
    <d v="2026-05-08T00:00:00"/>
    <m/>
    <m/>
    <n v="0"/>
    <x v="0"/>
    <s v="Pending"/>
    <x v="0"/>
  </r>
  <r>
    <n v="2053"/>
    <s v="ParcelOne"/>
    <s v="2026-01-10"/>
    <s v="2026-01-10"/>
    <d v="2026-01-15T00:00:00"/>
    <d v="2026-01-15T00:00:00"/>
    <s v="2026-01-15"/>
    <n v="0"/>
    <x v="1"/>
    <s v="Delivered"/>
    <x v="3"/>
  </r>
  <r>
    <n v="2054"/>
    <s v="MetroLogistics"/>
    <s v="2026-05-22"/>
    <s v="2026-05-22"/>
    <d v="2026-05-27T00:00:00"/>
    <d v="2026-05-31T00:00:00"/>
    <s v="2026-05-31"/>
    <n v="0"/>
    <x v="2"/>
    <s v="Delivered"/>
    <x v="2"/>
  </r>
  <r>
    <n v="2055"/>
    <s v="ParcelOne"/>
    <s v="2026-06-23"/>
    <s v="2026-06-23"/>
    <d v="2026-06-28T00:00:00"/>
    <d v="2026-06-27T00:00:00"/>
    <s v="2026-06-27"/>
    <n v="0"/>
    <x v="1"/>
    <s v="Delivered"/>
    <x v="3"/>
  </r>
  <r>
    <n v="2056"/>
    <s v="MetroLogistics"/>
    <s v="2026-06-14"/>
    <s v="2026-06-14"/>
    <d v="2026-06-19T00:00:00"/>
    <d v="2026-06-19T00:00:00"/>
    <s v="2026-06-19"/>
    <n v="0"/>
    <x v="2"/>
    <s v="Delivered"/>
    <x v="3"/>
  </r>
  <r>
    <n v="2057"/>
    <s v="ParcelOne"/>
    <s v="2026-05-01"/>
    <s v="2026-05-01"/>
    <d v="2026-05-06T00:00:00"/>
    <d v="2026-05-06T00:00:00"/>
    <s v="2026-05-08"/>
    <n v="0"/>
    <x v="1"/>
    <s v="Delivered"/>
    <x v="3"/>
  </r>
  <r>
    <n v="2058"/>
    <s v="SwiftShip"/>
    <s v="2026-01-05"/>
    <s v="2026-01-05"/>
    <d v="2026-01-10T00:00:00"/>
    <d v="2026-01-11T00:00:00"/>
    <s v="2026-01-11"/>
    <n v="0"/>
    <x v="0"/>
    <s v="Delivered"/>
    <x v="2"/>
  </r>
  <r>
    <n v="2059"/>
    <s v="ParcelOne"/>
    <s v="2026-07-02"/>
    <s v="2026-07-02"/>
    <d v="2026-07-07T00:00:00"/>
    <d v="2026-07-09T00:00:00"/>
    <s v="2026-07-09"/>
    <n v="0"/>
    <x v="1"/>
    <s v="Delivered"/>
    <x v="2"/>
  </r>
  <r>
    <n v="2060"/>
    <s v="SwiftShip"/>
    <s v="2026-02-17"/>
    <m/>
    <d v="2026-02-22T00:00:00"/>
    <m/>
    <m/>
    <n v="0"/>
    <x v="0"/>
    <s v="Pending"/>
    <x v="0"/>
  </r>
  <r>
    <n v="2061"/>
    <s v="SwiftShip"/>
    <s v="2026-06-16"/>
    <s v="2026-06-16"/>
    <d v="2026-06-21T00:00:00"/>
    <d v="2026-06-21T00:00:00"/>
    <s v="2026-06-23"/>
    <n v="0"/>
    <x v="0"/>
    <s v="Delivered"/>
    <x v="3"/>
  </r>
  <r>
    <n v="2062"/>
    <s v="SwiftShip"/>
    <s v="2026-04-01"/>
    <s v="2026-04-01"/>
    <d v="2026-04-06T00:00:00"/>
    <d v="2026-04-07T00:00:00"/>
    <s v="2026-04-07"/>
    <n v="0"/>
    <x v="0"/>
    <s v="Delivered"/>
    <x v="2"/>
  </r>
  <r>
    <n v="2063"/>
    <s v="MetroLogistics"/>
    <s v="2026-03-10"/>
    <s v="2026-03-10"/>
    <d v="2026-03-15T00:00:00"/>
    <d v="2026-03-15T00:00:00"/>
    <s v="2026-03-15"/>
    <n v="0"/>
    <x v="2"/>
    <s v="Delivered"/>
    <x v="3"/>
  </r>
  <r>
    <n v="2064"/>
    <s v="SwiftShip"/>
    <s v="2026-01-11"/>
    <s v="2026-01-11"/>
    <d v="2026-01-16T00:00:00"/>
    <d v="2026-01-18T00:00:00"/>
    <s v="2026-01-18"/>
    <n v="0"/>
    <x v="0"/>
    <s v="Delivered"/>
    <x v="2"/>
  </r>
  <r>
    <n v="2065"/>
    <s v="SwiftShip"/>
    <s v="2026-03-22"/>
    <s v="2026-03-23"/>
    <d v="2026-03-27T00:00:00"/>
    <d v="2026-03-27T00:00:00"/>
    <s v="2026-03-27"/>
    <n v="0"/>
    <x v="0"/>
    <s v="Delivered"/>
    <x v="3"/>
  </r>
  <r>
    <n v="2066"/>
    <s v="ParcelOne"/>
    <s v="2026-04-15"/>
    <s v="2026-04-15"/>
    <d v="2026-04-20T00:00:00"/>
    <d v="2026-04-20T00:00:00"/>
    <s v="2026-04-22"/>
    <n v="0"/>
    <x v="1"/>
    <s v="Delivered"/>
    <x v="3"/>
  </r>
  <r>
    <n v="2067"/>
    <s v="MetroLogistics"/>
    <s v="2026-05-12"/>
    <s v="2026-05-12"/>
    <d v="2026-05-17T00:00:00"/>
    <d v="2026-05-21T00:00:00"/>
    <s v="2026-05-22"/>
    <n v="0"/>
    <x v="2"/>
    <s v="Delivered"/>
    <x v="2"/>
  </r>
  <r>
    <n v="2068"/>
    <s v="ParcelOne"/>
    <s v="2026-05-17"/>
    <s v="2026-05-17"/>
    <d v="2026-05-22T00:00:00"/>
    <d v="2026-05-20T00:00:00"/>
    <s v="2026-05-20"/>
    <n v="0"/>
    <x v="1"/>
    <s v="Delivered"/>
    <x v="3"/>
  </r>
  <r>
    <n v="2069"/>
    <s v="ParcelOne"/>
    <s v="2026-04-01"/>
    <s v="2026-04-02"/>
    <d v="2026-04-06T00:00:00"/>
    <d v="2026-04-06T00:00:00"/>
    <s v="2026-04-06"/>
    <n v="0"/>
    <x v="1"/>
    <s v="Delivered"/>
    <x v="3"/>
  </r>
  <r>
    <n v="2070"/>
    <s v="MetroLogistics"/>
    <s v="2026-02-24"/>
    <s v="2026-02-24"/>
    <d v="2026-03-01T00:00:00"/>
    <d v="2026-02-28T00:00:00"/>
    <s v="2026-02-28"/>
    <n v="0"/>
    <x v="2"/>
    <s v="Delivered"/>
    <x v="3"/>
  </r>
  <r>
    <n v="2071"/>
    <s v="ParcelOne"/>
    <s v="2026-06-27"/>
    <s v="2026-06-27"/>
    <d v="2026-07-02T00:00:00"/>
    <d v="2026-07-01T00:00:00"/>
    <s v="2026-07-01"/>
    <n v="0"/>
    <x v="1"/>
    <s v="Delivered"/>
    <x v="3"/>
  </r>
  <r>
    <n v="2072"/>
    <s v="ParcelOne"/>
    <s v="2026-04-15"/>
    <s v="2026-04-15"/>
    <d v="2026-04-20T00:00:00"/>
    <d v="2026-04-21T00:00:00"/>
    <s v="2026-04-21"/>
    <n v="0"/>
    <x v="1"/>
    <s v="Delivered"/>
    <x v="2"/>
  </r>
  <r>
    <n v="2073"/>
    <s v="ParcelOne"/>
    <s v="2026-06-07"/>
    <s v="2026-06-09"/>
    <d v="2026-06-12T00:00:00"/>
    <d v="2026-06-12T00:00:00"/>
    <s v="2026-06-12"/>
    <n v="0"/>
    <x v="1"/>
    <s v="Delivered"/>
    <x v="3"/>
  </r>
  <r>
    <n v="2074"/>
    <s v="SwiftShip"/>
    <s v="2026-01-14"/>
    <s v="2026-01-14"/>
    <d v="2026-01-19T00:00:00"/>
    <d v="2026-01-19T00:00:00"/>
    <s v="2026-01-19"/>
    <n v="0"/>
    <x v="0"/>
    <s v="Delivered"/>
    <x v="3"/>
  </r>
  <r>
    <n v="2075"/>
    <s v="ParcelOne"/>
    <s v="2026-06-24"/>
    <s v="2026-06-24"/>
    <d v="2026-06-29T00:00:00"/>
    <d v="2026-07-01T00:00:00"/>
    <s v="2026-07-01"/>
    <n v="0"/>
    <x v="1"/>
    <s v="Delivered"/>
    <x v="2"/>
  </r>
  <r>
    <n v="2076"/>
    <s v="MetroLogistics"/>
    <s v="2026-04-01"/>
    <s v="2026-04-01"/>
    <d v="2026-04-06T00:00:00"/>
    <d v="2026-04-04T00:00:00"/>
    <s v="2026-04-04"/>
    <n v="0"/>
    <x v="2"/>
    <s v="Delivered"/>
    <x v="3"/>
  </r>
  <r>
    <n v="2077"/>
    <s v="MetroLogistics"/>
    <s v="2026-04-15"/>
    <s v="2026-04-15"/>
    <d v="2026-04-20T00:00:00"/>
    <d v="2026-04-21T00:00:00"/>
    <s v="2026-04-21"/>
    <n v="0"/>
    <x v="2"/>
    <s v="Delivered"/>
    <x v="2"/>
  </r>
  <r>
    <n v="2078"/>
    <s v="SwiftShip"/>
    <s v="2026-04-06"/>
    <s v="2026-04-06"/>
    <d v="2026-04-11T00:00:00"/>
    <d v="2026-04-15T00:00:00"/>
    <s v="2026-04-15"/>
    <n v="0"/>
    <x v="0"/>
    <s v="Delivered"/>
    <x v="2"/>
  </r>
  <r>
    <n v="2079"/>
    <s v="MetroLogistics"/>
    <s v="2026-02-22"/>
    <s v="2026-02-22"/>
    <d v="2026-02-27T00:00:00"/>
    <d v="2026-02-27T00:00:00"/>
    <s v="2026-02-27"/>
    <n v="0"/>
    <x v="2"/>
    <s v="Delivered"/>
    <x v="3"/>
  </r>
  <r>
    <n v="2080"/>
    <s v="SwiftShip"/>
    <s v="2026-06-27"/>
    <s v="2026-06-27"/>
    <d v="2026-07-02T00:00:00"/>
    <d v="2026-07-02T00:00:00"/>
    <s v="2026-07-02"/>
    <n v="0"/>
    <x v="0"/>
    <s v="Delivered"/>
    <x v="3"/>
  </r>
  <r>
    <n v="2081"/>
    <s v="ParcelOne"/>
    <s v="2026-03-20"/>
    <s v="2026-03-20"/>
    <d v="2026-03-25T00:00:00"/>
    <d v="2026-03-25T00:00:00"/>
    <s v="2026-03-25"/>
    <n v="0"/>
    <x v="1"/>
    <s v="Delivered"/>
    <x v="3"/>
  </r>
  <r>
    <n v="2082"/>
    <s v="MetroLogistics"/>
    <s v="2026-06-14"/>
    <s v="2026-06-14"/>
    <d v="2026-06-19T00:00:00"/>
    <d v="2026-06-19T00:00:00"/>
    <s v="2026-06-19"/>
    <n v="0"/>
    <x v="2"/>
    <s v="Delivered"/>
    <x v="3"/>
  </r>
  <r>
    <n v="2083"/>
    <s v="SwiftShip"/>
    <s v="2026-06-15"/>
    <s v="2026-06-15"/>
    <d v="2026-06-20T00:00:00"/>
    <d v="2026-06-18T00:00:00"/>
    <s v="2026-06-20"/>
    <n v="0"/>
    <x v="0"/>
    <s v="Delivered"/>
    <x v="3"/>
  </r>
  <r>
    <n v="2084"/>
    <s v="MetroLogistics"/>
    <s v="2026-06-19"/>
    <s v="2026-06-19"/>
    <d v="2026-06-24T00:00:00"/>
    <d v="2026-06-24T00:00:00"/>
    <s v="2026-06-24"/>
    <n v="0"/>
    <x v="2"/>
    <s v="Delivered"/>
    <x v="3"/>
  </r>
  <r>
    <n v="2085"/>
    <s v="MetroLogistics"/>
    <s v="2026-01-15"/>
    <s v="2026-01-15"/>
    <d v="2026-01-20T00:00:00"/>
    <d v="2026-01-21T00:00:00"/>
    <s v="2026-01-21"/>
    <n v="0"/>
    <x v="2"/>
    <s v="Delivered"/>
    <x v="2"/>
  </r>
  <r>
    <n v="2086"/>
    <s v="SwiftShip"/>
    <s v="2026-01-14"/>
    <s v="2026-01-14"/>
    <d v="2026-01-19T00:00:00"/>
    <d v="2026-01-19T00:00:00"/>
    <s v="2026-01-19"/>
    <n v="0"/>
    <x v="0"/>
    <s v="Delivered"/>
    <x v="3"/>
  </r>
  <r>
    <n v="2087"/>
    <s v="SwiftShip"/>
    <s v="2026-06-05"/>
    <s v="2026-06-05"/>
    <d v="2026-06-10T00:00:00"/>
    <d v="2026-06-10T00:00:00"/>
    <s v="2026-06-10"/>
    <n v="0"/>
    <x v="0"/>
    <s v="Delivered"/>
    <x v="3"/>
  </r>
  <r>
    <n v="2088"/>
    <s v="ParcelOne"/>
    <s v="2026-06-07"/>
    <s v="2026-06-07"/>
    <d v="2026-06-12T00:00:00"/>
    <d v="2026-06-12T00:00:00"/>
    <s v="2026-06-13"/>
    <n v="0"/>
    <x v="1"/>
    <s v="Delivered"/>
    <x v="3"/>
  </r>
  <r>
    <n v="2090"/>
    <s v="ParcelOne"/>
    <s v="2026-06-24"/>
    <s v="2026-06-24"/>
    <d v="2026-06-29T00:00:00"/>
    <d v="2026-06-29T00:00:00"/>
    <s v="2026-06-29"/>
    <n v="0"/>
    <x v="1"/>
    <s v="Delivered"/>
    <x v="3"/>
  </r>
  <r>
    <n v="2091"/>
    <s v="MetroLogistics"/>
    <s v="2026-05-18"/>
    <s v="2026-05-18"/>
    <d v="2026-05-23T00:00:00"/>
    <d v="2026-05-23T00:00:00"/>
    <s v="2026-05-23"/>
    <n v="0"/>
    <x v="2"/>
    <s v="Delivered"/>
    <x v="3"/>
  </r>
  <r>
    <n v="2092"/>
    <s v="ParcelOne"/>
    <s v="2026-04-23"/>
    <s v="2026-04-25"/>
    <d v="2026-04-28T00:00:00"/>
    <d v="2026-04-27T00:00:00"/>
    <s v="2026-04-27"/>
    <n v="0"/>
    <x v="1"/>
    <s v="Delivered"/>
    <x v="3"/>
  </r>
  <r>
    <n v="2093"/>
    <s v="MetroLogistics"/>
    <s v="2026-01-27"/>
    <s v="2026-01-27"/>
    <d v="2026-02-01T00:00:00"/>
    <d v="2026-01-31T00:00:00"/>
    <s v="2026-01-31"/>
    <n v="0"/>
    <x v="2"/>
    <s v="Delivered"/>
    <x v="3"/>
  </r>
  <r>
    <n v="2094"/>
    <s v="MetroLogistics"/>
    <s v="2026-04-15"/>
    <s v="2026-04-15"/>
    <d v="2026-04-20T00:00:00"/>
    <d v="2026-04-20T00:00:00"/>
    <s v="2026-04-20"/>
    <n v="0"/>
    <x v="2"/>
    <s v="Delivered"/>
    <x v="3"/>
  </r>
  <r>
    <n v="2095"/>
    <s v="ParcelOne"/>
    <s v="2026-06-14"/>
    <s v="2026-06-14"/>
    <d v="2026-06-19T00:00:00"/>
    <d v="2026-06-19T00:00:00"/>
    <s v="2026-06-21"/>
    <n v="0"/>
    <x v="1"/>
    <s v="Delivered"/>
    <x v="3"/>
  </r>
  <r>
    <n v="2096"/>
    <s v="MetroLogistics"/>
    <s v="2026-02-17"/>
    <s v="2026-02-19"/>
    <d v="2026-02-22T00:00:00"/>
    <d v="2026-02-22T00:00:00"/>
    <s v="2026-02-22"/>
    <n v="0"/>
    <x v="2"/>
    <s v="Delivered"/>
    <x v="3"/>
  </r>
  <r>
    <n v="2097"/>
    <s v="MetroLogistics"/>
    <s v="2026-03-01"/>
    <s v="2026-03-03"/>
    <d v="2026-03-06T00:00:00"/>
    <d v="2026-03-06T00:00:00"/>
    <s v="2026-03-06"/>
    <n v="0"/>
    <x v="2"/>
    <s v="Delivered"/>
    <x v="3"/>
  </r>
  <r>
    <n v="2098"/>
    <s v="ParcelOne"/>
    <s v="2026-06-12"/>
    <s v="2026-06-13"/>
    <d v="2026-06-17T00:00:00"/>
    <d v="2026-06-16T00:00:00"/>
    <s v="2026-06-16"/>
    <n v="0"/>
    <x v="1"/>
    <s v="Delivered"/>
    <x v="3"/>
  </r>
  <r>
    <n v="2099"/>
    <s v="MetroLogistics"/>
    <s v="2026-02-16"/>
    <s v="2026-02-16"/>
    <d v="2026-02-21T00:00:00"/>
    <d v="2026-02-21T00:00:00"/>
    <s v="2026-02-21"/>
    <n v="0"/>
    <x v="2"/>
    <s v="Delivered"/>
    <x v="3"/>
  </r>
  <r>
    <n v="2100"/>
    <s v="ParcelOne"/>
    <s v="2026-04-26"/>
    <m/>
    <d v="2026-05-01T00:00:00"/>
    <m/>
    <m/>
    <n v="0"/>
    <x v="1"/>
    <s v="Pending"/>
    <x v="0"/>
  </r>
  <r>
    <n v="2101"/>
    <s v="SwiftShip"/>
    <s v="2026-03-06"/>
    <s v="2026-03-06"/>
    <d v="2026-03-11T00:00:00"/>
    <d v="2026-03-11T00:00:00"/>
    <s v="2026-03-11"/>
    <n v="0"/>
    <x v="0"/>
    <s v="Delivered"/>
    <x v="3"/>
  </r>
  <r>
    <n v="2102"/>
    <s v="SwiftShip"/>
    <s v="2026-04-11"/>
    <s v="2026-04-11"/>
    <d v="2026-04-16T00:00:00"/>
    <d v="2026-04-17T00:00:00"/>
    <s v="2026-04-17"/>
    <n v="0"/>
    <x v="0"/>
    <s v="Delivered"/>
    <x v="2"/>
  </r>
  <r>
    <n v="2103"/>
    <s v="ParcelOne"/>
    <s v="2026-01-13"/>
    <s v="2026-01-14"/>
    <d v="2026-01-18T00:00:00"/>
    <d v="2026-01-19T00:00:00"/>
    <s v="2026-01-19"/>
    <n v="0"/>
    <x v="1"/>
    <s v="Delivered"/>
    <x v="2"/>
  </r>
  <r>
    <n v="2104"/>
    <s v="ParcelOne"/>
    <s v="2026-02-15"/>
    <s v="2026-02-15"/>
    <d v="2026-02-20T00:00:00"/>
    <d v="2026-02-19T00:00:00"/>
    <s v="2026-02-19"/>
    <n v="0"/>
    <x v="1"/>
    <s v="Delivered"/>
    <x v="3"/>
  </r>
  <r>
    <n v="2106"/>
    <s v="ParcelOne"/>
    <s v="2026-03-19"/>
    <s v="2026-03-19"/>
    <d v="2026-03-24T00:00:00"/>
    <d v="2026-03-23T00:00:00"/>
    <s v="2026-03-23"/>
    <n v="0"/>
    <x v="1"/>
    <s v="Delivered"/>
    <x v="3"/>
  </r>
  <r>
    <n v="2107"/>
    <s v="MetroLogistics"/>
    <s v="2026-04-07"/>
    <s v="2026-04-07"/>
    <d v="2026-04-12T00:00:00"/>
    <d v="2026-04-13T00:00:00"/>
    <s v="2026-04-13"/>
    <n v="0"/>
    <x v="2"/>
    <s v="Delivered"/>
    <x v="2"/>
  </r>
  <r>
    <n v="2108"/>
    <s v="ParcelOne"/>
    <s v="2026-02-04"/>
    <s v="2026-02-05"/>
    <d v="2026-02-09T00:00:00"/>
    <d v="2026-02-09T00:00:00"/>
    <s v="2026-02-09"/>
    <n v="0"/>
    <x v="1"/>
    <s v="Delivered"/>
    <x v="3"/>
  </r>
  <r>
    <n v="2109"/>
    <s v="SwiftShip"/>
    <s v="2026-03-10"/>
    <s v="2026-03-10"/>
    <d v="2026-03-15T00:00:00"/>
    <d v="2026-03-15T00:00:00"/>
    <s v="2026-03-15"/>
    <n v="0"/>
    <x v="0"/>
    <s v="Delivered"/>
    <x v="3"/>
  </r>
  <r>
    <n v="2110"/>
    <s v="ParcelOne"/>
    <s v="2026-05-07"/>
    <s v="2026-05-07"/>
    <d v="2026-05-12T00:00:00"/>
    <d v="2026-05-10T00:00:00"/>
    <s v="2026-05-10"/>
    <n v="0"/>
    <x v="1"/>
    <s v="Delivered"/>
    <x v="3"/>
  </r>
  <r>
    <n v="2111"/>
    <s v="MetroLogistics"/>
    <s v="2026-03-01"/>
    <s v="2026-03-01"/>
    <d v="2026-03-06T00:00:00"/>
    <d v="2026-03-06T00:00:00"/>
    <s v="2026-03-06"/>
    <n v="0"/>
    <x v="2"/>
    <s v="Delivered"/>
    <x v="3"/>
  </r>
  <r>
    <n v="2112"/>
    <s v="ParcelOne"/>
    <s v="2026-01-28"/>
    <s v="2026-01-30"/>
    <d v="2026-02-02T00:00:00"/>
    <m/>
    <m/>
    <n v="0"/>
    <x v="1"/>
    <s v="Shipped"/>
    <x v="0"/>
  </r>
  <r>
    <n v="2113"/>
    <s v="MetroLogistics"/>
    <s v="2026-04-27"/>
    <s v="2026-04-27"/>
    <d v="2026-05-02T00:00:00"/>
    <d v="2026-05-02T00:00:00"/>
    <s v="2026-05-02"/>
    <n v="0"/>
    <x v="2"/>
    <s v="Delivered"/>
    <x v="3"/>
  </r>
  <r>
    <n v="2114"/>
    <s v="MetroLogistics"/>
    <s v="2026-04-29"/>
    <s v="2026-04-29"/>
    <d v="2026-05-04T00:00:00"/>
    <d v="2026-05-03T00:00:00"/>
    <s v="2026-05-03"/>
    <n v="0"/>
    <x v="2"/>
    <s v="Delivered"/>
    <x v="3"/>
  </r>
  <r>
    <n v="2115"/>
    <s v="ParcelOne"/>
    <s v="2026-05-05"/>
    <s v="2026-05-05"/>
    <d v="2026-05-10T00:00:00"/>
    <d v="2026-05-09T00:00:00"/>
    <s v="2026-05-09"/>
    <n v="0"/>
    <x v="1"/>
    <s v="Delivered"/>
    <x v="3"/>
  </r>
  <r>
    <n v="2116"/>
    <s v="MetroLogistics"/>
    <s v="2026-01-28"/>
    <s v="2026-01-28"/>
    <d v="2026-02-02T00:00:00"/>
    <d v="2026-02-02T00:00:00"/>
    <s v="2026-02-02"/>
    <n v="0"/>
    <x v="2"/>
    <s v="Delivered"/>
    <x v="3"/>
  </r>
  <r>
    <n v="2117"/>
    <s v="MetroLogistics"/>
    <s v="2026-06-14"/>
    <s v="2026-06-14"/>
    <d v="2026-06-19T00:00:00"/>
    <d v="2026-06-19T00:00:00"/>
    <s v="2026-06-19"/>
    <n v="0"/>
    <x v="2"/>
    <s v="Delivered"/>
    <x v="3"/>
  </r>
  <r>
    <n v="2118"/>
    <s v="ParcelOne"/>
    <s v="2026-05-06"/>
    <s v="2026-05-06"/>
    <d v="2026-05-11T00:00:00"/>
    <d v="2026-05-11T00:00:00"/>
    <s v="2026-05-11"/>
    <n v="0"/>
    <x v="1"/>
    <s v="Delivered"/>
    <x v="3"/>
  </r>
  <r>
    <n v="2119"/>
    <s v="SwiftShip"/>
    <s v="2026-02-18"/>
    <s v="2026-02-18"/>
    <d v="2026-02-23T00:00:00"/>
    <d v="2026-02-22T00:00:00"/>
    <s v="2026-02-23"/>
    <n v="0"/>
    <x v="0"/>
    <s v="Delivered"/>
    <x v="3"/>
  </r>
  <r>
    <n v="2120"/>
    <s v="MetroLogistics"/>
    <s v="2026-06-15"/>
    <s v="2026-06-15"/>
    <d v="2026-06-20T00:00:00"/>
    <d v="2026-06-20T00:00:00"/>
    <s v="2026-06-20"/>
    <n v="0"/>
    <x v="2"/>
    <s v="Delivered"/>
    <x v="3"/>
  </r>
  <r>
    <n v="2121"/>
    <s v="MetroLogistics"/>
    <s v="2026-05-03"/>
    <s v="2026-05-03"/>
    <d v="2026-05-08T00:00:00"/>
    <d v="2026-05-09T00:00:00"/>
    <s v="2026-05-10"/>
    <n v="0"/>
    <x v="2"/>
    <s v="Delivered"/>
    <x v="2"/>
  </r>
  <r>
    <n v="2122"/>
    <s v="SwiftShip"/>
    <s v="2026-06-21"/>
    <s v="2026-06-21"/>
    <d v="2026-06-26T00:00:00"/>
    <d v="2026-06-26T00:00:00"/>
    <s v="2026-06-28"/>
    <n v="0"/>
    <x v="0"/>
    <s v="Delivered"/>
    <x v="3"/>
  </r>
  <r>
    <n v="2123"/>
    <s v="ParcelOne"/>
    <s v="2026-04-07"/>
    <s v="2026-04-07"/>
    <d v="2026-04-12T00:00:00"/>
    <d v="2026-04-10T00:00:00"/>
    <s v="2026-04-12"/>
    <n v="0"/>
    <x v="1"/>
    <s v="Delivered"/>
    <x v="3"/>
  </r>
  <r>
    <n v="2124"/>
    <s v="ParcelOne"/>
    <s v="2026-04-17"/>
    <s v="2026-04-17"/>
    <d v="2026-04-22T00:00:00"/>
    <d v="2026-04-22T00:00:00"/>
    <s v="2026-04-23"/>
    <n v="0"/>
    <x v="1"/>
    <s v="Delivered"/>
    <x v="3"/>
  </r>
  <r>
    <n v="2125"/>
    <s v="ParcelOne"/>
    <s v="2026-03-26"/>
    <s v="2026-03-26"/>
    <d v="2026-03-31T00:00:00"/>
    <d v="2026-03-31T00:00:00"/>
    <s v="2026-03-31"/>
    <n v="0"/>
    <x v="1"/>
    <s v="Delivered"/>
    <x v="3"/>
  </r>
  <r>
    <n v="2126"/>
    <s v="ParcelOne"/>
    <s v="2026-03-06"/>
    <s v="2026-03-06"/>
    <d v="2026-03-11T00:00:00"/>
    <d v="2026-03-11T00:00:00"/>
    <s v="2026-03-11"/>
    <n v="0"/>
    <x v="1"/>
    <s v="Delivered"/>
    <x v="3"/>
  </r>
  <r>
    <n v="2127"/>
    <s v="MetroLogistics"/>
    <s v="2026-01-17"/>
    <s v="2026-01-18"/>
    <d v="2026-01-22T00:00:00"/>
    <d v="2026-01-20T00:00:00"/>
    <s v="2026-01-22"/>
    <n v="0"/>
    <x v="2"/>
    <s v="Delivered"/>
    <x v="3"/>
  </r>
  <r>
    <n v="2128"/>
    <s v="MetroLogistics"/>
    <s v="2026-04-18"/>
    <s v="2026-04-18"/>
    <d v="2026-04-23T00:00:00"/>
    <d v="2026-04-23T00:00:00"/>
    <s v="2026-04-23"/>
    <n v="0"/>
    <x v="2"/>
    <s v="Delivered"/>
    <x v="3"/>
  </r>
  <r>
    <n v="2129"/>
    <s v="MetroLogistics"/>
    <s v="2026-05-18"/>
    <s v="2026-05-20"/>
    <d v="2026-05-23T00:00:00"/>
    <d v="2026-05-23T00:00:00"/>
    <s v="2026-05-23"/>
    <n v="0"/>
    <x v="2"/>
    <s v="Delivered"/>
    <x v="3"/>
  </r>
  <r>
    <n v="2130"/>
    <s v="SwiftShip"/>
    <s v="2026-02-26"/>
    <s v="2026-02-26"/>
    <d v="2026-03-03T00:00:00"/>
    <d v="2026-03-04T00:00:00"/>
    <s v="2026-03-04"/>
    <n v="0"/>
    <x v="0"/>
    <s v="Delivered"/>
    <x v="2"/>
  </r>
  <r>
    <n v="2131"/>
    <s v="MetroLogistics"/>
    <s v="2026-06-06"/>
    <s v="2026-06-06"/>
    <d v="2026-06-11T00:00:00"/>
    <d v="2026-06-12T00:00:00"/>
    <s v="2026-06-12"/>
    <n v="0"/>
    <x v="2"/>
    <s v="Delivered"/>
    <x v="2"/>
  </r>
  <r>
    <n v="2132"/>
    <s v="SwiftShip"/>
    <s v="2026-01-18"/>
    <s v="2026-01-20"/>
    <d v="2026-01-23T00:00:00"/>
    <m/>
    <m/>
    <n v="0"/>
    <x v="0"/>
    <s v="Shipped"/>
    <x v="0"/>
  </r>
  <r>
    <n v="2133"/>
    <s v="MetroLogistics"/>
    <s v="2026-05-20"/>
    <s v="2026-05-22"/>
    <d v="2026-05-25T00:00:00"/>
    <d v="2026-05-26T00:00:00"/>
    <s v="2026-05-26"/>
    <n v="0"/>
    <x v="2"/>
    <s v="Delivered"/>
    <x v="2"/>
  </r>
  <r>
    <n v="2134"/>
    <s v="MetroLogistics"/>
    <s v="2026-01-25"/>
    <s v="2026-01-25"/>
    <d v="2026-01-30T00:00:00"/>
    <d v="2026-02-01T00:00:00"/>
    <s v="2026-02-01"/>
    <n v="0"/>
    <x v="2"/>
    <s v="Delivered"/>
    <x v="2"/>
  </r>
  <r>
    <n v="2135"/>
    <s v="SwiftShip"/>
    <s v="2026-03-28"/>
    <s v="2026-03-28"/>
    <d v="2026-04-02T00:00:00"/>
    <d v="2026-04-02T00:00:00"/>
    <s v="2026-04-02"/>
    <n v="0"/>
    <x v="0"/>
    <s v="Delivered"/>
    <x v="3"/>
  </r>
  <r>
    <n v="2136"/>
    <s v="MetroLogistics"/>
    <s v="2026-01-07"/>
    <s v="2026-01-07"/>
    <d v="2026-01-12T00:00:00"/>
    <d v="2026-01-12T00:00:00"/>
    <s v="2026-01-12"/>
    <n v="0"/>
    <x v="2"/>
    <s v="Delivered"/>
    <x v="3"/>
  </r>
  <r>
    <n v="2138"/>
    <s v="SwiftShip"/>
    <s v="2026-02-24"/>
    <s v="2026-02-24"/>
    <d v="2026-03-01T00:00:00"/>
    <d v="2026-03-01T00:00:00"/>
    <s v="2026-03-03"/>
    <n v="0"/>
    <x v="0"/>
    <s v="Delivered"/>
    <x v="3"/>
  </r>
  <r>
    <n v="2139"/>
    <s v="SwiftShip"/>
    <s v="2026-03-24"/>
    <s v="2026-03-24"/>
    <d v="2026-03-29T00:00:00"/>
    <m/>
    <m/>
    <n v="0"/>
    <x v="0"/>
    <s v="Shipped"/>
    <x v="0"/>
  </r>
  <r>
    <n v="2140"/>
    <s v="SwiftShip"/>
    <s v="2026-03-03"/>
    <s v="2026-03-04"/>
    <d v="2026-03-08T00:00:00"/>
    <m/>
    <m/>
    <n v="0"/>
    <x v="0"/>
    <s v="Shipped"/>
    <x v="0"/>
  </r>
  <r>
    <n v="2141"/>
    <s v="ParcelOne"/>
    <s v="2026-01-09"/>
    <s v="2026-01-09"/>
    <d v="2026-01-14T00:00:00"/>
    <d v="2026-01-15T00:00:00"/>
    <s v="2026-01-15"/>
    <n v="0"/>
    <x v="1"/>
    <s v="Delivered"/>
    <x v="2"/>
  </r>
  <r>
    <n v="2142"/>
    <s v="MetroLogistics"/>
    <s v="2026-01-26"/>
    <s v="2026-01-28"/>
    <d v="2026-01-31T00:00:00"/>
    <m/>
    <m/>
    <n v="0"/>
    <x v="2"/>
    <s v="Shipped"/>
    <x v="0"/>
  </r>
  <r>
    <n v="2143"/>
    <s v="ParcelOne"/>
    <s v="2026-06-06"/>
    <s v="2026-06-06"/>
    <d v="2026-06-11T00:00:00"/>
    <d v="2026-06-11T00:00:00"/>
    <s v="2026-06-13"/>
    <n v="0"/>
    <x v="1"/>
    <s v="Delivered"/>
    <x v="3"/>
  </r>
  <r>
    <n v="2144"/>
    <s v="SwiftShip"/>
    <s v="2026-01-04"/>
    <s v="2026-01-05"/>
    <d v="2026-01-09T00:00:00"/>
    <d v="2026-01-09T00:00:00"/>
    <s v="2026-01-10"/>
    <n v="0"/>
    <x v="0"/>
    <s v="Delivered"/>
    <x v="3"/>
  </r>
  <r>
    <n v="2145"/>
    <s v="ParcelOne"/>
    <s v="2026-03-02"/>
    <m/>
    <d v="2026-03-07T00:00:00"/>
    <m/>
    <m/>
    <n v="0"/>
    <x v="1"/>
    <s v="Pending"/>
    <x v="0"/>
  </r>
  <r>
    <n v="2146"/>
    <s v="MetroLogistics"/>
    <s v="2026-02-08"/>
    <s v="2026-02-08"/>
    <d v="2026-02-13T00:00:00"/>
    <d v="2026-02-11T00:00:00"/>
    <s v="2026-02-12"/>
    <n v="0"/>
    <x v="2"/>
    <s v="Delivered"/>
    <x v="3"/>
  </r>
  <r>
    <n v="2147"/>
    <s v="MetroLogistics"/>
    <s v="2026-06-21"/>
    <s v="2026-06-21"/>
    <d v="2026-06-26T00:00:00"/>
    <d v="2026-06-26T00:00:00"/>
    <s v="2026-06-26"/>
    <n v="0"/>
    <x v="2"/>
    <s v="Delivered"/>
    <x v="3"/>
  </r>
  <r>
    <n v="2148"/>
    <s v="SwiftShip"/>
    <s v="2026-02-18"/>
    <s v="2026-02-18"/>
    <d v="2026-02-23T00:00:00"/>
    <d v="2026-02-23T00:00:00"/>
    <s v="2026-02-23"/>
    <n v="0"/>
    <x v="0"/>
    <s v="Delivered"/>
    <x v="3"/>
  </r>
  <r>
    <n v="2149"/>
    <s v="MetroLogistics"/>
    <s v="2026-06-11"/>
    <s v="2026-06-13"/>
    <d v="2026-06-16T00:00:00"/>
    <d v="2026-06-14T00:00:00"/>
    <s v="2026-06-14"/>
    <n v="0"/>
    <x v="2"/>
    <s v="Delivered"/>
    <x v="3"/>
  </r>
  <r>
    <n v="2150"/>
    <s v="SwiftShip"/>
    <s v="2026-05-17"/>
    <s v="2026-05-17"/>
    <d v="2026-05-22T00:00:00"/>
    <d v="2026-05-26T00:00:00"/>
    <s v="2026-05-26"/>
    <n v="0"/>
    <x v="0"/>
    <s v="Delivered"/>
    <x v="2"/>
  </r>
  <r>
    <n v="2151"/>
    <s v="SwiftShip"/>
    <s v="2026-05-01"/>
    <m/>
    <d v="2026-05-06T00:00:00"/>
    <m/>
    <m/>
    <n v="0"/>
    <x v="0"/>
    <s v="Pending"/>
    <x v="0"/>
  </r>
  <r>
    <n v="2153"/>
    <s v="ParcelOne"/>
    <s v="2026-06-09"/>
    <s v="2026-06-09"/>
    <d v="2026-06-14T00:00:00"/>
    <d v="2026-06-13T00:00:00"/>
    <s v="2026-06-15"/>
    <n v="0"/>
    <x v="1"/>
    <s v="Delivered"/>
    <x v="3"/>
  </r>
  <r>
    <n v="2154"/>
    <s v="MetroLogistics"/>
    <s v="2026-06-20"/>
    <s v="2026-06-20"/>
    <d v="2026-06-25T00:00:00"/>
    <d v="2026-06-26T00:00:00"/>
    <s v="2026-06-26"/>
    <n v="0"/>
    <x v="2"/>
    <s v="Delivered"/>
    <x v="2"/>
  </r>
  <r>
    <n v="2155"/>
    <s v="ParcelOne"/>
    <s v="2026-05-01"/>
    <s v="2026-05-01"/>
    <d v="2026-05-06T00:00:00"/>
    <d v="2026-05-06T00:00:00"/>
    <s v="2026-05-08"/>
    <n v="0"/>
    <x v="1"/>
    <s v="Delivered"/>
    <x v="3"/>
  </r>
  <r>
    <n v="2156"/>
    <s v="SwiftShip"/>
    <s v="2026-04-11"/>
    <s v="2026-04-11"/>
    <d v="2026-04-16T00:00:00"/>
    <d v="2026-04-18T00:00:00"/>
    <s v="2026-04-18"/>
    <n v="0"/>
    <x v="0"/>
    <s v="Delivered"/>
    <x v="2"/>
  </r>
  <r>
    <n v="2157"/>
    <s v="SwiftShip"/>
    <s v="2026-03-26"/>
    <s v="2026-03-28"/>
    <d v="2026-03-31T00:00:00"/>
    <d v="2026-03-31T00:00:00"/>
    <s v="2026-03-31"/>
    <n v="0"/>
    <x v="0"/>
    <s v="Delivered"/>
    <x v="3"/>
  </r>
  <r>
    <n v="2158"/>
    <s v="MetroLogistics"/>
    <s v="2026-02-02"/>
    <s v="2026-02-03"/>
    <d v="2026-02-07T00:00:00"/>
    <d v="2026-02-07T00:00:00"/>
    <s v="2026-02-07"/>
    <n v="0"/>
    <x v="2"/>
    <s v="Delivered"/>
    <x v="3"/>
  </r>
  <r>
    <n v="2159"/>
    <s v="ParcelOne"/>
    <s v="2026-01-27"/>
    <s v="2026-01-27"/>
    <d v="2026-02-01T00:00:00"/>
    <d v="2026-02-05T00:00:00"/>
    <s v="2026-02-06"/>
    <n v="0"/>
    <x v="1"/>
    <s v="Delivered"/>
    <x v="2"/>
  </r>
  <r>
    <n v="2160"/>
    <s v="MetroLogistics"/>
    <s v="2026-05-23"/>
    <s v="2026-05-25"/>
    <d v="2026-05-28T00:00:00"/>
    <d v="2026-06-01T00:00:00"/>
    <s v="2026-06-01"/>
    <n v="0"/>
    <x v="2"/>
    <s v="Delivered"/>
    <x v="2"/>
  </r>
  <r>
    <n v="2161"/>
    <s v="MetroLogistics"/>
    <s v="2026-02-21"/>
    <s v="2026-02-21"/>
    <d v="2026-02-26T00:00:00"/>
    <d v="2026-02-27T00:00:00"/>
    <s v="2026-02-27"/>
    <n v="0"/>
    <x v="2"/>
    <s v="Delivered"/>
    <x v="2"/>
  </r>
  <r>
    <n v="2162"/>
    <s v="MetroLogistics"/>
    <s v="2026-05-17"/>
    <s v="2026-05-17"/>
    <d v="2026-05-22T00:00:00"/>
    <d v="2026-05-23T00:00:00"/>
    <s v="2026-05-23"/>
    <n v="0"/>
    <x v="2"/>
    <s v="Delivered"/>
    <x v="2"/>
  </r>
  <r>
    <n v="2163"/>
    <s v="SwiftShip"/>
    <s v="2026-03-01"/>
    <s v="2026-03-01"/>
    <d v="2026-03-06T00:00:00"/>
    <d v="2026-03-08T00:00:00"/>
    <s v="2026-03-10"/>
    <n v="0"/>
    <x v="0"/>
    <s v="Delivered"/>
    <x v="2"/>
  </r>
  <r>
    <n v="2164"/>
    <s v="MetroLogistics"/>
    <s v="2026-05-02"/>
    <s v="2026-05-02"/>
    <d v="2026-05-07T00:00:00"/>
    <d v="2026-05-08T00:00:00"/>
    <s v="2026-05-08"/>
    <n v="0"/>
    <x v="2"/>
    <s v="Delivered"/>
    <x v="2"/>
  </r>
  <r>
    <n v="2165"/>
    <s v="ParcelOne"/>
    <s v="2026-06-08"/>
    <s v="2026-06-08"/>
    <d v="2026-06-13T00:00:00"/>
    <d v="2026-06-14T00:00:00"/>
    <s v="2026-06-14"/>
    <n v="0"/>
    <x v="1"/>
    <s v="Delivered"/>
    <x v="2"/>
  </r>
  <r>
    <n v="2166"/>
    <s v="SwiftShip"/>
    <s v="2026-04-13"/>
    <s v="2026-04-13"/>
    <d v="2026-04-18T00:00:00"/>
    <d v="2026-04-22T00:00:00"/>
    <s v="2026-04-22"/>
    <n v="0"/>
    <x v="0"/>
    <s v="Delivered"/>
    <x v="2"/>
  </r>
  <r>
    <n v="2167"/>
    <s v="ParcelOne"/>
    <s v="2026-02-03"/>
    <s v="2026-02-03"/>
    <d v="2026-02-08T00:00:00"/>
    <d v="2026-02-07T00:00:00"/>
    <s v="2026-02-07"/>
    <n v="0"/>
    <x v="1"/>
    <s v="Delivered"/>
    <x v="3"/>
  </r>
  <r>
    <n v="2168"/>
    <s v="SwiftShip"/>
    <s v="2026-06-12"/>
    <s v="2026-06-13"/>
    <d v="2026-06-17T00:00:00"/>
    <d v="2026-06-18T00:00:00"/>
    <s v="2026-06-18"/>
    <n v="0"/>
    <x v="0"/>
    <s v="Delivered"/>
    <x v="2"/>
  </r>
  <r>
    <n v="2169"/>
    <s v="SwiftShip"/>
    <s v="2026-01-13"/>
    <s v="2026-01-13"/>
    <d v="2026-01-18T00:00:00"/>
    <d v="2026-01-17T00:00:00"/>
    <s v="2026-01-17"/>
    <n v="0"/>
    <x v="0"/>
    <s v="Delivered"/>
    <x v="3"/>
  </r>
  <r>
    <n v="2170"/>
    <s v="MetroLogistics"/>
    <s v="2026-03-18"/>
    <s v="2026-03-18"/>
    <d v="2026-03-23T00:00:00"/>
    <d v="2026-03-25T00:00:00"/>
    <s v="2026-03-25"/>
    <n v="0"/>
    <x v="2"/>
    <s v="Delivered"/>
    <x v="2"/>
  </r>
  <r>
    <n v="2171"/>
    <s v="ParcelOne"/>
    <s v="2026-04-23"/>
    <s v="2026-04-23"/>
    <d v="2026-04-28T00:00:00"/>
    <d v="2026-04-30T00:00:00"/>
    <s v="2026-05-02"/>
    <n v="0"/>
    <x v="1"/>
    <s v="Delivered"/>
    <x v="2"/>
  </r>
  <r>
    <n v="2172"/>
    <s v="MetroLogistics"/>
    <s v="2026-01-06"/>
    <s v="2026-01-06"/>
    <d v="2026-01-11T00:00:00"/>
    <d v="2026-01-11T00:00:00"/>
    <s v="2026-01-11"/>
    <n v="0"/>
    <x v="2"/>
    <s v="Delivered"/>
    <x v="3"/>
  </r>
  <r>
    <n v="2173"/>
    <s v="ParcelOne"/>
    <s v="2026-05-07"/>
    <s v="2026-05-07"/>
    <d v="2026-05-12T00:00:00"/>
    <d v="2026-05-12T00:00:00"/>
    <s v="2026-05-12"/>
    <n v="0"/>
    <x v="1"/>
    <s v="Delivered"/>
    <x v="3"/>
  </r>
  <r>
    <n v="2174"/>
    <s v="SwiftShip"/>
    <s v="2026-05-30"/>
    <s v="2026-05-30"/>
    <d v="2026-06-04T00:00:00"/>
    <d v="2026-06-02T00:00:00"/>
    <s v="2026-06-02"/>
    <n v="0"/>
    <x v="0"/>
    <s v="Delivered"/>
    <x v="3"/>
  </r>
  <r>
    <n v="2175"/>
    <s v="ParcelOne"/>
    <s v="2026-04-30"/>
    <s v="2026-04-30"/>
    <d v="2026-05-05T00:00:00"/>
    <d v="2026-05-03T00:00:00"/>
    <s v="2026-05-03"/>
    <n v="0"/>
    <x v="1"/>
    <s v="Delivered"/>
    <x v="3"/>
  </r>
  <r>
    <n v="2176"/>
    <s v="MetroLogistics"/>
    <s v="2026-06-13"/>
    <s v="2026-06-13"/>
    <d v="2026-06-18T00:00:00"/>
    <m/>
    <m/>
    <n v="0"/>
    <x v="2"/>
    <s v="Shipped"/>
    <x v="0"/>
  </r>
  <r>
    <n v="2177"/>
    <s v="ParcelOne"/>
    <s v="2026-04-01"/>
    <s v="2026-04-01"/>
    <d v="2026-04-06T00:00:00"/>
    <d v="2026-04-06T00:00:00"/>
    <s v="2026-04-06"/>
    <n v="0"/>
    <x v="1"/>
    <s v="Delivered"/>
    <x v="3"/>
  </r>
  <r>
    <n v="2178"/>
    <s v="ParcelOne"/>
    <s v="2026-02-25"/>
    <s v="2026-02-25"/>
    <d v="2026-03-02T00:00:00"/>
    <d v="2026-03-02T00:00:00"/>
    <s v="2026-03-02"/>
    <n v="0"/>
    <x v="1"/>
    <s v="Delivered"/>
    <x v="3"/>
  </r>
  <r>
    <n v="2179"/>
    <s v="SwiftShip"/>
    <s v="2026-03-25"/>
    <s v="2026-03-25"/>
    <d v="2026-03-30T00:00:00"/>
    <d v="2026-03-29T00:00:00"/>
    <s v="2026-03-30"/>
    <n v="0"/>
    <x v="0"/>
    <s v="Delivered"/>
    <x v="3"/>
  </r>
  <r>
    <n v="2180"/>
    <s v="MetroLogistics"/>
    <s v="2026-04-02"/>
    <s v="2026-04-02"/>
    <d v="2026-04-07T00:00:00"/>
    <d v="2026-04-07T00:00:00"/>
    <s v="2026-04-09"/>
    <n v="0"/>
    <x v="2"/>
    <s v="Delivered"/>
    <x v="3"/>
  </r>
  <r>
    <n v="2181"/>
    <s v="SwiftShip"/>
    <s v="2026-06-16"/>
    <s v="2026-06-16"/>
    <d v="2026-06-21T00:00:00"/>
    <d v="2026-06-21T00:00:00"/>
    <s v="2026-06-22"/>
    <n v="0"/>
    <x v="0"/>
    <s v="Delivered"/>
    <x v="3"/>
  </r>
  <r>
    <n v="2182"/>
    <s v="ParcelOne"/>
    <s v="2026-03-11"/>
    <s v="2026-03-11"/>
    <d v="2026-03-16T00:00:00"/>
    <d v="2026-03-20T00:00:00"/>
    <s v="2026-03-20"/>
    <n v="0"/>
    <x v="1"/>
    <s v="Delivered"/>
    <x v="2"/>
  </r>
  <r>
    <n v="2183"/>
    <s v="ParcelOne"/>
    <s v="2026-04-26"/>
    <s v="2026-04-27"/>
    <d v="2026-05-01T00:00:00"/>
    <d v="2026-05-05T00:00:00"/>
    <s v="2026-05-05"/>
    <n v="0"/>
    <x v="1"/>
    <s v="Delivered"/>
    <x v="2"/>
  </r>
  <r>
    <n v="2184"/>
    <s v="SwiftShip"/>
    <s v="2026-04-25"/>
    <s v="2026-04-25"/>
    <d v="2026-04-30T00:00:00"/>
    <d v="2026-04-28T00:00:00"/>
    <s v="2026-04-28"/>
    <n v="0"/>
    <x v="0"/>
    <s v="Delivered"/>
    <x v="3"/>
  </r>
  <r>
    <n v="2185"/>
    <s v="SwiftShip"/>
    <s v="2026-04-19"/>
    <s v="2026-04-20"/>
    <d v="2026-04-24T00:00:00"/>
    <d v="2026-04-24T00:00:00"/>
    <s v="2026-04-24"/>
    <n v="0"/>
    <x v="0"/>
    <s v="Delivered"/>
    <x v="3"/>
  </r>
  <r>
    <n v="2186"/>
    <s v="ParcelOne"/>
    <s v="2026-03-10"/>
    <s v="2026-03-10"/>
    <d v="2026-03-15T00:00:00"/>
    <d v="2026-03-15T00:00:00"/>
    <s v="2026-03-17"/>
    <n v="0"/>
    <x v="1"/>
    <s v="Delivered"/>
    <x v="3"/>
  </r>
  <r>
    <n v="2188"/>
    <s v="SwiftShip"/>
    <s v="2026-06-06"/>
    <s v="2026-06-06"/>
    <d v="2026-06-11T00:00:00"/>
    <d v="2026-06-09T00:00:00"/>
    <s v="2026-06-09"/>
    <n v="0"/>
    <x v="0"/>
    <s v="Delivered"/>
    <x v="3"/>
  </r>
  <r>
    <n v="2189"/>
    <s v="MetroLogistics"/>
    <s v="2026-06-03"/>
    <s v="2026-06-03"/>
    <d v="2026-06-08T00:00:00"/>
    <d v="2026-06-06T00:00:00"/>
    <s v="2026-06-06"/>
    <n v="0"/>
    <x v="2"/>
    <s v="Delivered"/>
    <x v="3"/>
  </r>
  <r>
    <n v="2190"/>
    <s v="MetroLogistics"/>
    <s v="2026-02-09"/>
    <s v="2026-02-09"/>
    <d v="2026-02-14T00:00:00"/>
    <d v="2026-02-18T00:00:00"/>
    <s v="2026-02-18"/>
    <n v="0"/>
    <x v="2"/>
    <s v="Delivered"/>
    <x v="2"/>
  </r>
  <r>
    <n v="2191"/>
    <s v="MetroLogistics"/>
    <s v="2026-06-05"/>
    <s v="2026-06-05"/>
    <d v="2026-06-10T00:00:00"/>
    <d v="2026-06-11T00:00:00"/>
    <s v="2026-06-11"/>
    <n v="0"/>
    <x v="2"/>
    <s v="Delivered"/>
    <x v="2"/>
  </r>
  <r>
    <n v="2192"/>
    <s v="ParcelOne"/>
    <s v="2026-05-13"/>
    <s v="2026-05-13"/>
    <d v="2026-05-18T00:00:00"/>
    <m/>
    <m/>
    <n v="0"/>
    <x v="1"/>
    <s v="Shipped"/>
    <x v="0"/>
  </r>
  <r>
    <n v="2193"/>
    <s v="ParcelOne"/>
    <s v="2026-06-09"/>
    <s v="2026-06-09"/>
    <d v="2026-06-14T00:00:00"/>
    <d v="2026-06-14T00:00:00"/>
    <s v="2026-06-14"/>
    <n v="0"/>
    <x v="1"/>
    <s v="Delivered"/>
    <x v="3"/>
  </r>
  <r>
    <n v="2194"/>
    <s v="ParcelOne"/>
    <s v="2026-01-27"/>
    <s v="2026-01-28"/>
    <d v="2026-02-01T00:00:00"/>
    <m/>
    <m/>
    <n v="0"/>
    <x v="1"/>
    <s v="Shipped"/>
    <x v="0"/>
  </r>
  <r>
    <n v="2195"/>
    <s v="MetroLogistics"/>
    <s v="2026-01-27"/>
    <s v="2026-01-27"/>
    <d v="2026-02-01T00:00:00"/>
    <d v="2026-01-31T00:00:00"/>
    <s v="2026-02-02"/>
    <n v="0"/>
    <x v="2"/>
    <s v="Delivered"/>
    <x v="3"/>
  </r>
  <r>
    <n v="2196"/>
    <s v="ParcelOne"/>
    <s v="2026-01-23"/>
    <s v="2026-01-23"/>
    <d v="2026-01-28T00:00:00"/>
    <d v="2026-01-26T00:00:00"/>
    <s v="2026-01-28"/>
    <n v="0"/>
    <x v="1"/>
    <s v="Delivered"/>
    <x v="3"/>
  </r>
  <r>
    <n v="2197"/>
    <s v="MetroLogistics"/>
    <s v="2026-01-04"/>
    <s v="2026-01-05"/>
    <d v="2026-01-09T00:00:00"/>
    <d v="2026-01-13T00:00:00"/>
    <s v="2026-01-13"/>
    <n v="0"/>
    <x v="2"/>
    <s v="Delivered"/>
    <x v="2"/>
  </r>
  <r>
    <n v="2198"/>
    <s v="ParcelOne"/>
    <s v="2026-05-10"/>
    <s v="2026-05-10"/>
    <d v="2026-05-15T00:00:00"/>
    <d v="2026-05-17T00:00:00"/>
    <s v="2026-05-17"/>
    <n v="0"/>
    <x v="1"/>
    <s v="Delivered"/>
    <x v="2"/>
  </r>
  <r>
    <n v="2199"/>
    <s v="ParcelOne"/>
    <s v="2026-05-12"/>
    <s v="2026-05-14"/>
    <d v="2026-05-17T00:00:00"/>
    <d v="2026-05-19T00:00:00"/>
    <s v="2026-05-19"/>
    <n v="0"/>
    <x v="1"/>
    <s v="Delivered"/>
    <x v="2"/>
  </r>
  <r>
    <n v="2200"/>
    <s v="MetroLogistics"/>
    <s v="2026-03-23"/>
    <s v="2026-03-23"/>
    <d v="2026-03-28T00:00:00"/>
    <m/>
    <m/>
    <n v="0"/>
    <x v="2"/>
    <s v="Shipped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5">
  <r>
    <n v="1001"/>
    <s v="SwiftShip"/>
    <d v="2026-01-22T00:00:00"/>
    <d v="2026-01-22T00:00:00"/>
    <d v="2026-01-27T00:00:00"/>
    <m/>
    <m/>
    <n v="0"/>
    <x v="0"/>
    <s v="Shipped"/>
    <x v="0"/>
    <x v="0"/>
  </r>
  <r>
    <n v="1005"/>
    <s v="ParcelOne"/>
    <d v="2026-05-03T00:00:00"/>
    <d v="2026-05-03T00:00:00"/>
    <d v="2026-05-08T00:00:00"/>
    <m/>
    <s v="2026-05-08"/>
    <n v="0"/>
    <x v="1"/>
    <s v="Delivered"/>
    <x v="1"/>
    <x v="0"/>
  </r>
  <r>
    <n v="1006"/>
    <s v="SwiftShip"/>
    <d v="2026-03-15T00:00:00"/>
    <d v="2026-03-15T00:00:00"/>
    <d v="2026-03-20T00:00:00"/>
    <d v="2026-03-24T00:00:00"/>
    <s v="2026-03-24"/>
    <n v="0"/>
    <x v="0"/>
    <s v="Delivered"/>
    <x v="2"/>
    <x v="0"/>
  </r>
  <r>
    <n v="1007"/>
    <s v="MetroLogistics"/>
    <d v="2026-01-12T00:00:00"/>
    <d v="2026-01-12T00:00:00"/>
    <d v="2026-01-17T00:00:00"/>
    <d v="2026-01-17T00:00:00"/>
    <s v="2026-01-17"/>
    <n v="0"/>
    <x v="2"/>
    <s v="Delivered"/>
    <x v="3"/>
    <x v="0"/>
  </r>
  <r>
    <n v="1008"/>
    <s v="MetroLogistics"/>
    <d v="2026-04-24T00:00:00"/>
    <d v="2026-04-26T00:00:00"/>
    <d v="2026-04-29T00:00:00"/>
    <d v="2026-05-03T00:00:00"/>
    <s v="2026-05-03"/>
    <n v="0"/>
    <x v="2"/>
    <s v="Delivered"/>
    <x v="2"/>
    <x v="1"/>
  </r>
  <r>
    <n v="1009"/>
    <s v="SwiftShip"/>
    <d v="2026-02-03T00:00:00"/>
    <d v="2026-02-03T00:00:00"/>
    <d v="2026-02-08T00:00:00"/>
    <d v="2026-02-07T00:00:00"/>
    <s v="2026-02-07"/>
    <n v="0"/>
    <x v="0"/>
    <s v="Delivered"/>
    <x v="3"/>
    <x v="0"/>
  </r>
  <r>
    <n v="1010"/>
    <s v="SwiftShip"/>
    <d v="2026-06-25T00:00:00"/>
    <d v="2026-06-25T00:00:00"/>
    <d v="2026-06-30T00:00:00"/>
    <d v="2026-07-01T00:00:00"/>
    <s v="2026-07-01"/>
    <n v="0"/>
    <x v="0"/>
    <s v="Delivered"/>
    <x v="2"/>
    <x v="0"/>
  </r>
  <r>
    <n v="1011"/>
    <s v="ParcelOne"/>
    <d v="2026-05-02T00:00:00"/>
    <d v="2026-05-03T00:00:00"/>
    <d v="2026-05-07T00:00:00"/>
    <d v="2026-05-08T00:00:00"/>
    <s v="2026-05-08"/>
    <n v="0"/>
    <x v="1"/>
    <s v="Delivered"/>
    <x v="2"/>
    <x v="1"/>
  </r>
  <r>
    <n v="1012"/>
    <s v="MetroLogistics"/>
    <d v="2026-02-22T00:00:00"/>
    <d v="2026-02-22T00:00:00"/>
    <d v="2026-02-27T00:00:00"/>
    <d v="2026-03-01T00:00:00"/>
    <s v="2026-03-01"/>
    <n v="0"/>
    <x v="2"/>
    <s v="Delivered"/>
    <x v="2"/>
    <x v="0"/>
  </r>
  <r>
    <n v="1013"/>
    <s v="SwiftShip"/>
    <d v="2026-06-30T00:00:00"/>
    <d v="2026-07-01T00:00:00"/>
    <d v="2026-07-05T00:00:00"/>
    <d v="2026-07-07T00:00:00"/>
    <s v="2026-07-08"/>
    <n v="0"/>
    <x v="0"/>
    <s v="Delivered"/>
    <x v="2"/>
    <x v="1"/>
  </r>
  <r>
    <n v="1014"/>
    <s v="MetroLogistics"/>
    <d v="2026-02-28T00:00:00"/>
    <d v="2026-02-28T00:00:00"/>
    <d v="2026-03-05T00:00:00"/>
    <d v="2026-03-06T00:00:00"/>
    <s v="2026-03-06"/>
    <n v="0"/>
    <x v="2"/>
    <s v="Delivered"/>
    <x v="2"/>
    <x v="0"/>
  </r>
  <r>
    <n v="1015"/>
    <s v="SwiftShip"/>
    <d v="2026-06-04T00:00:00"/>
    <d v="2026-06-04T00:00:00"/>
    <d v="2026-06-09T00:00:00"/>
    <d v="2026-06-10T00:00:00"/>
    <s v="2026-06-11"/>
    <n v="0"/>
    <x v="0"/>
    <s v="Delivered"/>
    <x v="2"/>
    <x v="0"/>
  </r>
  <r>
    <n v="1016"/>
    <s v="ParcelOne"/>
    <d v="2026-05-16T00:00:00"/>
    <d v="2026-05-16T00:00:00"/>
    <d v="2026-05-21T00:00:00"/>
    <d v="2026-05-21T00:00:00"/>
    <s v="2026-05-21"/>
    <n v="0"/>
    <x v="1"/>
    <s v="Delivered"/>
    <x v="3"/>
    <x v="0"/>
  </r>
  <r>
    <n v="1017"/>
    <s v="MetroLogistics"/>
    <d v="2026-02-10T00:00:00"/>
    <d v="2026-02-10T00:00:00"/>
    <d v="2026-02-15T00:00:00"/>
    <d v="2026-02-14T00:00:00"/>
    <s v="2026-02-14"/>
    <n v="0"/>
    <x v="2"/>
    <s v="Delivered"/>
    <x v="3"/>
    <x v="0"/>
  </r>
  <r>
    <n v="1018"/>
    <s v="SwiftShip"/>
    <d v="2026-06-30T00:00:00"/>
    <d v="2026-06-30T00:00:00"/>
    <d v="2026-07-05T00:00:00"/>
    <d v="2026-07-07T00:00:00"/>
    <s v="2026-07-09"/>
    <n v="0"/>
    <x v="0"/>
    <s v="Delivered"/>
    <x v="2"/>
    <x v="0"/>
  </r>
  <r>
    <n v="1019"/>
    <s v="SwiftShip"/>
    <d v="2026-05-20T00:00:00"/>
    <d v="2026-05-20T00:00:00"/>
    <d v="2026-05-25T00:00:00"/>
    <d v="2026-05-25T00:00:00"/>
    <s v="2026-05-25"/>
    <n v="0"/>
    <x v="0"/>
    <s v="Delivered"/>
    <x v="3"/>
    <x v="0"/>
  </r>
  <r>
    <n v="1020"/>
    <s v="SwiftShip"/>
    <d v="2026-02-14T00:00:00"/>
    <d v="2026-02-14T00:00:00"/>
    <d v="2026-02-19T00:00:00"/>
    <d v="2026-02-19T00:00:00"/>
    <s v="2026-02-19"/>
    <n v="0"/>
    <x v="0"/>
    <s v="Delivered"/>
    <x v="3"/>
    <x v="0"/>
  </r>
  <r>
    <n v="1021"/>
    <s v="ParcelOne"/>
    <d v="2026-03-27T00:00:00"/>
    <d v="2026-03-28T00:00:00"/>
    <d v="2026-04-01T00:00:00"/>
    <d v="2026-04-01T00:00:00"/>
    <s v="2026-04-01"/>
    <n v="0"/>
    <x v="1"/>
    <s v="Delivered"/>
    <x v="3"/>
    <x v="1"/>
  </r>
  <r>
    <n v="1022"/>
    <s v="ParcelOne"/>
    <d v="2026-04-02T00:00:00"/>
    <d v="2026-04-02T00:00:00"/>
    <d v="2026-04-07T00:00:00"/>
    <d v="2026-04-07T00:00:00"/>
    <s v="2026-04-07"/>
    <n v="0"/>
    <x v="1"/>
    <s v="Delivered"/>
    <x v="3"/>
    <x v="0"/>
  </r>
  <r>
    <n v="1023"/>
    <s v="MetroLogistics"/>
    <d v="2026-05-02T00:00:00"/>
    <d v="2026-05-02T00:00:00"/>
    <d v="2026-05-07T00:00:00"/>
    <d v="2026-05-06T00:00:00"/>
    <s v="2026-05-06"/>
    <n v="0"/>
    <x v="2"/>
    <s v="Delivered"/>
    <x v="3"/>
    <x v="0"/>
  </r>
  <r>
    <n v="1024"/>
    <s v=" SwiftShip "/>
    <d v="2026-01-09T00:00:00"/>
    <d v="2026-01-09T00:00:00"/>
    <d v="2026-01-14T00:00:00"/>
    <m/>
    <m/>
    <n v="2"/>
    <x v="0"/>
    <s v="Shipped"/>
    <x v="0"/>
    <x v="0"/>
  </r>
  <r>
    <n v="1025"/>
    <s v="SwiftShip"/>
    <d v="2026-06-27T00:00:00"/>
    <d v="2026-06-27T00:00:00"/>
    <d v="2026-07-02T00:00:00"/>
    <d v="2026-07-02T00:00:00"/>
    <s v="2026-07-03"/>
    <n v="0"/>
    <x v="0"/>
    <s v="Delivered"/>
    <x v="3"/>
    <x v="0"/>
  </r>
  <r>
    <n v="1026"/>
    <s v="SwiftShip"/>
    <d v="2026-01-30T00:00:00"/>
    <d v="2026-01-30T00:00:00"/>
    <d v="2026-02-04T00:00:00"/>
    <d v="2026-02-05T00:00:00"/>
    <s v="2026-02-05"/>
    <n v="0"/>
    <x v="0"/>
    <s v="Delivered"/>
    <x v="2"/>
    <x v="0"/>
  </r>
  <r>
    <n v="1027"/>
    <s v="SwiftShip"/>
    <d v="2026-03-06T00:00:00"/>
    <d v="2026-03-06T00:00:00"/>
    <d v="2026-03-11T00:00:00"/>
    <d v="2026-03-11T00:00:00"/>
    <s v="2026-03-11"/>
    <n v="0"/>
    <x v="0"/>
    <s v="Delivered"/>
    <x v="3"/>
    <x v="0"/>
  </r>
  <r>
    <n v="1028"/>
    <s v="SwiftShip"/>
    <d v="2026-02-26T00:00:00"/>
    <d v="2026-02-26T00:00:00"/>
    <d v="2026-03-03T00:00:00"/>
    <d v="2026-03-02T00:00:00"/>
    <s v="2026-03-02"/>
    <n v="0"/>
    <x v="0"/>
    <s v="Delivered"/>
    <x v="3"/>
    <x v="0"/>
  </r>
  <r>
    <n v="1029"/>
    <s v="MetroLogistics"/>
    <d v="2026-05-08T00:00:00"/>
    <d v="2026-05-08T00:00:00"/>
    <d v="2026-05-13T00:00:00"/>
    <d v="2026-05-13T00:00:00"/>
    <s v="2026-05-13"/>
    <n v="0"/>
    <x v="2"/>
    <s v="Delivered"/>
    <x v="3"/>
    <x v="0"/>
  </r>
  <r>
    <n v="1030"/>
    <s v="ParcelOne"/>
    <d v="2026-05-31T00:00:00"/>
    <d v="2026-05-31T00:00:00"/>
    <d v="2026-06-05T00:00:00"/>
    <d v="2026-06-05T00:00:00"/>
    <s v="2026-06-05"/>
    <n v="0"/>
    <x v="1"/>
    <s v="Delivered"/>
    <x v="3"/>
    <x v="0"/>
  </r>
  <r>
    <n v="1031"/>
    <s v="SwiftShip"/>
    <d v="2026-03-24T00:00:00"/>
    <d v="2026-03-26T00:00:00"/>
    <d v="2026-03-29T00:00:00"/>
    <d v="2026-03-30T00:00:00"/>
    <s v="2026-03-30"/>
    <n v="0"/>
    <x v="0"/>
    <s v="Delivered"/>
    <x v="2"/>
    <x v="1"/>
  </r>
  <r>
    <n v="1032"/>
    <s v="ParcelOne"/>
    <d v="2026-02-17T00:00:00"/>
    <d v="2026-02-19T00:00:00"/>
    <d v="2026-02-22T00:00:00"/>
    <d v="2026-02-22T00:00:00"/>
    <s v="2026-02-22"/>
    <n v="0"/>
    <x v="1"/>
    <s v="Delivered"/>
    <x v="3"/>
    <x v="1"/>
  </r>
  <r>
    <n v="1034"/>
    <s v="SwiftShip"/>
    <d v="2026-05-03T00:00:00"/>
    <d v="2026-05-05T00:00:00"/>
    <d v="2026-05-08T00:00:00"/>
    <d v="2026-05-08T00:00:00"/>
    <s v="2026-05-09"/>
    <n v="0"/>
    <x v="0"/>
    <s v="Delivered"/>
    <x v="3"/>
    <x v="1"/>
  </r>
  <r>
    <n v="1035"/>
    <s v="SwiftShip"/>
    <d v="2026-05-08T00:00:00"/>
    <d v="2026-05-08T00:00:00"/>
    <d v="2026-05-13T00:00:00"/>
    <d v="2026-05-12T00:00:00"/>
    <s v="2026-05-12"/>
    <n v="0"/>
    <x v="0"/>
    <s v="Delivered"/>
    <x v="3"/>
    <x v="0"/>
  </r>
  <r>
    <n v="1036"/>
    <s v="ParcelOne"/>
    <d v="2026-06-07T00:00:00"/>
    <d v="2026-06-07T00:00:00"/>
    <d v="2026-06-12T00:00:00"/>
    <d v="2026-06-10T00:00:00"/>
    <s v="2026-06-12"/>
    <n v="0"/>
    <x v="1"/>
    <s v="Delivered"/>
    <x v="3"/>
    <x v="0"/>
  </r>
  <r>
    <n v="1037"/>
    <s v="SwiftShip"/>
    <d v="2026-02-25T00:00:00"/>
    <d v="2026-02-25T00:00:00"/>
    <d v="2026-03-02T00:00:00"/>
    <d v="2026-03-02T00:00:00"/>
    <s v="2026-03-02"/>
    <n v="0"/>
    <x v="0"/>
    <s v="Delivered"/>
    <x v="3"/>
    <x v="0"/>
  </r>
  <r>
    <n v="1038"/>
    <s v="SwiftShip"/>
    <d v="2026-01-11T00:00:00"/>
    <d v="2026-01-11T00:00:00"/>
    <d v="2026-01-16T00:00:00"/>
    <d v="2026-01-15T00:00:00"/>
    <s v="2026-01-15"/>
    <n v="0"/>
    <x v="0"/>
    <s v="Delivered"/>
    <x v="3"/>
    <x v="0"/>
  </r>
  <r>
    <n v="1039"/>
    <s v="SwiftShip"/>
    <d v="2026-02-08T00:00:00"/>
    <d v="2026-02-08T00:00:00"/>
    <d v="2026-02-13T00:00:00"/>
    <d v="2026-02-14T00:00:00"/>
    <s v="2026-02-14"/>
    <n v="0"/>
    <x v="0"/>
    <s v="Delivered"/>
    <x v="2"/>
    <x v="0"/>
  </r>
  <r>
    <n v="1040"/>
    <s v="ParcelOne"/>
    <d v="2026-05-11T00:00:00"/>
    <d v="2026-05-12T00:00:00"/>
    <d v="2026-05-16T00:00:00"/>
    <d v="2026-05-17T00:00:00"/>
    <s v="2026-05-17"/>
    <n v="0"/>
    <x v="1"/>
    <s v="Delivered"/>
    <x v="2"/>
    <x v="1"/>
  </r>
  <r>
    <n v="1041"/>
    <s v="MetroLogistics"/>
    <d v="2026-01-26T00:00:00"/>
    <d v="2026-01-26T00:00:00"/>
    <d v="2026-01-31T00:00:00"/>
    <d v="2026-01-31T00:00:00"/>
    <s v="2026-01-31"/>
    <n v="0"/>
    <x v="2"/>
    <s v="Delivered"/>
    <x v="3"/>
    <x v="0"/>
  </r>
  <r>
    <n v="1042"/>
    <s v="ParcelOne"/>
    <d v="2026-04-24T00:00:00"/>
    <d v="2026-04-24T00:00:00"/>
    <d v="2026-04-29T00:00:00"/>
    <d v="2026-04-29T00:00:00"/>
    <s v="2026-04-29"/>
    <n v="0"/>
    <x v="1"/>
    <s v="Delivered"/>
    <x v="3"/>
    <x v="0"/>
  </r>
  <r>
    <n v="1043"/>
    <s v="SwiftShip"/>
    <d v="2026-03-28T00:00:00"/>
    <d v="2026-03-28T00:00:00"/>
    <d v="2026-04-02T00:00:00"/>
    <d v="2026-04-02T00:00:00"/>
    <s v="2026-04-02"/>
    <n v="0"/>
    <x v="0"/>
    <s v="Delivered"/>
    <x v="3"/>
    <x v="0"/>
  </r>
  <r>
    <n v="1044"/>
    <s v="ParcelOne"/>
    <d v="2026-05-14T00:00:00"/>
    <d v="2026-05-14T00:00:00"/>
    <d v="2026-05-19T00:00:00"/>
    <d v="2026-05-19T00:00:00"/>
    <s v="2026-05-19"/>
    <n v="0"/>
    <x v="1"/>
    <s v="Delivered"/>
    <x v="3"/>
    <x v="0"/>
  </r>
  <r>
    <n v="1045"/>
    <s v="ParcelOne"/>
    <d v="2026-02-24T00:00:00"/>
    <d v="2026-02-26T00:00:00"/>
    <d v="2026-03-01T00:00:00"/>
    <d v="2026-03-01T00:00:00"/>
    <s v="2026-03-01"/>
    <n v="0"/>
    <x v="1"/>
    <s v="Delivered"/>
    <x v="3"/>
    <x v="1"/>
  </r>
  <r>
    <n v="1046"/>
    <s v="MetroLogistics"/>
    <d v="2026-03-23T00:00:00"/>
    <d v="2026-03-25T00:00:00"/>
    <d v="2026-03-28T00:00:00"/>
    <d v="2026-03-28T00:00:00"/>
    <s v="2026-03-28"/>
    <n v="0"/>
    <x v="2"/>
    <s v="Delivered"/>
    <x v="3"/>
    <x v="1"/>
  </r>
  <r>
    <n v="1047"/>
    <s v="MetroLogistics"/>
    <d v="2026-03-18T00:00:00"/>
    <d v="2026-03-18T00:00:00"/>
    <d v="2026-03-23T00:00:00"/>
    <d v="2026-03-23T00:00:00"/>
    <s v="2026-03-25"/>
    <n v="0"/>
    <x v="2"/>
    <s v="Delivered"/>
    <x v="3"/>
    <x v="0"/>
  </r>
  <r>
    <n v="1049"/>
    <s v="SwiftShip"/>
    <d v="2026-03-16T00:00:00"/>
    <d v="2026-03-16T00:00:00"/>
    <d v="2026-03-21T00:00:00"/>
    <d v="2026-03-21T00:00:00"/>
    <s v="2026-03-21"/>
    <n v="0"/>
    <x v="0"/>
    <s v="Delivered"/>
    <x v="3"/>
    <x v="0"/>
  </r>
  <r>
    <n v="1050"/>
    <s v="MetroLogistics"/>
    <d v="2026-02-20T00:00:00"/>
    <m/>
    <d v="2026-02-25T00:00:00"/>
    <m/>
    <m/>
    <n v="0"/>
    <x v="2"/>
    <s v="Pending"/>
    <x v="0"/>
    <x v="2"/>
  </r>
  <r>
    <n v="1051"/>
    <s v="SwiftShip"/>
    <d v="2026-04-10T00:00:00"/>
    <d v="2026-04-11T00:00:00"/>
    <d v="2026-04-15T00:00:00"/>
    <d v="2026-04-15T00:00:00"/>
    <s v="2026-04-15"/>
    <n v="0"/>
    <x v="0"/>
    <s v="Delivered"/>
    <x v="3"/>
    <x v="1"/>
  </r>
  <r>
    <n v="1052"/>
    <s v="MetroLogistics"/>
    <d v="2026-01-06T00:00:00"/>
    <d v="2026-01-06T00:00:00"/>
    <d v="2026-01-11T00:00:00"/>
    <d v="2026-01-13T00:00:00"/>
    <s v="2026-01-14"/>
    <n v="0"/>
    <x v="2"/>
    <s v="Delivered"/>
    <x v="2"/>
    <x v="0"/>
  </r>
  <r>
    <n v="1053"/>
    <s v="SwiftShip"/>
    <d v="2026-04-10T00:00:00"/>
    <d v="2026-04-10T00:00:00"/>
    <d v="2026-04-15T00:00:00"/>
    <m/>
    <m/>
    <n v="0"/>
    <x v="0"/>
    <s v="Shipped"/>
    <x v="0"/>
    <x v="0"/>
  </r>
  <r>
    <n v="1054"/>
    <s v="SwiftShip"/>
    <d v="2026-01-28T00:00:00"/>
    <d v="2026-01-28T00:00:00"/>
    <d v="2026-02-02T00:00:00"/>
    <d v="2026-01-31T00:00:00"/>
    <s v="2026-01-31"/>
    <n v="0"/>
    <x v="0"/>
    <s v="Delivered"/>
    <x v="3"/>
    <x v="0"/>
  </r>
  <r>
    <n v="1055"/>
    <s v="ParcelOne"/>
    <d v="2026-02-09T00:00:00"/>
    <d v="2026-02-09T00:00:00"/>
    <d v="2026-02-14T00:00:00"/>
    <d v="2026-02-13T00:00:00"/>
    <s v="2026-02-15"/>
    <n v="0"/>
    <x v="1"/>
    <s v="Delivered"/>
    <x v="3"/>
    <x v="0"/>
  </r>
  <r>
    <n v="1056"/>
    <s v="SwiftShip"/>
    <d v="2026-03-03T00:00:00"/>
    <d v="2026-03-05T00:00:00"/>
    <d v="2026-03-08T00:00:00"/>
    <d v="2026-03-09T00:00:00"/>
    <s v="2026-03-09"/>
    <n v="0"/>
    <x v="0"/>
    <s v="Delivered"/>
    <x v="2"/>
    <x v="1"/>
  </r>
  <r>
    <n v="1057"/>
    <s v="SwiftShip"/>
    <d v="2026-04-01T00:00:00"/>
    <m/>
    <d v="2026-04-06T00:00:00"/>
    <m/>
    <m/>
    <n v="0"/>
    <x v="0"/>
    <s v="Pending"/>
    <x v="0"/>
    <x v="2"/>
  </r>
  <r>
    <n v="1058"/>
    <s v="MetroLogistics"/>
    <d v="2026-01-30T00:00:00"/>
    <d v="2026-02-01T00:00:00"/>
    <d v="2026-02-04T00:00:00"/>
    <d v="2026-02-04T00:00:00"/>
    <s v="2026-02-04"/>
    <n v="0"/>
    <x v="2"/>
    <s v="Delivered"/>
    <x v="3"/>
    <x v="1"/>
  </r>
  <r>
    <n v="1059"/>
    <s v="MetroLogistics"/>
    <d v="2026-06-27T00:00:00"/>
    <d v="2026-06-27T00:00:00"/>
    <d v="2026-07-02T00:00:00"/>
    <d v="2026-07-02T00:00:00"/>
    <s v="2026-07-02"/>
    <n v="0"/>
    <x v="2"/>
    <s v="Delivered"/>
    <x v="3"/>
    <x v="0"/>
  </r>
  <r>
    <n v="1060"/>
    <s v="SwiftShip"/>
    <d v="2026-06-20T00:00:00"/>
    <d v="2026-06-20T00:00:00"/>
    <d v="2026-06-25T00:00:00"/>
    <d v="2026-06-26T00:00:00"/>
    <s v="2026-06-26"/>
    <n v="0"/>
    <x v="0"/>
    <s v="Delivered"/>
    <x v="2"/>
    <x v="0"/>
  </r>
  <r>
    <n v="1061"/>
    <s v="SwiftShip"/>
    <d v="2026-03-27T00:00:00"/>
    <d v="2026-03-27T00:00:00"/>
    <d v="2026-04-01T00:00:00"/>
    <d v="2026-04-03T00:00:00"/>
    <s v="2026-04-04"/>
    <n v="0"/>
    <x v="0"/>
    <s v="Delivered"/>
    <x v="2"/>
    <x v="0"/>
  </r>
  <r>
    <n v="1062"/>
    <s v="MetroLogistics"/>
    <d v="2026-05-06T00:00:00"/>
    <d v="2026-05-07T00:00:00"/>
    <d v="2026-05-11T00:00:00"/>
    <m/>
    <m/>
    <n v="0"/>
    <x v="2"/>
    <s v="Shipped"/>
    <x v="0"/>
    <x v="1"/>
  </r>
  <r>
    <n v="1063"/>
    <s v="MetroLogistics"/>
    <d v="2026-06-24T00:00:00"/>
    <m/>
    <d v="2026-06-29T00:00:00"/>
    <m/>
    <m/>
    <n v="0"/>
    <x v="2"/>
    <s v="Pending"/>
    <x v="0"/>
    <x v="2"/>
  </r>
  <r>
    <n v="1064"/>
    <s v="MetroLogistics"/>
    <d v="2026-02-03T00:00:00"/>
    <d v="2026-02-03T00:00:00"/>
    <d v="2026-02-08T00:00:00"/>
    <d v="2026-02-10T00:00:00"/>
    <s v="2026-02-10"/>
    <n v="0"/>
    <x v="2"/>
    <s v="Delivered"/>
    <x v="2"/>
    <x v="0"/>
  </r>
  <r>
    <n v="1065"/>
    <s v="ParcelOne"/>
    <d v="2026-02-28T00:00:00"/>
    <d v="2026-03-02T00:00:00"/>
    <d v="2026-03-05T00:00:00"/>
    <d v="2026-03-05T00:00:00"/>
    <s v="2026-03-05"/>
    <n v="0"/>
    <x v="1"/>
    <s v="Delivered"/>
    <x v="3"/>
    <x v="1"/>
  </r>
  <r>
    <n v="1067"/>
    <s v="MetroLogistics"/>
    <d v="2026-04-19T00:00:00"/>
    <d v="2026-04-19T00:00:00"/>
    <d v="2026-04-24T00:00:00"/>
    <d v="2026-04-23T00:00:00"/>
    <s v="2026-04-23"/>
    <n v="0"/>
    <x v="2"/>
    <s v="Delivered"/>
    <x v="3"/>
    <x v="0"/>
  </r>
  <r>
    <n v="1068"/>
    <s v="SwiftShip"/>
    <d v="2026-04-07T00:00:00"/>
    <d v="2026-04-07T00:00:00"/>
    <d v="2026-04-12T00:00:00"/>
    <d v="2026-04-11T00:00:00"/>
    <s v="2026-04-12"/>
    <n v="0"/>
    <x v="0"/>
    <s v="Delivered"/>
    <x v="3"/>
    <x v="0"/>
  </r>
  <r>
    <n v="1069"/>
    <s v="MetroLogistics"/>
    <d v="2026-01-26T00:00:00"/>
    <d v="2026-01-28T00:00:00"/>
    <d v="2026-01-31T00:00:00"/>
    <d v="2026-02-01T00:00:00"/>
    <s v="2026-02-01"/>
    <n v="0"/>
    <x v="2"/>
    <s v="Delivered"/>
    <x v="2"/>
    <x v="1"/>
  </r>
  <r>
    <n v="1070"/>
    <s v="SwiftShip"/>
    <d v="2026-02-25T00:00:00"/>
    <d v="2026-02-26T00:00:00"/>
    <d v="2026-03-02T00:00:00"/>
    <d v="2026-03-01T00:00:00"/>
    <s v="2026-03-01"/>
    <n v="0"/>
    <x v="0"/>
    <s v="Delivered"/>
    <x v="3"/>
    <x v="1"/>
  </r>
  <r>
    <n v="1071"/>
    <s v="ParcelOne"/>
    <d v="2026-02-16T00:00:00"/>
    <d v="2026-02-16T00:00:00"/>
    <d v="2026-02-21T00:00:00"/>
    <d v="2026-02-20T00:00:00"/>
    <s v="2026-02-20"/>
    <n v="0"/>
    <x v="1"/>
    <s v="Delivered"/>
    <x v="3"/>
    <x v="0"/>
  </r>
  <r>
    <n v="1072"/>
    <s v="MetroLogistics"/>
    <d v="2026-03-11T00:00:00"/>
    <d v="2026-03-11T00:00:00"/>
    <d v="2026-03-16T00:00:00"/>
    <d v="2026-03-15T00:00:00"/>
    <s v="2026-03-15"/>
    <n v="0"/>
    <x v="2"/>
    <s v="Delivered"/>
    <x v="3"/>
    <x v="0"/>
  </r>
  <r>
    <n v="1073"/>
    <s v="ParcelOne"/>
    <d v="2026-06-20T00:00:00"/>
    <d v="2026-06-20T00:00:00"/>
    <d v="2026-06-25T00:00:00"/>
    <d v="2026-06-27T00:00:00"/>
    <s v="2026-06-27"/>
    <n v="0"/>
    <x v="1"/>
    <s v="Delivered"/>
    <x v="2"/>
    <x v="0"/>
  </r>
  <r>
    <n v="1074"/>
    <s v="MetroLogistics"/>
    <d v="2026-03-26T00:00:00"/>
    <d v="2026-03-26T00:00:00"/>
    <d v="2026-03-31T00:00:00"/>
    <d v="2026-03-31T00:00:00"/>
    <s v="2026-03-31"/>
    <n v="0"/>
    <x v="2"/>
    <s v="Delivered"/>
    <x v="3"/>
    <x v="0"/>
  </r>
  <r>
    <n v="1075"/>
    <s v="MetroLogistics"/>
    <d v="2026-06-06T00:00:00"/>
    <d v="2026-06-06T00:00:00"/>
    <d v="2026-06-11T00:00:00"/>
    <d v="2026-06-12T00:00:00"/>
    <s v="2026-06-12"/>
    <n v="0"/>
    <x v="2"/>
    <s v="Delivered"/>
    <x v="2"/>
    <x v="0"/>
  </r>
  <r>
    <n v="1076"/>
    <s v="MetroLogistics"/>
    <d v="2026-01-27T00:00:00"/>
    <d v="2026-01-28T00:00:00"/>
    <d v="2026-02-01T00:00:00"/>
    <d v="2026-01-31T00:00:00"/>
    <s v="2026-01-31"/>
    <n v="0"/>
    <x v="2"/>
    <s v="Delivered"/>
    <x v="3"/>
    <x v="1"/>
  </r>
  <r>
    <n v="1077"/>
    <s v="SwiftShip"/>
    <d v="2026-04-08T00:00:00"/>
    <d v="2026-04-08T00:00:00"/>
    <d v="2026-04-13T00:00:00"/>
    <d v="2026-04-13T00:00:00"/>
    <s v="2026-04-14"/>
    <n v="0"/>
    <x v="0"/>
    <s v="Delivered"/>
    <x v="3"/>
    <x v="0"/>
  </r>
  <r>
    <n v="1078"/>
    <s v="ParcelOne"/>
    <d v="2026-01-16T00:00:00"/>
    <d v="2026-01-16T00:00:00"/>
    <d v="2026-01-21T00:00:00"/>
    <m/>
    <m/>
    <n v="0"/>
    <x v="1"/>
    <s v="Shipped"/>
    <x v="0"/>
    <x v="0"/>
  </r>
  <r>
    <n v="1079"/>
    <s v="MetroLogistics"/>
    <d v="2026-01-30T00:00:00"/>
    <d v="2026-01-31T00:00:00"/>
    <d v="2026-02-04T00:00:00"/>
    <d v="2026-02-08T00:00:00"/>
    <s v="2026-02-09"/>
    <n v="0"/>
    <x v="2"/>
    <s v="Delivered"/>
    <x v="2"/>
    <x v="1"/>
  </r>
  <r>
    <n v="1080"/>
    <s v="ParcelOne"/>
    <d v="2026-06-24T00:00:00"/>
    <d v="2026-06-26T00:00:00"/>
    <d v="2026-06-29T00:00:00"/>
    <d v="2026-06-29T00:00:00"/>
    <s v="2026-06-29"/>
    <n v="0"/>
    <x v="1"/>
    <s v="Delivered"/>
    <x v="3"/>
    <x v="1"/>
  </r>
  <r>
    <n v="1081"/>
    <s v="SwiftShip"/>
    <d v="2026-05-27T00:00:00"/>
    <d v="2026-05-27T00:00:00"/>
    <d v="2026-06-01T00:00:00"/>
    <d v="2026-06-01T00:00:00"/>
    <s v="2026-06-01"/>
    <n v="0"/>
    <x v="0"/>
    <s v="Delivered"/>
    <x v="3"/>
    <x v="0"/>
  </r>
  <r>
    <n v="1082"/>
    <s v="SwiftShip"/>
    <d v="2026-03-31T00:00:00"/>
    <d v="2026-03-31T00:00:00"/>
    <d v="2026-04-05T00:00:00"/>
    <d v="2026-04-05T00:00:00"/>
    <s v="2026-04-05"/>
    <n v="0"/>
    <x v="0"/>
    <s v="Delivered"/>
    <x v="3"/>
    <x v="0"/>
  </r>
  <r>
    <n v="1083"/>
    <s v="SwiftShip"/>
    <d v="2026-04-26T00:00:00"/>
    <d v="2026-04-26T00:00:00"/>
    <d v="2026-05-01T00:00:00"/>
    <d v="2026-05-01T00:00:00"/>
    <s v="2026-05-01"/>
    <n v="0"/>
    <x v="0"/>
    <s v="Delivered"/>
    <x v="3"/>
    <x v="0"/>
  </r>
  <r>
    <n v="1084"/>
    <s v="ParcelOne"/>
    <d v="2026-05-17T00:00:00"/>
    <d v="2026-05-17T00:00:00"/>
    <d v="2026-05-22T00:00:00"/>
    <d v="2026-05-22T00:00:00"/>
    <s v="2026-05-22"/>
    <n v="0"/>
    <x v="1"/>
    <s v="Delivered"/>
    <x v="3"/>
    <x v="0"/>
  </r>
  <r>
    <n v="1085"/>
    <s v="MetroLogistics"/>
    <d v="2026-03-09T00:00:00"/>
    <d v="2026-03-09T00:00:00"/>
    <d v="2026-03-14T00:00:00"/>
    <d v="2026-03-14T00:00:00"/>
    <s v="2026-03-14"/>
    <n v="0"/>
    <x v="2"/>
    <s v="Delivered"/>
    <x v="3"/>
    <x v="0"/>
  </r>
  <r>
    <n v="1086"/>
    <s v="SwiftShip"/>
    <d v="2026-05-26T00:00:00"/>
    <d v="2026-05-26T00:00:00"/>
    <d v="2026-05-31T00:00:00"/>
    <d v="2026-05-31T00:00:00"/>
    <s v="2026-05-31"/>
    <n v="0"/>
    <x v="0"/>
    <s v="Delivered"/>
    <x v="3"/>
    <x v="0"/>
  </r>
  <r>
    <n v="1087"/>
    <s v="SwiftShip"/>
    <d v="2026-05-30T00:00:00"/>
    <d v="2026-06-01T00:00:00"/>
    <d v="2026-06-04T00:00:00"/>
    <d v="2026-06-03T00:00:00"/>
    <s v="2026-06-05"/>
    <n v="0"/>
    <x v="0"/>
    <s v="Delivered"/>
    <x v="3"/>
    <x v="1"/>
  </r>
  <r>
    <n v="1088"/>
    <s v="SwiftShip"/>
    <d v="2026-06-28T00:00:00"/>
    <d v="2026-06-28T00:00:00"/>
    <d v="2026-07-03T00:00:00"/>
    <m/>
    <m/>
    <n v="0"/>
    <x v="0"/>
    <s v="Shipped"/>
    <x v="0"/>
    <x v="0"/>
  </r>
  <r>
    <n v="1089"/>
    <s v="MetroLogistics"/>
    <d v="2026-03-23T00:00:00"/>
    <d v="2026-03-25T00:00:00"/>
    <d v="2026-03-28T00:00:00"/>
    <d v="2026-03-28T00:00:00"/>
    <s v="2026-03-28"/>
    <n v="0"/>
    <x v="2"/>
    <s v="Delivered"/>
    <x v="3"/>
    <x v="1"/>
  </r>
  <r>
    <n v="1090"/>
    <s v="MetroLogistics"/>
    <d v="2026-02-09T00:00:00"/>
    <d v="2026-02-09T00:00:00"/>
    <d v="2026-02-14T00:00:00"/>
    <d v="2026-02-15T00:00:00"/>
    <s v="2026-02-15"/>
    <n v="0"/>
    <x v="2"/>
    <s v="Delivered"/>
    <x v="2"/>
    <x v="0"/>
  </r>
  <r>
    <n v="1091"/>
    <s v="SwiftShip"/>
    <d v="2026-05-31T00:00:00"/>
    <d v="2026-05-31T00:00:00"/>
    <d v="2026-06-05T00:00:00"/>
    <d v="2026-06-05T00:00:00"/>
    <s v="2026-06-05"/>
    <n v="0"/>
    <x v="0"/>
    <s v="Delivered"/>
    <x v="3"/>
    <x v="0"/>
  </r>
  <r>
    <n v="1092"/>
    <s v="ParcelOne"/>
    <d v="2026-06-03T00:00:00"/>
    <d v="2026-06-03T00:00:00"/>
    <d v="2026-06-08T00:00:00"/>
    <d v="2026-06-06T00:00:00"/>
    <s v="2026-06-07"/>
    <n v="0"/>
    <x v="1"/>
    <s v="Delivered"/>
    <x v="3"/>
    <x v="0"/>
  </r>
  <r>
    <n v="1094"/>
    <s v="ParcelOne"/>
    <d v="2026-05-29T00:00:00"/>
    <d v="2026-05-30T00:00:00"/>
    <d v="2026-06-03T00:00:00"/>
    <d v="2026-06-05T00:00:00"/>
    <s v="2026-06-07"/>
    <n v="0"/>
    <x v="1"/>
    <s v="Delivered"/>
    <x v="2"/>
    <x v="1"/>
  </r>
  <r>
    <n v="1095"/>
    <s v="SwiftShip"/>
    <d v="2026-05-12T00:00:00"/>
    <d v="2026-05-14T00:00:00"/>
    <d v="2026-05-17T00:00:00"/>
    <d v="2026-05-17T00:00:00"/>
    <s v="2026-05-17"/>
    <n v="0"/>
    <x v="0"/>
    <s v="Delivered"/>
    <x v="3"/>
    <x v="1"/>
  </r>
  <r>
    <n v="1096"/>
    <s v="ParcelOne"/>
    <d v="2026-04-08T00:00:00"/>
    <d v="2026-04-08T00:00:00"/>
    <d v="2026-04-13T00:00:00"/>
    <m/>
    <m/>
    <n v="0"/>
    <x v="1"/>
    <s v="Shipped"/>
    <x v="0"/>
    <x v="0"/>
  </r>
  <r>
    <n v="1097"/>
    <s v="SwiftShip"/>
    <d v="2026-05-25T00:00:00"/>
    <d v="2026-05-25T00:00:00"/>
    <d v="2026-05-30T00:00:00"/>
    <d v="2026-05-30T00:00:00"/>
    <s v="2026-06-01"/>
    <n v="0"/>
    <x v="0"/>
    <s v="Delivered"/>
    <x v="3"/>
    <x v="0"/>
  </r>
  <r>
    <n v="1098"/>
    <s v="ParcelOne"/>
    <d v="2026-06-19T00:00:00"/>
    <d v="2026-06-19T00:00:00"/>
    <d v="2026-06-24T00:00:00"/>
    <d v="2026-06-24T00:00:00"/>
    <s v="2026-06-24"/>
    <n v="0"/>
    <x v="1"/>
    <s v="Delivered"/>
    <x v="3"/>
    <x v="0"/>
  </r>
  <r>
    <n v="1099"/>
    <s v="ParcelOne"/>
    <d v="2026-06-23T00:00:00"/>
    <d v="2026-06-23T00:00:00"/>
    <d v="2026-06-28T00:00:00"/>
    <d v="2026-06-26T00:00:00"/>
    <s v="2026-06-26"/>
    <n v="0"/>
    <x v="1"/>
    <s v="Delivered"/>
    <x v="3"/>
    <x v="0"/>
  </r>
  <r>
    <n v="1100"/>
    <s v="SwiftShip"/>
    <d v="2026-03-31T00:00:00"/>
    <d v="2026-03-31T00:00:00"/>
    <d v="2026-04-05T00:00:00"/>
    <m/>
    <m/>
    <n v="0"/>
    <x v="0"/>
    <s v="Shipped"/>
    <x v="0"/>
    <x v="0"/>
  </r>
  <r>
    <n v="1101"/>
    <s v="ParcelOne"/>
    <d v="2026-01-28T00:00:00"/>
    <d v="2026-01-28T00:00:00"/>
    <d v="2026-02-02T00:00:00"/>
    <d v="2026-02-03T00:00:00"/>
    <s v="2026-02-03"/>
    <n v="0"/>
    <x v="1"/>
    <s v="Delivered"/>
    <x v="2"/>
    <x v="0"/>
  </r>
  <r>
    <n v="1102"/>
    <s v="SwiftShip"/>
    <d v="2026-04-25T00:00:00"/>
    <d v="2026-04-25T00:00:00"/>
    <d v="2026-04-30T00:00:00"/>
    <d v="2026-04-30T00:00:00"/>
    <s v="2026-05-01"/>
    <n v="0"/>
    <x v="0"/>
    <s v="Delivered"/>
    <x v="3"/>
    <x v="0"/>
  </r>
  <r>
    <n v="1103"/>
    <s v="ParcelOne"/>
    <d v="2026-02-21T00:00:00"/>
    <d v="2026-02-23T00:00:00"/>
    <d v="2026-02-26T00:00:00"/>
    <d v="2026-02-27T00:00:00"/>
    <s v="2026-02-28"/>
    <n v="0"/>
    <x v="1"/>
    <s v="Delivered"/>
    <x v="2"/>
    <x v="1"/>
  </r>
  <r>
    <n v="1104"/>
    <s v="MetroLogistics"/>
    <d v="2026-03-08T00:00:00"/>
    <d v="2026-03-08T00:00:00"/>
    <d v="2026-03-13T00:00:00"/>
    <d v="2026-03-12T00:00:00"/>
    <s v="2026-03-12"/>
    <n v="0"/>
    <x v="2"/>
    <s v="Delivered"/>
    <x v="3"/>
    <x v="0"/>
  </r>
  <r>
    <n v="1105"/>
    <s v="SwiftShip"/>
    <d v="2026-02-09T00:00:00"/>
    <d v="2026-02-11T00:00:00"/>
    <d v="2026-02-14T00:00:00"/>
    <d v="2026-02-14T00:00:00"/>
    <s v="2026-02-14"/>
    <n v="0"/>
    <x v="0"/>
    <s v="Delivered"/>
    <x v="3"/>
    <x v="1"/>
  </r>
  <r>
    <n v="1106"/>
    <s v="ParcelOne"/>
    <d v="2026-03-04T00:00:00"/>
    <d v="2026-03-05T00:00:00"/>
    <d v="2026-03-09T00:00:00"/>
    <d v="2026-03-09T00:00:00"/>
    <s v="2026-03-09"/>
    <n v="0"/>
    <x v="1"/>
    <s v="Delivered"/>
    <x v="3"/>
    <x v="1"/>
  </r>
  <r>
    <n v="1107"/>
    <s v="MetroLogistics"/>
    <d v="2026-01-12T00:00:00"/>
    <d v="2026-01-12T00:00:00"/>
    <d v="2026-01-17T00:00:00"/>
    <d v="2026-01-19T00:00:00"/>
    <s v="2026-01-19"/>
    <n v="0"/>
    <x v="2"/>
    <s v="Delivered"/>
    <x v="2"/>
    <x v="0"/>
  </r>
  <r>
    <n v="1108"/>
    <s v="ParcelOne"/>
    <d v="2026-06-07T00:00:00"/>
    <d v="2026-06-07T00:00:00"/>
    <d v="2026-06-12T00:00:00"/>
    <d v="2026-06-12T00:00:00"/>
    <s v="2026-06-12"/>
    <n v="0"/>
    <x v="1"/>
    <s v="Delivered"/>
    <x v="3"/>
    <x v="0"/>
  </r>
  <r>
    <n v="1109"/>
    <s v="SwiftShip"/>
    <d v="2026-01-31T00:00:00"/>
    <d v="2026-01-31T00:00:00"/>
    <d v="2026-02-05T00:00:00"/>
    <d v="2026-02-05T00:00:00"/>
    <s v="2026-02-05"/>
    <n v="0"/>
    <x v="0"/>
    <s v="Delivered"/>
    <x v="3"/>
    <x v="0"/>
  </r>
  <r>
    <n v="1110"/>
    <s v="MetroLogistics"/>
    <d v="2026-02-19T00:00:00"/>
    <d v="2026-02-19T00:00:00"/>
    <d v="2026-02-24T00:00:00"/>
    <d v="2026-02-24T00:00:00"/>
    <s v="2026-02-24"/>
    <n v="0"/>
    <x v="2"/>
    <s v="Delivered"/>
    <x v="3"/>
    <x v="0"/>
  </r>
  <r>
    <n v="1111"/>
    <s v="MetroLogistics"/>
    <d v="2026-01-07T00:00:00"/>
    <d v="2026-01-07T00:00:00"/>
    <d v="2026-01-12T00:00:00"/>
    <d v="2026-01-12T00:00:00"/>
    <s v="2026-01-12"/>
    <n v="0"/>
    <x v="2"/>
    <s v="Delivered"/>
    <x v="3"/>
    <x v="0"/>
  </r>
  <r>
    <n v="1112"/>
    <s v="ParcelOne"/>
    <d v="2026-02-16T00:00:00"/>
    <d v="2026-02-16T00:00:00"/>
    <d v="2026-02-21T00:00:00"/>
    <d v="2026-02-20T00:00:00"/>
    <s v="2026-02-20"/>
    <n v="0"/>
    <x v="1"/>
    <s v="Delivered"/>
    <x v="3"/>
    <x v="0"/>
  </r>
  <r>
    <n v="1113"/>
    <s v="ParcelOne"/>
    <d v="2026-03-24T00:00:00"/>
    <d v="2026-03-24T00:00:00"/>
    <d v="2026-03-29T00:00:00"/>
    <m/>
    <m/>
    <n v="0"/>
    <x v="1"/>
    <s v="Shipped"/>
    <x v="0"/>
    <x v="0"/>
  </r>
  <r>
    <n v="1114"/>
    <s v="ParcelOne"/>
    <d v="2026-03-17T00:00:00"/>
    <d v="2026-03-17T00:00:00"/>
    <d v="2026-03-22T00:00:00"/>
    <d v="2026-03-24T00:00:00"/>
    <s v="2026-03-24"/>
    <n v="0"/>
    <x v="1"/>
    <s v="Delivered"/>
    <x v="2"/>
    <x v="0"/>
  </r>
  <r>
    <n v="1115"/>
    <s v="MetroLogistics"/>
    <d v="2026-05-10T00:00:00"/>
    <d v="2026-05-10T00:00:00"/>
    <d v="2026-05-15T00:00:00"/>
    <d v="2026-05-15T00:00:00"/>
    <s v="2026-05-15"/>
    <n v="0"/>
    <x v="2"/>
    <s v="Delivered"/>
    <x v="3"/>
    <x v="0"/>
  </r>
  <r>
    <n v="1116"/>
    <s v="SwiftShip"/>
    <d v="2026-03-19T00:00:00"/>
    <d v="2026-03-19T00:00:00"/>
    <d v="2026-03-24T00:00:00"/>
    <d v="2026-03-22T00:00:00"/>
    <s v="2026-03-23"/>
    <n v="0"/>
    <x v="0"/>
    <s v="Delivered"/>
    <x v="3"/>
    <x v="0"/>
  </r>
  <r>
    <n v="1117"/>
    <s v="ParcelOne"/>
    <d v="2026-06-09T00:00:00"/>
    <m/>
    <d v="2026-06-14T00:00:00"/>
    <m/>
    <m/>
    <n v="0"/>
    <x v="1"/>
    <s v="Pending"/>
    <x v="0"/>
    <x v="2"/>
  </r>
  <r>
    <n v="1118"/>
    <s v="MetroLogistics"/>
    <d v="2026-06-07T00:00:00"/>
    <d v="2026-06-07T00:00:00"/>
    <d v="2026-06-12T00:00:00"/>
    <d v="2026-06-12T00:00:00"/>
    <s v="2026-06-12"/>
    <n v="0"/>
    <x v="2"/>
    <s v="Delivered"/>
    <x v="3"/>
    <x v="0"/>
  </r>
  <r>
    <n v="1119"/>
    <s v="ParcelOne"/>
    <d v="2026-01-11T00:00:00"/>
    <d v="2026-01-11T00:00:00"/>
    <d v="2026-01-16T00:00:00"/>
    <d v="2026-01-16T00:00:00"/>
    <s v="2026-01-16"/>
    <n v="0"/>
    <x v="1"/>
    <s v="Delivered"/>
    <x v="3"/>
    <x v="0"/>
  </r>
  <r>
    <n v="1120"/>
    <s v="MetroLogistics"/>
    <d v="2026-02-01T00:00:00"/>
    <d v="2026-02-01T00:00:00"/>
    <d v="2026-02-06T00:00:00"/>
    <d v="2026-02-07T00:00:00"/>
    <s v="2026-02-07"/>
    <n v="0"/>
    <x v="2"/>
    <s v="Delivered"/>
    <x v="2"/>
    <x v="0"/>
  </r>
  <r>
    <n v="1121"/>
    <s v="SwiftShip"/>
    <d v="2026-03-17T00:00:00"/>
    <d v="2026-03-18T00:00:00"/>
    <d v="2026-03-22T00:00:00"/>
    <d v="2026-03-22T00:00:00"/>
    <s v="2026-03-23"/>
    <n v="0"/>
    <x v="0"/>
    <s v="Delivered"/>
    <x v="3"/>
    <x v="1"/>
  </r>
  <r>
    <n v="1122"/>
    <s v="SwiftShip"/>
    <d v="2026-01-25T00:00:00"/>
    <d v="2026-01-25T00:00:00"/>
    <d v="2026-01-30T00:00:00"/>
    <d v="2026-02-03T00:00:00"/>
    <s v="2026-02-03"/>
    <n v="0"/>
    <x v="0"/>
    <s v="Delivered"/>
    <x v="2"/>
    <x v="0"/>
  </r>
  <r>
    <n v="1123"/>
    <s v="MetroLogistics"/>
    <d v="2026-05-13T00:00:00"/>
    <d v="2026-05-13T00:00:00"/>
    <d v="2026-05-18T00:00:00"/>
    <d v="2026-05-18T00:00:00"/>
    <s v="2026-05-18"/>
    <n v="0"/>
    <x v="2"/>
    <s v="Delivered"/>
    <x v="3"/>
    <x v="0"/>
  </r>
  <r>
    <n v="1124"/>
    <s v="SwiftShip"/>
    <d v="2026-02-05T00:00:00"/>
    <d v="2026-02-07T00:00:00"/>
    <d v="2026-02-10T00:00:00"/>
    <d v="2026-02-11T00:00:00"/>
    <s v="2026-02-11"/>
    <n v="0"/>
    <x v="0"/>
    <s v="Delivered"/>
    <x v="2"/>
    <x v="1"/>
  </r>
  <r>
    <n v="1125"/>
    <s v="ParcelOne"/>
    <d v="2026-05-30T00:00:00"/>
    <d v="2026-05-30T00:00:00"/>
    <d v="2026-06-04T00:00:00"/>
    <d v="2026-06-03T00:00:00"/>
    <s v="2026-06-03"/>
    <n v="0"/>
    <x v="1"/>
    <s v="Delivered"/>
    <x v="3"/>
    <x v="0"/>
  </r>
  <r>
    <n v="1126"/>
    <s v="MetroLogistics"/>
    <d v="2026-02-03T00:00:00"/>
    <d v="2026-02-05T00:00:00"/>
    <d v="2026-02-08T00:00:00"/>
    <d v="2026-02-07T00:00:00"/>
    <s v="2026-02-09"/>
    <n v="0"/>
    <x v="2"/>
    <s v="Delivered"/>
    <x v="3"/>
    <x v="1"/>
  </r>
  <r>
    <n v="1127"/>
    <s v="MetroLogistics"/>
    <d v="2026-03-16T00:00:00"/>
    <d v="2026-03-16T00:00:00"/>
    <d v="2026-03-21T00:00:00"/>
    <d v="2026-03-21T00:00:00"/>
    <s v="2026-03-21"/>
    <n v="0"/>
    <x v="2"/>
    <s v="Delivered"/>
    <x v="3"/>
    <x v="0"/>
  </r>
  <r>
    <n v="1128"/>
    <s v="ParcelOne"/>
    <d v="2026-06-16T00:00:00"/>
    <d v="2026-06-17T00:00:00"/>
    <d v="2026-06-21T00:00:00"/>
    <d v="2026-06-21T00:00:00"/>
    <s v="2026-06-22"/>
    <n v="0"/>
    <x v="1"/>
    <s v="Delivered"/>
    <x v="3"/>
    <x v="1"/>
  </r>
  <r>
    <n v="1129"/>
    <s v="SwiftShip"/>
    <d v="2026-01-23T00:00:00"/>
    <d v="2026-01-23T00:00:00"/>
    <d v="2026-01-28T00:00:00"/>
    <d v="2026-01-28T00:00:00"/>
    <s v="2026-01-28"/>
    <n v="0"/>
    <x v="0"/>
    <s v="Delivered"/>
    <x v="3"/>
    <x v="0"/>
  </r>
  <r>
    <n v="1130"/>
    <s v="MetroLogistics"/>
    <d v="2026-05-06T00:00:00"/>
    <d v="2026-05-06T00:00:00"/>
    <d v="2026-05-11T00:00:00"/>
    <d v="2026-05-11T00:00:00"/>
    <s v="2026-05-11"/>
    <n v="0"/>
    <x v="2"/>
    <s v="Delivered"/>
    <x v="3"/>
    <x v="0"/>
  </r>
  <r>
    <n v="1131"/>
    <s v="ParcelOne"/>
    <d v="2026-02-08T00:00:00"/>
    <d v="2026-02-08T00:00:00"/>
    <d v="2026-02-13T00:00:00"/>
    <d v="2026-02-12T00:00:00"/>
    <s v="2026-02-12"/>
    <n v="0"/>
    <x v="1"/>
    <s v="Delivered"/>
    <x v="3"/>
    <x v="0"/>
  </r>
  <r>
    <n v="1132"/>
    <s v="SwiftShip"/>
    <d v="2026-01-27T00:00:00"/>
    <d v="2026-01-27T00:00:00"/>
    <d v="2026-02-01T00:00:00"/>
    <d v="2026-02-01T00:00:00"/>
    <s v="2026-02-01"/>
    <n v="0"/>
    <x v="0"/>
    <s v="Delivered"/>
    <x v="3"/>
    <x v="0"/>
  </r>
  <r>
    <n v="1133"/>
    <s v="MetroLogistics"/>
    <d v="2026-03-22T00:00:00"/>
    <d v="2026-03-22T00:00:00"/>
    <d v="2026-03-27T00:00:00"/>
    <d v="2026-03-25T00:00:00"/>
    <s v="2026-03-25"/>
    <n v="0"/>
    <x v="2"/>
    <s v="Delivered"/>
    <x v="3"/>
    <x v="0"/>
  </r>
  <r>
    <n v="1134"/>
    <s v="MetroLogistics"/>
    <d v="2026-06-19T00:00:00"/>
    <d v="2026-06-19T00:00:00"/>
    <d v="2026-06-24T00:00:00"/>
    <d v="2026-06-24T00:00:00"/>
    <s v="2026-06-24"/>
    <n v="0"/>
    <x v="2"/>
    <s v="Delivered"/>
    <x v="3"/>
    <x v="0"/>
  </r>
  <r>
    <n v="1135"/>
    <s v="ParcelOne"/>
    <d v="2026-05-26T00:00:00"/>
    <d v="2026-05-27T00:00:00"/>
    <d v="2026-05-31T00:00:00"/>
    <d v="2026-05-31T00:00:00"/>
    <s v="2026-05-31"/>
    <n v="0"/>
    <x v="1"/>
    <s v="Delivered"/>
    <x v="3"/>
    <x v="1"/>
  </r>
  <r>
    <n v="1136"/>
    <s v="MetroLogistics"/>
    <d v="2026-01-27T00:00:00"/>
    <d v="2026-01-27T00:00:00"/>
    <d v="2026-02-01T00:00:00"/>
    <d v="2026-02-02T00:00:00"/>
    <s v="2026-02-03"/>
    <n v="0"/>
    <x v="2"/>
    <s v="Delivered"/>
    <x v="2"/>
    <x v="0"/>
  </r>
  <r>
    <n v="1137"/>
    <s v="SwiftShip"/>
    <d v="2026-04-29T00:00:00"/>
    <d v="2026-04-29T00:00:00"/>
    <d v="2026-05-04T00:00:00"/>
    <d v="2026-05-08T00:00:00"/>
    <s v="2026-05-08"/>
    <n v="0"/>
    <x v="0"/>
    <s v="Delivered"/>
    <x v="2"/>
    <x v="0"/>
  </r>
  <r>
    <n v="1138"/>
    <s v="SwiftShip"/>
    <d v="2026-06-03T00:00:00"/>
    <d v="2026-06-03T00:00:00"/>
    <d v="2026-06-08T00:00:00"/>
    <d v="2026-06-07T00:00:00"/>
    <s v="2026-06-07"/>
    <n v="0"/>
    <x v="0"/>
    <s v="Delivered"/>
    <x v="3"/>
    <x v="0"/>
  </r>
  <r>
    <n v="1139"/>
    <s v="MetroLogistics"/>
    <d v="2026-06-28T00:00:00"/>
    <d v="2026-06-28T00:00:00"/>
    <d v="2026-07-03T00:00:00"/>
    <d v="2026-07-02T00:00:00"/>
    <s v="2026-07-02"/>
    <n v="0"/>
    <x v="2"/>
    <s v="Delivered"/>
    <x v="3"/>
    <x v="0"/>
  </r>
  <r>
    <n v="1140"/>
    <s v="SwiftShip"/>
    <d v="2026-04-10T00:00:00"/>
    <d v="2026-04-10T00:00:00"/>
    <d v="2026-04-15T00:00:00"/>
    <d v="2026-04-15T00:00:00"/>
    <s v="2026-04-15"/>
    <n v="0"/>
    <x v="0"/>
    <s v="Delivered"/>
    <x v="3"/>
    <x v="0"/>
  </r>
  <r>
    <n v="1141"/>
    <s v="MetroLogistics"/>
    <d v="2026-06-28T00:00:00"/>
    <d v="2026-06-28T00:00:00"/>
    <d v="2026-07-03T00:00:00"/>
    <d v="2026-07-03T00:00:00"/>
    <s v="2026-07-03"/>
    <n v="0"/>
    <x v="2"/>
    <s v="Delivered"/>
    <x v="3"/>
    <x v="0"/>
  </r>
  <r>
    <n v="1142"/>
    <s v="MetroLogistics"/>
    <d v="2026-03-31T00:00:00"/>
    <d v="2026-04-02T00:00:00"/>
    <d v="2026-04-05T00:00:00"/>
    <d v="2026-04-09T00:00:00"/>
    <s v="2026-04-09"/>
    <n v="0"/>
    <x v="2"/>
    <s v="Delivered"/>
    <x v="2"/>
    <x v="1"/>
  </r>
  <r>
    <n v="1143"/>
    <s v="SwiftShip"/>
    <d v="2026-02-25T00:00:00"/>
    <d v="2026-02-25T00:00:00"/>
    <d v="2026-03-02T00:00:00"/>
    <d v="2026-03-03T00:00:00"/>
    <s v="2026-03-03"/>
    <n v="0"/>
    <x v="0"/>
    <s v="Delivered"/>
    <x v="2"/>
    <x v="0"/>
  </r>
  <r>
    <n v="1144"/>
    <s v="MetroLogistics"/>
    <d v="2026-04-01T00:00:00"/>
    <d v="2026-04-03T00:00:00"/>
    <d v="2026-04-06T00:00:00"/>
    <m/>
    <m/>
    <n v="0"/>
    <x v="2"/>
    <s v="Shipped"/>
    <x v="0"/>
    <x v="1"/>
  </r>
  <r>
    <n v="1145"/>
    <s v="MetroLogistics"/>
    <d v="2026-03-09T00:00:00"/>
    <d v="2026-03-11T00:00:00"/>
    <d v="2026-03-14T00:00:00"/>
    <d v="2026-03-15T00:00:00"/>
    <s v="2026-03-15"/>
    <n v="0"/>
    <x v="2"/>
    <s v="Delivered"/>
    <x v="2"/>
    <x v="1"/>
  </r>
  <r>
    <n v="1146"/>
    <s v="ParcelOne"/>
    <d v="2026-06-02T00:00:00"/>
    <d v="2026-06-02T00:00:00"/>
    <d v="2026-06-07T00:00:00"/>
    <d v="2026-06-07T00:00:00"/>
    <s v="2026-06-07"/>
    <n v="0"/>
    <x v="1"/>
    <s v="Delivered"/>
    <x v="3"/>
    <x v="0"/>
  </r>
  <r>
    <n v="1147"/>
    <s v="SwiftShip"/>
    <d v="2026-01-04T00:00:00"/>
    <d v="2026-01-04T00:00:00"/>
    <d v="2026-01-09T00:00:00"/>
    <m/>
    <m/>
    <n v="0"/>
    <x v="0"/>
    <s v="Shipped"/>
    <x v="0"/>
    <x v="0"/>
  </r>
  <r>
    <n v="1148"/>
    <s v="ParcelOne"/>
    <d v="2026-03-26T00:00:00"/>
    <d v="2026-03-26T00:00:00"/>
    <d v="2026-03-31T00:00:00"/>
    <d v="2026-04-01T00:00:00"/>
    <s v="2026-04-03"/>
    <n v="0"/>
    <x v="1"/>
    <s v="Delivered"/>
    <x v="2"/>
    <x v="0"/>
  </r>
  <r>
    <n v="1150"/>
    <s v="ParcelOne"/>
    <d v="2026-02-19T00:00:00"/>
    <d v="2026-02-19T00:00:00"/>
    <d v="2026-02-24T00:00:00"/>
    <m/>
    <m/>
    <n v="0"/>
    <x v="1"/>
    <s v="Shipped"/>
    <x v="0"/>
    <x v="0"/>
  </r>
  <r>
    <n v="1151"/>
    <s v="MetroLogistics"/>
    <d v="2026-03-29T00:00:00"/>
    <d v="2026-03-30T00:00:00"/>
    <d v="2026-04-03T00:00:00"/>
    <d v="2026-04-03T00:00:00"/>
    <s v="2026-04-03"/>
    <n v="0"/>
    <x v="2"/>
    <s v="Delivered"/>
    <x v="3"/>
    <x v="1"/>
  </r>
  <r>
    <n v="1152"/>
    <s v="MetroLogistics"/>
    <d v="2026-03-09T00:00:00"/>
    <d v="2026-03-10T00:00:00"/>
    <d v="2026-03-14T00:00:00"/>
    <d v="2026-03-14T00:00:00"/>
    <s v="2026-03-14"/>
    <n v="0"/>
    <x v="2"/>
    <s v="Delivered"/>
    <x v="3"/>
    <x v="1"/>
  </r>
  <r>
    <n v="1153"/>
    <s v="SwiftShip"/>
    <d v="2026-01-27T00:00:00"/>
    <d v="2026-01-27T00:00:00"/>
    <d v="2026-02-01T00:00:00"/>
    <d v="2026-02-01T00:00:00"/>
    <s v="2026-02-01"/>
    <n v="0"/>
    <x v="0"/>
    <s v="Delivered"/>
    <x v="3"/>
    <x v="0"/>
  </r>
  <r>
    <n v="1154"/>
    <s v="SwiftShip"/>
    <d v="2026-03-21T00:00:00"/>
    <d v="2026-03-21T00:00:00"/>
    <d v="2026-03-26T00:00:00"/>
    <d v="2026-03-24T00:00:00"/>
    <s v="2026-03-24"/>
    <n v="0"/>
    <x v="0"/>
    <s v="Delivered"/>
    <x v="3"/>
    <x v="0"/>
  </r>
  <r>
    <n v="1155"/>
    <s v="MetroLogistics"/>
    <d v="2026-02-12T00:00:00"/>
    <d v="2026-02-14T00:00:00"/>
    <d v="2026-02-17T00:00:00"/>
    <d v="2026-02-17T00:00:00"/>
    <s v="2026-02-17"/>
    <n v="0"/>
    <x v="2"/>
    <s v="Delivered"/>
    <x v="3"/>
    <x v="1"/>
  </r>
  <r>
    <n v="1156"/>
    <s v="MetroLogistics"/>
    <d v="2026-04-08T00:00:00"/>
    <d v="2026-04-08T00:00:00"/>
    <d v="2026-04-13T00:00:00"/>
    <d v="2026-04-13T00:00:00"/>
    <s v="2026-04-13"/>
    <n v="0"/>
    <x v="2"/>
    <s v="Delivered"/>
    <x v="3"/>
    <x v="0"/>
  </r>
  <r>
    <n v="1157"/>
    <s v="MetroLogistics"/>
    <d v="2026-04-27T00:00:00"/>
    <d v="2026-04-27T00:00:00"/>
    <d v="2026-05-02T00:00:00"/>
    <d v="2026-05-02T00:00:00"/>
    <s v="2026-05-02"/>
    <n v="0"/>
    <x v="2"/>
    <s v="Delivered"/>
    <x v="3"/>
    <x v="0"/>
  </r>
  <r>
    <n v="1158"/>
    <s v="SwiftShip"/>
    <d v="2026-05-20T00:00:00"/>
    <d v="2026-05-21T00:00:00"/>
    <d v="2026-05-25T00:00:00"/>
    <d v="2026-05-25T00:00:00"/>
    <s v="2026-05-25"/>
    <n v="0"/>
    <x v="0"/>
    <s v="Delivered"/>
    <x v="3"/>
    <x v="1"/>
  </r>
  <r>
    <n v="1159"/>
    <s v="ParcelOne"/>
    <d v="2026-05-27T00:00:00"/>
    <d v="2026-05-27T00:00:00"/>
    <d v="2026-06-01T00:00:00"/>
    <d v="2026-05-30T00:00:00"/>
    <s v="2026-05-30"/>
    <n v="0"/>
    <x v="1"/>
    <s v="Delivered"/>
    <x v="3"/>
    <x v="0"/>
  </r>
  <r>
    <n v="1160"/>
    <s v="ParcelOne"/>
    <d v="2026-05-21T00:00:00"/>
    <m/>
    <d v="2026-05-26T00:00:00"/>
    <m/>
    <m/>
    <n v="0"/>
    <x v="1"/>
    <s v="Pending"/>
    <x v="0"/>
    <x v="2"/>
  </r>
  <r>
    <n v="1161"/>
    <s v="ParcelOne"/>
    <d v="2026-06-16T00:00:00"/>
    <m/>
    <d v="2026-06-21T00:00:00"/>
    <m/>
    <m/>
    <n v="0"/>
    <x v="1"/>
    <s v="Pending"/>
    <x v="0"/>
    <x v="2"/>
  </r>
  <r>
    <n v="1162"/>
    <s v="MetroLogistics"/>
    <d v="2026-06-26T00:00:00"/>
    <d v="2026-06-26T00:00:00"/>
    <d v="2026-07-01T00:00:00"/>
    <m/>
    <m/>
    <n v="0"/>
    <x v="2"/>
    <s v="Shipped"/>
    <x v="0"/>
    <x v="0"/>
  </r>
  <r>
    <n v="1163"/>
    <s v="SwiftShip"/>
    <d v="2026-04-13T00:00:00"/>
    <d v="2026-04-13T00:00:00"/>
    <d v="2026-04-18T00:00:00"/>
    <d v="2026-04-19T00:00:00"/>
    <s v="2026-04-19"/>
    <n v="0"/>
    <x v="0"/>
    <s v="Delivered"/>
    <x v="2"/>
    <x v="0"/>
  </r>
  <r>
    <n v="1164"/>
    <s v="MetroLogistics"/>
    <d v="2026-03-02T00:00:00"/>
    <d v="2026-03-04T00:00:00"/>
    <d v="2026-03-07T00:00:00"/>
    <d v="2026-03-08T00:00:00"/>
    <s v="2026-03-08"/>
    <n v="0"/>
    <x v="2"/>
    <s v="Delivered"/>
    <x v="2"/>
    <x v="1"/>
  </r>
  <r>
    <n v="1165"/>
    <s v="MetroLogistics"/>
    <d v="2026-04-20T00:00:00"/>
    <d v="2026-04-20T00:00:00"/>
    <d v="2026-04-25T00:00:00"/>
    <d v="2026-04-23T00:00:00"/>
    <s v="2026-04-23"/>
    <n v="0"/>
    <x v="2"/>
    <s v="Delivered"/>
    <x v="3"/>
    <x v="0"/>
  </r>
  <r>
    <n v="1166"/>
    <s v="MetroLogistics"/>
    <d v="2026-01-15T00:00:00"/>
    <d v="2026-01-15T00:00:00"/>
    <d v="2026-01-20T00:00:00"/>
    <d v="2026-01-24T00:00:00"/>
    <s v="2026-01-24"/>
    <n v="0"/>
    <x v="2"/>
    <s v="Delivered"/>
    <x v="2"/>
    <x v="0"/>
  </r>
  <r>
    <n v="1167"/>
    <s v="SwiftShip"/>
    <d v="2026-05-30T00:00:00"/>
    <d v="2026-06-01T00:00:00"/>
    <d v="2026-06-04T00:00:00"/>
    <d v="2026-06-04T00:00:00"/>
    <s v="2026-06-04"/>
    <n v="0"/>
    <x v="0"/>
    <s v="Delivered"/>
    <x v="3"/>
    <x v="1"/>
  </r>
  <r>
    <n v="1168"/>
    <s v="SwiftShip"/>
    <d v="2026-01-18T00:00:00"/>
    <d v="2026-01-20T00:00:00"/>
    <d v="2026-01-23T00:00:00"/>
    <d v="2026-01-24T00:00:00"/>
    <s v="2026-01-24"/>
    <n v="0"/>
    <x v="0"/>
    <s v="Delivered"/>
    <x v="2"/>
    <x v="1"/>
  </r>
  <r>
    <n v="1169"/>
    <s v="SwiftShip"/>
    <d v="2026-06-30T00:00:00"/>
    <d v="2026-07-01T00:00:00"/>
    <d v="2026-07-05T00:00:00"/>
    <d v="2026-07-05T00:00:00"/>
    <s v="2026-07-05"/>
    <n v="0"/>
    <x v="0"/>
    <s v="Delivered"/>
    <x v="3"/>
    <x v="1"/>
  </r>
  <r>
    <n v="1170"/>
    <s v="SwiftShip"/>
    <d v="2026-01-17T00:00:00"/>
    <d v="2026-01-17T00:00:00"/>
    <d v="2026-01-22T00:00:00"/>
    <d v="2026-01-20T00:00:00"/>
    <s v="2026-01-20"/>
    <n v="0"/>
    <x v="0"/>
    <s v="Delivered"/>
    <x v="3"/>
    <x v="0"/>
  </r>
  <r>
    <n v="1171"/>
    <s v="ParcelOne"/>
    <d v="2026-01-26T00:00:00"/>
    <d v="2026-01-26T00:00:00"/>
    <d v="2026-01-31T00:00:00"/>
    <d v="2026-01-31T00:00:00"/>
    <s v="2026-02-01"/>
    <n v="0"/>
    <x v="1"/>
    <s v="Delivered"/>
    <x v="3"/>
    <x v="0"/>
  </r>
  <r>
    <n v="1172"/>
    <s v="ParcelOne"/>
    <d v="2026-06-02T00:00:00"/>
    <d v="2026-06-03T00:00:00"/>
    <d v="2026-06-07T00:00:00"/>
    <d v="2026-06-07T00:00:00"/>
    <s v="2026-06-09"/>
    <n v="0"/>
    <x v="1"/>
    <s v="Delivered"/>
    <x v="3"/>
    <x v="1"/>
  </r>
  <r>
    <n v="1173"/>
    <s v="SwiftShip"/>
    <d v="2026-02-26T00:00:00"/>
    <d v="2026-02-26T00:00:00"/>
    <d v="2026-03-03T00:00:00"/>
    <m/>
    <m/>
    <n v="0"/>
    <x v="0"/>
    <s v="Shipped"/>
    <x v="0"/>
    <x v="0"/>
  </r>
  <r>
    <n v="1174"/>
    <s v="SwiftShip"/>
    <d v="2026-04-10T00:00:00"/>
    <d v="2026-04-10T00:00:00"/>
    <d v="2026-04-15T00:00:00"/>
    <d v="2026-04-19T00:00:00"/>
    <s v="2026-04-19"/>
    <n v="0"/>
    <x v="0"/>
    <s v="Delivered"/>
    <x v="2"/>
    <x v="0"/>
  </r>
  <r>
    <n v="1175"/>
    <s v="MetroLogistics"/>
    <d v="2026-02-24T00:00:00"/>
    <d v="2026-02-24T00:00:00"/>
    <d v="2026-03-01T00:00:00"/>
    <d v="2026-02-27T00:00:00"/>
    <s v="2026-02-27"/>
    <n v="0"/>
    <x v="2"/>
    <s v="Delivered"/>
    <x v="3"/>
    <x v="0"/>
  </r>
  <r>
    <n v="1176"/>
    <s v="MetroLogistics"/>
    <d v="2026-05-31T00:00:00"/>
    <d v="2026-05-31T00:00:00"/>
    <d v="2026-06-05T00:00:00"/>
    <d v="2026-06-05T00:00:00"/>
    <s v="2026-06-05"/>
    <n v="0"/>
    <x v="2"/>
    <s v="Delivered"/>
    <x v="3"/>
    <x v="0"/>
  </r>
  <r>
    <n v="1177"/>
    <s v="SwiftShip"/>
    <d v="2026-06-19T00:00:00"/>
    <d v="2026-06-19T00:00:00"/>
    <d v="2026-06-24T00:00:00"/>
    <m/>
    <m/>
    <n v="0"/>
    <x v="0"/>
    <s v="Shipped"/>
    <x v="0"/>
    <x v="0"/>
  </r>
  <r>
    <n v="1178"/>
    <s v="ParcelOne"/>
    <d v="2026-02-15T00:00:00"/>
    <d v="2026-02-16T00:00:00"/>
    <d v="2026-02-20T00:00:00"/>
    <d v="2026-02-18T00:00:00"/>
    <s v="2026-02-19"/>
    <n v="0"/>
    <x v="1"/>
    <s v="Delivered"/>
    <x v="3"/>
    <x v="1"/>
  </r>
  <r>
    <n v="1179"/>
    <s v="MetroLogistics"/>
    <d v="2026-01-04T00:00:00"/>
    <d v="2026-01-04T00:00:00"/>
    <d v="2026-01-09T00:00:00"/>
    <d v="2026-01-09T00:00:00"/>
    <s v="2026-01-09"/>
    <n v="0"/>
    <x v="2"/>
    <s v="Delivered"/>
    <x v="3"/>
    <x v="0"/>
  </r>
  <r>
    <n v="1180"/>
    <s v="ParcelOne"/>
    <d v="2026-06-15T00:00:00"/>
    <d v="2026-06-15T00:00:00"/>
    <d v="2026-06-20T00:00:00"/>
    <d v="2026-06-20T00:00:00"/>
    <s v="2026-06-22"/>
    <n v="0"/>
    <x v="1"/>
    <s v="Delivered"/>
    <x v="3"/>
    <x v="0"/>
  </r>
  <r>
    <n v="1181"/>
    <s v="SwiftShip"/>
    <d v="2026-05-11T00:00:00"/>
    <d v="2026-05-11T00:00:00"/>
    <d v="2026-05-16T00:00:00"/>
    <d v="2026-05-15T00:00:00"/>
    <s v="2026-05-15"/>
    <n v="0"/>
    <x v="0"/>
    <s v="Delivered"/>
    <x v="3"/>
    <x v="0"/>
  </r>
  <r>
    <n v="1182"/>
    <s v="SwiftShip"/>
    <d v="2026-04-03T00:00:00"/>
    <d v="2026-04-03T00:00:00"/>
    <d v="2026-04-08T00:00:00"/>
    <d v="2026-04-07T00:00:00"/>
    <s v="2026-04-07"/>
    <n v="0"/>
    <x v="0"/>
    <s v="Delivered"/>
    <x v="3"/>
    <x v="0"/>
  </r>
  <r>
    <n v="1183"/>
    <s v="ParcelOne"/>
    <d v="2026-06-27T00:00:00"/>
    <d v="2026-06-27T00:00:00"/>
    <d v="2026-07-02T00:00:00"/>
    <d v="2026-06-30T00:00:00"/>
    <s v="2026-06-30"/>
    <n v="0"/>
    <x v="1"/>
    <s v="Delivered"/>
    <x v="3"/>
    <x v="0"/>
  </r>
  <r>
    <n v="1184"/>
    <s v="SwiftShip"/>
    <d v="2026-01-24T00:00:00"/>
    <d v="2026-01-26T00:00:00"/>
    <d v="2026-01-29T00:00:00"/>
    <d v="2026-01-30T00:00:00"/>
    <s v="2026-01-30"/>
    <n v="0"/>
    <x v="0"/>
    <s v="Delivered"/>
    <x v="2"/>
    <x v="1"/>
  </r>
  <r>
    <n v="1185"/>
    <s v="MetroLogistics"/>
    <d v="2026-01-14T00:00:00"/>
    <d v="2026-01-16T00:00:00"/>
    <d v="2026-01-19T00:00:00"/>
    <m/>
    <m/>
    <n v="0"/>
    <x v="2"/>
    <s v="Shipped"/>
    <x v="0"/>
    <x v="1"/>
  </r>
  <r>
    <n v="1186"/>
    <s v="MetroLogistics"/>
    <d v="2026-02-08T00:00:00"/>
    <d v="2026-02-08T00:00:00"/>
    <d v="2026-02-13T00:00:00"/>
    <d v="2026-02-13T00:00:00"/>
    <s v="2026-02-14"/>
    <n v="0"/>
    <x v="2"/>
    <s v="Delivered"/>
    <x v="3"/>
    <x v="0"/>
  </r>
  <r>
    <n v="1187"/>
    <s v="MetroLogistics"/>
    <d v="2026-05-21T00:00:00"/>
    <d v="2026-05-21T00:00:00"/>
    <d v="2026-05-26T00:00:00"/>
    <d v="2026-05-28T00:00:00"/>
    <s v="2026-05-28"/>
    <n v="0"/>
    <x v="2"/>
    <s v="Delivered"/>
    <x v="2"/>
    <x v="0"/>
  </r>
  <r>
    <n v="1188"/>
    <s v="MetroLogistics"/>
    <d v="2026-06-04T00:00:00"/>
    <d v="2026-06-04T00:00:00"/>
    <d v="2026-06-09T00:00:00"/>
    <d v="2026-06-09T00:00:00"/>
    <s v="2026-06-09"/>
    <n v="0"/>
    <x v="2"/>
    <s v="Delivered"/>
    <x v="3"/>
    <x v="0"/>
  </r>
  <r>
    <n v="1189"/>
    <s v="MetroLogistics"/>
    <d v="2026-04-09T00:00:00"/>
    <d v="2026-04-09T00:00:00"/>
    <d v="2026-04-14T00:00:00"/>
    <d v="2026-04-13T00:00:00"/>
    <s v="2026-04-13"/>
    <n v="0"/>
    <x v="2"/>
    <s v="Delivered"/>
    <x v="3"/>
    <x v="0"/>
  </r>
  <r>
    <n v="1190"/>
    <s v="ParcelOne"/>
    <d v="2026-02-11T00:00:00"/>
    <d v="2026-02-11T00:00:00"/>
    <d v="2026-02-16T00:00:00"/>
    <d v="2026-02-17T00:00:00"/>
    <s v="2026-02-17"/>
    <n v="0"/>
    <x v="1"/>
    <s v="Delivered"/>
    <x v="2"/>
    <x v="0"/>
  </r>
  <r>
    <n v="1191"/>
    <s v="SwiftShip"/>
    <d v="2026-02-19T00:00:00"/>
    <d v="2026-02-19T00:00:00"/>
    <d v="2026-02-24T00:00:00"/>
    <d v="2026-02-24T00:00:00"/>
    <s v="2026-02-24"/>
    <n v="0"/>
    <x v="0"/>
    <s v="Delivered"/>
    <x v="3"/>
    <x v="0"/>
  </r>
  <r>
    <n v="1192"/>
    <s v="ParcelOne"/>
    <d v="2026-01-06T00:00:00"/>
    <d v="2026-01-06T00:00:00"/>
    <d v="2026-01-11T00:00:00"/>
    <d v="2026-01-10T00:00:00"/>
    <s v="2026-01-10"/>
    <n v="0"/>
    <x v="1"/>
    <s v="Delivered"/>
    <x v="3"/>
    <x v="0"/>
  </r>
  <r>
    <n v="1193"/>
    <s v="ParcelOne"/>
    <d v="2026-03-12T00:00:00"/>
    <d v="2026-03-12T00:00:00"/>
    <d v="2026-03-17T00:00:00"/>
    <d v="2026-03-17T00:00:00"/>
    <s v="2026-03-17"/>
    <n v="0"/>
    <x v="1"/>
    <s v="Delivered"/>
    <x v="3"/>
    <x v="0"/>
  </r>
  <r>
    <n v="1194"/>
    <s v="MetroLogistics"/>
    <d v="2026-04-05T00:00:00"/>
    <d v="2026-04-05T00:00:00"/>
    <d v="2026-04-10T00:00:00"/>
    <d v="2026-04-08T00:00:00"/>
    <s v="2026-04-08"/>
    <n v="0"/>
    <x v="2"/>
    <s v="Delivered"/>
    <x v="3"/>
    <x v="0"/>
  </r>
  <r>
    <n v="1195"/>
    <s v="SwiftShip"/>
    <d v="2026-04-10T00:00:00"/>
    <d v="2026-04-10T00:00:00"/>
    <d v="2026-04-15T00:00:00"/>
    <d v="2026-04-19T00:00:00"/>
    <s v="2026-04-19"/>
    <n v="0"/>
    <x v="0"/>
    <s v="Delivered"/>
    <x v="2"/>
    <x v="0"/>
  </r>
  <r>
    <n v="1196"/>
    <s v="SwiftShip"/>
    <d v="2026-02-17T00:00:00"/>
    <d v="2026-02-17T00:00:00"/>
    <d v="2026-02-22T00:00:00"/>
    <m/>
    <m/>
    <n v="0"/>
    <x v="0"/>
    <s v="Shipped"/>
    <x v="0"/>
    <x v="0"/>
  </r>
  <r>
    <n v="1197"/>
    <s v="SwiftShip"/>
    <d v="2026-04-13T00:00:00"/>
    <d v="2026-04-13T00:00:00"/>
    <d v="2026-04-18T00:00:00"/>
    <d v="2026-04-18T00:00:00"/>
    <s v="2026-04-20"/>
    <n v="0"/>
    <x v="0"/>
    <s v="Delivered"/>
    <x v="3"/>
    <x v="0"/>
  </r>
  <r>
    <n v="1198"/>
    <s v="SwiftShip"/>
    <d v="2026-02-25T00:00:00"/>
    <d v="2026-02-25T00:00:00"/>
    <d v="2026-03-02T00:00:00"/>
    <d v="2026-03-01T00:00:00"/>
    <s v="2026-03-01"/>
    <n v="0"/>
    <x v="0"/>
    <s v="Delivered"/>
    <x v="3"/>
    <x v="0"/>
  </r>
  <r>
    <n v="1199"/>
    <s v="ParcelOne"/>
    <d v="2026-01-21T00:00:00"/>
    <d v="2026-01-21T00:00:00"/>
    <d v="2026-01-26T00:00:00"/>
    <d v="2026-01-27T00:00:00"/>
    <s v="2026-01-27"/>
    <n v="0"/>
    <x v="1"/>
    <s v="Delivered"/>
    <x v="2"/>
    <x v="0"/>
  </r>
  <r>
    <n v="1200"/>
    <s v="SwiftShip"/>
    <d v="2026-01-30T00:00:00"/>
    <d v="2026-01-30T00:00:00"/>
    <d v="2026-02-04T00:00:00"/>
    <d v="2026-02-04T00:00:00"/>
    <s v="2026-02-04"/>
    <n v="0"/>
    <x v="0"/>
    <s v="Delivered"/>
    <x v="3"/>
    <x v="0"/>
  </r>
  <r>
    <n v="1201"/>
    <s v="MetroLogistics"/>
    <d v="2026-04-23T00:00:00"/>
    <d v="2026-04-23T00:00:00"/>
    <d v="2026-04-28T00:00:00"/>
    <d v="2026-04-28T00:00:00"/>
    <s v="2026-04-28"/>
    <n v="0"/>
    <x v="2"/>
    <s v="Delivered"/>
    <x v="3"/>
    <x v="0"/>
  </r>
  <r>
    <n v="1202"/>
    <s v="SwiftShip"/>
    <d v="2026-05-11T00:00:00"/>
    <d v="2026-05-11T00:00:00"/>
    <d v="2026-05-16T00:00:00"/>
    <d v="2026-05-20T00:00:00"/>
    <s v="2026-05-20"/>
    <n v="0"/>
    <x v="0"/>
    <s v="Delivered"/>
    <x v="2"/>
    <x v="0"/>
  </r>
  <r>
    <n v="1203"/>
    <s v="ParcelOne"/>
    <d v="2026-03-31T00:00:00"/>
    <d v="2026-03-31T00:00:00"/>
    <d v="2026-04-05T00:00:00"/>
    <d v="2026-04-05T00:00:00"/>
    <s v="2026-04-06"/>
    <n v="0"/>
    <x v="1"/>
    <s v="Delivered"/>
    <x v="3"/>
    <x v="0"/>
  </r>
  <r>
    <n v="1204"/>
    <s v="SwiftShip"/>
    <d v="2026-01-08T00:00:00"/>
    <d v="2026-01-08T00:00:00"/>
    <d v="2026-01-13T00:00:00"/>
    <d v="2026-01-17T00:00:00"/>
    <s v="2026-01-17"/>
    <n v="0"/>
    <x v="0"/>
    <s v="Delivered"/>
    <x v="2"/>
    <x v="0"/>
  </r>
  <r>
    <n v="1205"/>
    <s v="ParcelOne"/>
    <d v="2026-06-13T00:00:00"/>
    <d v="2026-06-13T00:00:00"/>
    <d v="2026-06-18T00:00:00"/>
    <d v="2026-06-18T00:00:00"/>
    <s v="2026-06-18"/>
    <n v="0"/>
    <x v="1"/>
    <s v="Delivered"/>
    <x v="3"/>
    <x v="0"/>
  </r>
  <r>
    <n v="1206"/>
    <s v="MetroLogistics"/>
    <d v="2026-03-15T00:00:00"/>
    <d v="2026-03-15T00:00:00"/>
    <d v="2026-03-20T00:00:00"/>
    <d v="2026-03-20T00:00:00"/>
    <s v="2026-03-21"/>
    <n v="0"/>
    <x v="2"/>
    <s v="Delivered"/>
    <x v="3"/>
    <x v="0"/>
  </r>
  <r>
    <n v="1207"/>
    <s v="SwiftShip"/>
    <d v="2026-06-15T00:00:00"/>
    <d v="2026-06-15T00:00:00"/>
    <d v="2026-06-20T00:00:00"/>
    <d v="2026-06-21T00:00:00"/>
    <s v="2026-06-21"/>
    <n v="0"/>
    <x v="0"/>
    <s v="Delivered"/>
    <x v="2"/>
    <x v="0"/>
  </r>
  <r>
    <n v="1208"/>
    <s v="SwiftShip"/>
    <d v="2026-06-09T00:00:00"/>
    <d v="2026-06-09T00:00:00"/>
    <d v="2026-06-14T00:00:00"/>
    <d v="2026-06-15T00:00:00"/>
    <s v="2026-06-15"/>
    <n v="0"/>
    <x v="0"/>
    <s v="Delivered"/>
    <x v="2"/>
    <x v="0"/>
  </r>
  <r>
    <n v="1209"/>
    <s v="SwiftShip"/>
    <d v="2026-06-04T00:00:00"/>
    <d v="2026-06-04T00:00:00"/>
    <d v="2026-06-09T00:00:00"/>
    <d v="2026-06-08T00:00:00"/>
    <s v="2026-06-08"/>
    <n v="0"/>
    <x v="0"/>
    <s v="Delivered"/>
    <x v="3"/>
    <x v="0"/>
  </r>
  <r>
    <n v="1210"/>
    <s v="MetroLogistics"/>
    <d v="2026-06-10T00:00:00"/>
    <d v="2026-06-10T00:00:00"/>
    <d v="2026-06-15T00:00:00"/>
    <d v="2026-06-15T00:00:00"/>
    <s v="2026-06-15"/>
    <n v="0"/>
    <x v="2"/>
    <s v="Delivered"/>
    <x v="3"/>
    <x v="0"/>
  </r>
  <r>
    <n v="1211"/>
    <s v="SwiftShip"/>
    <d v="2026-05-09T00:00:00"/>
    <d v="2026-05-09T00:00:00"/>
    <d v="2026-05-14T00:00:00"/>
    <d v="2026-05-12T00:00:00"/>
    <s v="2026-05-12"/>
    <n v="0"/>
    <x v="0"/>
    <s v="Delivered"/>
    <x v="3"/>
    <x v="0"/>
  </r>
  <r>
    <n v="1212"/>
    <s v="SwiftShip"/>
    <d v="2026-01-11T00:00:00"/>
    <d v="2026-01-11T00:00:00"/>
    <d v="2026-01-16T00:00:00"/>
    <d v="2026-01-16T00:00:00"/>
    <s v="2026-01-16"/>
    <n v="0"/>
    <x v="0"/>
    <s v="Delivered"/>
    <x v="3"/>
    <x v="0"/>
  </r>
  <r>
    <n v="1213"/>
    <s v="SwiftShip"/>
    <d v="2026-05-21T00:00:00"/>
    <d v="2026-05-21T00:00:00"/>
    <d v="2026-05-26T00:00:00"/>
    <d v="2026-05-30T00:00:00"/>
    <s v="2026-05-30"/>
    <n v="0"/>
    <x v="0"/>
    <s v="Delivered"/>
    <x v="2"/>
    <x v="0"/>
  </r>
  <r>
    <n v="1214"/>
    <s v="MetroLogistics"/>
    <d v="2026-01-25T00:00:00"/>
    <d v="2026-01-26T00:00:00"/>
    <d v="2026-01-30T00:00:00"/>
    <d v="2026-01-30T00:00:00"/>
    <s v="2026-01-30"/>
    <n v="0"/>
    <x v="2"/>
    <s v="Delivered"/>
    <x v="3"/>
    <x v="1"/>
  </r>
  <r>
    <n v="1215"/>
    <s v="MetroLogistics"/>
    <d v="2026-02-07T00:00:00"/>
    <d v="2026-02-07T00:00:00"/>
    <d v="2026-02-12T00:00:00"/>
    <d v="2026-02-12T00:00:00"/>
    <s v="2026-02-12"/>
    <n v="0"/>
    <x v="2"/>
    <s v="Delivered"/>
    <x v="3"/>
    <x v="0"/>
  </r>
  <r>
    <n v="1216"/>
    <s v="ParcelOne"/>
    <d v="2026-03-18T00:00:00"/>
    <d v="2026-03-19T00:00:00"/>
    <d v="2026-03-23T00:00:00"/>
    <d v="2026-03-22T00:00:00"/>
    <s v="2026-03-23"/>
    <n v="0"/>
    <x v="1"/>
    <s v="Delivered"/>
    <x v="3"/>
    <x v="1"/>
  </r>
  <r>
    <n v="1217"/>
    <s v="ParcelOne"/>
    <d v="2026-02-09T00:00:00"/>
    <d v="2026-02-09T00:00:00"/>
    <d v="2026-02-14T00:00:00"/>
    <d v="2026-02-14T00:00:00"/>
    <s v="2026-02-15"/>
    <n v="0"/>
    <x v="1"/>
    <s v="Delivered"/>
    <x v="3"/>
    <x v="0"/>
  </r>
  <r>
    <n v="1218"/>
    <s v="SwiftShip"/>
    <d v="2026-04-16T00:00:00"/>
    <d v="2026-04-16T00:00:00"/>
    <d v="2026-04-21T00:00:00"/>
    <d v="2026-04-21T00:00:00"/>
    <s v="2026-04-21"/>
    <n v="0"/>
    <x v="0"/>
    <s v="Delivered"/>
    <x v="3"/>
    <x v="0"/>
  </r>
  <r>
    <n v="1219"/>
    <s v="MetroLogistics"/>
    <d v="2026-01-19T00:00:00"/>
    <d v="2026-01-19T00:00:00"/>
    <d v="2026-01-24T00:00:00"/>
    <d v="2026-01-24T00:00:00"/>
    <s v="2026-01-24"/>
    <n v="0"/>
    <x v="2"/>
    <s v="Delivered"/>
    <x v="3"/>
    <x v="0"/>
  </r>
  <r>
    <n v="1220"/>
    <s v="ParcelOne"/>
    <d v="2026-05-30T00:00:00"/>
    <d v="2026-05-30T00:00:00"/>
    <d v="2026-06-04T00:00:00"/>
    <d v="2026-06-06T00:00:00"/>
    <s v="2026-06-06"/>
    <n v="0"/>
    <x v="1"/>
    <s v="Delivered"/>
    <x v="2"/>
    <x v="0"/>
  </r>
  <r>
    <n v="1221"/>
    <s v="SwiftShip"/>
    <d v="2026-04-25T00:00:00"/>
    <d v="2026-04-26T00:00:00"/>
    <d v="2026-04-30T00:00:00"/>
    <d v="2026-04-30T00:00:00"/>
    <s v="2026-05-01"/>
    <n v="0"/>
    <x v="0"/>
    <s v="Delivered"/>
    <x v="3"/>
    <x v="1"/>
  </r>
  <r>
    <n v="1222"/>
    <s v="ParcelOne"/>
    <d v="2026-01-26T00:00:00"/>
    <d v="2026-01-26T00:00:00"/>
    <d v="2026-01-31T00:00:00"/>
    <d v="2026-01-31T00:00:00"/>
    <s v="2026-01-31"/>
    <n v="0"/>
    <x v="1"/>
    <s v="Delivered"/>
    <x v="3"/>
    <x v="0"/>
  </r>
  <r>
    <n v="1223"/>
    <s v="SwiftShip"/>
    <d v="2026-04-22T00:00:00"/>
    <d v="2026-04-22T00:00:00"/>
    <d v="2026-04-27T00:00:00"/>
    <d v="2026-04-27T00:00:00"/>
    <s v="2026-04-27"/>
    <n v="0"/>
    <x v="0"/>
    <s v="Delivered"/>
    <x v="3"/>
    <x v="0"/>
  </r>
  <r>
    <n v="1224"/>
    <s v="ParcelOne"/>
    <d v="2026-01-05T00:00:00"/>
    <d v="2026-01-05T00:00:00"/>
    <d v="2026-01-10T00:00:00"/>
    <d v="2026-01-09T00:00:00"/>
    <s v="2026-01-09"/>
    <n v="0"/>
    <x v="1"/>
    <s v="Delivered"/>
    <x v="3"/>
    <x v="0"/>
  </r>
  <r>
    <n v="1225"/>
    <s v="MetroLogistics"/>
    <d v="2026-01-29T00:00:00"/>
    <d v="2026-01-29T00:00:00"/>
    <d v="2026-02-03T00:00:00"/>
    <d v="2026-02-04T00:00:00"/>
    <s v="2026-02-04"/>
    <n v="0"/>
    <x v="2"/>
    <s v="Delivered"/>
    <x v="2"/>
    <x v="0"/>
  </r>
  <r>
    <n v="1226"/>
    <s v="ParcelOne"/>
    <d v="2026-01-05T00:00:00"/>
    <d v="2026-01-05T00:00:00"/>
    <d v="2026-01-10T00:00:00"/>
    <d v="2026-01-10T00:00:00"/>
    <s v="2026-01-10"/>
    <n v="0"/>
    <x v="1"/>
    <s v="Delivered"/>
    <x v="3"/>
    <x v="0"/>
  </r>
  <r>
    <n v="1227"/>
    <s v="MetroLogistics"/>
    <d v="2026-02-07T00:00:00"/>
    <d v="2026-02-07T00:00:00"/>
    <d v="2026-02-12T00:00:00"/>
    <d v="2026-02-11T00:00:00"/>
    <s v="2026-02-11"/>
    <n v="0"/>
    <x v="2"/>
    <s v="Delivered"/>
    <x v="3"/>
    <x v="0"/>
  </r>
  <r>
    <n v="1228"/>
    <s v="ParcelOne"/>
    <d v="2026-06-07T00:00:00"/>
    <d v="2026-06-07T00:00:00"/>
    <d v="2026-06-12T00:00:00"/>
    <d v="2026-06-13T00:00:00"/>
    <s v="2026-06-13"/>
    <n v="0"/>
    <x v="1"/>
    <s v="Delivered"/>
    <x v="2"/>
    <x v="0"/>
  </r>
  <r>
    <n v="1229"/>
    <s v="MetroLogistics"/>
    <d v="2026-05-09T00:00:00"/>
    <d v="2026-05-11T00:00:00"/>
    <d v="2026-05-14T00:00:00"/>
    <d v="2026-05-18T00:00:00"/>
    <s v="2026-05-18"/>
    <n v="0"/>
    <x v="2"/>
    <s v="Delivered"/>
    <x v="2"/>
    <x v="1"/>
  </r>
  <r>
    <n v="1230"/>
    <s v="SwiftShip"/>
    <d v="2026-04-20T00:00:00"/>
    <d v="2026-04-20T00:00:00"/>
    <d v="2026-04-25T00:00:00"/>
    <d v="2026-04-23T00:00:00"/>
    <s v="2026-04-23"/>
    <n v="0"/>
    <x v="0"/>
    <s v="Delivered"/>
    <x v="3"/>
    <x v="0"/>
  </r>
  <r>
    <n v="1231"/>
    <s v="ParcelOne"/>
    <d v="2026-05-12T00:00:00"/>
    <d v="2026-05-12T00:00:00"/>
    <d v="2026-05-17T00:00:00"/>
    <d v="2026-05-17T00:00:00"/>
    <s v="2026-05-17"/>
    <n v="0"/>
    <x v="1"/>
    <s v="Delivered"/>
    <x v="3"/>
    <x v="0"/>
  </r>
  <r>
    <n v="1232"/>
    <s v="SwiftShip"/>
    <d v="2026-02-11T00:00:00"/>
    <d v="2026-02-11T00:00:00"/>
    <d v="2026-02-16T00:00:00"/>
    <d v="2026-02-15T00:00:00"/>
    <s v="2026-02-15"/>
    <n v="0"/>
    <x v="0"/>
    <s v="Delivered"/>
    <x v="3"/>
    <x v="0"/>
  </r>
  <r>
    <n v="1233"/>
    <s v="MetroLogistics"/>
    <d v="2026-06-08T00:00:00"/>
    <d v="2026-06-08T00:00:00"/>
    <d v="2026-06-13T00:00:00"/>
    <d v="2026-06-12T00:00:00"/>
    <s v="2026-06-14"/>
    <n v="0"/>
    <x v="2"/>
    <s v="Delivered"/>
    <x v="3"/>
    <x v="0"/>
  </r>
  <r>
    <n v="1234"/>
    <s v="ParcelOne"/>
    <d v="2026-05-15T00:00:00"/>
    <d v="2026-05-15T00:00:00"/>
    <d v="2026-05-20T00:00:00"/>
    <d v="2026-05-22T00:00:00"/>
    <s v="2026-05-22"/>
    <n v="0"/>
    <x v="1"/>
    <s v="Delivered"/>
    <x v="2"/>
    <x v="0"/>
  </r>
  <r>
    <n v="1235"/>
    <s v="MetroLogistics"/>
    <d v="2026-01-10T00:00:00"/>
    <d v="2026-01-10T00:00:00"/>
    <d v="2026-01-15T00:00:00"/>
    <d v="2026-01-15T00:00:00"/>
    <s v="2026-01-15"/>
    <n v="0"/>
    <x v="2"/>
    <s v="Delivered"/>
    <x v="3"/>
    <x v="0"/>
  </r>
  <r>
    <n v="1236"/>
    <s v="ParcelOne"/>
    <d v="2026-02-14T00:00:00"/>
    <d v="2026-02-14T00:00:00"/>
    <d v="2026-02-19T00:00:00"/>
    <d v="2026-02-19T00:00:00"/>
    <s v="2026-02-19"/>
    <n v="0"/>
    <x v="1"/>
    <s v="Delivered"/>
    <x v="3"/>
    <x v="0"/>
  </r>
  <r>
    <n v="1237"/>
    <s v="SwiftShip"/>
    <d v="2026-03-06T00:00:00"/>
    <d v="2026-03-06T00:00:00"/>
    <d v="2026-03-11T00:00:00"/>
    <d v="2026-03-10T00:00:00"/>
    <s v="2026-03-12"/>
    <n v="0"/>
    <x v="0"/>
    <s v="Delivered"/>
    <x v="3"/>
    <x v="0"/>
  </r>
  <r>
    <n v="1238"/>
    <s v="SwiftShip"/>
    <d v="2026-03-13T00:00:00"/>
    <d v="2026-03-13T00:00:00"/>
    <d v="2026-03-18T00:00:00"/>
    <d v="2026-03-18T00:00:00"/>
    <s v="2026-03-18"/>
    <n v="0"/>
    <x v="0"/>
    <s v="Delivered"/>
    <x v="3"/>
    <x v="0"/>
  </r>
  <r>
    <n v="1240"/>
    <s v="ParcelOne"/>
    <d v="2026-04-07T00:00:00"/>
    <d v="2026-04-07T00:00:00"/>
    <d v="2026-04-12T00:00:00"/>
    <d v="2026-04-16T00:00:00"/>
    <s v="2026-04-18"/>
    <n v="0"/>
    <x v="1"/>
    <s v="Delivered"/>
    <x v="2"/>
    <x v="0"/>
  </r>
  <r>
    <n v="1241"/>
    <s v="MetroLogistics"/>
    <d v="2026-05-22T00:00:00"/>
    <d v="2026-05-22T00:00:00"/>
    <d v="2026-05-27T00:00:00"/>
    <d v="2026-05-27T00:00:00"/>
    <s v="2026-05-27"/>
    <n v="0"/>
    <x v="2"/>
    <s v="Delivered"/>
    <x v="3"/>
    <x v="0"/>
  </r>
  <r>
    <n v="1242"/>
    <s v="ParcelOne"/>
    <d v="2026-01-05T00:00:00"/>
    <d v="2026-01-05T00:00:00"/>
    <d v="2026-01-10T00:00:00"/>
    <m/>
    <m/>
    <n v="0"/>
    <x v="1"/>
    <s v="Shipped"/>
    <x v="0"/>
    <x v="0"/>
  </r>
  <r>
    <n v="1243"/>
    <s v="ParcelOne"/>
    <d v="2026-02-08T00:00:00"/>
    <d v="2026-02-08T00:00:00"/>
    <d v="2026-02-13T00:00:00"/>
    <d v="2026-02-13T00:00:00"/>
    <s v="2026-02-15"/>
    <n v="0"/>
    <x v="1"/>
    <s v="Delivered"/>
    <x v="3"/>
    <x v="0"/>
  </r>
  <r>
    <n v="1244"/>
    <s v="SwiftShip"/>
    <d v="2026-05-31T00:00:00"/>
    <d v="2026-05-31T00:00:00"/>
    <d v="2026-06-05T00:00:00"/>
    <d v="2026-06-05T00:00:00"/>
    <s v="2026-06-05"/>
    <n v="0"/>
    <x v="0"/>
    <s v="Delivered"/>
    <x v="3"/>
    <x v="0"/>
  </r>
  <r>
    <n v="1245"/>
    <s v="ParcelOne"/>
    <d v="2026-07-01T00:00:00"/>
    <d v="2026-07-03T00:00:00"/>
    <d v="2026-07-06T00:00:00"/>
    <d v="2026-07-05T00:00:00"/>
    <s v="2026-07-05"/>
    <n v="0"/>
    <x v="1"/>
    <s v="Delivered"/>
    <x v="3"/>
    <x v="1"/>
  </r>
  <r>
    <n v="1246"/>
    <s v="SwiftShip"/>
    <d v="2026-02-11T00:00:00"/>
    <d v="2026-02-13T00:00:00"/>
    <d v="2026-02-16T00:00:00"/>
    <d v="2026-02-15T00:00:00"/>
    <s v="2026-02-15"/>
    <n v="0"/>
    <x v="0"/>
    <s v="Delivered"/>
    <x v="3"/>
    <x v="1"/>
  </r>
  <r>
    <n v="1247"/>
    <s v="MetroLogistics"/>
    <d v="2026-02-02T00:00:00"/>
    <d v="2026-02-02T00:00:00"/>
    <d v="2026-02-07T00:00:00"/>
    <d v="2026-02-06T00:00:00"/>
    <s v="2026-02-06"/>
    <n v="0"/>
    <x v="2"/>
    <s v="Delivered"/>
    <x v="3"/>
    <x v="0"/>
  </r>
  <r>
    <n v="1248"/>
    <s v="ParcelOne"/>
    <d v="2026-01-15T00:00:00"/>
    <d v="2026-01-16T00:00:00"/>
    <d v="2026-01-20T00:00:00"/>
    <d v="2026-01-20T00:00:00"/>
    <s v="2026-01-20"/>
    <n v="0"/>
    <x v="1"/>
    <s v="Delivered"/>
    <x v="3"/>
    <x v="1"/>
  </r>
  <r>
    <n v="1249"/>
    <s v="SwiftShip"/>
    <d v="2026-05-01T00:00:00"/>
    <d v="2026-05-02T00:00:00"/>
    <d v="2026-05-06T00:00:00"/>
    <d v="2026-05-10T00:00:00"/>
    <s v="2026-05-10"/>
    <n v="0"/>
    <x v="0"/>
    <s v="Delivered"/>
    <x v="2"/>
    <x v="1"/>
  </r>
  <r>
    <n v="1250"/>
    <s v="SwiftShip"/>
    <d v="2026-04-08T00:00:00"/>
    <d v="2026-04-10T00:00:00"/>
    <d v="2026-04-13T00:00:00"/>
    <d v="2026-04-13T00:00:00"/>
    <s v="2026-04-13"/>
    <n v="0"/>
    <x v="0"/>
    <s v="Delivered"/>
    <x v="3"/>
    <x v="1"/>
  </r>
  <r>
    <n v="1251"/>
    <s v="MetroLogistics"/>
    <d v="2026-02-03T00:00:00"/>
    <d v="2026-02-04T00:00:00"/>
    <d v="2026-02-08T00:00:00"/>
    <d v="2026-02-08T00:00:00"/>
    <s v="2026-02-08"/>
    <n v="0"/>
    <x v="2"/>
    <s v="Delivered"/>
    <x v="3"/>
    <x v="1"/>
  </r>
  <r>
    <n v="1252"/>
    <s v="MetroLogistics"/>
    <d v="2026-04-22T00:00:00"/>
    <d v="2026-04-22T00:00:00"/>
    <d v="2026-04-27T00:00:00"/>
    <d v="2026-04-26T00:00:00"/>
    <s v="2026-04-26"/>
    <n v="0"/>
    <x v="2"/>
    <s v="Delivered"/>
    <x v="3"/>
    <x v="0"/>
  </r>
  <r>
    <n v="1253"/>
    <s v="MetroLogistics"/>
    <d v="2026-03-06T00:00:00"/>
    <d v="2026-03-06T00:00:00"/>
    <d v="2026-03-11T00:00:00"/>
    <d v="2026-03-10T00:00:00"/>
    <s v="2026-03-10"/>
    <n v="0"/>
    <x v="2"/>
    <s v="Delivered"/>
    <x v="3"/>
    <x v="0"/>
  </r>
  <r>
    <n v="1254"/>
    <s v="MetroLogistics"/>
    <d v="2026-03-07T00:00:00"/>
    <d v="2026-03-07T00:00:00"/>
    <d v="2026-03-12T00:00:00"/>
    <d v="2026-03-13T00:00:00"/>
    <s v="2026-03-13"/>
    <n v="0"/>
    <x v="2"/>
    <s v="Delivered"/>
    <x v="2"/>
    <x v="0"/>
  </r>
  <r>
    <n v="1255"/>
    <s v="SwiftShip"/>
    <d v="2026-05-11T00:00:00"/>
    <d v="2026-05-11T00:00:00"/>
    <d v="2026-05-16T00:00:00"/>
    <d v="2026-05-14T00:00:00"/>
    <s v="2026-05-15"/>
    <n v="0"/>
    <x v="0"/>
    <s v="Delivered"/>
    <x v="3"/>
    <x v="0"/>
  </r>
  <r>
    <n v="1256"/>
    <s v="MetroLogistics"/>
    <d v="2026-01-17T00:00:00"/>
    <d v="2026-01-17T00:00:00"/>
    <d v="2026-01-22T00:00:00"/>
    <d v="2026-01-22T00:00:00"/>
    <s v="2026-01-23"/>
    <n v="0"/>
    <x v="2"/>
    <s v="Delivered"/>
    <x v="3"/>
    <x v="0"/>
  </r>
  <r>
    <n v="1257"/>
    <s v="ParcelOne"/>
    <d v="2026-01-17T00:00:00"/>
    <d v="2026-01-18T00:00:00"/>
    <d v="2026-01-22T00:00:00"/>
    <d v="2026-01-23T00:00:00"/>
    <s v="2026-01-25"/>
    <n v="0"/>
    <x v="1"/>
    <s v="Delivered"/>
    <x v="2"/>
    <x v="1"/>
  </r>
  <r>
    <n v="1258"/>
    <s v="ParcelOne"/>
    <d v="2026-07-02T00:00:00"/>
    <d v="2026-07-02T00:00:00"/>
    <d v="2026-07-07T00:00:00"/>
    <d v="2026-07-06T00:00:00"/>
    <s v="2026-07-06"/>
    <n v="0"/>
    <x v="1"/>
    <s v="Delivered"/>
    <x v="3"/>
    <x v="0"/>
  </r>
  <r>
    <n v="1259"/>
    <s v="SwiftShip"/>
    <d v="2026-01-08T00:00:00"/>
    <d v="2026-01-08T00:00:00"/>
    <d v="2026-01-13T00:00:00"/>
    <d v="2026-01-17T00:00:00"/>
    <s v="2026-01-18"/>
    <n v="0"/>
    <x v="0"/>
    <s v="Delivered"/>
    <x v="2"/>
    <x v="0"/>
  </r>
  <r>
    <n v="1260"/>
    <s v="SwiftShip"/>
    <d v="2026-01-18T00:00:00"/>
    <d v="2026-01-20T00:00:00"/>
    <d v="2026-01-23T00:00:00"/>
    <d v="2026-01-23T00:00:00"/>
    <s v="2026-01-25"/>
    <n v="0"/>
    <x v="0"/>
    <s v="Delivered"/>
    <x v="3"/>
    <x v="1"/>
  </r>
  <r>
    <n v="1261"/>
    <s v="MetroLogistics"/>
    <d v="2026-06-02T00:00:00"/>
    <d v="2026-06-02T00:00:00"/>
    <d v="2026-06-07T00:00:00"/>
    <d v="2026-06-06T00:00:00"/>
    <s v="2026-06-08"/>
    <n v="0"/>
    <x v="2"/>
    <s v="Delivered"/>
    <x v="3"/>
    <x v="0"/>
  </r>
  <r>
    <n v="1262"/>
    <s v="MetroLogistics"/>
    <d v="2026-06-09T00:00:00"/>
    <d v="2026-06-09T00:00:00"/>
    <d v="2026-06-14T00:00:00"/>
    <d v="2026-06-12T00:00:00"/>
    <s v="2026-06-12"/>
    <n v="0"/>
    <x v="2"/>
    <s v="Delivered"/>
    <x v="3"/>
    <x v="0"/>
  </r>
  <r>
    <n v="1264"/>
    <s v="SwiftShip"/>
    <d v="2026-06-08T00:00:00"/>
    <d v="2026-06-08T00:00:00"/>
    <d v="2026-06-13T00:00:00"/>
    <d v="2026-06-11T00:00:00"/>
    <s v="2026-06-11"/>
    <n v="0"/>
    <x v="0"/>
    <s v="Delivered"/>
    <x v="3"/>
    <x v="0"/>
  </r>
  <r>
    <n v="1265"/>
    <s v="ParcelOne"/>
    <d v="2026-02-14T00:00:00"/>
    <d v="2026-02-14T00:00:00"/>
    <d v="2026-02-19T00:00:00"/>
    <d v="2026-02-20T00:00:00"/>
    <s v="2026-02-20"/>
    <n v="0"/>
    <x v="1"/>
    <s v="Delivered"/>
    <x v="2"/>
    <x v="0"/>
  </r>
  <r>
    <n v="1266"/>
    <s v="MetroLogistics"/>
    <d v="2026-01-03T00:00:00"/>
    <d v="2026-01-03T00:00:00"/>
    <d v="2026-01-08T00:00:00"/>
    <d v="2026-01-07T00:00:00"/>
    <s v="2026-01-07"/>
    <n v="0"/>
    <x v="2"/>
    <s v="Delivered"/>
    <x v="3"/>
    <x v="0"/>
  </r>
  <r>
    <n v="1267"/>
    <s v="SwiftShip"/>
    <d v="2026-06-18T00:00:00"/>
    <d v="2026-06-18T00:00:00"/>
    <d v="2026-06-23T00:00:00"/>
    <d v="2026-06-21T00:00:00"/>
    <s v="2026-06-21"/>
    <n v="0"/>
    <x v="0"/>
    <s v="Delivered"/>
    <x v="3"/>
    <x v="0"/>
  </r>
  <r>
    <n v="1268"/>
    <s v="ParcelOne"/>
    <d v="2026-01-29T00:00:00"/>
    <d v="2026-01-29T00:00:00"/>
    <d v="2026-02-03T00:00:00"/>
    <d v="2026-02-03T00:00:00"/>
    <s v="2026-02-03"/>
    <n v="0"/>
    <x v="1"/>
    <s v="Delivered"/>
    <x v="3"/>
    <x v="0"/>
  </r>
  <r>
    <n v="1269"/>
    <s v="SwiftShip"/>
    <d v="2026-04-23T00:00:00"/>
    <d v="2026-04-25T00:00:00"/>
    <d v="2026-04-28T00:00:00"/>
    <m/>
    <m/>
    <n v="0"/>
    <x v="0"/>
    <s v="Shipped"/>
    <x v="0"/>
    <x v="1"/>
  </r>
  <r>
    <n v="1270"/>
    <s v="SwiftShip"/>
    <d v="2026-06-30T00:00:00"/>
    <d v="2026-06-30T00:00:00"/>
    <d v="2026-07-05T00:00:00"/>
    <d v="2026-07-05T00:00:00"/>
    <s v="2026-07-05"/>
    <n v="0"/>
    <x v="0"/>
    <s v="Delivered"/>
    <x v="3"/>
    <x v="0"/>
  </r>
  <r>
    <n v="1271"/>
    <s v="ParcelOne"/>
    <d v="2026-02-11T00:00:00"/>
    <d v="2026-02-11T00:00:00"/>
    <d v="2026-02-16T00:00:00"/>
    <d v="2026-02-15T00:00:00"/>
    <s v="2026-02-15"/>
    <n v="0"/>
    <x v="1"/>
    <s v="Delivered"/>
    <x v="3"/>
    <x v="0"/>
  </r>
  <r>
    <n v="1272"/>
    <s v="SwiftShip"/>
    <d v="2026-05-04T00:00:00"/>
    <d v="2026-05-04T00:00:00"/>
    <d v="2026-05-09T00:00:00"/>
    <d v="2026-05-09T00:00:00"/>
    <s v="2026-05-09"/>
    <n v="0"/>
    <x v="0"/>
    <s v="Delivered"/>
    <x v="3"/>
    <x v="0"/>
  </r>
  <r>
    <n v="1273"/>
    <s v="MetroLogistics"/>
    <d v="2026-04-07T00:00:00"/>
    <d v="2026-04-08T00:00:00"/>
    <d v="2026-04-12T00:00:00"/>
    <d v="2026-04-12T00:00:00"/>
    <s v="2026-04-12"/>
    <n v="0"/>
    <x v="2"/>
    <s v="Delivered"/>
    <x v="3"/>
    <x v="1"/>
  </r>
  <r>
    <n v="1274"/>
    <s v="MetroLogistics"/>
    <d v="2026-06-22T00:00:00"/>
    <d v="2026-06-24T00:00:00"/>
    <d v="2026-06-27T00:00:00"/>
    <d v="2026-06-28T00:00:00"/>
    <s v="2026-06-30"/>
    <n v="0"/>
    <x v="2"/>
    <s v="Delivered"/>
    <x v="2"/>
    <x v="1"/>
  </r>
  <r>
    <n v="1275"/>
    <s v="ParcelOne"/>
    <d v="2026-03-04T00:00:00"/>
    <d v="2026-03-06T00:00:00"/>
    <d v="2026-03-09T00:00:00"/>
    <d v="2026-03-09T00:00:00"/>
    <s v="2026-03-11"/>
    <n v="0"/>
    <x v="1"/>
    <s v="Delivered"/>
    <x v="3"/>
    <x v="1"/>
  </r>
  <r>
    <n v="1276"/>
    <s v="MetroLogistics"/>
    <d v="2026-02-26T00:00:00"/>
    <d v="2026-02-28T00:00:00"/>
    <d v="2026-03-03T00:00:00"/>
    <d v="2026-03-03T00:00:00"/>
    <s v="2026-03-05"/>
    <n v="0"/>
    <x v="2"/>
    <s v="Delivered"/>
    <x v="3"/>
    <x v="1"/>
  </r>
  <r>
    <n v="1277"/>
    <s v="MetroLogistics"/>
    <d v="2026-02-09T00:00:00"/>
    <d v="2026-02-09T00:00:00"/>
    <d v="2026-02-14T00:00:00"/>
    <d v="2026-02-14T00:00:00"/>
    <s v="2026-02-15"/>
    <n v="0"/>
    <x v="2"/>
    <s v="Delivered"/>
    <x v="3"/>
    <x v="0"/>
  </r>
  <r>
    <n v="1278"/>
    <s v="MetroLogistics"/>
    <d v="2026-04-30T00:00:00"/>
    <d v="2026-04-30T00:00:00"/>
    <d v="2026-05-05T00:00:00"/>
    <m/>
    <m/>
    <n v="0"/>
    <x v="2"/>
    <s v="Shipped"/>
    <x v="0"/>
    <x v="0"/>
  </r>
  <r>
    <n v="1279"/>
    <s v="SwiftShip"/>
    <d v="2026-06-02T00:00:00"/>
    <d v="2026-06-02T00:00:00"/>
    <d v="2026-06-07T00:00:00"/>
    <d v="2026-06-09T00:00:00"/>
    <s v="2026-06-10"/>
    <n v="0"/>
    <x v="0"/>
    <s v="Delivered"/>
    <x v="2"/>
    <x v="0"/>
  </r>
  <r>
    <n v="1280"/>
    <s v="ParcelOne"/>
    <d v="2026-03-11T00:00:00"/>
    <d v="2026-03-11T00:00:00"/>
    <d v="2026-03-16T00:00:00"/>
    <d v="2026-03-16T00:00:00"/>
    <s v="2026-03-16"/>
    <n v="0"/>
    <x v="1"/>
    <s v="Delivered"/>
    <x v="3"/>
    <x v="0"/>
  </r>
  <r>
    <n v="1282"/>
    <s v="SwiftShip"/>
    <d v="2026-03-30T00:00:00"/>
    <d v="2026-03-30T00:00:00"/>
    <d v="2026-04-04T00:00:00"/>
    <d v="2026-04-08T00:00:00"/>
    <s v="2026-04-08"/>
    <n v="0"/>
    <x v="0"/>
    <s v="Delivered"/>
    <x v="2"/>
    <x v="0"/>
  </r>
  <r>
    <n v="1283"/>
    <s v="MetroLogistics"/>
    <d v="2026-03-12T00:00:00"/>
    <d v="2026-03-14T00:00:00"/>
    <d v="2026-03-17T00:00:00"/>
    <d v="2026-03-17T00:00:00"/>
    <s v="2026-03-17"/>
    <n v="0"/>
    <x v="2"/>
    <s v="Delivered"/>
    <x v="3"/>
    <x v="1"/>
  </r>
  <r>
    <n v="1284"/>
    <s v="MetroLogistics"/>
    <d v="2026-04-08T00:00:00"/>
    <d v="2026-04-08T00:00:00"/>
    <d v="2026-04-13T00:00:00"/>
    <d v="2026-04-13T00:00:00"/>
    <s v="2026-04-13"/>
    <n v="0"/>
    <x v="2"/>
    <s v="Delivered"/>
    <x v="3"/>
    <x v="0"/>
  </r>
  <r>
    <n v="1285"/>
    <s v="ParcelOne"/>
    <d v="2026-05-28T00:00:00"/>
    <d v="2026-05-28T00:00:00"/>
    <d v="2026-06-02T00:00:00"/>
    <d v="2026-05-31T00:00:00"/>
    <s v="2026-05-31"/>
    <n v="0"/>
    <x v="1"/>
    <s v="Delivered"/>
    <x v="3"/>
    <x v="0"/>
  </r>
  <r>
    <n v="1286"/>
    <s v="SwiftShip"/>
    <d v="2026-03-14T00:00:00"/>
    <d v="2026-03-14T00:00:00"/>
    <d v="2026-03-19T00:00:00"/>
    <d v="2026-03-19T00:00:00"/>
    <s v="2026-03-21"/>
    <n v="0"/>
    <x v="0"/>
    <s v="Delivered"/>
    <x v="3"/>
    <x v="0"/>
  </r>
  <r>
    <n v="1287"/>
    <s v="MetroLogistics"/>
    <d v="2026-06-02T00:00:00"/>
    <d v="2026-06-02T00:00:00"/>
    <d v="2026-06-07T00:00:00"/>
    <d v="2026-06-07T00:00:00"/>
    <s v="2026-06-07"/>
    <n v="0"/>
    <x v="2"/>
    <s v="Delivered"/>
    <x v="3"/>
    <x v="0"/>
  </r>
  <r>
    <n v="1289"/>
    <s v="SwiftShip"/>
    <d v="2026-02-05T00:00:00"/>
    <d v="2026-02-05T00:00:00"/>
    <d v="2026-02-10T00:00:00"/>
    <d v="2026-02-11T00:00:00"/>
    <s v="2026-02-11"/>
    <n v="0"/>
    <x v="0"/>
    <s v="Delivered"/>
    <x v="2"/>
    <x v="0"/>
  </r>
  <r>
    <n v="1290"/>
    <s v="SwiftShip"/>
    <d v="2026-04-02T00:00:00"/>
    <d v="2026-04-02T00:00:00"/>
    <d v="2026-04-07T00:00:00"/>
    <d v="2026-04-11T00:00:00"/>
    <s v="2026-04-13"/>
    <n v="0"/>
    <x v="0"/>
    <s v="Delivered"/>
    <x v="2"/>
    <x v="0"/>
  </r>
  <r>
    <n v="1291"/>
    <s v="SwiftShip"/>
    <d v="2026-05-26T00:00:00"/>
    <d v="2026-05-26T00:00:00"/>
    <d v="2026-05-31T00:00:00"/>
    <d v="2026-05-31T00:00:00"/>
    <s v="2026-05-31"/>
    <n v="0"/>
    <x v="0"/>
    <s v="Delivered"/>
    <x v="3"/>
    <x v="0"/>
  </r>
  <r>
    <n v="1292"/>
    <s v="MetroLogistics"/>
    <d v="2026-03-10T00:00:00"/>
    <d v="2026-03-11T00:00:00"/>
    <d v="2026-03-15T00:00:00"/>
    <d v="2026-03-16T00:00:00"/>
    <s v="2026-03-17"/>
    <n v="0"/>
    <x v="2"/>
    <s v="Delivered"/>
    <x v="2"/>
    <x v="1"/>
  </r>
  <r>
    <n v="1293"/>
    <s v="MetroLogistics"/>
    <d v="2026-04-16T00:00:00"/>
    <d v="2026-04-16T00:00:00"/>
    <d v="2026-04-21T00:00:00"/>
    <d v="2026-04-22T00:00:00"/>
    <s v="2026-04-22"/>
    <n v="0"/>
    <x v="2"/>
    <s v="Delivered"/>
    <x v="2"/>
    <x v="0"/>
  </r>
  <r>
    <n v="1294"/>
    <s v="ParcelOne"/>
    <d v="2026-02-20T00:00:00"/>
    <d v="2026-02-21T00:00:00"/>
    <d v="2026-02-25T00:00:00"/>
    <d v="2026-02-27T00:00:00"/>
    <s v="2026-02-27"/>
    <n v="0"/>
    <x v="1"/>
    <s v="Delivered"/>
    <x v="2"/>
    <x v="1"/>
  </r>
  <r>
    <n v="1295"/>
    <s v="SwiftShip"/>
    <d v="2026-05-03T00:00:00"/>
    <d v="2026-05-03T00:00:00"/>
    <d v="2026-05-08T00:00:00"/>
    <d v="2026-05-10T00:00:00"/>
    <s v="2026-05-10"/>
    <n v="0"/>
    <x v="0"/>
    <s v="Delivered"/>
    <x v="2"/>
    <x v="0"/>
  </r>
  <r>
    <n v="1296"/>
    <s v="MetroLogistics"/>
    <d v="2026-04-08T00:00:00"/>
    <d v="2026-04-08T00:00:00"/>
    <d v="2026-04-13T00:00:00"/>
    <d v="2026-04-12T00:00:00"/>
    <s v="2026-04-12"/>
    <n v="0"/>
    <x v="2"/>
    <s v="Delivered"/>
    <x v="3"/>
    <x v="0"/>
  </r>
  <r>
    <n v="1297"/>
    <s v="SwiftShip"/>
    <d v="2026-04-10T00:00:00"/>
    <d v="2026-04-12T00:00:00"/>
    <d v="2026-04-15T00:00:00"/>
    <d v="2026-04-15T00:00:00"/>
    <s v="2026-04-17"/>
    <n v="0"/>
    <x v="0"/>
    <s v="Delivered"/>
    <x v="3"/>
    <x v="1"/>
  </r>
  <r>
    <n v="1298"/>
    <s v="ParcelOne"/>
    <d v="2026-02-08T00:00:00"/>
    <d v="2026-02-08T00:00:00"/>
    <d v="2026-02-13T00:00:00"/>
    <d v="2026-02-12T00:00:00"/>
    <s v="2026-02-12"/>
    <n v="0"/>
    <x v="1"/>
    <s v="Delivered"/>
    <x v="3"/>
    <x v="0"/>
  </r>
  <r>
    <n v="1299"/>
    <s v="ParcelOne"/>
    <d v="2026-04-28T00:00:00"/>
    <d v="2026-04-28T00:00:00"/>
    <d v="2026-05-03T00:00:00"/>
    <d v="2026-05-07T00:00:00"/>
    <s v="2026-05-07"/>
    <n v="0"/>
    <x v="1"/>
    <s v="Delivered"/>
    <x v="2"/>
    <x v="0"/>
  </r>
  <r>
    <n v="1300"/>
    <s v="ParcelOne"/>
    <d v="2026-05-19T00:00:00"/>
    <d v="2026-05-19T00:00:00"/>
    <d v="2026-05-24T00:00:00"/>
    <d v="2026-05-22T00:00:00"/>
    <s v="2026-05-22"/>
    <n v="0"/>
    <x v="1"/>
    <s v="Delivered"/>
    <x v="3"/>
    <x v="0"/>
  </r>
  <r>
    <n v="1302"/>
    <s v="MetroLogistics"/>
    <d v="2026-05-11T00:00:00"/>
    <d v="2026-05-13T00:00:00"/>
    <d v="2026-05-16T00:00:00"/>
    <d v="2026-05-16T00:00:00"/>
    <s v="2026-05-16"/>
    <n v="0"/>
    <x v="2"/>
    <s v="Delivered"/>
    <x v="3"/>
    <x v="1"/>
  </r>
  <r>
    <n v="1303"/>
    <s v="ParcelOne"/>
    <d v="2026-03-30T00:00:00"/>
    <d v="2026-04-01T00:00:00"/>
    <d v="2026-04-04T00:00:00"/>
    <d v="2026-04-08T00:00:00"/>
    <s v="2026-04-08"/>
    <n v="0"/>
    <x v="1"/>
    <s v="Delivered"/>
    <x v="2"/>
    <x v="1"/>
  </r>
  <r>
    <n v="1304"/>
    <s v="MetroLogistics"/>
    <d v="2026-03-01T00:00:00"/>
    <d v="2026-03-01T00:00:00"/>
    <d v="2026-03-06T00:00:00"/>
    <d v="2026-03-05T00:00:00"/>
    <s v="2026-03-05"/>
    <n v="0"/>
    <x v="2"/>
    <s v="Delivered"/>
    <x v="3"/>
    <x v="0"/>
  </r>
  <r>
    <n v="1305"/>
    <s v="ParcelOne"/>
    <d v="2026-01-12T00:00:00"/>
    <d v="2026-01-12T00:00:00"/>
    <d v="2026-01-17T00:00:00"/>
    <d v="2026-01-16T00:00:00"/>
    <s v="2026-01-16"/>
    <n v="0"/>
    <x v="1"/>
    <s v="Delivered"/>
    <x v="3"/>
    <x v="0"/>
  </r>
  <r>
    <n v="1306"/>
    <s v="SwiftShip"/>
    <d v="2026-05-23T00:00:00"/>
    <d v="2026-05-23T00:00:00"/>
    <d v="2026-05-28T00:00:00"/>
    <d v="2026-05-28T00:00:00"/>
    <s v="2026-05-28"/>
    <n v="0"/>
    <x v="0"/>
    <s v="Delivered"/>
    <x v="3"/>
    <x v="0"/>
  </r>
  <r>
    <n v="1307"/>
    <s v="ParcelOne"/>
    <d v="2026-06-11T00:00:00"/>
    <d v="2026-06-11T00:00:00"/>
    <d v="2026-06-16T00:00:00"/>
    <d v="2026-06-15T00:00:00"/>
    <s v="2026-06-15"/>
    <n v="0"/>
    <x v="1"/>
    <s v="Delivered"/>
    <x v="3"/>
    <x v="0"/>
  </r>
  <r>
    <n v="1308"/>
    <s v="SwiftShip"/>
    <d v="2026-03-11T00:00:00"/>
    <d v="2026-03-11T00:00:00"/>
    <d v="2026-03-16T00:00:00"/>
    <d v="2026-03-16T00:00:00"/>
    <s v="2026-03-16"/>
    <n v="0"/>
    <x v="0"/>
    <s v="Delivered"/>
    <x v="3"/>
    <x v="0"/>
  </r>
  <r>
    <n v="1309"/>
    <s v="SwiftShip"/>
    <d v="2026-03-28T00:00:00"/>
    <d v="2026-03-28T00:00:00"/>
    <d v="2026-04-02T00:00:00"/>
    <d v="2026-03-31T00:00:00"/>
    <s v="2026-03-31"/>
    <n v="0"/>
    <x v="0"/>
    <s v="Delivered"/>
    <x v="3"/>
    <x v="0"/>
  </r>
  <r>
    <n v="1310"/>
    <s v="MetroLogistics"/>
    <d v="2026-06-16T00:00:00"/>
    <d v="2026-06-17T00:00:00"/>
    <d v="2026-06-21T00:00:00"/>
    <d v="2026-06-23T00:00:00"/>
    <s v="2026-06-23"/>
    <n v="0"/>
    <x v="2"/>
    <s v="Delivered"/>
    <x v="2"/>
    <x v="1"/>
  </r>
  <r>
    <n v="1311"/>
    <s v="SwiftShip"/>
    <d v="2026-03-24T00:00:00"/>
    <d v="2026-03-25T00:00:00"/>
    <d v="2026-03-29T00:00:00"/>
    <d v="2026-03-29T00:00:00"/>
    <s v="2026-03-29"/>
    <n v="0"/>
    <x v="0"/>
    <s v="Delivered"/>
    <x v="3"/>
    <x v="1"/>
  </r>
  <r>
    <n v="1312"/>
    <s v="SwiftShip"/>
    <d v="2026-04-25T00:00:00"/>
    <d v="2026-04-25T00:00:00"/>
    <d v="2026-04-30T00:00:00"/>
    <m/>
    <m/>
    <n v="0"/>
    <x v="0"/>
    <s v="Shipped"/>
    <x v="0"/>
    <x v="0"/>
  </r>
  <r>
    <n v="1313"/>
    <s v="ParcelOne"/>
    <d v="2026-03-13T00:00:00"/>
    <d v="2026-03-13T00:00:00"/>
    <d v="2026-03-18T00:00:00"/>
    <d v="2026-03-16T00:00:00"/>
    <s v="2026-03-18"/>
    <n v="0"/>
    <x v="1"/>
    <s v="Delivered"/>
    <x v="3"/>
    <x v="0"/>
  </r>
  <r>
    <n v="1314"/>
    <s v="ParcelOne"/>
    <d v="2026-01-29T00:00:00"/>
    <d v="2026-01-30T00:00:00"/>
    <d v="2026-02-03T00:00:00"/>
    <d v="2026-02-05T00:00:00"/>
    <s v="2026-02-05"/>
    <n v="0"/>
    <x v="1"/>
    <s v="Delivered"/>
    <x v="2"/>
    <x v="1"/>
  </r>
  <r>
    <n v="1315"/>
    <s v="ParcelOne"/>
    <d v="2026-05-06T00:00:00"/>
    <d v="2026-05-06T00:00:00"/>
    <d v="2026-05-11T00:00:00"/>
    <m/>
    <m/>
    <n v="0"/>
    <x v="1"/>
    <s v="Shipped"/>
    <x v="0"/>
    <x v="0"/>
  </r>
  <r>
    <n v="1317"/>
    <s v="ParcelOne"/>
    <d v="2026-06-21T00:00:00"/>
    <d v="2026-06-22T00:00:00"/>
    <d v="2026-06-26T00:00:00"/>
    <d v="2026-06-26T00:00:00"/>
    <s v="2026-06-28"/>
    <n v="0"/>
    <x v="1"/>
    <s v="Delivered"/>
    <x v="3"/>
    <x v="1"/>
  </r>
  <r>
    <n v="1318"/>
    <s v="ParcelOne"/>
    <d v="2026-01-05T00:00:00"/>
    <d v="2026-01-05T00:00:00"/>
    <d v="2026-01-10T00:00:00"/>
    <d v="2026-01-14T00:00:00"/>
    <s v="2026-01-14"/>
    <n v="0"/>
    <x v="1"/>
    <s v="Delivered"/>
    <x v="2"/>
    <x v="0"/>
  </r>
  <r>
    <n v="1319"/>
    <s v="SwiftShip"/>
    <d v="2026-05-23T00:00:00"/>
    <d v="2026-05-23T00:00:00"/>
    <d v="2026-05-28T00:00:00"/>
    <d v="2026-05-28T00:00:00"/>
    <s v="2026-05-28"/>
    <n v="0"/>
    <x v="0"/>
    <s v="Delivered"/>
    <x v="3"/>
    <x v="0"/>
  </r>
  <r>
    <n v="1320"/>
    <s v="MetroLogistics"/>
    <d v="2026-04-27T00:00:00"/>
    <d v="2026-04-27T00:00:00"/>
    <d v="2026-05-02T00:00:00"/>
    <d v="2026-04-30T00:00:00"/>
    <s v="2026-04-30"/>
    <n v="0"/>
    <x v="2"/>
    <s v="Delivered"/>
    <x v="3"/>
    <x v="0"/>
  </r>
  <r>
    <n v="1321"/>
    <s v="MetroLogistics"/>
    <d v="2026-06-10T00:00:00"/>
    <d v="2026-06-11T00:00:00"/>
    <d v="2026-06-15T00:00:00"/>
    <d v="2026-06-17T00:00:00"/>
    <s v="2026-06-17"/>
    <n v="0"/>
    <x v="2"/>
    <s v="Delivered"/>
    <x v="2"/>
    <x v="1"/>
  </r>
  <r>
    <n v="1322"/>
    <s v="MetroLogistics"/>
    <d v="2026-06-05T00:00:00"/>
    <d v="2026-06-05T00:00:00"/>
    <d v="2026-06-10T00:00:00"/>
    <d v="2026-06-10T00:00:00"/>
    <s v="2026-06-10"/>
    <n v="0"/>
    <x v="2"/>
    <s v="Delivered"/>
    <x v="3"/>
    <x v="0"/>
  </r>
  <r>
    <n v="1323"/>
    <s v="ParcelOne"/>
    <d v="2026-05-16T00:00:00"/>
    <d v="2026-05-16T00:00:00"/>
    <d v="2026-05-21T00:00:00"/>
    <d v="2026-05-22T00:00:00"/>
    <s v="2026-05-22"/>
    <n v="0"/>
    <x v="1"/>
    <s v="Delivered"/>
    <x v="2"/>
    <x v="0"/>
  </r>
  <r>
    <n v="1324"/>
    <s v="ParcelOne"/>
    <d v="2026-03-09T00:00:00"/>
    <d v="2026-03-09T00:00:00"/>
    <d v="2026-03-14T00:00:00"/>
    <d v="2026-03-15T00:00:00"/>
    <s v="2026-03-15"/>
    <n v="0"/>
    <x v="1"/>
    <s v="Delivered"/>
    <x v="2"/>
    <x v="0"/>
  </r>
  <r>
    <n v="1325"/>
    <s v="SwiftShip"/>
    <d v="2026-04-19T00:00:00"/>
    <d v="2026-04-19T00:00:00"/>
    <d v="2026-04-24T00:00:00"/>
    <d v="2026-04-25T00:00:00"/>
    <s v="2026-04-25"/>
    <n v="0"/>
    <x v="0"/>
    <s v="Delivered"/>
    <x v="2"/>
    <x v="0"/>
  </r>
  <r>
    <n v="1326"/>
    <s v="MetroLogistics"/>
    <d v="2026-06-01T00:00:00"/>
    <d v="2026-06-01T00:00:00"/>
    <d v="2026-06-06T00:00:00"/>
    <d v="2026-06-05T00:00:00"/>
    <s v="2026-06-05"/>
    <n v="0"/>
    <x v="2"/>
    <s v="Delivered"/>
    <x v="3"/>
    <x v="0"/>
  </r>
  <r>
    <n v="1328"/>
    <s v="MetroLogistics"/>
    <d v="2026-04-14T00:00:00"/>
    <d v="2026-04-15T00:00:00"/>
    <d v="2026-04-19T00:00:00"/>
    <m/>
    <m/>
    <n v="0"/>
    <x v="2"/>
    <s v="Shipped"/>
    <x v="0"/>
    <x v="1"/>
  </r>
  <r>
    <n v="1329"/>
    <s v="MetroLogistics"/>
    <d v="2026-03-24T00:00:00"/>
    <d v="2026-03-26T00:00:00"/>
    <d v="2026-03-29T00:00:00"/>
    <d v="2026-03-29T00:00:00"/>
    <s v="2026-03-31"/>
    <n v="0"/>
    <x v="2"/>
    <s v="Delivered"/>
    <x v="3"/>
    <x v="1"/>
  </r>
  <r>
    <n v="1330"/>
    <s v="ParcelOne"/>
    <d v="2026-05-21T00:00:00"/>
    <d v="2026-05-22T00:00:00"/>
    <d v="2026-05-26T00:00:00"/>
    <d v="2026-05-26T00:00:00"/>
    <s v="2026-05-26"/>
    <n v="0"/>
    <x v="1"/>
    <s v="Delivered"/>
    <x v="3"/>
    <x v="1"/>
  </r>
  <r>
    <n v="1331"/>
    <s v="ParcelOne"/>
    <d v="2026-01-09T00:00:00"/>
    <d v="2026-01-09T00:00:00"/>
    <d v="2026-01-14T00:00:00"/>
    <d v="2026-01-12T00:00:00"/>
    <s v="2026-01-12"/>
    <n v="0"/>
    <x v="1"/>
    <s v="Delivered"/>
    <x v="3"/>
    <x v="0"/>
  </r>
  <r>
    <n v="1332"/>
    <s v="MetroLogistics"/>
    <d v="2026-05-21T00:00:00"/>
    <d v="2026-05-21T00:00:00"/>
    <d v="2026-05-26T00:00:00"/>
    <d v="2026-05-26T00:00:00"/>
    <s v="2026-05-26"/>
    <n v="0"/>
    <x v="2"/>
    <s v="Delivered"/>
    <x v="3"/>
    <x v="0"/>
  </r>
  <r>
    <n v="1333"/>
    <s v="SwiftShip"/>
    <d v="2026-03-17T00:00:00"/>
    <d v="2026-03-17T00:00:00"/>
    <d v="2026-03-22T00:00:00"/>
    <d v="2026-03-22T00:00:00"/>
    <s v="2026-03-22"/>
    <n v="0"/>
    <x v="0"/>
    <s v="Delivered"/>
    <x v="3"/>
    <x v="0"/>
  </r>
  <r>
    <n v="1334"/>
    <s v="MetroLogistics"/>
    <d v="2026-03-01T00:00:00"/>
    <d v="2026-03-01T00:00:00"/>
    <d v="2026-03-06T00:00:00"/>
    <m/>
    <m/>
    <n v="0"/>
    <x v="2"/>
    <s v="Shipped"/>
    <x v="0"/>
    <x v="0"/>
  </r>
  <r>
    <n v="1335"/>
    <s v="SwiftShip"/>
    <d v="2026-01-22T00:00:00"/>
    <d v="2026-01-22T00:00:00"/>
    <d v="2026-01-27T00:00:00"/>
    <d v="2026-01-26T00:00:00"/>
    <s v="2026-01-26"/>
    <n v="0"/>
    <x v="0"/>
    <s v="Delivered"/>
    <x v="3"/>
    <x v="0"/>
  </r>
  <r>
    <n v="1336"/>
    <s v="MetroLogistics"/>
    <d v="2026-01-04T00:00:00"/>
    <d v="2026-01-04T00:00:00"/>
    <d v="2026-01-09T00:00:00"/>
    <d v="2026-01-10T00:00:00"/>
    <s v="2026-01-10"/>
    <n v="0"/>
    <x v="2"/>
    <s v="Delivered"/>
    <x v="2"/>
    <x v="0"/>
  </r>
  <r>
    <n v="1337"/>
    <s v="SwiftShip"/>
    <d v="2026-03-21T00:00:00"/>
    <d v="2026-03-21T00:00:00"/>
    <d v="2026-03-26T00:00:00"/>
    <d v="2026-03-25T00:00:00"/>
    <s v="2026-03-25"/>
    <n v="0"/>
    <x v="0"/>
    <s v="Delivered"/>
    <x v="3"/>
    <x v="0"/>
  </r>
  <r>
    <n v="1338"/>
    <s v="ParcelOne"/>
    <d v="2026-01-26T00:00:00"/>
    <d v="2026-01-28T00:00:00"/>
    <d v="2026-01-31T00:00:00"/>
    <d v="2026-02-01T00:00:00"/>
    <s v="2026-02-03"/>
    <n v="0"/>
    <x v="1"/>
    <s v="Delivered"/>
    <x v="2"/>
    <x v="1"/>
  </r>
  <r>
    <n v="1339"/>
    <s v="ParcelOne"/>
    <d v="2026-02-01T00:00:00"/>
    <d v="2026-02-03T00:00:00"/>
    <d v="2026-02-06T00:00:00"/>
    <d v="2026-02-07T00:00:00"/>
    <s v="2026-02-07"/>
    <n v="0"/>
    <x v="1"/>
    <s v="Delivered"/>
    <x v="2"/>
    <x v="1"/>
  </r>
  <r>
    <n v="1340"/>
    <s v="SwiftShip"/>
    <d v="2026-04-11T00:00:00"/>
    <d v="2026-04-11T00:00:00"/>
    <d v="2026-04-16T00:00:00"/>
    <d v="2026-04-16T00:00:00"/>
    <s v="2026-04-16"/>
    <n v="0"/>
    <x v="0"/>
    <s v="Delivered"/>
    <x v="3"/>
    <x v="0"/>
  </r>
  <r>
    <n v="1341"/>
    <s v="MetroLogistics"/>
    <d v="2026-06-18T00:00:00"/>
    <d v="2026-06-20T00:00:00"/>
    <d v="2026-06-23T00:00:00"/>
    <d v="2026-06-24T00:00:00"/>
    <s v="2026-06-24"/>
    <n v="0"/>
    <x v="2"/>
    <s v="Delivered"/>
    <x v="2"/>
    <x v="1"/>
  </r>
  <r>
    <n v="1342"/>
    <s v="ParcelOne"/>
    <d v="2026-01-19T00:00:00"/>
    <d v="2026-01-19T00:00:00"/>
    <d v="2026-01-24T00:00:00"/>
    <d v="2026-01-25T00:00:00"/>
    <s v="2026-01-25"/>
    <n v="0"/>
    <x v="1"/>
    <s v="Delivered"/>
    <x v="2"/>
    <x v="0"/>
  </r>
  <r>
    <n v="1343"/>
    <s v="SwiftShip"/>
    <d v="2026-01-16T00:00:00"/>
    <d v="2026-01-16T00:00:00"/>
    <d v="2026-01-21T00:00:00"/>
    <d v="2026-01-21T00:00:00"/>
    <s v="2026-01-21"/>
    <n v="0"/>
    <x v="0"/>
    <s v="Delivered"/>
    <x v="3"/>
    <x v="0"/>
  </r>
  <r>
    <n v="1344"/>
    <s v="SwiftShip"/>
    <d v="2026-06-24T00:00:00"/>
    <d v="2026-06-26T00:00:00"/>
    <d v="2026-06-29T00:00:00"/>
    <d v="2026-06-28T00:00:00"/>
    <s v="2026-06-28"/>
    <n v="0"/>
    <x v="0"/>
    <s v="Delivered"/>
    <x v="3"/>
    <x v="1"/>
  </r>
  <r>
    <n v="1345"/>
    <s v="MetroLogistics"/>
    <d v="2026-06-07T00:00:00"/>
    <d v="2026-06-07T00:00:00"/>
    <d v="2026-06-12T00:00:00"/>
    <d v="2026-06-11T00:00:00"/>
    <s v="2026-06-11"/>
    <n v="0"/>
    <x v="2"/>
    <s v="Delivered"/>
    <x v="3"/>
    <x v="0"/>
  </r>
  <r>
    <n v="1346"/>
    <s v="MetroLogistics"/>
    <d v="2026-03-19T00:00:00"/>
    <d v="2026-03-19T00:00:00"/>
    <d v="2026-03-24T00:00:00"/>
    <m/>
    <m/>
    <n v="0"/>
    <x v="2"/>
    <s v="Shipped"/>
    <x v="0"/>
    <x v="0"/>
  </r>
  <r>
    <n v="1347"/>
    <s v="SwiftShip"/>
    <d v="2026-02-08T00:00:00"/>
    <d v="2026-02-08T00:00:00"/>
    <d v="2026-02-13T00:00:00"/>
    <d v="2026-02-15T00:00:00"/>
    <s v="2026-02-15"/>
    <n v="0"/>
    <x v="0"/>
    <s v="Delivered"/>
    <x v="2"/>
    <x v="0"/>
  </r>
  <r>
    <n v="1349"/>
    <s v="SwiftShip"/>
    <d v="2026-06-09T00:00:00"/>
    <d v="2026-06-10T00:00:00"/>
    <d v="2026-06-14T00:00:00"/>
    <d v="2026-06-18T00:00:00"/>
    <s v="2026-06-20"/>
    <n v="0"/>
    <x v="0"/>
    <s v="Delivered"/>
    <x v="2"/>
    <x v="1"/>
  </r>
  <r>
    <n v="1350"/>
    <s v="SwiftShip"/>
    <d v="2026-06-17T00:00:00"/>
    <d v="2026-06-17T00:00:00"/>
    <d v="2026-06-22T00:00:00"/>
    <d v="2026-06-23T00:00:00"/>
    <s v="2026-06-23"/>
    <n v="0"/>
    <x v="0"/>
    <s v="Delivered"/>
    <x v="2"/>
    <x v="0"/>
  </r>
  <r>
    <n v="1351"/>
    <s v="SwiftShip"/>
    <d v="2026-06-10T00:00:00"/>
    <d v="2026-06-10T00:00:00"/>
    <d v="2026-06-15T00:00:00"/>
    <d v="2026-06-14T00:00:00"/>
    <s v="2026-06-14"/>
    <n v="0"/>
    <x v="0"/>
    <s v="Delivered"/>
    <x v="3"/>
    <x v="0"/>
  </r>
  <r>
    <n v="1352"/>
    <s v="SwiftShip"/>
    <d v="2026-04-22T00:00:00"/>
    <d v="2026-04-22T00:00:00"/>
    <d v="2026-04-27T00:00:00"/>
    <d v="2026-04-27T00:00:00"/>
    <s v="2026-04-27"/>
    <n v="0"/>
    <x v="0"/>
    <s v="Delivered"/>
    <x v="3"/>
    <x v="0"/>
  </r>
  <r>
    <n v="1353"/>
    <s v="ParcelOne"/>
    <d v="2026-05-05T00:00:00"/>
    <d v="2026-05-05T00:00:00"/>
    <d v="2026-05-10T00:00:00"/>
    <d v="2026-05-08T00:00:00"/>
    <s v="2026-05-08"/>
    <n v="0"/>
    <x v="1"/>
    <s v="Delivered"/>
    <x v="3"/>
    <x v="0"/>
  </r>
  <r>
    <n v="1354"/>
    <s v="MetroLogistics"/>
    <d v="2026-05-20T00:00:00"/>
    <d v="2026-05-22T00:00:00"/>
    <d v="2026-05-25T00:00:00"/>
    <d v="2026-05-25T00:00:00"/>
    <s v="2026-05-25"/>
    <n v="0"/>
    <x v="2"/>
    <s v="Delivered"/>
    <x v="3"/>
    <x v="1"/>
  </r>
  <r>
    <n v="1355"/>
    <s v="MetroLogistics"/>
    <d v="2026-05-03T00:00:00"/>
    <d v="2026-05-03T00:00:00"/>
    <d v="2026-05-08T00:00:00"/>
    <d v="2026-05-08T00:00:00"/>
    <s v="2026-05-08"/>
    <n v="0"/>
    <x v="2"/>
    <s v="Delivered"/>
    <x v="3"/>
    <x v="0"/>
  </r>
  <r>
    <n v="1356"/>
    <s v="ParcelOne"/>
    <d v="2026-01-05T00:00:00"/>
    <d v="2026-01-07T00:00:00"/>
    <d v="2026-01-10T00:00:00"/>
    <d v="2026-01-08T00:00:00"/>
    <s v="2026-01-08"/>
    <n v="0"/>
    <x v="1"/>
    <s v="Delivered"/>
    <x v="3"/>
    <x v="1"/>
  </r>
  <r>
    <n v="1357"/>
    <s v="SwiftShip"/>
    <d v="2026-01-19T00:00:00"/>
    <d v="2026-01-19T00:00:00"/>
    <d v="2026-01-24T00:00:00"/>
    <d v="2026-01-25T00:00:00"/>
    <s v="2026-01-25"/>
    <n v="0"/>
    <x v="0"/>
    <s v="Delivered"/>
    <x v="2"/>
    <x v="0"/>
  </r>
  <r>
    <n v="1358"/>
    <s v="ParcelOne"/>
    <d v="2026-01-14T00:00:00"/>
    <d v="2026-01-15T00:00:00"/>
    <d v="2026-01-19T00:00:00"/>
    <d v="2026-01-19T00:00:00"/>
    <s v="2026-01-19"/>
    <n v="0"/>
    <x v="1"/>
    <s v="Delivered"/>
    <x v="3"/>
    <x v="1"/>
  </r>
  <r>
    <n v="1359"/>
    <s v="SwiftShip"/>
    <d v="2026-04-09T00:00:00"/>
    <d v="2026-04-09T00:00:00"/>
    <d v="2026-04-14T00:00:00"/>
    <d v="2026-04-14T00:00:00"/>
    <s v="2026-04-15"/>
    <n v="0"/>
    <x v="0"/>
    <s v="Delivered"/>
    <x v="3"/>
    <x v="0"/>
  </r>
  <r>
    <n v="1361"/>
    <s v="SwiftShip"/>
    <d v="2026-02-26T00:00:00"/>
    <d v="2026-02-27T00:00:00"/>
    <d v="2026-03-03T00:00:00"/>
    <d v="2026-03-04T00:00:00"/>
    <s v="2026-03-04"/>
    <n v="0"/>
    <x v="0"/>
    <s v="Delivered"/>
    <x v="2"/>
    <x v="1"/>
  </r>
  <r>
    <n v="1362"/>
    <s v="ParcelOne"/>
    <d v="2026-05-05T00:00:00"/>
    <d v="2026-05-05T00:00:00"/>
    <d v="2026-05-10T00:00:00"/>
    <d v="2026-05-10T00:00:00"/>
    <s v="2026-05-11"/>
    <n v="0"/>
    <x v="1"/>
    <s v="Delivered"/>
    <x v="3"/>
    <x v="0"/>
  </r>
  <r>
    <n v="1363"/>
    <s v="SwiftShip"/>
    <d v="2026-01-17T00:00:00"/>
    <d v="2026-01-17T00:00:00"/>
    <d v="2026-01-22T00:00:00"/>
    <d v="2026-01-22T00:00:00"/>
    <s v="2026-01-22"/>
    <n v="0"/>
    <x v="0"/>
    <s v="Delivered"/>
    <x v="3"/>
    <x v="0"/>
  </r>
  <r>
    <n v="1364"/>
    <s v="SwiftShip"/>
    <d v="2026-02-15T00:00:00"/>
    <d v="2026-02-17T00:00:00"/>
    <d v="2026-02-20T00:00:00"/>
    <d v="2026-02-20T00:00:00"/>
    <s v="2026-02-20"/>
    <n v="0"/>
    <x v="0"/>
    <s v="Delivered"/>
    <x v="3"/>
    <x v="1"/>
  </r>
  <r>
    <n v="1365"/>
    <s v="MetroLogistics"/>
    <d v="2026-04-11T00:00:00"/>
    <d v="2026-04-12T00:00:00"/>
    <d v="2026-04-16T00:00:00"/>
    <d v="2026-04-16T00:00:00"/>
    <s v="2026-04-16"/>
    <n v="0"/>
    <x v="2"/>
    <s v="Delivered"/>
    <x v="3"/>
    <x v="1"/>
  </r>
  <r>
    <n v="1366"/>
    <s v="MetroLogistics"/>
    <d v="2026-06-05T00:00:00"/>
    <d v="2026-06-05T00:00:00"/>
    <d v="2026-06-10T00:00:00"/>
    <d v="2026-06-10T00:00:00"/>
    <s v="2026-06-10"/>
    <n v="0"/>
    <x v="2"/>
    <s v="Delivered"/>
    <x v="3"/>
    <x v="0"/>
  </r>
  <r>
    <n v="1367"/>
    <s v="ParcelOne"/>
    <d v="2026-04-22T00:00:00"/>
    <d v="2026-04-22T00:00:00"/>
    <d v="2026-04-27T00:00:00"/>
    <d v="2026-04-27T00:00:00"/>
    <s v="2026-04-27"/>
    <n v="0"/>
    <x v="1"/>
    <s v="Delivered"/>
    <x v="3"/>
    <x v="0"/>
  </r>
  <r>
    <n v="1368"/>
    <s v="MetroLogistics"/>
    <d v="2026-03-16T00:00:00"/>
    <d v="2026-03-16T00:00:00"/>
    <d v="2026-03-21T00:00:00"/>
    <d v="2026-03-20T00:00:00"/>
    <s v="2026-03-20"/>
    <n v="0"/>
    <x v="2"/>
    <s v="Delivered"/>
    <x v="3"/>
    <x v="0"/>
  </r>
  <r>
    <n v="1369"/>
    <s v="SwiftShip"/>
    <d v="2026-02-24T00:00:00"/>
    <d v="2026-02-24T00:00:00"/>
    <d v="2026-03-01T00:00:00"/>
    <d v="2026-03-01T00:00:00"/>
    <s v="2026-03-02"/>
    <n v="0"/>
    <x v="0"/>
    <s v="Delivered"/>
    <x v="3"/>
    <x v="0"/>
  </r>
  <r>
    <n v="1370"/>
    <s v="MetroLogistics"/>
    <d v="2026-05-27T00:00:00"/>
    <d v="2026-05-27T00:00:00"/>
    <d v="2026-06-01T00:00:00"/>
    <d v="2026-06-01T00:00:00"/>
    <s v="2026-06-03"/>
    <n v="0"/>
    <x v="2"/>
    <s v="Delivered"/>
    <x v="3"/>
    <x v="0"/>
  </r>
  <r>
    <n v="1371"/>
    <s v="MetroLogistics"/>
    <d v="2026-04-01T00:00:00"/>
    <d v="2026-04-01T00:00:00"/>
    <d v="2026-04-06T00:00:00"/>
    <d v="2026-04-06T00:00:00"/>
    <s v="2026-04-06"/>
    <n v="0"/>
    <x v="2"/>
    <s v="Delivered"/>
    <x v="3"/>
    <x v="0"/>
  </r>
  <r>
    <n v="1372"/>
    <s v="MetroLogistics"/>
    <d v="2026-06-09T00:00:00"/>
    <d v="2026-06-10T00:00:00"/>
    <d v="2026-06-14T00:00:00"/>
    <d v="2026-06-15T00:00:00"/>
    <s v="2026-06-15"/>
    <n v="0"/>
    <x v="2"/>
    <s v="Delivered"/>
    <x v="2"/>
    <x v="1"/>
  </r>
  <r>
    <n v="1373"/>
    <s v="SwiftShip"/>
    <d v="2026-04-24T00:00:00"/>
    <d v="2026-04-24T00:00:00"/>
    <d v="2026-04-29T00:00:00"/>
    <d v="2026-04-30T00:00:00"/>
    <s v="2026-05-02"/>
    <n v="0"/>
    <x v="0"/>
    <s v="Delivered"/>
    <x v="2"/>
    <x v="0"/>
  </r>
  <r>
    <n v="1374"/>
    <s v="SwiftShip"/>
    <d v="2026-06-09T00:00:00"/>
    <d v="2026-06-09T00:00:00"/>
    <d v="2026-06-14T00:00:00"/>
    <d v="2026-06-14T00:00:00"/>
    <s v="2026-06-15"/>
    <n v="0"/>
    <x v="0"/>
    <s v="Delivered"/>
    <x v="3"/>
    <x v="0"/>
  </r>
  <r>
    <n v="1375"/>
    <s v="SwiftShip"/>
    <d v="2026-02-21T00:00:00"/>
    <d v="2026-02-21T00:00:00"/>
    <d v="2026-02-26T00:00:00"/>
    <d v="2026-02-24T00:00:00"/>
    <s v="2026-02-24"/>
    <n v="0"/>
    <x v="0"/>
    <s v="Delivered"/>
    <x v="3"/>
    <x v="0"/>
  </r>
  <r>
    <n v="1376"/>
    <s v="MetroLogistics"/>
    <d v="2026-04-15T00:00:00"/>
    <d v="2026-04-17T00:00:00"/>
    <d v="2026-04-20T00:00:00"/>
    <d v="2026-04-20T00:00:00"/>
    <s v="2026-04-20"/>
    <n v="0"/>
    <x v="2"/>
    <s v="Delivered"/>
    <x v="3"/>
    <x v="1"/>
  </r>
  <r>
    <n v="1377"/>
    <s v="ParcelOne"/>
    <d v="2026-06-01T00:00:00"/>
    <d v="2026-06-01T00:00:00"/>
    <d v="2026-06-06T00:00:00"/>
    <d v="2026-06-06T00:00:00"/>
    <s v="2026-06-06"/>
    <n v="0"/>
    <x v="1"/>
    <s v="Delivered"/>
    <x v="3"/>
    <x v="0"/>
  </r>
  <r>
    <n v="1378"/>
    <s v="SwiftShip"/>
    <d v="2026-04-17T00:00:00"/>
    <d v="2026-04-17T00:00:00"/>
    <d v="2026-04-22T00:00:00"/>
    <d v="2026-04-21T00:00:00"/>
    <s v="2026-04-21"/>
    <n v="0"/>
    <x v="0"/>
    <s v="Delivered"/>
    <x v="3"/>
    <x v="0"/>
  </r>
  <r>
    <n v="1379"/>
    <s v="SwiftShip"/>
    <d v="2026-05-20T00:00:00"/>
    <d v="2026-05-20T00:00:00"/>
    <d v="2026-05-25T00:00:00"/>
    <d v="2026-05-26T00:00:00"/>
    <s v="2026-05-28"/>
    <n v="0"/>
    <x v="0"/>
    <s v="Delivered"/>
    <x v="2"/>
    <x v="0"/>
  </r>
  <r>
    <n v="1380"/>
    <s v="ParcelOne"/>
    <d v="2026-06-26T00:00:00"/>
    <d v="2026-06-26T00:00:00"/>
    <d v="2026-07-01T00:00:00"/>
    <d v="2026-07-05T00:00:00"/>
    <s v="2026-07-05"/>
    <n v="0"/>
    <x v="1"/>
    <s v="Delivered"/>
    <x v="2"/>
    <x v="0"/>
  </r>
  <r>
    <n v="1381"/>
    <s v="MetroLogistics"/>
    <d v="2026-03-24T00:00:00"/>
    <d v="2026-03-24T00:00:00"/>
    <d v="2026-03-29T00:00:00"/>
    <d v="2026-03-30T00:00:00"/>
    <s v="2026-03-30"/>
    <n v="0"/>
    <x v="2"/>
    <s v="Delivered"/>
    <x v="2"/>
    <x v="0"/>
  </r>
  <r>
    <n v="1382"/>
    <s v="ParcelOne"/>
    <d v="2026-02-17T00:00:00"/>
    <d v="2026-02-17T00:00:00"/>
    <d v="2026-02-22T00:00:00"/>
    <d v="2026-02-23T00:00:00"/>
    <s v="2026-02-25"/>
    <n v="0"/>
    <x v="1"/>
    <s v="Delivered"/>
    <x v="2"/>
    <x v="0"/>
  </r>
  <r>
    <n v="1383"/>
    <s v="ParcelOne"/>
    <d v="2026-05-10T00:00:00"/>
    <d v="2026-05-11T00:00:00"/>
    <d v="2026-05-15T00:00:00"/>
    <d v="2026-05-15T00:00:00"/>
    <s v="2026-05-15"/>
    <n v="0"/>
    <x v="1"/>
    <s v="Delivered"/>
    <x v="3"/>
    <x v="1"/>
  </r>
  <r>
    <n v="1384"/>
    <s v="SwiftShip"/>
    <d v="2026-01-23T00:00:00"/>
    <d v="2026-01-23T00:00:00"/>
    <d v="2026-01-28T00:00:00"/>
    <d v="2026-02-01T00:00:00"/>
    <s v="2026-02-02"/>
    <n v="0"/>
    <x v="0"/>
    <s v="Delivered"/>
    <x v="2"/>
    <x v="0"/>
  </r>
  <r>
    <n v="1385"/>
    <s v="ParcelOne"/>
    <d v="2026-05-08T00:00:00"/>
    <d v="2026-05-08T00:00:00"/>
    <d v="2026-05-13T00:00:00"/>
    <d v="2026-05-13T00:00:00"/>
    <s v="2026-05-15"/>
    <n v="0"/>
    <x v="1"/>
    <s v="Delivered"/>
    <x v="3"/>
    <x v="0"/>
  </r>
  <r>
    <n v="1386"/>
    <s v="MetroLogistics"/>
    <d v="2026-05-11T00:00:00"/>
    <d v="2026-05-11T00:00:00"/>
    <d v="2026-05-16T00:00:00"/>
    <d v="2026-05-14T00:00:00"/>
    <s v="2026-05-14"/>
    <n v="0"/>
    <x v="2"/>
    <s v="Delivered"/>
    <x v="3"/>
    <x v="0"/>
  </r>
  <r>
    <n v="1387"/>
    <s v="SwiftShip"/>
    <d v="2026-01-28T00:00:00"/>
    <d v="2026-01-28T00:00:00"/>
    <d v="2026-02-02T00:00:00"/>
    <d v="2026-02-02T00:00:00"/>
    <s v="2026-02-02"/>
    <n v="0"/>
    <x v="0"/>
    <s v="Delivered"/>
    <x v="3"/>
    <x v="0"/>
  </r>
  <r>
    <n v="1388"/>
    <s v="MetroLogistics"/>
    <d v="2026-02-19T00:00:00"/>
    <d v="2026-02-19T00:00:00"/>
    <d v="2026-02-24T00:00:00"/>
    <d v="2026-02-23T00:00:00"/>
    <s v="2026-02-23"/>
    <n v="0"/>
    <x v="2"/>
    <s v="Delivered"/>
    <x v="3"/>
    <x v="0"/>
  </r>
  <r>
    <n v="1389"/>
    <s v="ParcelOne"/>
    <d v="2026-06-27T00:00:00"/>
    <d v="2026-06-27T00:00:00"/>
    <d v="2026-07-02T00:00:00"/>
    <d v="2026-07-06T00:00:00"/>
    <s v="2026-07-06"/>
    <n v="0"/>
    <x v="1"/>
    <s v="Delivered"/>
    <x v="2"/>
    <x v="0"/>
  </r>
  <r>
    <n v="1390"/>
    <s v="MetroLogistics"/>
    <d v="2026-02-17T00:00:00"/>
    <d v="2026-02-17T00:00:00"/>
    <d v="2026-02-22T00:00:00"/>
    <d v="2026-02-22T00:00:00"/>
    <s v="2026-02-22"/>
    <n v="0"/>
    <x v="2"/>
    <s v="Delivered"/>
    <x v="3"/>
    <x v="0"/>
  </r>
  <r>
    <n v="1391"/>
    <s v="SwiftShip"/>
    <d v="2026-02-13T00:00:00"/>
    <d v="2026-02-13T00:00:00"/>
    <d v="2026-02-18T00:00:00"/>
    <d v="2026-02-18T00:00:00"/>
    <s v="2026-02-18"/>
    <n v="0"/>
    <x v="0"/>
    <s v="Delivered"/>
    <x v="3"/>
    <x v="0"/>
  </r>
  <r>
    <n v="1392"/>
    <s v="MetroLogistics"/>
    <d v="2026-04-01T00:00:00"/>
    <d v="2026-04-03T00:00:00"/>
    <d v="2026-04-06T00:00:00"/>
    <d v="2026-04-06T00:00:00"/>
    <s v="2026-04-06"/>
    <n v="0"/>
    <x v="2"/>
    <s v="Delivered"/>
    <x v="3"/>
    <x v="1"/>
  </r>
  <r>
    <n v="1393"/>
    <s v="MetroLogistics"/>
    <d v="2026-05-07T00:00:00"/>
    <d v="2026-05-07T00:00:00"/>
    <d v="2026-05-12T00:00:00"/>
    <d v="2026-05-16T00:00:00"/>
    <s v="2026-05-17"/>
    <n v="0"/>
    <x v="2"/>
    <s v="Delivered"/>
    <x v="2"/>
    <x v="0"/>
  </r>
  <r>
    <n v="1394"/>
    <s v="SwiftShip"/>
    <d v="2026-03-30T00:00:00"/>
    <d v="2026-03-30T00:00:00"/>
    <d v="2026-04-04T00:00:00"/>
    <d v="2026-04-04T00:00:00"/>
    <s v="2026-04-04"/>
    <n v="0"/>
    <x v="0"/>
    <s v="Delivered"/>
    <x v="3"/>
    <x v="0"/>
  </r>
  <r>
    <n v="1395"/>
    <s v="ParcelOne"/>
    <d v="2026-06-06T00:00:00"/>
    <d v="2026-06-06T00:00:00"/>
    <d v="2026-06-11T00:00:00"/>
    <d v="2026-06-13T00:00:00"/>
    <s v="2026-06-13"/>
    <n v="0"/>
    <x v="1"/>
    <s v="Delivered"/>
    <x v="2"/>
    <x v="0"/>
  </r>
  <r>
    <n v="1396"/>
    <s v="MetroLogistics"/>
    <d v="2026-06-21T00:00:00"/>
    <d v="2026-06-21T00:00:00"/>
    <d v="2026-06-26T00:00:00"/>
    <d v="2026-06-24T00:00:00"/>
    <s v="2026-06-25"/>
    <n v="0"/>
    <x v="2"/>
    <s v="Delivered"/>
    <x v="3"/>
    <x v="0"/>
  </r>
  <r>
    <n v="1397"/>
    <s v="MetroLogistics"/>
    <d v="2026-01-16T00:00:00"/>
    <d v="2026-01-16T00:00:00"/>
    <d v="2026-01-21T00:00:00"/>
    <d v="2026-01-20T00:00:00"/>
    <s v="2026-01-20"/>
    <n v="0"/>
    <x v="2"/>
    <s v="Delivered"/>
    <x v="3"/>
    <x v="0"/>
  </r>
  <r>
    <n v="1398"/>
    <s v="MetroLogistics"/>
    <d v="2026-02-04T00:00:00"/>
    <d v="2026-02-05T00:00:00"/>
    <d v="2026-02-09T00:00:00"/>
    <d v="2026-02-09T00:00:00"/>
    <s v="2026-02-09"/>
    <n v="0"/>
    <x v="2"/>
    <s v="Delivered"/>
    <x v="3"/>
    <x v="1"/>
  </r>
  <r>
    <n v="1399"/>
    <s v="ParcelOne"/>
    <d v="2026-03-13T00:00:00"/>
    <d v="2026-03-15T00:00:00"/>
    <d v="2026-03-18T00:00:00"/>
    <d v="2026-03-18T00:00:00"/>
    <s v="2026-03-18"/>
    <n v="0"/>
    <x v="1"/>
    <s v="Delivered"/>
    <x v="3"/>
    <x v="1"/>
  </r>
  <r>
    <n v="1400"/>
    <s v="SwiftShip"/>
    <d v="2026-04-26T00:00:00"/>
    <d v="2026-04-26T00:00:00"/>
    <d v="2026-05-01T00:00:00"/>
    <d v="2026-05-02T00:00:00"/>
    <s v="2026-05-02"/>
    <n v="0"/>
    <x v="0"/>
    <s v="Delivered"/>
    <x v="2"/>
    <x v="0"/>
  </r>
  <r>
    <n v="1401"/>
    <s v="ParcelOne"/>
    <d v="2026-05-03T00:00:00"/>
    <d v="2026-05-03T00:00:00"/>
    <d v="2026-05-08T00:00:00"/>
    <d v="2026-05-09T00:00:00"/>
    <s v="2026-05-09"/>
    <n v="0"/>
    <x v="1"/>
    <s v="Delivered"/>
    <x v="2"/>
    <x v="0"/>
  </r>
  <r>
    <n v="1403"/>
    <s v="SwiftShip"/>
    <d v="2026-02-28T00:00:00"/>
    <d v="2026-02-28T00:00:00"/>
    <d v="2026-03-05T00:00:00"/>
    <d v="2026-03-07T00:00:00"/>
    <s v="2026-03-07"/>
    <n v="0"/>
    <x v="0"/>
    <s v="Delivered"/>
    <x v="2"/>
    <x v="0"/>
  </r>
  <r>
    <n v="1404"/>
    <s v="ParcelOne"/>
    <d v="2026-01-31T00:00:00"/>
    <d v="2026-01-31T00:00:00"/>
    <d v="2026-02-05T00:00:00"/>
    <d v="2026-02-04T00:00:00"/>
    <s v="2026-02-06"/>
    <n v="0"/>
    <x v="1"/>
    <s v="Delivered"/>
    <x v="3"/>
    <x v="0"/>
  </r>
  <r>
    <n v="1405"/>
    <s v="ParcelOne"/>
    <d v="2026-02-19T00:00:00"/>
    <m/>
    <d v="2026-02-24T00:00:00"/>
    <m/>
    <m/>
    <n v="0"/>
    <x v="1"/>
    <s v="Pending"/>
    <x v="0"/>
    <x v="2"/>
  </r>
  <r>
    <n v="1406"/>
    <s v="ParcelOne"/>
    <d v="2026-02-10T00:00:00"/>
    <d v="2026-02-10T00:00:00"/>
    <d v="2026-02-15T00:00:00"/>
    <d v="2026-02-16T00:00:00"/>
    <s v="2026-02-16"/>
    <n v="0"/>
    <x v="1"/>
    <s v="Delivered"/>
    <x v="2"/>
    <x v="0"/>
  </r>
  <r>
    <n v="1407"/>
    <s v="SwiftShip"/>
    <d v="2026-01-17T00:00:00"/>
    <d v="2026-01-17T00:00:00"/>
    <d v="2026-01-22T00:00:00"/>
    <d v="2026-01-24T00:00:00"/>
    <s v="2026-01-24"/>
    <n v="0"/>
    <x v="0"/>
    <s v="Delivered"/>
    <x v="2"/>
    <x v="0"/>
  </r>
  <r>
    <n v="1408"/>
    <s v="ParcelOne"/>
    <d v="2026-01-06T00:00:00"/>
    <d v="2026-01-06T00:00:00"/>
    <d v="2026-01-11T00:00:00"/>
    <d v="2026-01-12T00:00:00"/>
    <s v="2026-01-12"/>
    <n v="0"/>
    <x v="1"/>
    <s v="Delivered"/>
    <x v="2"/>
    <x v="0"/>
  </r>
  <r>
    <n v="1409"/>
    <s v="ParcelOne"/>
    <d v="2026-05-04T00:00:00"/>
    <d v="2026-05-04T00:00:00"/>
    <d v="2026-05-09T00:00:00"/>
    <d v="2026-05-09T00:00:00"/>
    <s v="2026-05-09"/>
    <n v="0"/>
    <x v="1"/>
    <s v="Delivered"/>
    <x v="3"/>
    <x v="0"/>
  </r>
  <r>
    <n v="1410"/>
    <s v="ParcelOne"/>
    <d v="2026-06-22T00:00:00"/>
    <d v="2026-06-22T00:00:00"/>
    <d v="2026-06-27T00:00:00"/>
    <d v="2026-06-26T00:00:00"/>
    <s v="2026-06-26"/>
    <n v="0"/>
    <x v="1"/>
    <s v="Delivered"/>
    <x v="3"/>
    <x v="0"/>
  </r>
  <r>
    <n v="1411"/>
    <s v="ParcelOne"/>
    <d v="2026-04-14T00:00:00"/>
    <d v="2026-04-14T00:00:00"/>
    <d v="2026-04-19T00:00:00"/>
    <d v="2026-04-18T00:00:00"/>
    <s v="2026-04-18"/>
    <n v="0"/>
    <x v="1"/>
    <s v="Delivered"/>
    <x v="3"/>
    <x v="0"/>
  </r>
  <r>
    <n v="1412"/>
    <s v="MetroLogistics"/>
    <d v="2026-02-12T00:00:00"/>
    <d v="2026-02-12T00:00:00"/>
    <d v="2026-02-17T00:00:00"/>
    <d v="2026-02-17T00:00:00"/>
    <s v="2026-02-17"/>
    <n v="0"/>
    <x v="2"/>
    <s v="Delivered"/>
    <x v="3"/>
    <x v="0"/>
  </r>
  <r>
    <n v="1413"/>
    <s v="SwiftShip"/>
    <d v="2026-04-01T00:00:00"/>
    <d v="2026-04-02T00:00:00"/>
    <d v="2026-04-06T00:00:00"/>
    <d v="2026-04-06T00:00:00"/>
    <s v="2026-04-06"/>
    <n v="0"/>
    <x v="0"/>
    <s v="Delivered"/>
    <x v="3"/>
    <x v="1"/>
  </r>
  <r>
    <n v="1414"/>
    <s v="ParcelOne"/>
    <d v="2026-05-21T00:00:00"/>
    <d v="2026-05-22T00:00:00"/>
    <d v="2026-05-26T00:00:00"/>
    <d v="2026-05-26T00:00:00"/>
    <s v="2026-05-27"/>
    <n v="0"/>
    <x v="1"/>
    <s v="Delivered"/>
    <x v="3"/>
    <x v="1"/>
  </r>
  <r>
    <n v="1415"/>
    <s v="ParcelOne"/>
    <d v="2026-01-20T00:00:00"/>
    <d v="2026-01-20T00:00:00"/>
    <d v="2026-01-25T00:00:00"/>
    <d v="2026-01-25T00:00:00"/>
    <s v="2026-01-25"/>
    <n v="0"/>
    <x v="1"/>
    <s v="Delivered"/>
    <x v="3"/>
    <x v="0"/>
  </r>
  <r>
    <n v="1416"/>
    <s v="SwiftShip"/>
    <d v="2026-01-07T00:00:00"/>
    <d v="2026-01-07T00:00:00"/>
    <d v="2026-01-12T00:00:00"/>
    <d v="2026-01-11T00:00:00"/>
    <s v="2026-01-11"/>
    <n v="0"/>
    <x v="0"/>
    <s v="Delivered"/>
    <x v="3"/>
    <x v="0"/>
  </r>
  <r>
    <n v="1417"/>
    <s v="MetroLogistics"/>
    <d v="2026-06-16T00:00:00"/>
    <d v="2026-06-16T00:00:00"/>
    <d v="2026-06-21T00:00:00"/>
    <d v="2026-06-21T00:00:00"/>
    <s v="2026-06-21"/>
    <n v="0"/>
    <x v="2"/>
    <s v="Delivered"/>
    <x v="3"/>
    <x v="0"/>
  </r>
  <r>
    <n v="1418"/>
    <s v="ParcelOne"/>
    <d v="2026-06-16T00:00:00"/>
    <d v="2026-06-16T00:00:00"/>
    <d v="2026-06-21T00:00:00"/>
    <d v="2026-06-19T00:00:00"/>
    <s v="2026-06-21"/>
    <n v="0"/>
    <x v="1"/>
    <s v="Delivered"/>
    <x v="3"/>
    <x v="0"/>
  </r>
  <r>
    <n v="1419"/>
    <s v="MetroLogistics"/>
    <d v="2026-06-19T00:00:00"/>
    <d v="2026-06-20T00:00:00"/>
    <d v="2026-06-24T00:00:00"/>
    <d v="2026-06-25T00:00:00"/>
    <s v="2026-06-25"/>
    <n v="0"/>
    <x v="2"/>
    <s v="Delivered"/>
    <x v="2"/>
    <x v="1"/>
  </r>
  <r>
    <n v="1420"/>
    <s v="MetroLogistics"/>
    <d v="2026-03-12T00:00:00"/>
    <d v="2026-03-12T00:00:00"/>
    <d v="2026-03-17T00:00:00"/>
    <d v="2026-03-17T00:00:00"/>
    <s v="2026-03-17"/>
    <n v="0"/>
    <x v="2"/>
    <s v="Delivered"/>
    <x v="3"/>
    <x v="0"/>
  </r>
  <r>
    <n v="1421"/>
    <s v="ParcelOne"/>
    <d v="2026-06-20T00:00:00"/>
    <d v="2026-06-20T00:00:00"/>
    <d v="2026-06-25T00:00:00"/>
    <d v="2026-06-25T00:00:00"/>
    <s v="2026-06-25"/>
    <n v="0"/>
    <x v="1"/>
    <s v="Delivered"/>
    <x v="3"/>
    <x v="0"/>
  </r>
  <r>
    <n v="1422"/>
    <s v="SwiftShip"/>
    <d v="2026-05-23T00:00:00"/>
    <d v="2026-05-23T00:00:00"/>
    <d v="2026-05-28T00:00:00"/>
    <d v="2026-06-01T00:00:00"/>
    <s v="2026-06-02"/>
    <n v="0"/>
    <x v="0"/>
    <s v="Delivered"/>
    <x v="2"/>
    <x v="0"/>
  </r>
  <r>
    <n v="1423"/>
    <s v="ParcelOne"/>
    <d v="2026-06-14T00:00:00"/>
    <d v="2026-06-14T00:00:00"/>
    <d v="2026-06-19T00:00:00"/>
    <d v="2026-06-19T00:00:00"/>
    <s v="2026-06-21"/>
    <n v="0"/>
    <x v="1"/>
    <s v="Delivered"/>
    <x v="3"/>
    <x v="0"/>
  </r>
  <r>
    <n v="1424"/>
    <s v="SwiftShip"/>
    <d v="2026-01-11T00:00:00"/>
    <m/>
    <d v="2026-01-16T00:00:00"/>
    <m/>
    <m/>
    <n v="0"/>
    <x v="0"/>
    <s v="Pending"/>
    <x v="0"/>
    <x v="2"/>
  </r>
  <r>
    <n v="1425"/>
    <s v="MetroLogistics"/>
    <d v="2026-01-08T00:00:00"/>
    <d v="2026-01-08T00:00:00"/>
    <d v="2026-01-13T00:00:00"/>
    <d v="2026-01-12T00:00:00"/>
    <s v="2026-01-12"/>
    <n v="0"/>
    <x v="2"/>
    <s v="Delivered"/>
    <x v="3"/>
    <x v="0"/>
  </r>
  <r>
    <n v="1426"/>
    <s v="SwiftShip"/>
    <d v="2026-03-07T00:00:00"/>
    <d v="2026-03-07T00:00:00"/>
    <d v="2026-03-12T00:00:00"/>
    <d v="2026-03-11T00:00:00"/>
    <s v="2026-03-11"/>
    <n v="0"/>
    <x v="0"/>
    <s v="Delivered"/>
    <x v="3"/>
    <x v="0"/>
  </r>
  <r>
    <n v="1427"/>
    <s v="ParcelOne"/>
    <d v="2026-05-06T00:00:00"/>
    <d v="2026-05-06T00:00:00"/>
    <d v="2026-05-11T00:00:00"/>
    <d v="2026-05-12T00:00:00"/>
    <s v="2026-05-12"/>
    <n v="0"/>
    <x v="1"/>
    <s v="Delivered"/>
    <x v="2"/>
    <x v="0"/>
  </r>
  <r>
    <n v="1428"/>
    <s v="MetroLogistics"/>
    <d v="2026-03-29T00:00:00"/>
    <d v="2026-03-29T00:00:00"/>
    <d v="2026-04-03T00:00:00"/>
    <d v="2026-04-03T00:00:00"/>
    <s v="2026-04-03"/>
    <n v="0"/>
    <x v="2"/>
    <s v="Delivered"/>
    <x v="3"/>
    <x v="0"/>
  </r>
  <r>
    <n v="1429"/>
    <s v="ParcelOne"/>
    <d v="2026-02-10T00:00:00"/>
    <d v="2026-02-12T00:00:00"/>
    <d v="2026-02-15T00:00:00"/>
    <d v="2026-02-16T00:00:00"/>
    <s v="2026-02-16"/>
    <n v="0"/>
    <x v="1"/>
    <s v="Delivered"/>
    <x v="2"/>
    <x v="1"/>
  </r>
  <r>
    <n v="1430"/>
    <s v="SwiftShip"/>
    <d v="2026-02-28T00:00:00"/>
    <d v="2026-02-28T00:00:00"/>
    <d v="2026-03-05T00:00:00"/>
    <d v="2026-03-05T00:00:00"/>
    <s v="2026-03-05"/>
    <n v="0"/>
    <x v="0"/>
    <s v="Delivered"/>
    <x v="3"/>
    <x v="0"/>
  </r>
  <r>
    <n v="1431"/>
    <s v="ParcelOne"/>
    <d v="2026-03-11T00:00:00"/>
    <d v="2026-03-11T00:00:00"/>
    <d v="2026-03-16T00:00:00"/>
    <d v="2026-03-16T00:00:00"/>
    <s v="2026-03-16"/>
    <n v="0"/>
    <x v="1"/>
    <s v="Delivered"/>
    <x v="3"/>
    <x v="0"/>
  </r>
  <r>
    <n v="1432"/>
    <s v="MetroLogistics"/>
    <d v="2026-05-26T00:00:00"/>
    <d v="2026-05-26T00:00:00"/>
    <d v="2026-05-31T00:00:00"/>
    <d v="2026-05-31T00:00:00"/>
    <s v="2026-05-31"/>
    <n v="0"/>
    <x v="2"/>
    <s v="Delivered"/>
    <x v="3"/>
    <x v="0"/>
  </r>
  <r>
    <n v="1433"/>
    <s v="ParcelOne"/>
    <d v="2026-01-25T00:00:00"/>
    <d v="2026-01-25T00:00:00"/>
    <d v="2026-01-30T00:00:00"/>
    <d v="2026-01-30T00:00:00"/>
    <s v="2026-01-30"/>
    <n v="0"/>
    <x v="1"/>
    <s v="Delivered"/>
    <x v="3"/>
    <x v="0"/>
  </r>
  <r>
    <n v="1434"/>
    <s v="MetroLogistics"/>
    <d v="2026-04-02T00:00:00"/>
    <d v="2026-04-02T00:00:00"/>
    <d v="2026-04-07T00:00:00"/>
    <d v="2026-04-08T00:00:00"/>
    <s v="2026-04-08"/>
    <n v="0"/>
    <x v="2"/>
    <s v="Delivered"/>
    <x v="2"/>
    <x v="0"/>
  </r>
  <r>
    <n v="1435"/>
    <s v="MetroLogistics"/>
    <d v="2026-01-16T00:00:00"/>
    <d v="2026-01-16T00:00:00"/>
    <d v="2026-01-21T00:00:00"/>
    <d v="2026-01-19T00:00:00"/>
    <s v="2026-01-19"/>
    <n v="0"/>
    <x v="2"/>
    <s v="Delivered"/>
    <x v="3"/>
    <x v="0"/>
  </r>
  <r>
    <n v="1436"/>
    <s v="SwiftShip"/>
    <d v="2026-02-26T00:00:00"/>
    <d v="2026-02-26T00:00:00"/>
    <d v="2026-03-03T00:00:00"/>
    <d v="2026-03-05T00:00:00"/>
    <s v="2026-03-05"/>
    <n v="0"/>
    <x v="0"/>
    <s v="Delivered"/>
    <x v="2"/>
    <x v="0"/>
  </r>
  <r>
    <n v="1437"/>
    <s v="MetroLogistics"/>
    <d v="2026-02-15T00:00:00"/>
    <d v="2026-02-15T00:00:00"/>
    <d v="2026-02-20T00:00:00"/>
    <d v="2026-02-20T00:00:00"/>
    <s v="2026-02-21"/>
    <n v="0"/>
    <x v="2"/>
    <s v="Delivered"/>
    <x v="3"/>
    <x v="0"/>
  </r>
  <r>
    <n v="1439"/>
    <s v="ParcelOne"/>
    <d v="2026-05-13T00:00:00"/>
    <m/>
    <d v="2026-05-18T00:00:00"/>
    <m/>
    <m/>
    <n v="0"/>
    <x v="1"/>
    <s v="Pending"/>
    <x v="0"/>
    <x v="2"/>
  </r>
  <r>
    <n v="1440"/>
    <s v="ParcelOne"/>
    <d v="2026-05-11T00:00:00"/>
    <d v="2026-05-11T00:00:00"/>
    <d v="2026-05-16T00:00:00"/>
    <m/>
    <m/>
    <n v="0"/>
    <x v="1"/>
    <s v="Shipped"/>
    <x v="0"/>
    <x v="0"/>
  </r>
  <r>
    <n v="1441"/>
    <s v="ParcelOne"/>
    <d v="2026-01-07T00:00:00"/>
    <d v="2026-01-08T00:00:00"/>
    <d v="2026-01-12T00:00:00"/>
    <d v="2026-01-12T00:00:00"/>
    <s v="2026-01-13"/>
    <n v="0"/>
    <x v="1"/>
    <s v="Delivered"/>
    <x v="3"/>
    <x v="1"/>
  </r>
  <r>
    <n v="1442"/>
    <s v="ParcelOne"/>
    <d v="2026-05-25T00:00:00"/>
    <d v="2026-05-25T00:00:00"/>
    <d v="2026-05-30T00:00:00"/>
    <m/>
    <m/>
    <n v="0"/>
    <x v="1"/>
    <s v="Shipped"/>
    <x v="0"/>
    <x v="0"/>
  </r>
  <r>
    <n v="1443"/>
    <s v="MetroLogistics"/>
    <d v="2026-04-10T00:00:00"/>
    <d v="2026-04-12T00:00:00"/>
    <d v="2026-04-15T00:00:00"/>
    <d v="2026-04-17T00:00:00"/>
    <s v="2026-04-17"/>
    <n v="0"/>
    <x v="2"/>
    <s v="Delivered"/>
    <x v="2"/>
    <x v="1"/>
  </r>
  <r>
    <n v="1444"/>
    <s v="MetroLogistics"/>
    <d v="2026-02-05T00:00:00"/>
    <d v="2026-02-05T00:00:00"/>
    <d v="2026-02-10T00:00:00"/>
    <d v="2026-02-12T00:00:00"/>
    <s v="2026-02-12"/>
    <n v="0"/>
    <x v="2"/>
    <s v="Delivered"/>
    <x v="2"/>
    <x v="0"/>
  </r>
  <r>
    <n v="1445"/>
    <s v="ParcelOne"/>
    <d v="2026-05-27T00:00:00"/>
    <d v="2026-05-27T00:00:00"/>
    <d v="2026-06-01T00:00:00"/>
    <m/>
    <m/>
    <n v="0"/>
    <x v="1"/>
    <s v="Shipped"/>
    <x v="0"/>
    <x v="0"/>
  </r>
  <r>
    <n v="1446"/>
    <s v="MetroLogistics"/>
    <d v="2026-01-10T00:00:00"/>
    <d v="2026-01-10T00:00:00"/>
    <d v="2026-01-15T00:00:00"/>
    <d v="2026-01-14T00:00:00"/>
    <s v="2026-01-14"/>
    <n v="0"/>
    <x v="2"/>
    <s v="Delivered"/>
    <x v="3"/>
    <x v="0"/>
  </r>
  <r>
    <n v="1447"/>
    <s v="MetroLogistics"/>
    <d v="2026-06-09T00:00:00"/>
    <d v="2026-06-09T00:00:00"/>
    <d v="2026-06-14T00:00:00"/>
    <d v="2026-06-15T00:00:00"/>
    <s v="2026-06-15"/>
    <n v="0"/>
    <x v="2"/>
    <s v="Delivered"/>
    <x v="2"/>
    <x v="0"/>
  </r>
  <r>
    <n v="1448"/>
    <s v="SwiftShip"/>
    <d v="2026-05-03T00:00:00"/>
    <d v="2026-05-03T00:00:00"/>
    <d v="2026-05-08T00:00:00"/>
    <d v="2026-05-07T00:00:00"/>
    <s v="2026-05-07"/>
    <n v="0"/>
    <x v="0"/>
    <s v="Delivered"/>
    <x v="3"/>
    <x v="0"/>
  </r>
  <r>
    <n v="1449"/>
    <s v="ParcelOne"/>
    <d v="2026-01-06T00:00:00"/>
    <d v="2026-01-06T00:00:00"/>
    <d v="2026-01-11T00:00:00"/>
    <m/>
    <m/>
    <n v="0"/>
    <x v="1"/>
    <s v="Shipped"/>
    <x v="0"/>
    <x v="0"/>
  </r>
  <r>
    <n v="1450"/>
    <s v="MetroLogistics"/>
    <d v="2026-02-17T00:00:00"/>
    <d v="2026-02-17T00:00:00"/>
    <d v="2026-02-22T00:00:00"/>
    <m/>
    <m/>
    <n v="0"/>
    <x v="2"/>
    <s v="Shipped"/>
    <x v="0"/>
    <x v="0"/>
  </r>
  <r>
    <n v="1451"/>
    <s v="ParcelOne"/>
    <d v="2026-04-10T00:00:00"/>
    <d v="2026-04-10T00:00:00"/>
    <d v="2026-04-15T00:00:00"/>
    <d v="2026-04-17T00:00:00"/>
    <s v="2026-04-18"/>
    <n v="0"/>
    <x v="1"/>
    <s v="Delivered"/>
    <x v="2"/>
    <x v="0"/>
  </r>
  <r>
    <n v="1452"/>
    <s v="SwiftShip"/>
    <d v="2026-05-15T00:00:00"/>
    <d v="2026-05-15T00:00:00"/>
    <d v="2026-05-20T00:00:00"/>
    <d v="2026-05-20T00:00:00"/>
    <s v="2026-05-21"/>
    <n v="0"/>
    <x v="0"/>
    <s v="Delivered"/>
    <x v="3"/>
    <x v="0"/>
  </r>
  <r>
    <n v="1453"/>
    <s v="MetroLogistics"/>
    <d v="2026-02-14T00:00:00"/>
    <d v="2026-02-14T00:00:00"/>
    <d v="2026-02-19T00:00:00"/>
    <d v="2026-02-19T00:00:00"/>
    <s v="2026-02-20"/>
    <n v="0"/>
    <x v="2"/>
    <s v="Delivered"/>
    <x v="3"/>
    <x v="0"/>
  </r>
  <r>
    <n v="1454"/>
    <s v="MetroLogistics"/>
    <d v="2026-02-06T00:00:00"/>
    <d v="2026-02-07T00:00:00"/>
    <d v="2026-02-11T00:00:00"/>
    <d v="2026-02-10T00:00:00"/>
    <s v="2026-02-10"/>
    <n v="0"/>
    <x v="2"/>
    <s v="Delivered"/>
    <x v="3"/>
    <x v="1"/>
  </r>
  <r>
    <n v="1455"/>
    <s v="MetroLogistics"/>
    <d v="2026-02-13T00:00:00"/>
    <d v="2026-02-13T00:00:00"/>
    <d v="2026-02-18T00:00:00"/>
    <d v="2026-02-17T00:00:00"/>
    <s v="2026-02-17"/>
    <n v="0"/>
    <x v="2"/>
    <s v="Delivered"/>
    <x v="3"/>
    <x v="0"/>
  </r>
  <r>
    <n v="1456"/>
    <s v="ParcelOne"/>
    <d v="2026-05-13T00:00:00"/>
    <d v="2026-05-15T00:00:00"/>
    <d v="2026-05-18T00:00:00"/>
    <d v="2026-05-18T00:00:00"/>
    <s v="2026-05-18"/>
    <n v="0"/>
    <x v="1"/>
    <s v="Delivered"/>
    <x v="3"/>
    <x v="1"/>
  </r>
  <r>
    <n v="1458"/>
    <s v="ParcelOne"/>
    <d v="2026-06-12T00:00:00"/>
    <d v="2026-06-12T00:00:00"/>
    <d v="2026-06-17T00:00:00"/>
    <d v="2026-06-17T00:00:00"/>
    <s v="2026-06-17"/>
    <n v="0"/>
    <x v="1"/>
    <s v="Delivered"/>
    <x v="3"/>
    <x v="0"/>
  </r>
  <r>
    <n v="1460"/>
    <s v="ParcelOne"/>
    <d v="2026-04-29T00:00:00"/>
    <d v="2026-04-29T00:00:00"/>
    <d v="2026-05-04T00:00:00"/>
    <d v="2026-05-02T00:00:00"/>
    <s v="2026-05-02"/>
    <n v="0"/>
    <x v="1"/>
    <s v="Delivered"/>
    <x v="3"/>
    <x v="0"/>
  </r>
  <r>
    <n v="1461"/>
    <s v="MetroLogistics"/>
    <d v="2026-01-11T00:00:00"/>
    <d v="2026-01-13T00:00:00"/>
    <d v="2026-01-16T00:00:00"/>
    <d v="2026-01-15T00:00:00"/>
    <s v="2026-01-15"/>
    <n v="0"/>
    <x v="2"/>
    <s v="Delivered"/>
    <x v="3"/>
    <x v="1"/>
  </r>
  <r>
    <n v="1462"/>
    <s v="ParcelOne"/>
    <d v="2026-06-29T00:00:00"/>
    <d v="2026-06-29T00:00:00"/>
    <d v="2026-07-04T00:00:00"/>
    <d v="2026-07-04T00:00:00"/>
    <s v="2026-07-05"/>
    <n v="0"/>
    <x v="1"/>
    <s v="Delivered"/>
    <x v="3"/>
    <x v="0"/>
  </r>
  <r>
    <n v="1463"/>
    <s v="ParcelOne"/>
    <d v="2026-04-22T00:00:00"/>
    <d v="2026-04-22T00:00:00"/>
    <d v="2026-04-27T00:00:00"/>
    <d v="2026-04-27T00:00:00"/>
    <s v="2026-04-27"/>
    <n v="0"/>
    <x v="1"/>
    <s v="Delivered"/>
    <x v="3"/>
    <x v="0"/>
  </r>
  <r>
    <n v="1464"/>
    <s v="MetroLogistics"/>
    <d v="2026-06-08T00:00:00"/>
    <d v="2026-06-08T00:00:00"/>
    <d v="2026-06-13T00:00:00"/>
    <d v="2026-06-13T00:00:00"/>
    <s v="2026-06-13"/>
    <n v="0"/>
    <x v="2"/>
    <s v="Delivered"/>
    <x v="3"/>
    <x v="0"/>
  </r>
  <r>
    <n v="1465"/>
    <s v="MetroLogistics"/>
    <d v="2026-04-03T00:00:00"/>
    <d v="2026-04-04T00:00:00"/>
    <d v="2026-04-08T00:00:00"/>
    <m/>
    <m/>
    <n v="0"/>
    <x v="2"/>
    <s v="Shipped"/>
    <x v="0"/>
    <x v="1"/>
  </r>
  <r>
    <n v="1466"/>
    <s v="ParcelOne"/>
    <d v="2026-03-03T00:00:00"/>
    <d v="2026-03-03T00:00:00"/>
    <d v="2026-03-08T00:00:00"/>
    <d v="2026-03-09T00:00:00"/>
    <s v="2026-03-09"/>
    <n v="0"/>
    <x v="1"/>
    <s v="Delivered"/>
    <x v="2"/>
    <x v="0"/>
  </r>
  <r>
    <n v="1467"/>
    <s v="MetroLogistics"/>
    <d v="2026-06-09T00:00:00"/>
    <m/>
    <d v="2026-06-14T00:00:00"/>
    <m/>
    <m/>
    <n v="0"/>
    <x v="2"/>
    <s v="Pending"/>
    <x v="0"/>
    <x v="2"/>
  </r>
  <r>
    <n v="1468"/>
    <s v="SwiftShip"/>
    <d v="2026-06-15T00:00:00"/>
    <d v="2026-06-15T00:00:00"/>
    <d v="2026-06-20T00:00:00"/>
    <d v="2026-06-19T00:00:00"/>
    <s v="2026-06-19"/>
    <n v="0"/>
    <x v="0"/>
    <s v="Delivered"/>
    <x v="3"/>
    <x v="0"/>
  </r>
  <r>
    <n v="1469"/>
    <s v="SwiftShip"/>
    <d v="2026-05-28T00:00:00"/>
    <d v="2026-05-29T00:00:00"/>
    <d v="2026-06-02T00:00:00"/>
    <d v="2026-06-06T00:00:00"/>
    <s v="2026-06-06"/>
    <n v="0"/>
    <x v="0"/>
    <s v="Delivered"/>
    <x v="2"/>
    <x v="1"/>
  </r>
  <r>
    <n v="1470"/>
    <s v="SwiftShip"/>
    <d v="2026-01-12T00:00:00"/>
    <d v="2026-01-13T00:00:00"/>
    <d v="2026-01-17T00:00:00"/>
    <d v="2026-01-17T00:00:00"/>
    <s v="2026-01-17"/>
    <n v="0"/>
    <x v="0"/>
    <s v="Delivered"/>
    <x v="3"/>
    <x v="1"/>
  </r>
  <r>
    <n v="1471"/>
    <s v="ParcelOne"/>
    <d v="2026-01-17T00:00:00"/>
    <d v="2026-01-17T00:00:00"/>
    <d v="2026-01-22T00:00:00"/>
    <d v="2026-01-24T00:00:00"/>
    <s v="2026-01-24"/>
    <n v="0"/>
    <x v="1"/>
    <s v="Delivered"/>
    <x v="2"/>
    <x v="0"/>
  </r>
  <r>
    <n v="1472"/>
    <s v="SwiftShip"/>
    <d v="2026-03-15T00:00:00"/>
    <d v="2026-03-15T00:00:00"/>
    <d v="2026-03-20T00:00:00"/>
    <d v="2026-03-19T00:00:00"/>
    <s v="2026-03-19"/>
    <n v="0"/>
    <x v="0"/>
    <s v="Delivered"/>
    <x v="3"/>
    <x v="0"/>
  </r>
  <r>
    <n v="1474"/>
    <s v="ParcelOne"/>
    <d v="2026-04-08T00:00:00"/>
    <d v="2026-04-08T00:00:00"/>
    <d v="2026-04-13T00:00:00"/>
    <d v="2026-04-13T00:00:00"/>
    <s v="2026-04-13"/>
    <n v="0"/>
    <x v="1"/>
    <s v="Delivered"/>
    <x v="3"/>
    <x v="0"/>
  </r>
  <r>
    <n v="1475"/>
    <s v="SwiftShip"/>
    <d v="2026-01-26T00:00:00"/>
    <d v="2026-01-28T00:00:00"/>
    <d v="2026-01-31T00:00:00"/>
    <d v="2026-02-01T00:00:00"/>
    <s v="2026-02-01"/>
    <n v="0"/>
    <x v="0"/>
    <s v="Delivered"/>
    <x v="2"/>
    <x v="1"/>
  </r>
  <r>
    <n v="1476"/>
    <s v="ParcelOne"/>
    <d v="2026-02-08T00:00:00"/>
    <d v="2026-02-08T00:00:00"/>
    <d v="2026-02-13T00:00:00"/>
    <d v="2026-02-13T00:00:00"/>
    <s v="2026-02-13"/>
    <n v="0"/>
    <x v="1"/>
    <s v="Delivered"/>
    <x v="3"/>
    <x v="0"/>
  </r>
  <r>
    <n v="1477"/>
    <s v="ParcelOne"/>
    <d v="2026-06-27T00:00:00"/>
    <d v="2026-06-27T00:00:00"/>
    <d v="2026-07-02T00:00:00"/>
    <d v="2026-07-03T00:00:00"/>
    <s v="2026-07-03"/>
    <n v="0"/>
    <x v="1"/>
    <s v="Delivered"/>
    <x v="2"/>
    <x v="0"/>
  </r>
  <r>
    <n v="1478"/>
    <s v="MetroLogistics"/>
    <d v="2026-03-26T00:00:00"/>
    <d v="2026-03-26T00:00:00"/>
    <d v="2026-03-31T00:00:00"/>
    <d v="2026-03-30T00:00:00"/>
    <s v="2026-03-30"/>
    <n v="0"/>
    <x v="2"/>
    <s v="Delivered"/>
    <x v="3"/>
    <x v="0"/>
  </r>
  <r>
    <n v="1479"/>
    <s v="SwiftShip"/>
    <d v="2026-05-26T00:00:00"/>
    <d v="2026-05-26T00:00:00"/>
    <d v="2026-05-31T00:00:00"/>
    <d v="2026-05-30T00:00:00"/>
    <s v="2026-05-30"/>
    <n v="0"/>
    <x v="0"/>
    <s v="Delivered"/>
    <x v="3"/>
    <x v="0"/>
  </r>
  <r>
    <n v="1480"/>
    <s v="ParcelOne"/>
    <d v="2026-05-21T00:00:00"/>
    <d v="2026-05-21T00:00:00"/>
    <d v="2026-05-26T00:00:00"/>
    <d v="2026-05-24T00:00:00"/>
    <s v="2026-05-24"/>
    <n v="0"/>
    <x v="1"/>
    <s v="Delivered"/>
    <x v="3"/>
    <x v="0"/>
  </r>
  <r>
    <n v="1481"/>
    <s v="MetroLogistics"/>
    <d v="2026-07-02T00:00:00"/>
    <d v="2026-07-02T00:00:00"/>
    <d v="2026-07-07T00:00:00"/>
    <d v="2026-07-06T00:00:00"/>
    <s v="2026-07-07"/>
    <n v="0"/>
    <x v="2"/>
    <s v="Delivered"/>
    <x v="3"/>
    <x v="0"/>
  </r>
  <r>
    <n v="1482"/>
    <s v="SwiftShip"/>
    <d v="2026-05-02T00:00:00"/>
    <d v="2026-05-03T00:00:00"/>
    <d v="2026-05-07T00:00:00"/>
    <d v="2026-05-07T00:00:00"/>
    <s v="2026-05-09"/>
    <n v="0"/>
    <x v="0"/>
    <s v="Delivered"/>
    <x v="3"/>
    <x v="1"/>
  </r>
  <r>
    <n v="1483"/>
    <s v="ParcelOne"/>
    <d v="2026-02-18T00:00:00"/>
    <d v="2026-02-18T00:00:00"/>
    <d v="2026-02-23T00:00:00"/>
    <d v="2026-02-23T00:00:00"/>
    <s v="2026-02-23"/>
    <n v="0"/>
    <x v="1"/>
    <s v="Delivered"/>
    <x v="3"/>
    <x v="0"/>
  </r>
  <r>
    <n v="1484"/>
    <s v="MetroLogistics"/>
    <d v="2026-03-16T00:00:00"/>
    <d v="2026-03-16T00:00:00"/>
    <d v="2026-03-21T00:00:00"/>
    <d v="2026-03-22T00:00:00"/>
    <s v="2026-03-22"/>
    <n v="0"/>
    <x v="2"/>
    <s v="Delivered"/>
    <x v="2"/>
    <x v="0"/>
  </r>
  <r>
    <n v="1485"/>
    <s v="SwiftShip"/>
    <d v="2026-06-18T00:00:00"/>
    <d v="2026-06-18T00:00:00"/>
    <d v="2026-06-23T00:00:00"/>
    <d v="2026-06-27T00:00:00"/>
    <s v="2026-06-27"/>
    <n v="0"/>
    <x v="0"/>
    <s v="Delivered"/>
    <x v="2"/>
    <x v="0"/>
  </r>
  <r>
    <n v="1486"/>
    <s v="MetroLogistics"/>
    <d v="2026-02-25T00:00:00"/>
    <d v="2026-02-25T00:00:00"/>
    <d v="2026-03-02T00:00:00"/>
    <d v="2026-02-28T00:00:00"/>
    <s v="2026-03-02"/>
    <n v="0"/>
    <x v="2"/>
    <s v="Delivered"/>
    <x v="3"/>
    <x v="0"/>
  </r>
  <r>
    <n v="1487"/>
    <s v="MetroLogistics"/>
    <d v="2026-05-07T00:00:00"/>
    <d v="2026-05-07T00:00:00"/>
    <d v="2026-05-12T00:00:00"/>
    <d v="2026-05-12T00:00:00"/>
    <s v="2026-05-12"/>
    <n v="0"/>
    <x v="2"/>
    <s v="Delivered"/>
    <x v="3"/>
    <x v="0"/>
  </r>
  <r>
    <n v="1488"/>
    <s v="MetroLogistics"/>
    <d v="2026-06-04T00:00:00"/>
    <d v="2026-06-04T00:00:00"/>
    <d v="2026-06-09T00:00:00"/>
    <d v="2026-06-08T00:00:00"/>
    <s v="2026-06-08"/>
    <n v="0"/>
    <x v="2"/>
    <s v="Delivered"/>
    <x v="3"/>
    <x v="0"/>
  </r>
  <r>
    <n v="1489"/>
    <s v="MetroLogistics"/>
    <d v="2026-01-03T00:00:00"/>
    <d v="2026-01-03T00:00:00"/>
    <d v="2026-01-08T00:00:00"/>
    <d v="2026-01-09T00:00:00"/>
    <s v="2026-01-09"/>
    <n v="0"/>
    <x v="2"/>
    <s v="Delivered"/>
    <x v="2"/>
    <x v="0"/>
  </r>
  <r>
    <n v="1490"/>
    <s v="ParcelOne"/>
    <d v="2026-06-25T00:00:00"/>
    <d v="2026-06-26T00:00:00"/>
    <d v="2026-06-30T00:00:00"/>
    <d v="2026-06-28T00:00:00"/>
    <s v="2026-06-30"/>
    <n v="0"/>
    <x v="1"/>
    <s v="Delivered"/>
    <x v="3"/>
    <x v="1"/>
  </r>
  <r>
    <n v="1491"/>
    <s v="SwiftShip"/>
    <d v="2026-01-03T00:00:00"/>
    <d v="2026-01-03T00:00:00"/>
    <d v="2026-01-08T00:00:00"/>
    <d v="2026-01-09T00:00:00"/>
    <s v="2026-01-09"/>
    <n v="0"/>
    <x v="0"/>
    <s v="Delivered"/>
    <x v="2"/>
    <x v="0"/>
  </r>
  <r>
    <n v="1492"/>
    <s v="SwiftShip"/>
    <d v="2026-04-10T00:00:00"/>
    <d v="2026-04-10T00:00:00"/>
    <d v="2026-04-15T00:00:00"/>
    <d v="2026-04-17T00:00:00"/>
    <s v="2026-04-17"/>
    <n v="0"/>
    <x v="0"/>
    <s v="Delivered"/>
    <x v="2"/>
    <x v="0"/>
  </r>
  <r>
    <n v="1493"/>
    <s v="MetroLogistics"/>
    <d v="2026-02-11T00:00:00"/>
    <d v="2026-02-11T00:00:00"/>
    <d v="2026-02-16T00:00:00"/>
    <d v="2026-02-15T00:00:00"/>
    <s v="2026-02-16"/>
    <n v="0"/>
    <x v="2"/>
    <s v="Delivered"/>
    <x v="3"/>
    <x v="0"/>
  </r>
  <r>
    <n v="1494"/>
    <s v="SwiftShip"/>
    <d v="2026-04-24T00:00:00"/>
    <m/>
    <d v="2026-04-29T00:00:00"/>
    <m/>
    <m/>
    <n v="0"/>
    <x v="0"/>
    <s v="Pending"/>
    <x v="0"/>
    <x v="2"/>
  </r>
  <r>
    <n v="1495"/>
    <s v="MetroLogistics"/>
    <d v="2026-06-30T00:00:00"/>
    <d v="2026-06-30T00:00:00"/>
    <d v="2026-07-05T00:00:00"/>
    <d v="2026-07-04T00:00:00"/>
    <s v="2026-07-04"/>
    <n v="0"/>
    <x v="2"/>
    <s v="Delivered"/>
    <x v="3"/>
    <x v="0"/>
  </r>
  <r>
    <n v="1496"/>
    <s v="SwiftShip"/>
    <d v="2026-05-10T00:00:00"/>
    <d v="2026-05-10T00:00:00"/>
    <d v="2026-05-15T00:00:00"/>
    <d v="2026-05-16T00:00:00"/>
    <s v="2026-05-16"/>
    <n v="0"/>
    <x v="0"/>
    <s v="Delivered"/>
    <x v="2"/>
    <x v="0"/>
  </r>
  <r>
    <n v="1497"/>
    <s v="MetroLogistics"/>
    <d v="2026-06-28T00:00:00"/>
    <d v="2026-06-28T00:00:00"/>
    <d v="2026-07-03T00:00:00"/>
    <d v="2026-07-03T00:00:00"/>
    <s v="2026-07-03"/>
    <n v="0"/>
    <x v="2"/>
    <s v="Delivered"/>
    <x v="3"/>
    <x v="0"/>
  </r>
  <r>
    <n v="1498"/>
    <s v="SwiftShip"/>
    <d v="2026-01-22T00:00:00"/>
    <d v="2026-01-22T00:00:00"/>
    <d v="2026-01-27T00:00:00"/>
    <d v="2026-01-29T00:00:00"/>
    <s v="2026-01-29"/>
    <n v="0"/>
    <x v="0"/>
    <s v="Delivered"/>
    <x v="2"/>
    <x v="0"/>
  </r>
  <r>
    <n v="1499"/>
    <s v="ParcelOne"/>
    <d v="2026-04-20T00:00:00"/>
    <d v="2026-04-20T00:00:00"/>
    <d v="2026-04-25T00:00:00"/>
    <d v="2026-04-25T00:00:00"/>
    <s v="2026-04-25"/>
    <n v="0"/>
    <x v="1"/>
    <s v="Delivered"/>
    <x v="3"/>
    <x v="0"/>
  </r>
  <r>
    <n v="1500"/>
    <s v="SwiftShip"/>
    <d v="2026-06-20T00:00:00"/>
    <m/>
    <d v="2026-06-25T00:00:00"/>
    <m/>
    <m/>
    <n v="0"/>
    <x v="0"/>
    <s v="Pending"/>
    <x v="0"/>
    <x v="2"/>
  </r>
  <r>
    <n v="1501"/>
    <s v="SwiftShip"/>
    <d v="2026-03-08T00:00:00"/>
    <d v="2026-03-10T00:00:00"/>
    <d v="2026-03-13T00:00:00"/>
    <d v="2026-03-14T00:00:00"/>
    <s v="2026-03-14"/>
    <n v="0"/>
    <x v="0"/>
    <s v="Delivered"/>
    <x v="2"/>
    <x v="1"/>
  </r>
  <r>
    <n v="1502"/>
    <s v="ParcelOne"/>
    <d v="2026-02-16T00:00:00"/>
    <d v="2026-02-18T00:00:00"/>
    <d v="2026-02-21T00:00:00"/>
    <d v="2026-02-25T00:00:00"/>
    <s v="2026-02-25"/>
    <n v="0"/>
    <x v="1"/>
    <s v="Delivered"/>
    <x v="2"/>
    <x v="1"/>
  </r>
  <r>
    <n v="1503"/>
    <s v="MetroLogistics"/>
    <d v="2026-05-09T00:00:00"/>
    <d v="2026-05-09T00:00:00"/>
    <d v="2026-05-14T00:00:00"/>
    <d v="2026-05-15T00:00:00"/>
    <s v="2026-05-15"/>
    <n v="0"/>
    <x v="2"/>
    <s v="Delivered"/>
    <x v="2"/>
    <x v="0"/>
  </r>
  <r>
    <n v="1504"/>
    <s v="MetroLogistics"/>
    <d v="2026-03-11T00:00:00"/>
    <d v="2026-03-11T00:00:00"/>
    <d v="2026-03-16T00:00:00"/>
    <d v="2026-03-16T00:00:00"/>
    <s v="2026-03-16"/>
    <n v="0"/>
    <x v="2"/>
    <s v="Delivered"/>
    <x v="3"/>
    <x v="0"/>
  </r>
  <r>
    <n v="1505"/>
    <s v="SwiftShip"/>
    <d v="2026-03-03T00:00:00"/>
    <d v="2026-03-03T00:00:00"/>
    <d v="2026-03-08T00:00:00"/>
    <d v="2026-03-09T00:00:00"/>
    <s v="2026-03-09"/>
    <n v="0"/>
    <x v="0"/>
    <s v="Delivered"/>
    <x v="2"/>
    <x v="0"/>
  </r>
  <r>
    <n v="1506"/>
    <s v="SwiftShip"/>
    <d v="2026-05-18T00:00:00"/>
    <d v="2026-05-20T00:00:00"/>
    <d v="2026-05-23T00:00:00"/>
    <d v="2026-05-23T00:00:00"/>
    <s v="2026-05-25"/>
    <n v="0"/>
    <x v="0"/>
    <s v="Delivered"/>
    <x v="3"/>
    <x v="1"/>
  </r>
  <r>
    <n v="1507"/>
    <s v="MetroLogistics"/>
    <d v="2026-03-29T00:00:00"/>
    <d v="2026-03-29T00:00:00"/>
    <d v="2026-04-03T00:00:00"/>
    <d v="2026-04-04T00:00:00"/>
    <s v="2026-04-04"/>
    <n v="0"/>
    <x v="2"/>
    <s v="Delivered"/>
    <x v="2"/>
    <x v="0"/>
  </r>
  <r>
    <n v="1508"/>
    <s v="SwiftShip"/>
    <d v="2026-02-21T00:00:00"/>
    <d v="2026-02-21T00:00:00"/>
    <d v="2026-02-26T00:00:00"/>
    <d v="2026-02-25T00:00:00"/>
    <s v="2026-02-25"/>
    <n v="0"/>
    <x v="0"/>
    <s v="Delivered"/>
    <x v="3"/>
    <x v="0"/>
  </r>
  <r>
    <n v="1509"/>
    <s v="ParcelOne"/>
    <d v="2026-04-02T00:00:00"/>
    <d v="2026-04-02T00:00:00"/>
    <d v="2026-04-07T00:00:00"/>
    <d v="2026-04-07T00:00:00"/>
    <s v="2026-04-08"/>
    <n v="0"/>
    <x v="1"/>
    <s v="Delivered"/>
    <x v="3"/>
    <x v="0"/>
  </r>
  <r>
    <n v="1510"/>
    <s v="ParcelOne"/>
    <d v="2026-06-05T00:00:00"/>
    <d v="2026-06-05T00:00:00"/>
    <d v="2026-06-10T00:00:00"/>
    <d v="2026-06-11T00:00:00"/>
    <s v="2026-06-11"/>
    <n v="0"/>
    <x v="1"/>
    <s v="Delivered"/>
    <x v="2"/>
    <x v="0"/>
  </r>
  <r>
    <n v="1511"/>
    <s v="MetroLogistics"/>
    <d v="2026-01-31T00:00:00"/>
    <d v="2026-02-02T00:00:00"/>
    <d v="2026-02-05T00:00:00"/>
    <d v="2026-02-05T00:00:00"/>
    <s v="2026-02-05"/>
    <n v="0"/>
    <x v="2"/>
    <s v="Delivered"/>
    <x v="3"/>
    <x v="1"/>
  </r>
  <r>
    <n v="1512"/>
    <s v="ParcelOne"/>
    <d v="2026-03-26T00:00:00"/>
    <d v="2026-03-28T00:00:00"/>
    <d v="2026-03-31T00:00:00"/>
    <d v="2026-03-31T00:00:00"/>
    <s v="2026-04-01"/>
    <n v="0"/>
    <x v="1"/>
    <s v="Delivered"/>
    <x v="3"/>
    <x v="1"/>
  </r>
  <r>
    <n v="1513"/>
    <s v="MetroLogistics"/>
    <d v="2026-04-25T00:00:00"/>
    <d v="2026-04-25T00:00:00"/>
    <d v="2026-04-30T00:00:00"/>
    <d v="2026-04-30T00:00:00"/>
    <s v="2026-05-02"/>
    <n v="0"/>
    <x v="2"/>
    <s v="Delivered"/>
    <x v="3"/>
    <x v="0"/>
  </r>
  <r>
    <n v="1514"/>
    <s v="MetroLogistics"/>
    <d v="2026-03-10T00:00:00"/>
    <d v="2026-03-10T00:00:00"/>
    <d v="2026-03-15T00:00:00"/>
    <d v="2026-03-13T00:00:00"/>
    <s v="2026-03-13"/>
    <n v="0"/>
    <x v="2"/>
    <s v="Delivered"/>
    <x v="3"/>
    <x v="0"/>
  </r>
  <r>
    <n v="1515"/>
    <s v="SwiftShip"/>
    <d v="2026-06-15T00:00:00"/>
    <d v="2026-06-15T00:00:00"/>
    <d v="2026-06-20T00:00:00"/>
    <d v="2026-06-24T00:00:00"/>
    <s v="2026-06-24"/>
    <n v="0"/>
    <x v="0"/>
    <s v="Delivered"/>
    <x v="2"/>
    <x v="0"/>
  </r>
  <r>
    <n v="1516"/>
    <s v="MetroLogistics"/>
    <d v="2026-04-16T00:00:00"/>
    <d v="2026-04-16T00:00:00"/>
    <d v="2026-04-21T00:00:00"/>
    <d v="2026-04-21T00:00:00"/>
    <s v="2026-04-21"/>
    <n v="0"/>
    <x v="2"/>
    <s v="Delivered"/>
    <x v="3"/>
    <x v="0"/>
  </r>
  <r>
    <n v="1517"/>
    <s v="SwiftShip"/>
    <d v="2026-01-26T00:00:00"/>
    <d v="2026-01-26T00:00:00"/>
    <d v="2026-01-31T00:00:00"/>
    <d v="2026-01-30T00:00:00"/>
    <s v="2026-01-30"/>
    <n v="0"/>
    <x v="0"/>
    <s v="Delivered"/>
    <x v="3"/>
    <x v="0"/>
  </r>
  <r>
    <n v="1518"/>
    <s v="ParcelOne"/>
    <d v="2026-06-21T00:00:00"/>
    <d v="2026-06-21T00:00:00"/>
    <d v="2026-06-26T00:00:00"/>
    <d v="2026-06-28T00:00:00"/>
    <s v="2026-06-28"/>
    <n v="0"/>
    <x v="1"/>
    <s v="Delivered"/>
    <x v="2"/>
    <x v="0"/>
  </r>
  <r>
    <n v="1519"/>
    <s v="ParcelOne"/>
    <d v="2026-02-07T00:00:00"/>
    <d v="2026-02-07T00:00:00"/>
    <d v="2026-02-12T00:00:00"/>
    <d v="2026-02-16T00:00:00"/>
    <s v="2026-02-17"/>
    <n v="0"/>
    <x v="1"/>
    <s v="Delivered"/>
    <x v="2"/>
    <x v="0"/>
  </r>
  <r>
    <n v="1520"/>
    <s v="MetroLogistics"/>
    <d v="2026-01-12T00:00:00"/>
    <d v="2026-01-12T00:00:00"/>
    <d v="2026-01-17T00:00:00"/>
    <d v="2026-01-16T00:00:00"/>
    <s v="2026-01-16"/>
    <n v="0"/>
    <x v="2"/>
    <s v="Delivered"/>
    <x v="3"/>
    <x v="0"/>
  </r>
  <r>
    <n v="1521"/>
    <s v="ParcelOne"/>
    <d v="2026-02-08T00:00:00"/>
    <d v="2026-02-08T00:00:00"/>
    <d v="2026-02-13T00:00:00"/>
    <d v="2026-02-13T00:00:00"/>
    <s v="2026-02-15"/>
    <n v="0"/>
    <x v="1"/>
    <s v="Delivered"/>
    <x v="3"/>
    <x v="0"/>
  </r>
  <r>
    <n v="1522"/>
    <s v="ParcelOne"/>
    <d v="2026-04-29T00:00:00"/>
    <d v="2026-04-29T00:00:00"/>
    <d v="2026-05-04T00:00:00"/>
    <d v="2026-05-04T00:00:00"/>
    <s v="2026-05-04"/>
    <n v="0"/>
    <x v="1"/>
    <s v="Delivered"/>
    <x v="3"/>
    <x v="0"/>
  </r>
  <r>
    <n v="1523"/>
    <s v="MetroLogistics"/>
    <d v="2026-04-22T00:00:00"/>
    <d v="2026-04-23T00:00:00"/>
    <d v="2026-04-27T00:00:00"/>
    <d v="2026-04-28T00:00:00"/>
    <s v="2026-04-28"/>
    <n v="0"/>
    <x v="2"/>
    <s v="Delivered"/>
    <x v="2"/>
    <x v="1"/>
  </r>
  <r>
    <n v="1524"/>
    <s v="ParcelOne"/>
    <d v="2026-02-16T00:00:00"/>
    <d v="2026-02-16T00:00:00"/>
    <d v="2026-02-21T00:00:00"/>
    <d v="2026-02-21T00:00:00"/>
    <s v="2026-02-23"/>
    <n v="0"/>
    <x v="1"/>
    <s v="Delivered"/>
    <x v="3"/>
    <x v="0"/>
  </r>
  <r>
    <n v="1525"/>
    <s v="MetroLogistics"/>
    <d v="2026-02-06T00:00:00"/>
    <d v="2026-02-06T00:00:00"/>
    <d v="2026-02-11T00:00:00"/>
    <d v="2026-02-09T00:00:00"/>
    <s v="2026-02-11"/>
    <n v="0"/>
    <x v="2"/>
    <s v="Delivered"/>
    <x v="3"/>
    <x v="0"/>
  </r>
  <r>
    <n v="1526"/>
    <s v="ParcelOne"/>
    <d v="2026-06-18T00:00:00"/>
    <d v="2026-06-18T00:00:00"/>
    <d v="2026-06-23T00:00:00"/>
    <d v="2026-06-23T00:00:00"/>
    <s v="2026-06-23"/>
    <n v="0"/>
    <x v="1"/>
    <s v="Delivered"/>
    <x v="3"/>
    <x v="0"/>
  </r>
  <r>
    <n v="1527"/>
    <s v="MetroLogistics"/>
    <d v="2026-02-16T00:00:00"/>
    <d v="2026-02-16T00:00:00"/>
    <d v="2026-02-21T00:00:00"/>
    <d v="2026-02-21T00:00:00"/>
    <s v="2026-02-21"/>
    <n v="0"/>
    <x v="2"/>
    <s v="Delivered"/>
    <x v="3"/>
    <x v="0"/>
  </r>
  <r>
    <n v="1528"/>
    <s v="SwiftShip"/>
    <d v="2026-01-27T00:00:00"/>
    <d v="2026-01-27T00:00:00"/>
    <d v="2026-02-01T00:00:00"/>
    <d v="2026-01-31T00:00:00"/>
    <s v="2026-02-01"/>
    <n v="0"/>
    <x v="0"/>
    <s v="Delivered"/>
    <x v="3"/>
    <x v="0"/>
  </r>
  <r>
    <n v="1529"/>
    <s v="SwiftShip"/>
    <d v="2026-05-10T00:00:00"/>
    <d v="2026-05-10T00:00:00"/>
    <d v="2026-05-15T00:00:00"/>
    <d v="2026-05-15T00:00:00"/>
    <s v="2026-05-15"/>
    <n v="0"/>
    <x v="0"/>
    <s v="Delivered"/>
    <x v="3"/>
    <x v="0"/>
  </r>
  <r>
    <n v="1530"/>
    <s v="SwiftShip"/>
    <d v="2026-01-14T00:00:00"/>
    <d v="2026-01-15T00:00:00"/>
    <d v="2026-01-19T00:00:00"/>
    <d v="2026-01-20T00:00:00"/>
    <s v="2026-01-20"/>
    <n v="0"/>
    <x v="0"/>
    <s v="Delivered"/>
    <x v="2"/>
    <x v="1"/>
  </r>
  <r>
    <n v="1531"/>
    <s v="ParcelOne"/>
    <d v="2026-04-20T00:00:00"/>
    <d v="2026-04-20T00:00:00"/>
    <d v="2026-04-25T00:00:00"/>
    <d v="2026-04-24T00:00:00"/>
    <s v="2026-04-24"/>
    <n v="0"/>
    <x v="1"/>
    <s v="Delivered"/>
    <x v="3"/>
    <x v="0"/>
  </r>
  <r>
    <n v="1533"/>
    <s v="SwiftShip"/>
    <d v="2026-02-09T00:00:00"/>
    <d v="2026-02-09T00:00:00"/>
    <d v="2026-02-14T00:00:00"/>
    <d v="2026-02-15T00:00:00"/>
    <s v="2026-02-15"/>
    <n v="0"/>
    <x v="0"/>
    <s v="Delivered"/>
    <x v="2"/>
    <x v="0"/>
  </r>
  <r>
    <n v="1534"/>
    <s v="SwiftShip"/>
    <d v="2026-02-23T00:00:00"/>
    <d v="2026-02-23T00:00:00"/>
    <d v="2026-02-28T00:00:00"/>
    <d v="2026-02-27T00:00:00"/>
    <s v="2026-02-27"/>
    <n v="0"/>
    <x v="0"/>
    <s v="Delivered"/>
    <x v="3"/>
    <x v="0"/>
  </r>
  <r>
    <n v="1535"/>
    <s v="MetroLogistics"/>
    <d v="2026-06-06T00:00:00"/>
    <d v="2026-06-06T00:00:00"/>
    <d v="2026-06-11T00:00:00"/>
    <d v="2026-06-13T00:00:00"/>
    <s v="2026-06-13"/>
    <n v="0"/>
    <x v="2"/>
    <s v="Delivered"/>
    <x v="2"/>
    <x v="0"/>
  </r>
  <r>
    <n v="1536"/>
    <s v="ParcelOne"/>
    <d v="2026-04-22T00:00:00"/>
    <d v="2026-04-22T00:00:00"/>
    <d v="2026-04-27T00:00:00"/>
    <d v="2026-04-29T00:00:00"/>
    <s v="2026-04-29"/>
    <n v="0"/>
    <x v="1"/>
    <s v="Delivered"/>
    <x v="2"/>
    <x v="0"/>
  </r>
  <r>
    <n v="1538"/>
    <s v="MetroLogistics"/>
    <d v="2026-05-12T00:00:00"/>
    <d v="2026-05-12T00:00:00"/>
    <d v="2026-05-17T00:00:00"/>
    <d v="2026-05-17T00:00:00"/>
    <s v="2026-05-17"/>
    <n v="0"/>
    <x v="2"/>
    <s v="Delivered"/>
    <x v="3"/>
    <x v="0"/>
  </r>
  <r>
    <n v="1539"/>
    <s v="SwiftShip"/>
    <d v="2026-04-17T00:00:00"/>
    <d v="2026-04-17T00:00:00"/>
    <d v="2026-04-22T00:00:00"/>
    <m/>
    <m/>
    <n v="0"/>
    <x v="0"/>
    <s v="Shipped"/>
    <x v="0"/>
    <x v="0"/>
  </r>
  <r>
    <n v="1540"/>
    <s v="MetroLogistics"/>
    <d v="2026-02-13T00:00:00"/>
    <d v="2026-02-13T00:00:00"/>
    <d v="2026-02-18T00:00:00"/>
    <d v="2026-02-20T00:00:00"/>
    <s v="2026-02-20"/>
    <n v="0"/>
    <x v="2"/>
    <s v="Delivered"/>
    <x v="2"/>
    <x v="0"/>
  </r>
  <r>
    <n v="1541"/>
    <s v="MetroLogistics"/>
    <d v="2026-06-14T00:00:00"/>
    <d v="2026-06-14T00:00:00"/>
    <d v="2026-06-19T00:00:00"/>
    <d v="2026-06-19T00:00:00"/>
    <s v="2026-06-21"/>
    <n v="0"/>
    <x v="2"/>
    <s v="Delivered"/>
    <x v="3"/>
    <x v="0"/>
  </r>
  <r>
    <n v="1542"/>
    <s v="SwiftShip"/>
    <d v="2026-05-30T00:00:00"/>
    <d v="2026-05-30T00:00:00"/>
    <d v="2026-06-04T00:00:00"/>
    <d v="2026-06-04T00:00:00"/>
    <s v="2026-06-04"/>
    <n v="0"/>
    <x v="0"/>
    <s v="Delivered"/>
    <x v="3"/>
    <x v="0"/>
  </r>
  <r>
    <n v="1543"/>
    <s v="MetroLogistics"/>
    <d v="2026-02-16T00:00:00"/>
    <d v="2026-02-16T00:00:00"/>
    <d v="2026-02-21T00:00:00"/>
    <d v="2026-02-22T00:00:00"/>
    <s v="2026-02-22"/>
    <n v="0"/>
    <x v="2"/>
    <s v="Delivered"/>
    <x v="2"/>
    <x v="0"/>
  </r>
  <r>
    <n v="1544"/>
    <s v="MetroLogistics"/>
    <d v="2026-02-25T00:00:00"/>
    <d v="2026-02-25T00:00:00"/>
    <d v="2026-03-02T00:00:00"/>
    <d v="2026-03-02T00:00:00"/>
    <s v="2026-03-02"/>
    <n v="0"/>
    <x v="2"/>
    <s v="Delivered"/>
    <x v="3"/>
    <x v="0"/>
  </r>
  <r>
    <n v="1545"/>
    <s v="ParcelOne"/>
    <d v="2026-05-17T00:00:00"/>
    <d v="2026-05-17T00:00:00"/>
    <d v="2026-05-22T00:00:00"/>
    <d v="2026-05-26T00:00:00"/>
    <s v="2026-05-27"/>
    <n v="0"/>
    <x v="1"/>
    <s v="Delivered"/>
    <x v="2"/>
    <x v="0"/>
  </r>
  <r>
    <n v="1547"/>
    <s v="ParcelOne"/>
    <d v="2026-02-17T00:00:00"/>
    <d v="2026-02-17T00:00:00"/>
    <d v="2026-02-22T00:00:00"/>
    <d v="2026-02-21T00:00:00"/>
    <s v="2026-02-21"/>
    <n v="0"/>
    <x v="1"/>
    <s v="Delivered"/>
    <x v="3"/>
    <x v="0"/>
  </r>
  <r>
    <n v="1548"/>
    <s v="SwiftShip"/>
    <d v="2026-05-16T00:00:00"/>
    <d v="2026-05-16T00:00:00"/>
    <d v="2026-05-21T00:00:00"/>
    <m/>
    <m/>
    <n v="0"/>
    <x v="0"/>
    <s v="Shipped"/>
    <x v="0"/>
    <x v="0"/>
  </r>
  <r>
    <n v="1549"/>
    <s v="MetroLogistics"/>
    <d v="2026-06-17T00:00:00"/>
    <d v="2026-06-18T00:00:00"/>
    <d v="2026-06-22T00:00:00"/>
    <d v="2026-06-22T00:00:00"/>
    <s v="2026-06-22"/>
    <n v="0"/>
    <x v="2"/>
    <s v="Delivered"/>
    <x v="3"/>
    <x v="1"/>
  </r>
  <r>
    <n v="1550"/>
    <s v="ParcelOne"/>
    <d v="2026-03-31T00:00:00"/>
    <d v="2026-03-31T00:00:00"/>
    <d v="2026-04-05T00:00:00"/>
    <d v="2026-04-04T00:00:00"/>
    <s v="2026-04-04"/>
    <n v="0"/>
    <x v="1"/>
    <s v="Delivered"/>
    <x v="3"/>
    <x v="0"/>
  </r>
  <r>
    <n v="1551"/>
    <s v="MetroLogistics"/>
    <d v="2026-03-10T00:00:00"/>
    <d v="2026-03-10T00:00:00"/>
    <d v="2026-03-15T00:00:00"/>
    <d v="2026-03-14T00:00:00"/>
    <s v="2026-03-16"/>
    <n v="0"/>
    <x v="2"/>
    <s v="Delivered"/>
    <x v="3"/>
    <x v="0"/>
  </r>
  <r>
    <n v="1552"/>
    <s v="SwiftShip"/>
    <d v="2026-05-20T00:00:00"/>
    <d v="2026-05-20T00:00:00"/>
    <d v="2026-05-25T00:00:00"/>
    <d v="2026-05-25T00:00:00"/>
    <s v="2026-05-25"/>
    <n v="0"/>
    <x v="0"/>
    <s v="Delivered"/>
    <x v="3"/>
    <x v="0"/>
  </r>
  <r>
    <n v="1553"/>
    <s v="ParcelOne"/>
    <d v="2026-04-07T00:00:00"/>
    <d v="2026-04-07T00:00:00"/>
    <d v="2026-04-12T00:00:00"/>
    <d v="2026-04-16T00:00:00"/>
    <s v="2026-04-16"/>
    <n v="0"/>
    <x v="1"/>
    <s v="Delivered"/>
    <x v="2"/>
    <x v="0"/>
  </r>
  <r>
    <n v="1554"/>
    <s v="MetroLogistics"/>
    <d v="2026-01-09T00:00:00"/>
    <d v="2026-01-09T00:00:00"/>
    <d v="2026-01-14T00:00:00"/>
    <d v="2026-01-18T00:00:00"/>
    <s v="2026-01-18"/>
    <n v="0"/>
    <x v="2"/>
    <s v="Delivered"/>
    <x v="2"/>
    <x v="0"/>
  </r>
  <r>
    <n v="1555"/>
    <s v="ParcelOne"/>
    <d v="2026-03-28T00:00:00"/>
    <d v="2026-03-28T00:00:00"/>
    <d v="2026-04-02T00:00:00"/>
    <d v="2026-04-01T00:00:00"/>
    <s v="2026-04-01"/>
    <n v="0"/>
    <x v="1"/>
    <s v="Delivered"/>
    <x v="3"/>
    <x v="0"/>
  </r>
  <r>
    <n v="1556"/>
    <s v="ParcelOne"/>
    <d v="2026-02-07T00:00:00"/>
    <d v="2026-02-07T00:00:00"/>
    <d v="2026-02-12T00:00:00"/>
    <d v="2026-02-12T00:00:00"/>
    <s v="2026-02-12"/>
    <n v="0"/>
    <x v="1"/>
    <s v="Delivered"/>
    <x v="3"/>
    <x v="0"/>
  </r>
  <r>
    <n v="1557"/>
    <s v="ParcelOne"/>
    <d v="2026-06-01T00:00:00"/>
    <d v="2026-06-01T00:00:00"/>
    <d v="2026-06-06T00:00:00"/>
    <d v="2026-06-06T00:00:00"/>
    <s v="2026-06-06"/>
    <n v="0"/>
    <x v="1"/>
    <s v="Delivered"/>
    <x v="3"/>
    <x v="0"/>
  </r>
  <r>
    <n v="1558"/>
    <s v="SwiftShip"/>
    <d v="2026-05-14T00:00:00"/>
    <d v="2026-05-14T00:00:00"/>
    <d v="2026-05-19T00:00:00"/>
    <d v="2026-05-20T00:00:00"/>
    <s v="2026-05-20"/>
    <n v="0"/>
    <x v="0"/>
    <s v="Delivered"/>
    <x v="2"/>
    <x v="0"/>
  </r>
  <r>
    <n v="1559"/>
    <s v="SwiftShip"/>
    <d v="2026-04-08T00:00:00"/>
    <d v="2026-04-08T00:00:00"/>
    <d v="2026-04-13T00:00:00"/>
    <d v="2026-04-13T00:00:00"/>
    <s v="2026-04-15"/>
    <n v="0"/>
    <x v="0"/>
    <s v="Delivered"/>
    <x v="3"/>
    <x v="0"/>
  </r>
  <r>
    <n v="1560"/>
    <s v="SwiftShip"/>
    <d v="2026-03-17T00:00:00"/>
    <d v="2026-03-17T00:00:00"/>
    <d v="2026-03-22T00:00:00"/>
    <d v="2026-03-26T00:00:00"/>
    <s v="2026-03-26"/>
    <n v="0"/>
    <x v="0"/>
    <s v="Delivered"/>
    <x v="2"/>
    <x v="0"/>
  </r>
  <r>
    <n v="1561"/>
    <s v="SwiftShip"/>
    <d v="2026-01-19T00:00:00"/>
    <d v="2026-01-19T00:00:00"/>
    <d v="2026-01-24T00:00:00"/>
    <m/>
    <m/>
    <n v="0"/>
    <x v="0"/>
    <s v="Shipped"/>
    <x v="0"/>
    <x v="0"/>
  </r>
  <r>
    <n v="1562"/>
    <s v="MetroLogistics"/>
    <d v="2026-04-19T00:00:00"/>
    <d v="2026-04-19T00:00:00"/>
    <d v="2026-04-24T00:00:00"/>
    <d v="2026-04-22T00:00:00"/>
    <s v="2026-04-23"/>
    <n v="0"/>
    <x v="2"/>
    <s v="Delivered"/>
    <x v="3"/>
    <x v="0"/>
  </r>
  <r>
    <n v="1563"/>
    <s v="MetroLogistics"/>
    <d v="2026-03-21T00:00:00"/>
    <d v="2026-03-21T00:00:00"/>
    <d v="2026-03-26T00:00:00"/>
    <d v="2026-03-26T00:00:00"/>
    <s v="2026-03-26"/>
    <n v="0"/>
    <x v="2"/>
    <s v="Delivered"/>
    <x v="3"/>
    <x v="0"/>
  </r>
  <r>
    <n v="1564"/>
    <s v="ParcelOne"/>
    <d v="2026-05-03T00:00:00"/>
    <d v="2026-05-03T00:00:00"/>
    <d v="2026-05-08T00:00:00"/>
    <d v="2026-05-08T00:00:00"/>
    <s v="2026-05-10"/>
    <n v="0"/>
    <x v="1"/>
    <s v="Delivered"/>
    <x v="3"/>
    <x v="0"/>
  </r>
  <r>
    <n v="1565"/>
    <s v="MetroLogistics"/>
    <d v="2026-06-05T00:00:00"/>
    <d v="2026-06-07T00:00:00"/>
    <d v="2026-06-10T00:00:00"/>
    <d v="2026-06-11T00:00:00"/>
    <s v="2026-06-11"/>
    <n v="0"/>
    <x v="2"/>
    <s v="Delivered"/>
    <x v="2"/>
    <x v="1"/>
  </r>
  <r>
    <n v="1566"/>
    <s v="SwiftShip"/>
    <d v="2026-05-30T00:00:00"/>
    <d v="2026-05-30T00:00:00"/>
    <d v="2026-06-04T00:00:00"/>
    <d v="2026-06-04T00:00:00"/>
    <s v="2026-06-04"/>
    <n v="0"/>
    <x v="0"/>
    <s v="Delivered"/>
    <x v="3"/>
    <x v="0"/>
  </r>
  <r>
    <n v="1567"/>
    <s v="ParcelOne"/>
    <d v="2026-02-13T00:00:00"/>
    <d v="2026-02-13T00:00:00"/>
    <d v="2026-02-18T00:00:00"/>
    <d v="2026-02-18T00:00:00"/>
    <s v="2026-02-18"/>
    <n v="0"/>
    <x v="1"/>
    <s v="Delivered"/>
    <x v="3"/>
    <x v="0"/>
  </r>
  <r>
    <n v="1568"/>
    <s v="MetroLogistics"/>
    <d v="2026-06-12T00:00:00"/>
    <d v="2026-06-12T00:00:00"/>
    <d v="2026-06-17T00:00:00"/>
    <d v="2026-06-18T00:00:00"/>
    <s v="2026-06-18"/>
    <n v="0"/>
    <x v="2"/>
    <s v="Delivered"/>
    <x v="2"/>
    <x v="0"/>
  </r>
  <r>
    <n v="1569"/>
    <s v="ParcelOne"/>
    <d v="2026-04-03T00:00:00"/>
    <d v="2026-04-03T00:00:00"/>
    <d v="2026-04-08T00:00:00"/>
    <d v="2026-04-08T00:00:00"/>
    <s v="2026-04-08"/>
    <n v="0"/>
    <x v="1"/>
    <s v="Delivered"/>
    <x v="3"/>
    <x v="0"/>
  </r>
  <r>
    <n v="1570"/>
    <s v="ParcelOne"/>
    <d v="2026-01-29T00:00:00"/>
    <d v="2026-01-29T00:00:00"/>
    <d v="2026-02-03T00:00:00"/>
    <d v="2026-02-05T00:00:00"/>
    <s v="2026-02-05"/>
    <n v="0"/>
    <x v="1"/>
    <s v="Delivered"/>
    <x v="2"/>
    <x v="0"/>
  </r>
  <r>
    <n v="1571"/>
    <s v="MetroLogistics"/>
    <d v="2026-01-07T00:00:00"/>
    <d v="2026-01-07T00:00:00"/>
    <d v="2026-01-12T00:00:00"/>
    <d v="2026-01-13T00:00:00"/>
    <s v="2026-01-13"/>
    <n v="0"/>
    <x v="2"/>
    <s v="Delivered"/>
    <x v="2"/>
    <x v="0"/>
  </r>
  <r>
    <n v="1572"/>
    <s v="ParcelOne"/>
    <d v="2026-02-08T00:00:00"/>
    <d v="2026-02-10T00:00:00"/>
    <d v="2026-02-13T00:00:00"/>
    <d v="2026-02-13T00:00:00"/>
    <s v="2026-02-13"/>
    <n v="0"/>
    <x v="1"/>
    <s v="Delivered"/>
    <x v="3"/>
    <x v="1"/>
  </r>
  <r>
    <n v="1573"/>
    <s v="ParcelOne"/>
    <d v="2026-01-22T00:00:00"/>
    <d v="2026-01-22T00:00:00"/>
    <d v="2026-01-27T00:00:00"/>
    <d v="2026-01-27T00:00:00"/>
    <s v="2026-01-27"/>
    <n v="0"/>
    <x v="1"/>
    <s v="Delivered"/>
    <x v="3"/>
    <x v="0"/>
  </r>
  <r>
    <n v="1574"/>
    <s v="MetroLogistics"/>
    <d v="2026-03-08T00:00:00"/>
    <d v="2026-03-08T00:00:00"/>
    <d v="2026-03-13T00:00:00"/>
    <d v="2026-03-11T00:00:00"/>
    <s v="2026-03-11"/>
    <n v="0"/>
    <x v="2"/>
    <s v="Delivered"/>
    <x v="3"/>
    <x v="0"/>
  </r>
  <r>
    <n v="1575"/>
    <s v="MetroLogistics"/>
    <d v="2026-03-15T00:00:00"/>
    <d v="2026-03-15T00:00:00"/>
    <d v="2026-03-20T00:00:00"/>
    <m/>
    <m/>
    <n v="0"/>
    <x v="2"/>
    <s v="Shipped"/>
    <x v="0"/>
    <x v="0"/>
  </r>
  <r>
    <n v="1576"/>
    <s v="SwiftShip"/>
    <d v="2026-01-06T00:00:00"/>
    <d v="2026-01-08T00:00:00"/>
    <d v="2026-01-11T00:00:00"/>
    <d v="2026-01-15T00:00:00"/>
    <s v="2026-01-16"/>
    <n v="0"/>
    <x v="0"/>
    <s v="Delivered"/>
    <x v="2"/>
    <x v="1"/>
  </r>
  <r>
    <n v="1577"/>
    <s v="SwiftShip"/>
    <d v="2026-04-06T00:00:00"/>
    <d v="2026-04-08T00:00:00"/>
    <d v="2026-04-11T00:00:00"/>
    <d v="2026-04-11T00:00:00"/>
    <s v="2026-04-11"/>
    <n v="0"/>
    <x v="0"/>
    <s v="Delivered"/>
    <x v="3"/>
    <x v="1"/>
  </r>
  <r>
    <n v="1578"/>
    <s v="SwiftShip"/>
    <d v="2026-01-31T00:00:00"/>
    <d v="2026-01-31T00:00:00"/>
    <d v="2026-02-05T00:00:00"/>
    <d v="2026-02-05T00:00:00"/>
    <s v="2026-02-05"/>
    <n v="0"/>
    <x v="0"/>
    <s v="Delivered"/>
    <x v="3"/>
    <x v="0"/>
  </r>
  <r>
    <n v="1579"/>
    <s v="SwiftShip"/>
    <d v="2026-05-25T00:00:00"/>
    <d v="2026-05-25T00:00:00"/>
    <d v="2026-05-30T00:00:00"/>
    <d v="2026-05-31T00:00:00"/>
    <s v="2026-05-31"/>
    <n v="0"/>
    <x v="0"/>
    <s v="Delivered"/>
    <x v="2"/>
    <x v="0"/>
  </r>
  <r>
    <n v="1580"/>
    <s v="ParcelOne"/>
    <d v="2026-03-01T00:00:00"/>
    <d v="2026-03-01T00:00:00"/>
    <d v="2026-03-06T00:00:00"/>
    <d v="2026-03-10T00:00:00"/>
    <s v="2026-03-10"/>
    <n v="0"/>
    <x v="1"/>
    <s v="Delivered"/>
    <x v="2"/>
    <x v="0"/>
  </r>
  <r>
    <n v="1581"/>
    <s v="ParcelOne"/>
    <d v="2026-04-14T00:00:00"/>
    <d v="2026-04-14T00:00:00"/>
    <d v="2026-04-19T00:00:00"/>
    <d v="2026-04-19T00:00:00"/>
    <s v="2026-04-19"/>
    <n v="0"/>
    <x v="1"/>
    <s v="Delivered"/>
    <x v="3"/>
    <x v="0"/>
  </r>
  <r>
    <n v="1582"/>
    <s v="MetroLogistics"/>
    <d v="2026-01-19T00:00:00"/>
    <d v="2026-01-19T00:00:00"/>
    <d v="2026-01-24T00:00:00"/>
    <d v="2026-01-24T00:00:00"/>
    <s v="2026-01-24"/>
    <n v="0"/>
    <x v="2"/>
    <s v="Delivered"/>
    <x v="3"/>
    <x v="0"/>
  </r>
  <r>
    <n v="1583"/>
    <s v="ParcelOne"/>
    <d v="2026-05-31T00:00:00"/>
    <d v="2026-05-31T00:00:00"/>
    <d v="2026-06-05T00:00:00"/>
    <d v="2026-06-04T00:00:00"/>
    <s v="2026-06-04"/>
    <n v="0"/>
    <x v="1"/>
    <s v="Delivered"/>
    <x v="3"/>
    <x v="0"/>
  </r>
  <r>
    <n v="1584"/>
    <s v="MetroLogistics"/>
    <d v="2026-03-08T00:00:00"/>
    <d v="2026-03-08T00:00:00"/>
    <d v="2026-03-13T00:00:00"/>
    <d v="2026-03-17T00:00:00"/>
    <s v="2026-03-17"/>
    <n v="0"/>
    <x v="2"/>
    <s v="Delivered"/>
    <x v="2"/>
    <x v="0"/>
  </r>
  <r>
    <n v="1585"/>
    <s v="SwiftShip"/>
    <d v="2026-03-27T00:00:00"/>
    <d v="2026-03-27T00:00:00"/>
    <d v="2026-04-01T00:00:00"/>
    <d v="2026-03-31T00:00:00"/>
    <s v="2026-03-31"/>
    <n v="0"/>
    <x v="0"/>
    <s v="Delivered"/>
    <x v="3"/>
    <x v="0"/>
  </r>
  <r>
    <n v="1586"/>
    <s v="ParcelOne"/>
    <d v="2026-05-12T00:00:00"/>
    <d v="2026-05-12T00:00:00"/>
    <d v="2026-05-17T00:00:00"/>
    <d v="2026-05-19T00:00:00"/>
    <s v="2026-05-19"/>
    <n v="0"/>
    <x v="1"/>
    <s v="Delivered"/>
    <x v="2"/>
    <x v="0"/>
  </r>
  <r>
    <n v="1587"/>
    <s v="MetroLogistics"/>
    <d v="2026-01-11T00:00:00"/>
    <d v="2026-01-11T00:00:00"/>
    <d v="2026-01-16T00:00:00"/>
    <d v="2026-01-15T00:00:00"/>
    <s v="2026-01-15"/>
    <n v="0"/>
    <x v="2"/>
    <s v="Delivered"/>
    <x v="3"/>
    <x v="0"/>
  </r>
  <r>
    <n v="1588"/>
    <s v="MetroLogistics"/>
    <d v="2026-05-24T00:00:00"/>
    <d v="2026-05-24T00:00:00"/>
    <d v="2026-05-29T00:00:00"/>
    <d v="2026-05-29T00:00:00"/>
    <s v="2026-05-31"/>
    <n v="0"/>
    <x v="2"/>
    <s v="Delivered"/>
    <x v="3"/>
    <x v="0"/>
  </r>
  <r>
    <n v="1589"/>
    <s v="ParcelOne"/>
    <d v="2026-06-25T00:00:00"/>
    <d v="2026-06-26T00:00:00"/>
    <d v="2026-06-30T00:00:00"/>
    <d v="2026-06-30T00:00:00"/>
    <s v="2026-06-30"/>
    <n v="0"/>
    <x v="1"/>
    <s v="Delivered"/>
    <x v="3"/>
    <x v="1"/>
  </r>
  <r>
    <n v="1590"/>
    <s v="SwiftShip"/>
    <d v="2026-06-12T00:00:00"/>
    <d v="2026-06-12T00:00:00"/>
    <d v="2026-06-17T00:00:00"/>
    <d v="2026-06-16T00:00:00"/>
    <s v="2026-06-16"/>
    <n v="0"/>
    <x v="0"/>
    <s v="Delivered"/>
    <x v="3"/>
    <x v="0"/>
  </r>
  <r>
    <n v="1591"/>
    <s v="SwiftShip"/>
    <d v="2026-06-03T00:00:00"/>
    <d v="2026-06-03T00:00:00"/>
    <d v="2026-06-08T00:00:00"/>
    <d v="2026-06-06T00:00:00"/>
    <s v="2026-06-06"/>
    <n v="0"/>
    <x v="0"/>
    <s v="Delivered"/>
    <x v="3"/>
    <x v="0"/>
  </r>
  <r>
    <n v="1592"/>
    <s v="SwiftShip"/>
    <d v="2026-05-28T00:00:00"/>
    <d v="2026-05-28T00:00:00"/>
    <d v="2026-06-02T00:00:00"/>
    <d v="2026-06-02T00:00:00"/>
    <s v="2026-06-02"/>
    <n v="0"/>
    <x v="0"/>
    <s v="Delivered"/>
    <x v="3"/>
    <x v="0"/>
  </r>
  <r>
    <n v="1593"/>
    <s v="SwiftShip"/>
    <d v="2026-01-28T00:00:00"/>
    <d v="2026-01-28T00:00:00"/>
    <d v="2026-02-02T00:00:00"/>
    <d v="2026-02-02T00:00:00"/>
    <s v="2026-02-02"/>
    <n v="0"/>
    <x v="0"/>
    <s v="Delivered"/>
    <x v="3"/>
    <x v="0"/>
  </r>
  <r>
    <n v="1594"/>
    <s v="MetroLogistics"/>
    <d v="2026-06-14T00:00:00"/>
    <d v="2026-06-15T00:00:00"/>
    <d v="2026-06-19T00:00:00"/>
    <d v="2026-06-19T00:00:00"/>
    <s v="2026-06-21"/>
    <n v="0"/>
    <x v="2"/>
    <s v="Delivered"/>
    <x v="3"/>
    <x v="1"/>
  </r>
  <r>
    <n v="1595"/>
    <s v="SwiftShip"/>
    <d v="2026-05-31T00:00:00"/>
    <d v="2026-05-31T00:00:00"/>
    <d v="2026-06-05T00:00:00"/>
    <d v="2026-06-06T00:00:00"/>
    <s v="2026-06-06"/>
    <n v="0"/>
    <x v="0"/>
    <s v="Delivered"/>
    <x v="2"/>
    <x v="0"/>
  </r>
  <r>
    <n v="1596"/>
    <s v="ParcelOne"/>
    <d v="2026-05-12T00:00:00"/>
    <d v="2026-05-12T00:00:00"/>
    <d v="2026-05-17T00:00:00"/>
    <d v="2026-05-17T00:00:00"/>
    <s v="2026-05-17"/>
    <n v="0"/>
    <x v="1"/>
    <s v="Delivered"/>
    <x v="3"/>
    <x v="0"/>
  </r>
  <r>
    <n v="1597"/>
    <s v="SwiftShip"/>
    <d v="2026-01-07T00:00:00"/>
    <d v="2026-01-07T00:00:00"/>
    <d v="2026-01-12T00:00:00"/>
    <d v="2026-01-16T00:00:00"/>
    <s v="2026-01-16"/>
    <n v="0"/>
    <x v="0"/>
    <s v="Delivered"/>
    <x v="2"/>
    <x v="0"/>
  </r>
  <r>
    <n v="1598"/>
    <s v="ParcelOne"/>
    <d v="2026-03-12T00:00:00"/>
    <d v="2026-03-12T00:00:00"/>
    <d v="2026-03-17T00:00:00"/>
    <m/>
    <m/>
    <n v="0"/>
    <x v="1"/>
    <s v="Shipped"/>
    <x v="0"/>
    <x v="0"/>
  </r>
  <r>
    <n v="1599"/>
    <s v="MetroLogistics"/>
    <d v="2026-06-27T00:00:00"/>
    <d v="2026-06-27T00:00:00"/>
    <d v="2026-07-02T00:00:00"/>
    <d v="2026-07-02T00:00:00"/>
    <s v="2026-07-02"/>
    <n v="0"/>
    <x v="2"/>
    <s v="Delivered"/>
    <x v="3"/>
    <x v="0"/>
  </r>
  <r>
    <n v="1600"/>
    <s v="SwiftShip"/>
    <d v="2026-06-05T00:00:00"/>
    <d v="2026-06-05T00:00:00"/>
    <d v="2026-06-10T00:00:00"/>
    <d v="2026-06-11T00:00:00"/>
    <s v="2026-06-11"/>
    <n v="0"/>
    <x v="0"/>
    <s v="Delivered"/>
    <x v="2"/>
    <x v="0"/>
  </r>
  <r>
    <n v="1601"/>
    <s v="SwiftShip"/>
    <d v="2026-05-26T00:00:00"/>
    <m/>
    <d v="2026-05-31T00:00:00"/>
    <m/>
    <m/>
    <n v="0"/>
    <x v="0"/>
    <s v="Pending"/>
    <x v="0"/>
    <x v="2"/>
  </r>
  <r>
    <n v="1602"/>
    <s v="SwiftShip"/>
    <d v="2026-03-15T00:00:00"/>
    <d v="2026-03-15T00:00:00"/>
    <d v="2026-03-20T00:00:00"/>
    <d v="2026-03-22T00:00:00"/>
    <s v="2026-03-24"/>
    <n v="0"/>
    <x v="0"/>
    <s v="Delivered"/>
    <x v="2"/>
    <x v="0"/>
  </r>
  <r>
    <n v="1603"/>
    <s v="MetroLogistics"/>
    <d v="2026-04-06T00:00:00"/>
    <d v="2026-04-06T00:00:00"/>
    <d v="2026-04-11T00:00:00"/>
    <d v="2026-04-11T00:00:00"/>
    <s v="2026-04-11"/>
    <n v="0"/>
    <x v="2"/>
    <s v="Delivered"/>
    <x v="3"/>
    <x v="0"/>
  </r>
  <r>
    <n v="1604"/>
    <s v="SwiftShip"/>
    <d v="2026-05-31T00:00:00"/>
    <d v="2026-05-31T00:00:00"/>
    <d v="2026-06-05T00:00:00"/>
    <m/>
    <m/>
    <n v="0"/>
    <x v="0"/>
    <s v="Shipped"/>
    <x v="0"/>
    <x v="0"/>
  </r>
  <r>
    <n v="1605"/>
    <s v="SwiftShip"/>
    <d v="2026-03-28T00:00:00"/>
    <d v="2026-03-28T00:00:00"/>
    <d v="2026-04-02T00:00:00"/>
    <d v="2026-04-06T00:00:00"/>
    <s v="2026-04-06"/>
    <n v="0"/>
    <x v="0"/>
    <s v="Delivered"/>
    <x v="2"/>
    <x v="0"/>
  </r>
  <r>
    <n v="1606"/>
    <s v="ParcelOne"/>
    <d v="2026-06-02T00:00:00"/>
    <d v="2026-06-02T00:00:00"/>
    <d v="2026-06-07T00:00:00"/>
    <d v="2026-06-06T00:00:00"/>
    <s v="2026-06-06"/>
    <n v="0"/>
    <x v="1"/>
    <s v="Delivered"/>
    <x v="3"/>
    <x v="0"/>
  </r>
  <r>
    <n v="1607"/>
    <s v="MetroLogistics"/>
    <d v="2026-04-05T00:00:00"/>
    <d v="2026-04-05T00:00:00"/>
    <d v="2026-04-10T00:00:00"/>
    <d v="2026-04-11T00:00:00"/>
    <s v="2026-04-11"/>
    <n v="0"/>
    <x v="2"/>
    <s v="Delivered"/>
    <x v="2"/>
    <x v="0"/>
  </r>
  <r>
    <n v="1608"/>
    <s v="SwiftShip"/>
    <d v="2026-04-11T00:00:00"/>
    <d v="2026-04-13T00:00:00"/>
    <d v="2026-04-16T00:00:00"/>
    <d v="2026-04-16T00:00:00"/>
    <s v="2026-04-18"/>
    <n v="0"/>
    <x v="0"/>
    <s v="Delivered"/>
    <x v="3"/>
    <x v="1"/>
  </r>
  <r>
    <n v="1609"/>
    <s v="ParcelOne"/>
    <d v="2026-03-21T00:00:00"/>
    <d v="2026-03-22T00:00:00"/>
    <d v="2026-03-26T00:00:00"/>
    <d v="2026-03-27T00:00:00"/>
    <s v="2026-03-27"/>
    <n v="0"/>
    <x v="1"/>
    <s v="Delivered"/>
    <x v="2"/>
    <x v="1"/>
  </r>
  <r>
    <n v="1611"/>
    <s v="SwiftShip"/>
    <d v="2026-01-28T00:00:00"/>
    <d v="2026-01-28T00:00:00"/>
    <d v="2026-02-02T00:00:00"/>
    <d v="2026-02-02T00:00:00"/>
    <s v="2026-02-02"/>
    <n v="0"/>
    <x v="0"/>
    <s v="Delivered"/>
    <x v="3"/>
    <x v="0"/>
  </r>
  <r>
    <n v="1612"/>
    <s v="MetroLogistics"/>
    <d v="2026-06-16T00:00:00"/>
    <d v="2026-06-16T00:00:00"/>
    <d v="2026-06-21T00:00:00"/>
    <d v="2026-06-19T00:00:00"/>
    <s v="2026-06-19"/>
    <n v="0"/>
    <x v="2"/>
    <s v="Delivered"/>
    <x v="3"/>
    <x v="0"/>
  </r>
  <r>
    <n v="1613"/>
    <s v="SwiftShip"/>
    <d v="2026-06-18T00:00:00"/>
    <d v="2026-06-18T00:00:00"/>
    <d v="2026-06-23T00:00:00"/>
    <d v="2026-06-23T00:00:00"/>
    <s v="2026-06-23"/>
    <n v="0"/>
    <x v="0"/>
    <s v="Delivered"/>
    <x v="3"/>
    <x v="0"/>
  </r>
  <r>
    <n v="1614"/>
    <s v="ParcelOne"/>
    <d v="2026-02-22T00:00:00"/>
    <d v="2026-02-24T00:00:00"/>
    <d v="2026-02-27T00:00:00"/>
    <d v="2026-03-01T00:00:00"/>
    <s v="2026-03-01"/>
    <n v="0"/>
    <x v="1"/>
    <s v="Delivered"/>
    <x v="2"/>
    <x v="1"/>
  </r>
  <r>
    <n v="1615"/>
    <s v="MetroLogistics"/>
    <d v="2026-05-25T00:00:00"/>
    <d v="2026-05-25T00:00:00"/>
    <d v="2026-05-30T00:00:00"/>
    <d v="2026-06-01T00:00:00"/>
    <s v="2026-06-01"/>
    <n v="0"/>
    <x v="2"/>
    <s v="Delivered"/>
    <x v="2"/>
    <x v="0"/>
  </r>
  <r>
    <n v="1616"/>
    <s v="SwiftShip"/>
    <d v="2026-04-22T00:00:00"/>
    <d v="2026-04-24T00:00:00"/>
    <d v="2026-04-27T00:00:00"/>
    <d v="2026-04-26T00:00:00"/>
    <s v="2026-04-26"/>
    <n v="0"/>
    <x v="0"/>
    <s v="Delivered"/>
    <x v="3"/>
    <x v="1"/>
  </r>
  <r>
    <n v="1617"/>
    <s v="SwiftShip"/>
    <d v="2026-04-29T00:00:00"/>
    <d v="2026-04-29T00:00:00"/>
    <d v="2026-05-04T00:00:00"/>
    <d v="2026-05-06T00:00:00"/>
    <s v="2026-05-06"/>
    <n v="0"/>
    <x v="0"/>
    <s v="Delivered"/>
    <x v="2"/>
    <x v="0"/>
  </r>
  <r>
    <n v="1618"/>
    <s v="SwiftShip"/>
    <d v="2026-05-09T00:00:00"/>
    <d v="2026-05-11T00:00:00"/>
    <d v="2026-05-14T00:00:00"/>
    <d v="2026-05-14T00:00:00"/>
    <s v="2026-05-14"/>
    <n v="0"/>
    <x v="0"/>
    <s v="Delivered"/>
    <x v="3"/>
    <x v="1"/>
  </r>
  <r>
    <n v="1619"/>
    <s v="MetroLogistics"/>
    <d v="2026-02-18T00:00:00"/>
    <d v="2026-02-18T00:00:00"/>
    <d v="2026-02-23T00:00:00"/>
    <d v="2026-02-23T00:00:00"/>
    <s v="2026-02-23"/>
    <n v="0"/>
    <x v="2"/>
    <s v="Delivered"/>
    <x v="3"/>
    <x v="0"/>
  </r>
  <r>
    <n v="1620"/>
    <s v="ParcelOne"/>
    <d v="2026-06-27T00:00:00"/>
    <d v="2026-06-28T00:00:00"/>
    <d v="2026-07-02T00:00:00"/>
    <d v="2026-07-06T00:00:00"/>
    <s v="2026-07-06"/>
    <n v="0"/>
    <x v="1"/>
    <s v="Delivered"/>
    <x v="2"/>
    <x v="1"/>
  </r>
  <r>
    <n v="1621"/>
    <s v="SwiftShip"/>
    <d v="2026-04-11T00:00:00"/>
    <d v="2026-04-11T00:00:00"/>
    <d v="2026-04-16T00:00:00"/>
    <d v="2026-04-20T00:00:00"/>
    <s v="2026-04-20"/>
    <n v="0"/>
    <x v="0"/>
    <s v="Delivered"/>
    <x v="2"/>
    <x v="0"/>
  </r>
  <r>
    <n v="1622"/>
    <s v="SwiftShip"/>
    <d v="2026-06-07T00:00:00"/>
    <d v="2026-06-07T00:00:00"/>
    <d v="2026-06-12T00:00:00"/>
    <m/>
    <m/>
    <n v="0"/>
    <x v="0"/>
    <s v="Shipped"/>
    <x v="0"/>
    <x v="0"/>
  </r>
  <r>
    <n v="1623"/>
    <s v="SwiftShip"/>
    <d v="2026-06-23T00:00:00"/>
    <d v="2026-06-23T00:00:00"/>
    <d v="2026-06-28T00:00:00"/>
    <d v="2026-06-28T00:00:00"/>
    <s v="2026-06-30"/>
    <n v="0"/>
    <x v="0"/>
    <s v="Delivered"/>
    <x v="3"/>
    <x v="0"/>
  </r>
  <r>
    <n v="1624"/>
    <s v="SwiftShip"/>
    <d v="2026-02-05T00:00:00"/>
    <d v="2026-02-05T00:00:00"/>
    <d v="2026-02-10T00:00:00"/>
    <d v="2026-02-09T00:00:00"/>
    <s v="2026-02-10"/>
    <n v="0"/>
    <x v="0"/>
    <s v="Delivered"/>
    <x v="3"/>
    <x v="0"/>
  </r>
  <r>
    <n v="1625"/>
    <s v="SwiftShip"/>
    <d v="2026-04-05T00:00:00"/>
    <d v="2026-04-06T00:00:00"/>
    <d v="2026-04-10T00:00:00"/>
    <m/>
    <m/>
    <n v="0"/>
    <x v="0"/>
    <s v="Shipped"/>
    <x v="0"/>
    <x v="1"/>
  </r>
  <r>
    <n v="1626"/>
    <s v="ParcelOne"/>
    <d v="2026-05-08T00:00:00"/>
    <d v="2026-05-08T00:00:00"/>
    <d v="2026-05-13T00:00:00"/>
    <d v="2026-05-12T00:00:00"/>
    <s v="2026-05-12"/>
    <n v="0"/>
    <x v="1"/>
    <s v="Delivered"/>
    <x v="3"/>
    <x v="0"/>
  </r>
  <r>
    <n v="1627"/>
    <s v="ParcelOne"/>
    <d v="2026-07-02T00:00:00"/>
    <d v="2026-07-02T00:00:00"/>
    <d v="2026-07-07T00:00:00"/>
    <d v="2026-07-06T00:00:00"/>
    <s v="2026-07-06"/>
    <n v="0"/>
    <x v="1"/>
    <s v="Delivered"/>
    <x v="3"/>
    <x v="0"/>
  </r>
  <r>
    <n v="1628"/>
    <s v="MetroLogistics"/>
    <d v="2026-02-03T00:00:00"/>
    <d v="2026-02-03T00:00:00"/>
    <d v="2026-02-08T00:00:00"/>
    <d v="2026-02-12T00:00:00"/>
    <s v="2026-02-12"/>
    <n v="0"/>
    <x v="2"/>
    <s v="Delivered"/>
    <x v="2"/>
    <x v="0"/>
  </r>
  <r>
    <n v="1629"/>
    <s v="MetroLogistics"/>
    <d v="2026-02-18T00:00:00"/>
    <d v="2026-02-19T00:00:00"/>
    <d v="2026-02-23T00:00:00"/>
    <d v="2026-02-21T00:00:00"/>
    <s v="2026-02-21"/>
    <n v="0"/>
    <x v="2"/>
    <s v="Delivered"/>
    <x v="3"/>
    <x v="1"/>
  </r>
  <r>
    <n v="1630"/>
    <s v="SwiftShip"/>
    <d v="2026-02-03T00:00:00"/>
    <d v="2026-02-04T00:00:00"/>
    <d v="2026-02-08T00:00:00"/>
    <d v="2026-02-08T00:00:00"/>
    <s v="2026-02-08"/>
    <n v="0"/>
    <x v="0"/>
    <s v="Delivered"/>
    <x v="3"/>
    <x v="1"/>
  </r>
  <r>
    <n v="1631"/>
    <s v="MetroLogistics"/>
    <d v="2026-06-04T00:00:00"/>
    <d v="2026-06-04T00:00:00"/>
    <d v="2026-06-09T00:00:00"/>
    <d v="2026-06-10T00:00:00"/>
    <s v="2026-06-10"/>
    <n v="0"/>
    <x v="2"/>
    <s v="Delivered"/>
    <x v="2"/>
    <x v="0"/>
  </r>
  <r>
    <n v="1632"/>
    <s v="SwiftShip"/>
    <d v="2026-02-05T00:00:00"/>
    <d v="2026-02-05T00:00:00"/>
    <d v="2026-02-10T00:00:00"/>
    <d v="2026-02-09T00:00:00"/>
    <s v="2026-02-11"/>
    <n v="0"/>
    <x v="0"/>
    <s v="Delivered"/>
    <x v="3"/>
    <x v="0"/>
  </r>
  <r>
    <n v="1633"/>
    <s v="ParcelOne"/>
    <d v="2026-01-25T00:00:00"/>
    <d v="2026-01-25T00:00:00"/>
    <d v="2026-01-30T00:00:00"/>
    <d v="2026-01-31T00:00:00"/>
    <s v="2026-01-31"/>
    <n v="0"/>
    <x v="1"/>
    <s v="Delivered"/>
    <x v="2"/>
    <x v="0"/>
  </r>
  <r>
    <n v="1634"/>
    <s v="SwiftShip"/>
    <d v="2026-03-20T00:00:00"/>
    <d v="2026-03-21T00:00:00"/>
    <d v="2026-03-25T00:00:00"/>
    <d v="2026-03-25T00:00:00"/>
    <s v="2026-03-25"/>
    <n v="0"/>
    <x v="0"/>
    <s v="Delivered"/>
    <x v="3"/>
    <x v="1"/>
  </r>
  <r>
    <n v="1635"/>
    <s v="ParcelOne"/>
    <d v="2026-05-04T00:00:00"/>
    <d v="2026-05-04T00:00:00"/>
    <d v="2026-05-09T00:00:00"/>
    <d v="2026-05-09T00:00:00"/>
    <s v="2026-05-09"/>
    <n v="0"/>
    <x v="1"/>
    <s v="Delivered"/>
    <x v="3"/>
    <x v="0"/>
  </r>
  <r>
    <n v="1636"/>
    <s v="SwiftShip"/>
    <d v="2026-05-14T00:00:00"/>
    <d v="2026-05-14T00:00:00"/>
    <d v="2026-05-19T00:00:00"/>
    <d v="2026-05-17T00:00:00"/>
    <s v="2026-05-18"/>
    <n v="0"/>
    <x v="0"/>
    <s v="Delivered"/>
    <x v="3"/>
    <x v="0"/>
  </r>
  <r>
    <n v="1637"/>
    <s v="SwiftShip"/>
    <d v="2026-02-10T00:00:00"/>
    <m/>
    <d v="2026-02-15T00:00:00"/>
    <m/>
    <m/>
    <n v="0"/>
    <x v="0"/>
    <s v="Pending"/>
    <x v="0"/>
    <x v="2"/>
  </r>
  <r>
    <n v="1638"/>
    <s v="MetroLogistics"/>
    <d v="2026-05-28T00:00:00"/>
    <d v="2026-05-28T00:00:00"/>
    <d v="2026-06-02T00:00:00"/>
    <d v="2026-06-02T00:00:00"/>
    <s v="2026-06-02"/>
    <n v="0"/>
    <x v="2"/>
    <s v="Delivered"/>
    <x v="3"/>
    <x v="0"/>
  </r>
  <r>
    <n v="1639"/>
    <s v="SwiftShip"/>
    <d v="2026-05-28T00:00:00"/>
    <d v="2026-05-28T00:00:00"/>
    <d v="2026-06-02T00:00:00"/>
    <d v="2026-06-02T00:00:00"/>
    <s v="2026-06-02"/>
    <n v="0"/>
    <x v="0"/>
    <s v="Delivered"/>
    <x v="3"/>
    <x v="0"/>
  </r>
  <r>
    <n v="1640"/>
    <s v="ParcelOne"/>
    <d v="2026-01-14T00:00:00"/>
    <d v="2026-01-14T00:00:00"/>
    <d v="2026-01-19T00:00:00"/>
    <d v="2026-01-23T00:00:00"/>
    <s v="2026-01-24"/>
    <n v="0"/>
    <x v="1"/>
    <s v="Delivered"/>
    <x v="2"/>
    <x v="0"/>
  </r>
  <r>
    <n v="1641"/>
    <s v="MetroLogistics"/>
    <d v="2026-02-19T00:00:00"/>
    <d v="2026-02-19T00:00:00"/>
    <d v="2026-02-24T00:00:00"/>
    <d v="2026-02-23T00:00:00"/>
    <s v="2026-02-23"/>
    <n v="0"/>
    <x v="2"/>
    <s v="Delivered"/>
    <x v="3"/>
    <x v="0"/>
  </r>
  <r>
    <n v="1643"/>
    <s v="ParcelOne"/>
    <d v="2026-03-21T00:00:00"/>
    <d v="2026-03-22T00:00:00"/>
    <d v="2026-03-26T00:00:00"/>
    <d v="2026-03-27T00:00:00"/>
    <s v="2026-03-27"/>
    <n v="0"/>
    <x v="1"/>
    <s v="Delivered"/>
    <x v="2"/>
    <x v="1"/>
  </r>
  <r>
    <n v="1644"/>
    <s v="ParcelOne"/>
    <d v="2026-02-25T00:00:00"/>
    <d v="2026-02-25T00:00:00"/>
    <d v="2026-03-02T00:00:00"/>
    <d v="2026-03-01T00:00:00"/>
    <s v="2026-03-01"/>
    <n v="0"/>
    <x v="1"/>
    <s v="Delivered"/>
    <x v="3"/>
    <x v="0"/>
  </r>
  <r>
    <n v="1646"/>
    <s v="SwiftShip"/>
    <d v="2026-02-23T00:00:00"/>
    <d v="2026-02-23T00:00:00"/>
    <d v="2026-02-28T00:00:00"/>
    <d v="2026-03-02T00:00:00"/>
    <s v="2026-03-02"/>
    <n v="0"/>
    <x v="0"/>
    <s v="Delivered"/>
    <x v="2"/>
    <x v="0"/>
  </r>
  <r>
    <n v="1647"/>
    <s v="SwiftShip"/>
    <d v="2026-05-09T00:00:00"/>
    <d v="2026-05-09T00:00:00"/>
    <d v="2026-05-14T00:00:00"/>
    <d v="2026-05-15T00:00:00"/>
    <s v="2026-05-17"/>
    <n v="0"/>
    <x v="0"/>
    <s v="Delivered"/>
    <x v="2"/>
    <x v="0"/>
  </r>
  <r>
    <n v="1648"/>
    <s v="SwiftShip"/>
    <d v="2026-03-03T00:00:00"/>
    <d v="2026-03-03T00:00:00"/>
    <d v="2026-03-08T00:00:00"/>
    <d v="2026-03-08T00:00:00"/>
    <s v="2026-03-08"/>
    <n v="0"/>
    <x v="0"/>
    <s v="Delivered"/>
    <x v="3"/>
    <x v="0"/>
  </r>
  <r>
    <n v="1649"/>
    <s v="ParcelOne"/>
    <d v="2026-02-01T00:00:00"/>
    <d v="2026-02-01T00:00:00"/>
    <d v="2026-02-06T00:00:00"/>
    <d v="2026-02-05T00:00:00"/>
    <s v="2026-02-05"/>
    <n v="0"/>
    <x v="1"/>
    <s v="Delivered"/>
    <x v="3"/>
    <x v="0"/>
  </r>
  <r>
    <n v="1650"/>
    <s v="MetroLogistics"/>
    <d v="2026-05-12T00:00:00"/>
    <d v="2026-05-14T00:00:00"/>
    <d v="2026-05-17T00:00:00"/>
    <d v="2026-05-18T00:00:00"/>
    <s v="2026-05-18"/>
    <n v="0"/>
    <x v="2"/>
    <s v="Delivered"/>
    <x v="2"/>
    <x v="1"/>
  </r>
  <r>
    <n v="1651"/>
    <s v="SwiftShip"/>
    <d v="2026-04-05T00:00:00"/>
    <d v="2026-04-05T00:00:00"/>
    <d v="2026-04-10T00:00:00"/>
    <d v="2026-04-10T00:00:00"/>
    <s v="2026-04-10"/>
    <n v="0"/>
    <x v="0"/>
    <s v="Delivered"/>
    <x v="3"/>
    <x v="0"/>
  </r>
  <r>
    <n v="1652"/>
    <s v="ParcelOne"/>
    <d v="2026-05-09T00:00:00"/>
    <d v="2026-05-09T00:00:00"/>
    <d v="2026-05-14T00:00:00"/>
    <d v="2026-05-16T00:00:00"/>
    <s v="2026-05-16"/>
    <n v="0"/>
    <x v="1"/>
    <s v="Delivered"/>
    <x v="2"/>
    <x v="0"/>
  </r>
  <r>
    <n v="1653"/>
    <s v="ParcelOne"/>
    <d v="2026-03-30T00:00:00"/>
    <d v="2026-03-30T00:00:00"/>
    <d v="2026-04-04T00:00:00"/>
    <d v="2026-04-08T00:00:00"/>
    <s v="2026-04-08"/>
    <n v="0"/>
    <x v="1"/>
    <s v="Delivered"/>
    <x v="2"/>
    <x v="0"/>
  </r>
  <r>
    <n v="1654"/>
    <s v="MetroLogistics"/>
    <d v="2026-05-25T00:00:00"/>
    <d v="2026-05-27T00:00:00"/>
    <d v="2026-05-30T00:00:00"/>
    <d v="2026-05-31T00:00:00"/>
    <s v="2026-06-02"/>
    <n v="0"/>
    <x v="2"/>
    <s v="Delivered"/>
    <x v="2"/>
    <x v="1"/>
  </r>
  <r>
    <n v="1655"/>
    <s v="SwiftShip"/>
    <d v="2026-06-08T00:00:00"/>
    <d v="2026-06-10T00:00:00"/>
    <d v="2026-06-13T00:00:00"/>
    <d v="2026-06-12T00:00:00"/>
    <s v="2026-06-12"/>
    <n v="0"/>
    <x v="0"/>
    <s v="Delivered"/>
    <x v="3"/>
    <x v="1"/>
  </r>
  <r>
    <n v="1656"/>
    <s v="SwiftShip"/>
    <d v="2026-05-12T00:00:00"/>
    <d v="2026-05-12T00:00:00"/>
    <d v="2026-05-17T00:00:00"/>
    <d v="2026-05-16T00:00:00"/>
    <s v="2026-05-17"/>
    <n v="0"/>
    <x v="0"/>
    <s v="Delivered"/>
    <x v="3"/>
    <x v="0"/>
  </r>
  <r>
    <n v="1657"/>
    <s v="MetroLogistics"/>
    <d v="2026-04-19T00:00:00"/>
    <d v="2026-04-19T00:00:00"/>
    <d v="2026-04-24T00:00:00"/>
    <d v="2026-04-23T00:00:00"/>
    <s v="2026-04-23"/>
    <n v="0"/>
    <x v="2"/>
    <s v="Delivered"/>
    <x v="3"/>
    <x v="0"/>
  </r>
  <r>
    <n v="1658"/>
    <s v="SwiftShip"/>
    <d v="2026-04-19T00:00:00"/>
    <d v="2026-04-19T00:00:00"/>
    <d v="2026-04-24T00:00:00"/>
    <d v="2026-04-23T00:00:00"/>
    <s v="2026-04-23"/>
    <n v="0"/>
    <x v="0"/>
    <s v="Delivered"/>
    <x v="3"/>
    <x v="0"/>
  </r>
  <r>
    <n v="1659"/>
    <s v="SwiftShip"/>
    <d v="2026-04-30T00:00:00"/>
    <d v="2026-04-30T00:00:00"/>
    <d v="2026-05-05T00:00:00"/>
    <m/>
    <m/>
    <n v="0"/>
    <x v="0"/>
    <s v="Shipped"/>
    <x v="0"/>
    <x v="0"/>
  </r>
  <r>
    <n v="1660"/>
    <s v="MetroLogistics"/>
    <d v="2026-04-15T00:00:00"/>
    <m/>
    <d v="2026-04-20T00:00:00"/>
    <m/>
    <m/>
    <n v="0"/>
    <x v="2"/>
    <s v="Pending"/>
    <x v="0"/>
    <x v="2"/>
  </r>
  <r>
    <n v="1661"/>
    <s v="SwiftShip"/>
    <d v="2026-01-17T00:00:00"/>
    <m/>
    <d v="2026-01-22T00:00:00"/>
    <m/>
    <m/>
    <n v="0"/>
    <x v="0"/>
    <s v="Pending"/>
    <x v="0"/>
    <x v="2"/>
  </r>
  <r>
    <n v="1662"/>
    <s v="ParcelOne"/>
    <d v="2026-01-05T00:00:00"/>
    <d v="2026-01-06T00:00:00"/>
    <d v="2026-01-10T00:00:00"/>
    <d v="2026-01-11T00:00:00"/>
    <s v="2026-01-11"/>
    <n v="0"/>
    <x v="1"/>
    <s v="Delivered"/>
    <x v="2"/>
    <x v="1"/>
  </r>
  <r>
    <n v="1663"/>
    <s v="MetroLogistics"/>
    <d v="2026-03-21T00:00:00"/>
    <d v="2026-03-21T00:00:00"/>
    <d v="2026-03-26T00:00:00"/>
    <d v="2026-03-26T00:00:00"/>
    <s v="2026-03-26"/>
    <n v="0"/>
    <x v="2"/>
    <s v="Delivered"/>
    <x v="3"/>
    <x v="0"/>
  </r>
  <r>
    <n v="1664"/>
    <s v="ParcelOne"/>
    <d v="2026-02-12T00:00:00"/>
    <d v="2026-02-13T00:00:00"/>
    <d v="2026-02-17T00:00:00"/>
    <d v="2026-02-17T00:00:00"/>
    <s v="2026-02-17"/>
    <n v="0"/>
    <x v="1"/>
    <s v="Delivered"/>
    <x v="3"/>
    <x v="1"/>
  </r>
  <r>
    <n v="1665"/>
    <s v="MetroLogistics"/>
    <d v="2026-01-15T00:00:00"/>
    <d v="2026-01-15T00:00:00"/>
    <d v="2026-01-20T00:00:00"/>
    <d v="2026-01-19T00:00:00"/>
    <s v="2026-01-19"/>
    <n v="0"/>
    <x v="2"/>
    <s v="Delivered"/>
    <x v="3"/>
    <x v="0"/>
  </r>
  <r>
    <n v="1666"/>
    <s v="MetroLogistics"/>
    <d v="2026-05-27T00:00:00"/>
    <d v="2026-05-27T00:00:00"/>
    <d v="2026-06-01T00:00:00"/>
    <d v="2026-05-31T00:00:00"/>
    <s v="2026-05-31"/>
    <n v="0"/>
    <x v="2"/>
    <s v="Delivered"/>
    <x v="3"/>
    <x v="0"/>
  </r>
  <r>
    <n v="1667"/>
    <s v="SwiftShip"/>
    <d v="2026-02-21T00:00:00"/>
    <d v="2026-02-21T00:00:00"/>
    <d v="2026-02-26T00:00:00"/>
    <d v="2026-02-24T00:00:00"/>
    <s v="2026-02-25"/>
    <n v="0"/>
    <x v="0"/>
    <s v="Delivered"/>
    <x v="3"/>
    <x v="0"/>
  </r>
  <r>
    <n v="1668"/>
    <s v="SwiftShip"/>
    <d v="2026-02-26T00:00:00"/>
    <d v="2026-02-26T00:00:00"/>
    <d v="2026-03-03T00:00:00"/>
    <d v="2026-03-07T00:00:00"/>
    <s v="2026-03-07"/>
    <n v="0"/>
    <x v="0"/>
    <s v="Delivered"/>
    <x v="2"/>
    <x v="0"/>
  </r>
  <r>
    <n v="1669"/>
    <s v="MetroLogistics"/>
    <d v="2026-04-19T00:00:00"/>
    <d v="2026-04-19T00:00:00"/>
    <d v="2026-04-24T00:00:00"/>
    <d v="2026-04-22T00:00:00"/>
    <s v="2026-04-22"/>
    <n v="0"/>
    <x v="2"/>
    <s v="Delivered"/>
    <x v="3"/>
    <x v="0"/>
  </r>
  <r>
    <n v="1670"/>
    <s v="ParcelOne"/>
    <d v="2026-04-07T00:00:00"/>
    <d v="2026-04-07T00:00:00"/>
    <d v="2026-04-12T00:00:00"/>
    <m/>
    <m/>
    <n v="0"/>
    <x v="1"/>
    <s v="Shipped"/>
    <x v="0"/>
    <x v="0"/>
  </r>
  <r>
    <n v="1671"/>
    <s v="SwiftShip"/>
    <d v="2026-04-08T00:00:00"/>
    <d v="2026-04-08T00:00:00"/>
    <d v="2026-04-13T00:00:00"/>
    <d v="2026-04-13T00:00:00"/>
    <s v="2026-04-13"/>
    <n v="0"/>
    <x v="0"/>
    <s v="Delivered"/>
    <x v="3"/>
    <x v="0"/>
  </r>
  <r>
    <n v="1672"/>
    <s v="SwiftShip"/>
    <d v="2026-03-16T00:00:00"/>
    <d v="2026-03-16T00:00:00"/>
    <d v="2026-03-21T00:00:00"/>
    <d v="2026-03-19T00:00:00"/>
    <s v="2026-03-19"/>
    <n v="0"/>
    <x v="0"/>
    <s v="Delivered"/>
    <x v="3"/>
    <x v="0"/>
  </r>
  <r>
    <n v="1673"/>
    <s v="SwiftShip"/>
    <d v="2026-05-27T00:00:00"/>
    <d v="2026-05-27T00:00:00"/>
    <d v="2026-06-01T00:00:00"/>
    <d v="2026-06-01T00:00:00"/>
    <s v="2026-06-01"/>
    <n v="0"/>
    <x v="0"/>
    <s v="Delivered"/>
    <x v="3"/>
    <x v="0"/>
  </r>
  <r>
    <n v="1675"/>
    <s v="MetroLogistics"/>
    <d v="2026-04-12T00:00:00"/>
    <d v="2026-04-12T00:00:00"/>
    <d v="2026-04-17T00:00:00"/>
    <d v="2026-04-19T00:00:00"/>
    <s v="2026-04-19"/>
    <n v="0"/>
    <x v="2"/>
    <s v="Delivered"/>
    <x v="2"/>
    <x v="0"/>
  </r>
  <r>
    <n v="1676"/>
    <s v="MetroLogistics"/>
    <d v="2026-06-13T00:00:00"/>
    <d v="2026-06-15T00:00:00"/>
    <d v="2026-06-18T00:00:00"/>
    <d v="2026-06-18T00:00:00"/>
    <s v="2026-06-18"/>
    <n v="0"/>
    <x v="2"/>
    <s v="Delivered"/>
    <x v="3"/>
    <x v="1"/>
  </r>
  <r>
    <n v="1677"/>
    <s v="MetroLogistics"/>
    <d v="2026-01-07T00:00:00"/>
    <d v="2026-01-07T00:00:00"/>
    <d v="2026-01-12T00:00:00"/>
    <d v="2026-01-11T00:00:00"/>
    <s v="2026-01-11"/>
    <n v="0"/>
    <x v="2"/>
    <s v="Delivered"/>
    <x v="3"/>
    <x v="0"/>
  </r>
  <r>
    <n v="1678"/>
    <s v="MetroLogistics"/>
    <d v="2026-04-26T00:00:00"/>
    <d v="2026-04-26T00:00:00"/>
    <d v="2026-05-01T00:00:00"/>
    <d v="2026-04-30T00:00:00"/>
    <s v="2026-04-30"/>
    <n v="0"/>
    <x v="2"/>
    <s v="Delivered"/>
    <x v="3"/>
    <x v="0"/>
  </r>
  <r>
    <n v="1679"/>
    <s v="ParcelOne"/>
    <d v="2026-03-25T00:00:00"/>
    <d v="2026-03-25T00:00:00"/>
    <d v="2026-03-30T00:00:00"/>
    <d v="2026-03-29T00:00:00"/>
    <s v="2026-03-29"/>
    <n v="0"/>
    <x v="1"/>
    <s v="Delivered"/>
    <x v="3"/>
    <x v="0"/>
  </r>
  <r>
    <n v="1680"/>
    <s v="MetroLogistics"/>
    <d v="2026-03-22T00:00:00"/>
    <d v="2026-03-22T00:00:00"/>
    <d v="2026-03-27T00:00:00"/>
    <m/>
    <m/>
    <n v="0"/>
    <x v="2"/>
    <s v="Shipped"/>
    <x v="0"/>
    <x v="0"/>
  </r>
  <r>
    <n v="1681"/>
    <s v="ParcelOne"/>
    <d v="2026-01-17T00:00:00"/>
    <d v="2026-01-17T00:00:00"/>
    <d v="2026-01-22T00:00:00"/>
    <d v="2026-01-23T00:00:00"/>
    <s v="2026-01-23"/>
    <n v="0"/>
    <x v="1"/>
    <s v="Delivered"/>
    <x v="2"/>
    <x v="0"/>
  </r>
  <r>
    <n v="1682"/>
    <s v="ParcelOne"/>
    <d v="2026-03-05T00:00:00"/>
    <d v="2026-03-05T00:00:00"/>
    <d v="2026-03-10T00:00:00"/>
    <d v="2026-03-10T00:00:00"/>
    <s v="2026-03-10"/>
    <n v="0"/>
    <x v="1"/>
    <s v="Delivered"/>
    <x v="3"/>
    <x v="0"/>
  </r>
  <r>
    <n v="1683"/>
    <s v="SwiftShip"/>
    <d v="2026-05-06T00:00:00"/>
    <d v="2026-05-06T00:00:00"/>
    <d v="2026-05-11T00:00:00"/>
    <d v="2026-05-11T00:00:00"/>
    <s v="2026-05-11"/>
    <n v="0"/>
    <x v="0"/>
    <s v="Delivered"/>
    <x v="3"/>
    <x v="0"/>
  </r>
  <r>
    <n v="1684"/>
    <s v="SwiftShip"/>
    <d v="2026-05-28T00:00:00"/>
    <d v="2026-05-28T00:00:00"/>
    <d v="2026-06-02T00:00:00"/>
    <d v="2026-06-02T00:00:00"/>
    <s v="2026-06-04"/>
    <n v="0"/>
    <x v="0"/>
    <s v="Delivered"/>
    <x v="3"/>
    <x v="0"/>
  </r>
  <r>
    <n v="1685"/>
    <s v="SwiftShip"/>
    <d v="2026-01-13T00:00:00"/>
    <d v="2026-01-13T00:00:00"/>
    <d v="2026-01-18T00:00:00"/>
    <d v="2026-01-18T00:00:00"/>
    <s v="2026-01-18"/>
    <n v="0"/>
    <x v="0"/>
    <s v="Delivered"/>
    <x v="3"/>
    <x v="0"/>
  </r>
  <r>
    <n v="1686"/>
    <s v="MetroLogistics"/>
    <d v="2026-06-13T00:00:00"/>
    <d v="2026-06-13T00:00:00"/>
    <d v="2026-06-18T00:00:00"/>
    <d v="2026-06-19T00:00:00"/>
    <s v="2026-06-20"/>
    <n v="0"/>
    <x v="2"/>
    <s v="Delivered"/>
    <x v="2"/>
    <x v="0"/>
  </r>
  <r>
    <n v="1687"/>
    <s v="MetroLogistics"/>
    <d v="2026-05-25T00:00:00"/>
    <m/>
    <d v="2026-05-30T00:00:00"/>
    <m/>
    <m/>
    <n v="0"/>
    <x v="2"/>
    <s v="Pending"/>
    <x v="0"/>
    <x v="2"/>
  </r>
  <r>
    <n v="1688"/>
    <s v="MetroLogistics"/>
    <d v="2026-03-31T00:00:00"/>
    <d v="2026-03-31T00:00:00"/>
    <d v="2026-04-05T00:00:00"/>
    <d v="2026-04-09T00:00:00"/>
    <s v="2026-04-09"/>
    <n v="0"/>
    <x v="2"/>
    <s v="Delivered"/>
    <x v="2"/>
    <x v="0"/>
  </r>
  <r>
    <n v="1689"/>
    <s v="MetroLogistics"/>
    <d v="2026-02-06T00:00:00"/>
    <d v="2026-02-06T00:00:00"/>
    <d v="2026-02-11T00:00:00"/>
    <d v="2026-02-11T00:00:00"/>
    <s v="2026-02-11"/>
    <n v="0"/>
    <x v="2"/>
    <s v="Delivered"/>
    <x v="3"/>
    <x v="0"/>
  </r>
  <r>
    <n v="1690"/>
    <s v="ParcelOne"/>
    <d v="2026-06-18T00:00:00"/>
    <d v="2026-06-18T00:00:00"/>
    <d v="2026-06-23T00:00:00"/>
    <d v="2026-06-25T00:00:00"/>
    <s v="2026-06-26"/>
    <n v="0"/>
    <x v="1"/>
    <s v="Delivered"/>
    <x v="2"/>
    <x v="0"/>
  </r>
  <r>
    <n v="1691"/>
    <s v="MetroLogistics"/>
    <d v="2026-02-03T00:00:00"/>
    <d v="2026-02-03T00:00:00"/>
    <d v="2026-02-08T00:00:00"/>
    <d v="2026-02-09T00:00:00"/>
    <s v="2026-02-09"/>
    <n v="0"/>
    <x v="2"/>
    <s v="Delivered"/>
    <x v="2"/>
    <x v="0"/>
  </r>
  <r>
    <n v="1692"/>
    <s v="MetroLogistics"/>
    <d v="2026-06-12T00:00:00"/>
    <d v="2026-06-12T00:00:00"/>
    <d v="2026-06-17T00:00:00"/>
    <d v="2026-06-17T00:00:00"/>
    <s v="2026-06-17"/>
    <n v="0"/>
    <x v="2"/>
    <s v="Delivered"/>
    <x v="3"/>
    <x v="0"/>
  </r>
  <r>
    <n v="1693"/>
    <s v="MetroLogistics"/>
    <d v="2026-02-25T00:00:00"/>
    <d v="2026-02-25T00:00:00"/>
    <d v="2026-03-02T00:00:00"/>
    <d v="2026-03-01T00:00:00"/>
    <s v="2026-03-01"/>
    <n v="0"/>
    <x v="2"/>
    <s v="Delivered"/>
    <x v="3"/>
    <x v="0"/>
  </r>
  <r>
    <n v="1694"/>
    <s v="ParcelOne"/>
    <d v="2026-06-26T00:00:00"/>
    <d v="2026-06-26T00:00:00"/>
    <d v="2026-07-01T00:00:00"/>
    <d v="2026-06-30T00:00:00"/>
    <s v="2026-07-02"/>
    <n v="0"/>
    <x v="1"/>
    <s v="Delivered"/>
    <x v="3"/>
    <x v="0"/>
  </r>
  <r>
    <n v="1695"/>
    <s v="SwiftShip"/>
    <d v="2026-05-16T00:00:00"/>
    <d v="2026-05-18T00:00:00"/>
    <d v="2026-05-21T00:00:00"/>
    <d v="2026-05-22T00:00:00"/>
    <s v="2026-05-22"/>
    <n v="0"/>
    <x v="0"/>
    <s v="Delivered"/>
    <x v="2"/>
    <x v="1"/>
  </r>
  <r>
    <n v="1696"/>
    <s v="SwiftShip"/>
    <d v="2026-06-26T00:00:00"/>
    <d v="2026-06-27T00:00:00"/>
    <d v="2026-07-01T00:00:00"/>
    <d v="2026-07-01T00:00:00"/>
    <s v="2026-07-02"/>
    <n v="0"/>
    <x v="0"/>
    <s v="Delivered"/>
    <x v="3"/>
    <x v="1"/>
  </r>
  <r>
    <n v="1697"/>
    <s v="SwiftShip"/>
    <d v="2026-03-14T00:00:00"/>
    <d v="2026-03-14T00:00:00"/>
    <d v="2026-03-19T00:00:00"/>
    <d v="2026-03-23T00:00:00"/>
    <s v="2026-03-23"/>
    <n v="0"/>
    <x v="0"/>
    <s v="Delivered"/>
    <x v="2"/>
    <x v="0"/>
  </r>
  <r>
    <n v="1698"/>
    <s v="ParcelOne"/>
    <d v="2026-01-04T00:00:00"/>
    <d v="2026-01-06T00:00:00"/>
    <d v="2026-01-09T00:00:00"/>
    <d v="2026-01-08T00:00:00"/>
    <s v="2026-01-08"/>
    <n v="0"/>
    <x v="1"/>
    <s v="Delivered"/>
    <x v="3"/>
    <x v="1"/>
  </r>
  <r>
    <n v="1699"/>
    <s v="MetroLogistics"/>
    <d v="2026-03-07T00:00:00"/>
    <d v="2026-03-07T00:00:00"/>
    <d v="2026-03-12T00:00:00"/>
    <d v="2026-03-13T00:00:00"/>
    <s v="2026-03-13"/>
    <n v="0"/>
    <x v="2"/>
    <s v="Delivered"/>
    <x v="2"/>
    <x v="0"/>
  </r>
  <r>
    <n v="1700"/>
    <s v="MetroLogistics"/>
    <d v="2026-03-29T00:00:00"/>
    <d v="2026-03-31T00:00:00"/>
    <d v="2026-04-03T00:00:00"/>
    <d v="2026-04-04T00:00:00"/>
    <s v="2026-04-05"/>
    <n v="0"/>
    <x v="2"/>
    <s v="Delivered"/>
    <x v="2"/>
    <x v="1"/>
  </r>
  <r>
    <n v="1701"/>
    <s v="ParcelOne"/>
    <d v="2026-03-04T00:00:00"/>
    <d v="2026-03-04T00:00:00"/>
    <d v="2026-03-09T00:00:00"/>
    <m/>
    <m/>
    <n v="0"/>
    <x v="1"/>
    <s v="Shipped"/>
    <x v="0"/>
    <x v="0"/>
  </r>
  <r>
    <n v="1702"/>
    <s v="SwiftShip"/>
    <d v="2026-01-18T00:00:00"/>
    <d v="2026-01-20T00:00:00"/>
    <d v="2026-01-23T00:00:00"/>
    <m/>
    <m/>
    <n v="0"/>
    <x v="0"/>
    <s v="Shipped"/>
    <x v="0"/>
    <x v="1"/>
  </r>
  <r>
    <n v="1703"/>
    <s v="ParcelOne"/>
    <d v="2026-01-17T00:00:00"/>
    <d v="2026-01-17T00:00:00"/>
    <d v="2026-01-22T00:00:00"/>
    <d v="2026-01-22T00:00:00"/>
    <s v="2026-01-22"/>
    <n v="0"/>
    <x v="1"/>
    <s v="Delivered"/>
    <x v="3"/>
    <x v="0"/>
  </r>
  <r>
    <n v="1704"/>
    <s v="SwiftShip"/>
    <d v="2026-06-10T00:00:00"/>
    <d v="2026-06-10T00:00:00"/>
    <d v="2026-06-15T00:00:00"/>
    <d v="2026-06-17T00:00:00"/>
    <s v="2026-06-17"/>
    <n v="0"/>
    <x v="0"/>
    <s v="Delivered"/>
    <x v="2"/>
    <x v="0"/>
  </r>
  <r>
    <n v="1705"/>
    <s v="MetroLogistics"/>
    <d v="2026-06-18T00:00:00"/>
    <d v="2026-06-18T00:00:00"/>
    <d v="2026-06-23T00:00:00"/>
    <m/>
    <m/>
    <n v="0"/>
    <x v="2"/>
    <s v="Shipped"/>
    <x v="0"/>
    <x v="0"/>
  </r>
  <r>
    <n v="1706"/>
    <s v="ParcelOne"/>
    <d v="2026-01-20T00:00:00"/>
    <d v="2026-01-20T00:00:00"/>
    <d v="2026-01-25T00:00:00"/>
    <d v="2026-01-25T00:00:00"/>
    <s v="2026-01-25"/>
    <n v="0"/>
    <x v="1"/>
    <s v="Delivered"/>
    <x v="3"/>
    <x v="0"/>
  </r>
  <r>
    <n v="1707"/>
    <s v="ParcelOne"/>
    <d v="2026-01-14T00:00:00"/>
    <d v="2026-01-14T00:00:00"/>
    <d v="2026-01-19T00:00:00"/>
    <d v="2026-01-19T00:00:00"/>
    <s v="2026-01-19"/>
    <n v="0"/>
    <x v="1"/>
    <s v="Delivered"/>
    <x v="3"/>
    <x v="0"/>
  </r>
  <r>
    <n v="1708"/>
    <s v="ParcelOne"/>
    <d v="2026-05-15T00:00:00"/>
    <d v="2026-05-15T00:00:00"/>
    <d v="2026-05-20T00:00:00"/>
    <d v="2026-05-19T00:00:00"/>
    <s v="2026-05-19"/>
    <n v="0"/>
    <x v="1"/>
    <s v="Delivered"/>
    <x v="3"/>
    <x v="0"/>
  </r>
  <r>
    <n v="1709"/>
    <s v="ParcelOne"/>
    <d v="2026-01-20T00:00:00"/>
    <d v="2026-01-20T00:00:00"/>
    <d v="2026-01-25T00:00:00"/>
    <d v="2026-01-24T00:00:00"/>
    <s v="2026-01-24"/>
    <n v="0"/>
    <x v="1"/>
    <s v="Delivered"/>
    <x v="3"/>
    <x v="0"/>
  </r>
  <r>
    <n v="1710"/>
    <s v="MetroLogistics"/>
    <d v="2026-05-09T00:00:00"/>
    <d v="2026-05-09T00:00:00"/>
    <d v="2026-05-14T00:00:00"/>
    <d v="2026-05-18T00:00:00"/>
    <s v="2026-05-18"/>
    <n v="0"/>
    <x v="2"/>
    <s v="Delivered"/>
    <x v="2"/>
    <x v="0"/>
  </r>
  <r>
    <n v="1711"/>
    <s v="SwiftShip"/>
    <d v="2026-04-09T00:00:00"/>
    <d v="2026-04-09T00:00:00"/>
    <d v="2026-04-14T00:00:00"/>
    <d v="2026-04-12T00:00:00"/>
    <s v="2026-04-12"/>
    <n v="0"/>
    <x v="0"/>
    <s v="Delivered"/>
    <x v="3"/>
    <x v="0"/>
  </r>
  <r>
    <n v="1712"/>
    <s v="ParcelOne"/>
    <d v="2026-04-25T00:00:00"/>
    <d v="2026-04-25T00:00:00"/>
    <d v="2026-04-30T00:00:00"/>
    <d v="2026-04-29T00:00:00"/>
    <s v="2026-04-29"/>
    <n v="0"/>
    <x v="1"/>
    <s v="Delivered"/>
    <x v="3"/>
    <x v="0"/>
  </r>
  <r>
    <n v="1713"/>
    <s v="MetroLogistics"/>
    <d v="2026-03-30T00:00:00"/>
    <d v="2026-03-30T00:00:00"/>
    <d v="2026-04-04T00:00:00"/>
    <d v="2026-04-04T00:00:00"/>
    <s v="2026-04-04"/>
    <n v="0"/>
    <x v="2"/>
    <s v="Delivered"/>
    <x v="3"/>
    <x v="0"/>
  </r>
  <r>
    <n v="1714"/>
    <s v="MetroLogistics"/>
    <d v="2026-02-07T00:00:00"/>
    <d v="2026-02-07T00:00:00"/>
    <d v="2026-02-12T00:00:00"/>
    <d v="2026-02-12T00:00:00"/>
    <s v="2026-02-12"/>
    <n v="0"/>
    <x v="2"/>
    <s v="Delivered"/>
    <x v="3"/>
    <x v="0"/>
  </r>
  <r>
    <n v="1716"/>
    <s v="SwiftShip"/>
    <d v="2026-02-20T00:00:00"/>
    <d v="2026-02-20T00:00:00"/>
    <d v="2026-02-25T00:00:00"/>
    <d v="2026-02-25T00:00:00"/>
    <s v="2026-02-26"/>
    <n v="0"/>
    <x v="0"/>
    <s v="Delivered"/>
    <x v="3"/>
    <x v="0"/>
  </r>
  <r>
    <n v="1717"/>
    <s v="ParcelOne"/>
    <d v="2026-02-10T00:00:00"/>
    <d v="2026-02-10T00:00:00"/>
    <d v="2026-02-15T00:00:00"/>
    <d v="2026-02-16T00:00:00"/>
    <s v="2026-02-16"/>
    <n v="0"/>
    <x v="1"/>
    <s v="Delivered"/>
    <x v="2"/>
    <x v="0"/>
  </r>
  <r>
    <n v="1718"/>
    <s v="MetroLogistics"/>
    <d v="2026-05-13T00:00:00"/>
    <d v="2026-05-13T00:00:00"/>
    <d v="2026-05-18T00:00:00"/>
    <d v="2026-05-18T00:00:00"/>
    <s v="2026-05-18"/>
    <n v="0"/>
    <x v="2"/>
    <s v="Delivered"/>
    <x v="3"/>
    <x v="0"/>
  </r>
  <r>
    <n v="1719"/>
    <s v="SwiftShip"/>
    <d v="2026-05-09T00:00:00"/>
    <d v="2026-05-09T00:00:00"/>
    <d v="2026-05-14T00:00:00"/>
    <d v="2026-05-13T00:00:00"/>
    <s v="2026-05-14"/>
    <n v="0"/>
    <x v="0"/>
    <s v="Delivered"/>
    <x v="3"/>
    <x v="0"/>
  </r>
  <r>
    <n v="1720"/>
    <s v="ParcelOne"/>
    <d v="2026-02-27T00:00:00"/>
    <d v="2026-02-27T00:00:00"/>
    <d v="2026-03-04T00:00:00"/>
    <d v="2026-03-04T00:00:00"/>
    <s v="2026-03-04"/>
    <n v="0"/>
    <x v="1"/>
    <s v="Delivered"/>
    <x v="3"/>
    <x v="0"/>
  </r>
  <r>
    <n v="1721"/>
    <s v="ParcelOne"/>
    <d v="2026-05-02T00:00:00"/>
    <d v="2026-05-02T00:00:00"/>
    <d v="2026-05-07T00:00:00"/>
    <d v="2026-05-07T00:00:00"/>
    <s v="2026-05-07"/>
    <n v="0"/>
    <x v="1"/>
    <s v="Delivered"/>
    <x v="3"/>
    <x v="0"/>
  </r>
  <r>
    <n v="1722"/>
    <s v="ParcelOne"/>
    <d v="2026-02-17T00:00:00"/>
    <d v="2026-02-19T00:00:00"/>
    <d v="2026-02-22T00:00:00"/>
    <d v="2026-02-21T00:00:00"/>
    <s v="2026-02-21"/>
    <n v="0"/>
    <x v="1"/>
    <s v="Delivered"/>
    <x v="3"/>
    <x v="1"/>
  </r>
  <r>
    <n v="1723"/>
    <s v="SwiftShip"/>
    <d v="2026-05-22T00:00:00"/>
    <d v="2026-05-24T00:00:00"/>
    <d v="2026-05-27T00:00:00"/>
    <d v="2026-05-28T00:00:00"/>
    <s v="2026-05-28"/>
    <n v="0"/>
    <x v="0"/>
    <s v="Delivered"/>
    <x v="2"/>
    <x v="1"/>
  </r>
  <r>
    <n v="1724"/>
    <s v="SwiftShip"/>
    <d v="2026-01-05T00:00:00"/>
    <d v="2026-01-05T00:00:00"/>
    <d v="2026-01-10T00:00:00"/>
    <d v="2026-01-14T00:00:00"/>
    <s v="2026-01-16"/>
    <n v="0"/>
    <x v="0"/>
    <s v="Delivered"/>
    <x v="2"/>
    <x v="0"/>
  </r>
  <r>
    <n v="1725"/>
    <s v="SwiftShip"/>
    <d v="2026-03-02T00:00:00"/>
    <d v="2026-03-02T00:00:00"/>
    <d v="2026-03-07T00:00:00"/>
    <d v="2026-03-06T00:00:00"/>
    <s v="2026-03-07"/>
    <n v="0"/>
    <x v="0"/>
    <s v="Delivered"/>
    <x v="3"/>
    <x v="0"/>
  </r>
  <r>
    <n v="1726"/>
    <s v="ParcelOne"/>
    <d v="2026-06-30T00:00:00"/>
    <d v="2026-06-30T00:00:00"/>
    <d v="2026-07-05T00:00:00"/>
    <d v="2026-07-04T00:00:00"/>
    <s v="2026-07-06"/>
    <n v="0"/>
    <x v="1"/>
    <s v="Delivered"/>
    <x v="3"/>
    <x v="0"/>
  </r>
  <r>
    <n v="1727"/>
    <s v="MetroLogistics"/>
    <d v="2026-05-10T00:00:00"/>
    <d v="2026-05-10T00:00:00"/>
    <d v="2026-05-15T00:00:00"/>
    <d v="2026-05-16T00:00:00"/>
    <s v="2026-05-16"/>
    <n v="0"/>
    <x v="2"/>
    <s v="Delivered"/>
    <x v="2"/>
    <x v="0"/>
  </r>
  <r>
    <n v="1728"/>
    <s v="MetroLogistics"/>
    <d v="2026-01-08T00:00:00"/>
    <d v="2026-01-08T00:00:00"/>
    <d v="2026-01-13T00:00:00"/>
    <d v="2026-01-14T00:00:00"/>
    <s v="2026-01-16"/>
    <n v="0"/>
    <x v="2"/>
    <s v="Delivered"/>
    <x v="2"/>
    <x v="0"/>
  </r>
  <r>
    <n v="1729"/>
    <s v="SwiftShip"/>
    <d v="2026-04-13T00:00:00"/>
    <m/>
    <d v="2026-04-18T00:00:00"/>
    <m/>
    <m/>
    <n v="0"/>
    <x v="0"/>
    <s v="Pending"/>
    <x v="0"/>
    <x v="2"/>
  </r>
  <r>
    <n v="1730"/>
    <s v="ParcelOne"/>
    <d v="2026-01-30T00:00:00"/>
    <d v="2026-01-31T00:00:00"/>
    <d v="2026-02-04T00:00:00"/>
    <d v="2026-02-04T00:00:00"/>
    <s v="2026-02-04"/>
    <n v="0"/>
    <x v="1"/>
    <s v="Delivered"/>
    <x v="3"/>
    <x v="1"/>
  </r>
  <r>
    <n v="1731"/>
    <s v="SwiftShip"/>
    <d v="2026-01-20T00:00:00"/>
    <d v="2026-01-20T00:00:00"/>
    <d v="2026-01-25T00:00:00"/>
    <m/>
    <m/>
    <n v="0"/>
    <x v="0"/>
    <s v="Shipped"/>
    <x v="0"/>
    <x v="0"/>
  </r>
  <r>
    <n v="1732"/>
    <s v="ParcelOne"/>
    <d v="2026-05-15T00:00:00"/>
    <d v="2026-05-15T00:00:00"/>
    <d v="2026-05-20T00:00:00"/>
    <d v="2026-05-20T00:00:00"/>
    <s v="2026-05-20"/>
    <n v="0"/>
    <x v="1"/>
    <s v="Delivered"/>
    <x v="3"/>
    <x v="0"/>
  </r>
  <r>
    <n v="1734"/>
    <s v="MetroLogistics"/>
    <d v="2026-06-06T00:00:00"/>
    <d v="2026-06-08T00:00:00"/>
    <d v="2026-06-11T00:00:00"/>
    <d v="2026-06-11T00:00:00"/>
    <s v="2026-06-12"/>
    <n v="0"/>
    <x v="2"/>
    <s v="Delivered"/>
    <x v="3"/>
    <x v="1"/>
  </r>
  <r>
    <n v="1735"/>
    <s v="MetroLogistics"/>
    <d v="2026-03-07T00:00:00"/>
    <d v="2026-03-07T00:00:00"/>
    <d v="2026-03-12T00:00:00"/>
    <d v="2026-03-14T00:00:00"/>
    <s v="2026-03-14"/>
    <n v="0"/>
    <x v="2"/>
    <s v="Delivered"/>
    <x v="2"/>
    <x v="0"/>
  </r>
  <r>
    <n v="1736"/>
    <s v="ParcelOne"/>
    <d v="2026-03-20T00:00:00"/>
    <d v="2026-03-20T00:00:00"/>
    <d v="2026-03-25T00:00:00"/>
    <d v="2026-03-25T00:00:00"/>
    <s v="2026-03-25"/>
    <n v="0"/>
    <x v="1"/>
    <s v="Delivered"/>
    <x v="3"/>
    <x v="0"/>
  </r>
  <r>
    <n v="1737"/>
    <s v="ParcelOne"/>
    <d v="2026-04-13T00:00:00"/>
    <d v="2026-04-14T00:00:00"/>
    <d v="2026-04-18T00:00:00"/>
    <d v="2026-04-18T00:00:00"/>
    <s v="2026-04-18"/>
    <n v="0"/>
    <x v="1"/>
    <s v="Delivered"/>
    <x v="3"/>
    <x v="1"/>
  </r>
  <r>
    <n v="1738"/>
    <s v="SwiftShip"/>
    <d v="2026-06-30T00:00:00"/>
    <d v="2026-06-30T00:00:00"/>
    <d v="2026-07-05T00:00:00"/>
    <d v="2026-07-04T00:00:00"/>
    <s v="2026-07-04"/>
    <n v="0"/>
    <x v="0"/>
    <s v="Delivered"/>
    <x v="3"/>
    <x v="0"/>
  </r>
  <r>
    <n v="1739"/>
    <s v="MetroLogistics"/>
    <d v="2026-04-17T00:00:00"/>
    <d v="2026-04-17T00:00:00"/>
    <d v="2026-04-22T00:00:00"/>
    <d v="2026-04-20T00:00:00"/>
    <s v="2026-04-20"/>
    <n v="0"/>
    <x v="2"/>
    <s v="Delivered"/>
    <x v="3"/>
    <x v="0"/>
  </r>
  <r>
    <n v="1740"/>
    <s v="SwiftShip"/>
    <d v="2026-05-01T00:00:00"/>
    <d v="2026-05-01T00:00:00"/>
    <d v="2026-05-06T00:00:00"/>
    <d v="2026-05-05T00:00:00"/>
    <s v="2026-05-07"/>
    <n v="0"/>
    <x v="0"/>
    <s v="Delivered"/>
    <x v="3"/>
    <x v="0"/>
  </r>
  <r>
    <n v="1741"/>
    <s v="ParcelOne"/>
    <d v="2026-06-23T00:00:00"/>
    <d v="2026-06-23T00:00:00"/>
    <d v="2026-06-28T00:00:00"/>
    <d v="2026-06-29T00:00:00"/>
    <s v="2026-06-30"/>
    <n v="0"/>
    <x v="1"/>
    <s v="Delivered"/>
    <x v="2"/>
    <x v="0"/>
  </r>
  <r>
    <n v="1742"/>
    <s v="ParcelOne"/>
    <d v="2026-01-07T00:00:00"/>
    <d v="2026-01-07T00:00:00"/>
    <d v="2026-01-12T00:00:00"/>
    <d v="2026-01-13T00:00:00"/>
    <s v="2026-01-13"/>
    <n v="0"/>
    <x v="1"/>
    <s v="Delivered"/>
    <x v="2"/>
    <x v="0"/>
  </r>
  <r>
    <n v="1743"/>
    <s v="MetroLogistics"/>
    <d v="2026-04-25T00:00:00"/>
    <d v="2026-04-26T00:00:00"/>
    <d v="2026-04-30T00:00:00"/>
    <d v="2026-05-01T00:00:00"/>
    <s v="2026-05-01"/>
    <n v="0"/>
    <x v="2"/>
    <s v="Delivered"/>
    <x v="2"/>
    <x v="1"/>
  </r>
  <r>
    <n v="1745"/>
    <s v="ParcelOne"/>
    <d v="2026-02-23T00:00:00"/>
    <d v="2026-02-23T00:00:00"/>
    <d v="2026-02-28T00:00:00"/>
    <m/>
    <m/>
    <n v="0"/>
    <x v="1"/>
    <s v="Shipped"/>
    <x v="0"/>
    <x v="0"/>
  </r>
  <r>
    <n v="1746"/>
    <s v="SwiftShip"/>
    <d v="2026-01-06T00:00:00"/>
    <d v="2026-01-06T00:00:00"/>
    <d v="2026-01-11T00:00:00"/>
    <d v="2026-01-11T00:00:00"/>
    <s v="2026-01-12"/>
    <n v="0"/>
    <x v="0"/>
    <s v="Delivered"/>
    <x v="3"/>
    <x v="0"/>
  </r>
  <r>
    <n v="1747"/>
    <s v="SwiftShip"/>
    <d v="2026-05-26T00:00:00"/>
    <d v="2026-05-26T00:00:00"/>
    <d v="2026-05-31T00:00:00"/>
    <d v="2026-05-30T00:00:00"/>
    <s v="2026-05-30"/>
    <n v="0"/>
    <x v="0"/>
    <s v="Delivered"/>
    <x v="3"/>
    <x v="0"/>
  </r>
  <r>
    <n v="1748"/>
    <s v="ParcelOne"/>
    <d v="2026-01-06T00:00:00"/>
    <d v="2026-01-06T00:00:00"/>
    <d v="2026-01-11T00:00:00"/>
    <d v="2026-01-11T00:00:00"/>
    <s v="2026-01-11"/>
    <n v="0"/>
    <x v="1"/>
    <s v="Delivered"/>
    <x v="3"/>
    <x v="0"/>
  </r>
  <r>
    <n v="1749"/>
    <s v="MetroLogistics"/>
    <d v="2026-04-18T00:00:00"/>
    <d v="2026-04-18T00:00:00"/>
    <d v="2026-04-23T00:00:00"/>
    <d v="2026-04-22T00:00:00"/>
    <s v="2026-04-22"/>
    <n v="0"/>
    <x v="2"/>
    <s v="Delivered"/>
    <x v="3"/>
    <x v="0"/>
  </r>
  <r>
    <n v="1750"/>
    <s v="SwiftShip"/>
    <d v="2026-06-30T00:00:00"/>
    <d v="2026-06-30T00:00:00"/>
    <d v="2026-07-05T00:00:00"/>
    <d v="2026-07-03T00:00:00"/>
    <s v="2026-07-05"/>
    <n v="0"/>
    <x v="0"/>
    <s v="Delivered"/>
    <x v="3"/>
    <x v="0"/>
  </r>
  <r>
    <n v="1751"/>
    <s v="ParcelOne"/>
    <d v="2026-04-10T00:00:00"/>
    <d v="2026-04-10T00:00:00"/>
    <d v="2026-04-15T00:00:00"/>
    <d v="2026-04-15T00:00:00"/>
    <s v="2026-04-15"/>
    <n v="0"/>
    <x v="1"/>
    <s v="Delivered"/>
    <x v="3"/>
    <x v="0"/>
  </r>
  <r>
    <n v="1752"/>
    <s v="SwiftShip"/>
    <d v="2026-01-18T00:00:00"/>
    <d v="2026-01-18T00:00:00"/>
    <d v="2026-01-23T00:00:00"/>
    <d v="2026-01-22T00:00:00"/>
    <s v="2026-01-22"/>
    <n v="0"/>
    <x v="0"/>
    <s v="Delivered"/>
    <x v="3"/>
    <x v="0"/>
  </r>
  <r>
    <n v="1753"/>
    <s v="MetroLogistics"/>
    <d v="2026-03-28T00:00:00"/>
    <d v="2026-03-29T00:00:00"/>
    <d v="2026-04-02T00:00:00"/>
    <d v="2026-04-02T00:00:00"/>
    <s v="2026-04-02"/>
    <n v="0"/>
    <x v="2"/>
    <s v="Delivered"/>
    <x v="3"/>
    <x v="1"/>
  </r>
  <r>
    <n v="1755"/>
    <s v="MetroLogistics"/>
    <d v="2026-04-26T00:00:00"/>
    <d v="2026-04-28T00:00:00"/>
    <d v="2026-05-01T00:00:00"/>
    <d v="2026-04-30T00:00:00"/>
    <s v="2026-04-30"/>
    <n v="0"/>
    <x v="2"/>
    <s v="Delivered"/>
    <x v="3"/>
    <x v="1"/>
  </r>
  <r>
    <n v="1756"/>
    <s v="ParcelOne"/>
    <d v="2026-02-24T00:00:00"/>
    <d v="2026-02-24T00:00:00"/>
    <d v="2026-03-01T00:00:00"/>
    <d v="2026-02-28T00:00:00"/>
    <s v="2026-02-28"/>
    <n v="0"/>
    <x v="1"/>
    <s v="Delivered"/>
    <x v="3"/>
    <x v="0"/>
  </r>
  <r>
    <n v="1757"/>
    <s v="MetroLogistics"/>
    <d v="2026-03-21T00:00:00"/>
    <d v="2026-03-21T00:00:00"/>
    <d v="2026-03-26T00:00:00"/>
    <d v="2026-03-26T00:00:00"/>
    <s v="2026-03-26"/>
    <n v="0"/>
    <x v="2"/>
    <s v="Delivered"/>
    <x v="3"/>
    <x v="0"/>
  </r>
  <r>
    <n v="1758"/>
    <s v="MetroLogistics"/>
    <d v="2026-04-23T00:00:00"/>
    <d v="2026-04-24T00:00:00"/>
    <d v="2026-04-28T00:00:00"/>
    <d v="2026-04-29T00:00:00"/>
    <s v="2026-05-01"/>
    <n v="0"/>
    <x v="2"/>
    <s v="Delivered"/>
    <x v="2"/>
    <x v="1"/>
  </r>
  <r>
    <n v="1759"/>
    <s v="SwiftShip"/>
    <d v="2026-05-20T00:00:00"/>
    <d v="2026-05-20T00:00:00"/>
    <d v="2026-05-25T00:00:00"/>
    <d v="2026-05-25T00:00:00"/>
    <s v="2026-05-25"/>
    <n v="0"/>
    <x v="0"/>
    <s v="Delivered"/>
    <x v="3"/>
    <x v="0"/>
  </r>
  <r>
    <n v="1760"/>
    <s v="SwiftShip"/>
    <d v="2026-02-06T00:00:00"/>
    <d v="2026-02-06T00:00:00"/>
    <d v="2026-02-11T00:00:00"/>
    <d v="2026-02-11T00:00:00"/>
    <s v="2026-02-11"/>
    <n v="0"/>
    <x v="0"/>
    <s v="Delivered"/>
    <x v="3"/>
    <x v="0"/>
  </r>
  <r>
    <n v="1761"/>
    <s v="ParcelOne"/>
    <d v="2026-04-16T00:00:00"/>
    <d v="2026-04-17T00:00:00"/>
    <d v="2026-04-21T00:00:00"/>
    <m/>
    <m/>
    <n v="0"/>
    <x v="1"/>
    <s v="Shipped"/>
    <x v="0"/>
    <x v="1"/>
  </r>
  <r>
    <n v="1762"/>
    <s v="MetroLogistics"/>
    <d v="2026-04-11T00:00:00"/>
    <d v="2026-04-11T00:00:00"/>
    <d v="2026-04-16T00:00:00"/>
    <m/>
    <m/>
    <n v="0"/>
    <x v="2"/>
    <s v="Shipped"/>
    <x v="0"/>
    <x v="0"/>
  </r>
  <r>
    <n v="1763"/>
    <s v="MetroLogistics"/>
    <d v="2026-04-02T00:00:00"/>
    <d v="2026-04-02T00:00:00"/>
    <d v="2026-04-07T00:00:00"/>
    <d v="2026-04-05T00:00:00"/>
    <s v="2026-04-06"/>
    <n v="0"/>
    <x v="2"/>
    <s v="Delivered"/>
    <x v="3"/>
    <x v="0"/>
  </r>
  <r>
    <n v="1764"/>
    <s v="ParcelOne"/>
    <d v="2026-07-02T00:00:00"/>
    <d v="2026-07-02T00:00:00"/>
    <d v="2026-07-07T00:00:00"/>
    <d v="2026-07-07T00:00:00"/>
    <s v="2026-07-07"/>
    <n v="0"/>
    <x v="1"/>
    <s v="Delivered"/>
    <x v="3"/>
    <x v="0"/>
  </r>
  <r>
    <n v="1765"/>
    <s v="MetroLogistics"/>
    <d v="2026-01-06T00:00:00"/>
    <d v="2026-01-06T00:00:00"/>
    <d v="2026-01-11T00:00:00"/>
    <d v="2026-01-11T00:00:00"/>
    <s v="2026-01-11"/>
    <n v="0"/>
    <x v="2"/>
    <s v="Delivered"/>
    <x v="3"/>
    <x v="0"/>
  </r>
  <r>
    <n v="1766"/>
    <s v="MetroLogistics"/>
    <d v="2026-05-19T00:00:00"/>
    <d v="2026-05-19T00:00:00"/>
    <d v="2026-05-24T00:00:00"/>
    <d v="2026-05-23T00:00:00"/>
    <s v="2026-05-23"/>
    <n v="0"/>
    <x v="2"/>
    <s v="Delivered"/>
    <x v="3"/>
    <x v="0"/>
  </r>
  <r>
    <n v="1767"/>
    <s v="ParcelOne"/>
    <d v="2026-03-22T00:00:00"/>
    <d v="2026-03-22T00:00:00"/>
    <d v="2026-03-27T00:00:00"/>
    <d v="2026-03-27T00:00:00"/>
    <s v="2026-03-27"/>
    <n v="0"/>
    <x v="1"/>
    <s v="Delivered"/>
    <x v="3"/>
    <x v="0"/>
  </r>
  <r>
    <n v="1768"/>
    <s v="ParcelOne"/>
    <d v="2026-02-17T00:00:00"/>
    <d v="2026-02-17T00:00:00"/>
    <d v="2026-02-22T00:00:00"/>
    <d v="2026-02-21T00:00:00"/>
    <s v="2026-02-21"/>
    <n v="0"/>
    <x v="1"/>
    <s v="Delivered"/>
    <x v="3"/>
    <x v="0"/>
  </r>
  <r>
    <n v="1769"/>
    <s v="MetroLogistics"/>
    <d v="2026-02-19T00:00:00"/>
    <d v="2026-02-19T00:00:00"/>
    <d v="2026-02-24T00:00:00"/>
    <d v="2026-02-26T00:00:00"/>
    <s v="2026-02-26"/>
    <n v="0"/>
    <x v="2"/>
    <s v="Delivered"/>
    <x v="2"/>
    <x v="0"/>
  </r>
  <r>
    <n v="1770"/>
    <s v="ParcelOne"/>
    <d v="2026-02-14T00:00:00"/>
    <d v="2026-02-14T00:00:00"/>
    <d v="2026-02-19T00:00:00"/>
    <d v="2026-02-18T00:00:00"/>
    <s v="2026-02-18"/>
    <n v="0"/>
    <x v="1"/>
    <s v="Delivered"/>
    <x v="3"/>
    <x v="0"/>
  </r>
  <r>
    <n v="1771"/>
    <s v="SwiftShip"/>
    <d v="2026-01-05T00:00:00"/>
    <d v="2026-01-05T00:00:00"/>
    <d v="2026-01-10T00:00:00"/>
    <d v="2026-01-14T00:00:00"/>
    <s v="2026-01-14"/>
    <n v="0"/>
    <x v="0"/>
    <s v="Delivered"/>
    <x v="2"/>
    <x v="0"/>
  </r>
  <r>
    <n v="1772"/>
    <s v="SwiftShip"/>
    <d v="2026-05-04T00:00:00"/>
    <d v="2026-05-05T00:00:00"/>
    <d v="2026-05-09T00:00:00"/>
    <d v="2026-05-13T00:00:00"/>
    <s v="2026-05-13"/>
    <n v="0"/>
    <x v="0"/>
    <s v="Delivered"/>
    <x v="2"/>
    <x v="1"/>
  </r>
  <r>
    <n v="1773"/>
    <s v="MetroLogistics"/>
    <d v="2026-06-08T00:00:00"/>
    <d v="2026-06-08T00:00:00"/>
    <d v="2026-06-13T00:00:00"/>
    <d v="2026-06-15T00:00:00"/>
    <s v="2026-06-15"/>
    <n v="0"/>
    <x v="2"/>
    <s v="Delivered"/>
    <x v="2"/>
    <x v="0"/>
  </r>
  <r>
    <n v="1775"/>
    <s v="ParcelOne"/>
    <d v="2026-01-03T00:00:00"/>
    <m/>
    <d v="2026-01-08T00:00:00"/>
    <m/>
    <m/>
    <n v="0"/>
    <x v="1"/>
    <s v="Pending"/>
    <x v="0"/>
    <x v="2"/>
  </r>
  <r>
    <n v="1776"/>
    <s v="MetroLogistics"/>
    <d v="2026-03-27T00:00:00"/>
    <d v="2026-03-29T00:00:00"/>
    <d v="2026-04-01T00:00:00"/>
    <d v="2026-04-05T00:00:00"/>
    <s v="2026-04-05"/>
    <n v="0"/>
    <x v="2"/>
    <s v="Delivered"/>
    <x v="2"/>
    <x v="1"/>
  </r>
  <r>
    <n v="1778"/>
    <s v="MetroLogistics"/>
    <d v="2026-02-04T00:00:00"/>
    <d v="2026-02-05T00:00:00"/>
    <d v="2026-02-09T00:00:00"/>
    <d v="2026-02-13T00:00:00"/>
    <s v="2026-02-13"/>
    <n v="0"/>
    <x v="2"/>
    <s v="Delivered"/>
    <x v="2"/>
    <x v="1"/>
  </r>
  <r>
    <n v="1779"/>
    <s v="SwiftShip"/>
    <d v="2026-03-05T00:00:00"/>
    <d v="2026-03-07T00:00:00"/>
    <d v="2026-03-10T00:00:00"/>
    <d v="2026-03-10T00:00:00"/>
    <s v="2026-03-10"/>
    <n v="0"/>
    <x v="0"/>
    <s v="Delivered"/>
    <x v="3"/>
    <x v="1"/>
  </r>
  <r>
    <n v="1780"/>
    <s v="MetroLogistics"/>
    <d v="2026-02-28T00:00:00"/>
    <d v="2026-03-01T00:00:00"/>
    <d v="2026-03-05T00:00:00"/>
    <d v="2026-03-09T00:00:00"/>
    <s v="2026-03-09"/>
    <n v="0"/>
    <x v="2"/>
    <s v="Delivered"/>
    <x v="2"/>
    <x v="1"/>
  </r>
  <r>
    <n v="1781"/>
    <s v="SwiftShip"/>
    <d v="2026-01-19T00:00:00"/>
    <d v="2026-01-19T00:00:00"/>
    <d v="2026-01-24T00:00:00"/>
    <d v="2026-01-24T00:00:00"/>
    <s v="2026-01-24"/>
    <n v="0"/>
    <x v="0"/>
    <s v="Delivered"/>
    <x v="3"/>
    <x v="0"/>
  </r>
  <r>
    <n v="1782"/>
    <s v="MetroLogistics"/>
    <d v="2026-06-03T00:00:00"/>
    <d v="2026-06-03T00:00:00"/>
    <d v="2026-06-08T00:00:00"/>
    <m/>
    <m/>
    <n v="0"/>
    <x v="2"/>
    <s v="Shipped"/>
    <x v="0"/>
    <x v="0"/>
  </r>
  <r>
    <n v="1783"/>
    <s v="SwiftShip"/>
    <d v="2026-02-20T00:00:00"/>
    <d v="2026-02-20T00:00:00"/>
    <d v="2026-02-25T00:00:00"/>
    <d v="2026-02-23T00:00:00"/>
    <s v="2026-02-24"/>
    <n v="0"/>
    <x v="0"/>
    <s v="Delivered"/>
    <x v="3"/>
    <x v="0"/>
  </r>
  <r>
    <n v="1784"/>
    <s v="MetroLogistics"/>
    <d v="2026-02-09T00:00:00"/>
    <d v="2026-02-09T00:00:00"/>
    <d v="2026-02-14T00:00:00"/>
    <d v="2026-02-14T00:00:00"/>
    <s v="2026-02-14"/>
    <n v="0"/>
    <x v="2"/>
    <s v="Delivered"/>
    <x v="3"/>
    <x v="0"/>
  </r>
  <r>
    <n v="1785"/>
    <s v="SwiftShip"/>
    <d v="2026-01-11T00:00:00"/>
    <d v="2026-01-11T00:00:00"/>
    <d v="2026-01-16T00:00:00"/>
    <d v="2026-01-20T00:00:00"/>
    <s v="2026-01-20"/>
    <n v="0"/>
    <x v="0"/>
    <s v="Delivered"/>
    <x v="2"/>
    <x v="0"/>
  </r>
  <r>
    <n v="1786"/>
    <s v="ParcelOne"/>
    <d v="2026-02-11T00:00:00"/>
    <d v="2026-02-13T00:00:00"/>
    <d v="2026-02-16T00:00:00"/>
    <d v="2026-02-16T00:00:00"/>
    <s v="2026-02-17"/>
    <n v="0"/>
    <x v="1"/>
    <s v="Delivered"/>
    <x v="3"/>
    <x v="1"/>
  </r>
  <r>
    <n v="1787"/>
    <s v="MetroLogistics"/>
    <d v="2026-05-23T00:00:00"/>
    <d v="2026-05-23T00:00:00"/>
    <d v="2026-05-28T00:00:00"/>
    <d v="2026-06-01T00:00:00"/>
    <s v="2026-06-01"/>
    <n v="0"/>
    <x v="2"/>
    <s v="Delivered"/>
    <x v="2"/>
    <x v="0"/>
  </r>
  <r>
    <n v="1788"/>
    <s v="ParcelOne"/>
    <d v="2026-04-13T00:00:00"/>
    <d v="2026-04-13T00:00:00"/>
    <d v="2026-04-18T00:00:00"/>
    <d v="2026-04-18T00:00:00"/>
    <s v="2026-04-18"/>
    <n v="0"/>
    <x v="1"/>
    <s v="Delivered"/>
    <x v="3"/>
    <x v="0"/>
  </r>
  <r>
    <n v="1789"/>
    <s v="ParcelOne"/>
    <d v="2026-02-22T00:00:00"/>
    <d v="2026-02-22T00:00:00"/>
    <d v="2026-02-27T00:00:00"/>
    <d v="2026-03-03T00:00:00"/>
    <s v="2026-03-03"/>
    <n v="0"/>
    <x v="1"/>
    <s v="Delivered"/>
    <x v="2"/>
    <x v="0"/>
  </r>
  <r>
    <n v="1790"/>
    <s v="ParcelOne"/>
    <d v="2026-01-17T00:00:00"/>
    <d v="2026-01-19T00:00:00"/>
    <d v="2026-01-22T00:00:00"/>
    <d v="2026-01-22T00:00:00"/>
    <s v="2026-01-22"/>
    <n v="0"/>
    <x v="1"/>
    <s v="Delivered"/>
    <x v="3"/>
    <x v="1"/>
  </r>
  <r>
    <n v="1791"/>
    <s v="ParcelOne"/>
    <d v="2026-06-12T00:00:00"/>
    <d v="2026-06-12T00:00:00"/>
    <d v="2026-06-17T00:00:00"/>
    <d v="2026-06-17T00:00:00"/>
    <s v="2026-06-17"/>
    <n v="0"/>
    <x v="1"/>
    <s v="Delivered"/>
    <x v="3"/>
    <x v="0"/>
  </r>
  <r>
    <n v="1792"/>
    <s v="SwiftShip"/>
    <d v="2026-06-19T00:00:00"/>
    <d v="2026-06-19T00:00:00"/>
    <d v="2026-06-24T00:00:00"/>
    <d v="2026-06-23T00:00:00"/>
    <s v="2026-06-23"/>
    <n v="0"/>
    <x v="0"/>
    <s v="Delivered"/>
    <x v="3"/>
    <x v="0"/>
  </r>
  <r>
    <n v="1793"/>
    <s v="ParcelOne"/>
    <d v="2026-06-16T00:00:00"/>
    <d v="2026-06-16T00:00:00"/>
    <d v="2026-06-21T00:00:00"/>
    <d v="2026-06-22T00:00:00"/>
    <s v="2026-06-22"/>
    <n v="0"/>
    <x v="1"/>
    <s v="Delivered"/>
    <x v="2"/>
    <x v="0"/>
  </r>
  <r>
    <n v="1794"/>
    <s v="ParcelOne"/>
    <d v="2026-04-11T00:00:00"/>
    <d v="2026-04-11T00:00:00"/>
    <d v="2026-04-16T00:00:00"/>
    <d v="2026-04-18T00:00:00"/>
    <s v="2026-04-18"/>
    <n v="0"/>
    <x v="1"/>
    <s v="Delivered"/>
    <x v="2"/>
    <x v="0"/>
  </r>
  <r>
    <n v="1795"/>
    <s v="MetroLogistics"/>
    <d v="2026-04-16T00:00:00"/>
    <d v="2026-04-16T00:00:00"/>
    <d v="2026-04-21T00:00:00"/>
    <d v="2026-04-21T00:00:00"/>
    <s v="2026-04-21"/>
    <n v="0"/>
    <x v="2"/>
    <s v="Delivered"/>
    <x v="3"/>
    <x v="0"/>
  </r>
  <r>
    <n v="1796"/>
    <s v="ParcelOne"/>
    <d v="2026-02-03T00:00:00"/>
    <d v="2026-02-04T00:00:00"/>
    <d v="2026-02-08T00:00:00"/>
    <d v="2026-02-07T00:00:00"/>
    <s v="2026-02-07"/>
    <n v="0"/>
    <x v="1"/>
    <s v="Delivered"/>
    <x v="3"/>
    <x v="1"/>
  </r>
  <r>
    <n v="1797"/>
    <s v="MetroLogistics"/>
    <d v="2026-06-19T00:00:00"/>
    <d v="2026-06-19T00:00:00"/>
    <d v="2026-06-24T00:00:00"/>
    <d v="2026-06-24T00:00:00"/>
    <s v="2026-06-24"/>
    <n v="0"/>
    <x v="2"/>
    <s v="Delivered"/>
    <x v="3"/>
    <x v="0"/>
  </r>
  <r>
    <n v="1798"/>
    <s v="SwiftShip"/>
    <d v="2026-01-03T00:00:00"/>
    <d v="2026-01-03T00:00:00"/>
    <d v="2026-01-08T00:00:00"/>
    <d v="2026-01-08T00:00:00"/>
    <s v="2026-01-10"/>
    <n v="0"/>
    <x v="0"/>
    <s v="Delivered"/>
    <x v="3"/>
    <x v="0"/>
  </r>
  <r>
    <n v="1799"/>
    <s v="ParcelOne"/>
    <d v="2026-06-07T00:00:00"/>
    <d v="2026-06-07T00:00:00"/>
    <d v="2026-06-12T00:00:00"/>
    <d v="2026-06-14T00:00:00"/>
    <s v="2026-06-14"/>
    <n v="0"/>
    <x v="1"/>
    <s v="Delivered"/>
    <x v="2"/>
    <x v="0"/>
  </r>
  <r>
    <n v="1800"/>
    <s v="ParcelOne"/>
    <d v="2026-06-06T00:00:00"/>
    <d v="2026-06-06T00:00:00"/>
    <d v="2026-06-11T00:00:00"/>
    <d v="2026-06-11T00:00:00"/>
    <s v="2026-06-11"/>
    <n v="0"/>
    <x v="1"/>
    <s v="Delivered"/>
    <x v="3"/>
    <x v="0"/>
  </r>
  <r>
    <n v="1801"/>
    <s v="SwiftShip"/>
    <d v="2026-04-15T00:00:00"/>
    <d v="2026-04-17T00:00:00"/>
    <d v="2026-04-20T00:00:00"/>
    <d v="2026-04-21T00:00:00"/>
    <s v="2026-04-21"/>
    <n v="0"/>
    <x v="0"/>
    <s v="Delivered"/>
    <x v="2"/>
    <x v="1"/>
  </r>
  <r>
    <n v="1802"/>
    <s v="ParcelOne"/>
    <d v="2026-05-27T00:00:00"/>
    <d v="2026-05-27T00:00:00"/>
    <d v="2026-06-01T00:00:00"/>
    <d v="2026-06-01T00:00:00"/>
    <s v="2026-06-01"/>
    <n v="0"/>
    <x v="1"/>
    <s v="Delivered"/>
    <x v="3"/>
    <x v="0"/>
  </r>
  <r>
    <n v="1803"/>
    <s v="ParcelOne"/>
    <d v="2026-05-19T00:00:00"/>
    <d v="2026-05-21T00:00:00"/>
    <d v="2026-05-24T00:00:00"/>
    <d v="2026-05-25T00:00:00"/>
    <s v="2026-05-25"/>
    <n v="0"/>
    <x v="1"/>
    <s v="Delivered"/>
    <x v="2"/>
    <x v="1"/>
  </r>
  <r>
    <n v="1804"/>
    <s v="SwiftShip"/>
    <d v="2026-03-14T00:00:00"/>
    <d v="2026-03-14T00:00:00"/>
    <d v="2026-03-19T00:00:00"/>
    <d v="2026-03-18T00:00:00"/>
    <s v="2026-03-18"/>
    <n v="0"/>
    <x v="0"/>
    <s v="Delivered"/>
    <x v="3"/>
    <x v="0"/>
  </r>
  <r>
    <n v="1805"/>
    <s v="MetroLogistics"/>
    <d v="2026-06-02T00:00:00"/>
    <d v="2026-06-02T00:00:00"/>
    <d v="2026-06-07T00:00:00"/>
    <d v="2026-06-09T00:00:00"/>
    <s v="2026-06-09"/>
    <n v="0"/>
    <x v="2"/>
    <s v="Delivered"/>
    <x v="2"/>
    <x v="0"/>
  </r>
  <r>
    <n v="1807"/>
    <s v="SwiftShip"/>
    <d v="2026-05-05T00:00:00"/>
    <d v="2026-05-05T00:00:00"/>
    <d v="2026-05-10T00:00:00"/>
    <d v="2026-05-09T00:00:00"/>
    <s v="2026-05-09"/>
    <n v="0"/>
    <x v="0"/>
    <s v="Delivered"/>
    <x v="3"/>
    <x v="0"/>
  </r>
  <r>
    <n v="1808"/>
    <s v="SwiftShip"/>
    <d v="2026-01-16T00:00:00"/>
    <d v="2026-01-16T00:00:00"/>
    <d v="2026-01-21T00:00:00"/>
    <m/>
    <m/>
    <n v="0"/>
    <x v="0"/>
    <s v="Shipped"/>
    <x v="0"/>
    <x v="0"/>
  </r>
  <r>
    <n v="1809"/>
    <s v="ParcelOne"/>
    <d v="2026-05-02T00:00:00"/>
    <d v="2026-05-04T00:00:00"/>
    <d v="2026-05-07T00:00:00"/>
    <d v="2026-05-07T00:00:00"/>
    <s v="2026-05-07"/>
    <n v="0"/>
    <x v="1"/>
    <s v="Delivered"/>
    <x v="3"/>
    <x v="1"/>
  </r>
  <r>
    <n v="1810"/>
    <s v="ParcelOne"/>
    <d v="2026-06-14T00:00:00"/>
    <d v="2026-06-14T00:00:00"/>
    <d v="2026-06-19T00:00:00"/>
    <d v="2026-06-19T00:00:00"/>
    <s v="2026-06-21"/>
    <n v="0"/>
    <x v="1"/>
    <s v="Delivered"/>
    <x v="3"/>
    <x v="0"/>
  </r>
  <r>
    <n v="1811"/>
    <s v="ParcelOne"/>
    <d v="2026-04-21T00:00:00"/>
    <d v="2026-04-21T00:00:00"/>
    <d v="2026-04-26T00:00:00"/>
    <d v="2026-04-25T00:00:00"/>
    <s v="2026-04-26"/>
    <n v="0"/>
    <x v="1"/>
    <s v="Delivered"/>
    <x v="3"/>
    <x v="0"/>
  </r>
  <r>
    <n v="1812"/>
    <s v="MetroLogistics"/>
    <d v="2026-04-21T00:00:00"/>
    <d v="2026-04-21T00:00:00"/>
    <d v="2026-04-26T00:00:00"/>
    <d v="2026-04-30T00:00:00"/>
    <s v="2026-04-30"/>
    <n v="0"/>
    <x v="2"/>
    <s v="Delivered"/>
    <x v="2"/>
    <x v="0"/>
  </r>
  <r>
    <n v="1813"/>
    <s v="SwiftShip"/>
    <d v="2026-03-01T00:00:00"/>
    <d v="2026-03-03T00:00:00"/>
    <d v="2026-03-06T00:00:00"/>
    <d v="2026-03-06T00:00:00"/>
    <s v="2026-03-06"/>
    <n v="0"/>
    <x v="0"/>
    <s v="Delivered"/>
    <x v="3"/>
    <x v="1"/>
  </r>
  <r>
    <n v="1814"/>
    <s v="ParcelOne"/>
    <d v="2026-01-31T00:00:00"/>
    <d v="2026-01-31T00:00:00"/>
    <d v="2026-02-05T00:00:00"/>
    <d v="2026-02-06T00:00:00"/>
    <s v="2026-02-06"/>
    <n v="0"/>
    <x v="1"/>
    <s v="Delivered"/>
    <x v="2"/>
    <x v="0"/>
  </r>
  <r>
    <n v="1815"/>
    <s v="ParcelOne"/>
    <d v="2026-03-22T00:00:00"/>
    <d v="2026-03-22T00:00:00"/>
    <d v="2026-03-27T00:00:00"/>
    <m/>
    <m/>
    <n v="0"/>
    <x v="1"/>
    <s v="Shipped"/>
    <x v="0"/>
    <x v="0"/>
  </r>
  <r>
    <n v="1816"/>
    <s v="ParcelOne"/>
    <d v="2026-06-09T00:00:00"/>
    <d v="2026-06-09T00:00:00"/>
    <d v="2026-06-14T00:00:00"/>
    <d v="2026-06-12T00:00:00"/>
    <s v="2026-06-12"/>
    <n v="0"/>
    <x v="1"/>
    <s v="Delivered"/>
    <x v="3"/>
    <x v="0"/>
  </r>
  <r>
    <n v="1817"/>
    <s v="SwiftShip"/>
    <d v="2026-01-24T00:00:00"/>
    <d v="2026-01-24T00:00:00"/>
    <d v="2026-01-29T00:00:00"/>
    <d v="2026-01-29T00:00:00"/>
    <s v="2026-01-29"/>
    <n v="0"/>
    <x v="0"/>
    <s v="Delivered"/>
    <x v="3"/>
    <x v="0"/>
  </r>
  <r>
    <n v="1818"/>
    <s v="MetroLogistics"/>
    <d v="2026-03-20T00:00:00"/>
    <d v="2026-03-20T00:00:00"/>
    <d v="2026-03-25T00:00:00"/>
    <d v="2026-03-25T00:00:00"/>
    <s v="2026-03-25"/>
    <n v="0"/>
    <x v="2"/>
    <s v="Delivered"/>
    <x v="3"/>
    <x v="0"/>
  </r>
  <r>
    <n v="1819"/>
    <s v="MetroLogistics"/>
    <d v="2026-02-22T00:00:00"/>
    <d v="2026-02-22T00:00:00"/>
    <d v="2026-02-27T00:00:00"/>
    <d v="2026-02-27T00:00:00"/>
    <s v="2026-02-27"/>
    <n v="0"/>
    <x v="2"/>
    <s v="Delivered"/>
    <x v="3"/>
    <x v="0"/>
  </r>
  <r>
    <n v="1820"/>
    <s v="MetroLogistics"/>
    <d v="2026-02-22T00:00:00"/>
    <d v="2026-02-22T00:00:00"/>
    <d v="2026-02-27T00:00:00"/>
    <m/>
    <m/>
    <n v="0"/>
    <x v="2"/>
    <s v="Shipped"/>
    <x v="0"/>
    <x v="0"/>
  </r>
  <r>
    <n v="1821"/>
    <s v="MetroLogistics"/>
    <d v="2026-02-04T00:00:00"/>
    <d v="2026-02-04T00:00:00"/>
    <d v="2026-02-09T00:00:00"/>
    <d v="2026-02-09T00:00:00"/>
    <s v="2026-02-09"/>
    <n v="0"/>
    <x v="2"/>
    <s v="Delivered"/>
    <x v="3"/>
    <x v="0"/>
  </r>
  <r>
    <n v="1822"/>
    <s v="ParcelOne"/>
    <d v="2026-03-04T00:00:00"/>
    <d v="2026-03-04T00:00:00"/>
    <d v="2026-03-09T00:00:00"/>
    <d v="2026-03-09T00:00:00"/>
    <s v="2026-03-09"/>
    <n v="0"/>
    <x v="1"/>
    <s v="Delivered"/>
    <x v="3"/>
    <x v="0"/>
  </r>
  <r>
    <n v="1823"/>
    <s v="ParcelOne"/>
    <d v="2026-06-10T00:00:00"/>
    <d v="2026-06-10T00:00:00"/>
    <d v="2026-06-15T00:00:00"/>
    <d v="2026-06-17T00:00:00"/>
    <s v="2026-06-19"/>
    <n v="0"/>
    <x v="1"/>
    <s v="Delivered"/>
    <x v="2"/>
    <x v="0"/>
  </r>
  <r>
    <n v="1824"/>
    <s v="ParcelOne"/>
    <d v="2026-06-22T00:00:00"/>
    <d v="2026-06-24T00:00:00"/>
    <d v="2026-06-27T00:00:00"/>
    <d v="2026-06-27T00:00:00"/>
    <s v="2026-06-27"/>
    <n v="0"/>
    <x v="1"/>
    <s v="Delivered"/>
    <x v="3"/>
    <x v="1"/>
  </r>
  <r>
    <n v="1825"/>
    <s v="SwiftShip"/>
    <d v="2026-02-02T00:00:00"/>
    <d v="2026-02-02T00:00:00"/>
    <d v="2026-02-07T00:00:00"/>
    <d v="2026-02-06T00:00:00"/>
    <s v="2026-02-06"/>
    <n v="0"/>
    <x v="0"/>
    <s v="Delivered"/>
    <x v="3"/>
    <x v="0"/>
  </r>
  <r>
    <n v="1826"/>
    <s v="SwiftShip"/>
    <d v="2026-05-17T00:00:00"/>
    <d v="2026-05-17T00:00:00"/>
    <d v="2026-05-22T00:00:00"/>
    <d v="2026-05-22T00:00:00"/>
    <s v="2026-05-22"/>
    <n v="0"/>
    <x v="0"/>
    <s v="Delivered"/>
    <x v="3"/>
    <x v="0"/>
  </r>
  <r>
    <n v="1827"/>
    <s v="MetroLogistics"/>
    <d v="2026-01-31T00:00:00"/>
    <d v="2026-02-01T00:00:00"/>
    <d v="2026-02-05T00:00:00"/>
    <d v="2026-02-04T00:00:00"/>
    <s v="2026-02-04"/>
    <n v="0"/>
    <x v="2"/>
    <s v="Delivered"/>
    <x v="3"/>
    <x v="1"/>
  </r>
  <r>
    <n v="1828"/>
    <s v="ParcelOne"/>
    <d v="2026-03-26T00:00:00"/>
    <d v="2026-03-26T00:00:00"/>
    <d v="2026-03-31T00:00:00"/>
    <d v="2026-03-31T00:00:00"/>
    <s v="2026-03-31"/>
    <n v="0"/>
    <x v="1"/>
    <s v="Delivered"/>
    <x v="3"/>
    <x v="0"/>
  </r>
  <r>
    <n v="1829"/>
    <s v="MetroLogistics"/>
    <d v="2026-01-27T00:00:00"/>
    <d v="2026-01-27T00:00:00"/>
    <d v="2026-02-01T00:00:00"/>
    <d v="2026-02-01T00:00:00"/>
    <s v="2026-02-01"/>
    <n v="0"/>
    <x v="2"/>
    <s v="Delivered"/>
    <x v="3"/>
    <x v="0"/>
  </r>
  <r>
    <n v="1830"/>
    <s v="MetroLogistics"/>
    <d v="2026-06-06T00:00:00"/>
    <d v="2026-06-06T00:00:00"/>
    <d v="2026-06-11T00:00:00"/>
    <d v="2026-06-10T00:00:00"/>
    <s v="2026-06-10"/>
    <n v="0"/>
    <x v="2"/>
    <s v="Delivered"/>
    <x v="3"/>
    <x v="0"/>
  </r>
  <r>
    <n v="1831"/>
    <s v="SwiftShip"/>
    <d v="2026-02-02T00:00:00"/>
    <d v="2026-02-04T00:00:00"/>
    <d v="2026-02-07T00:00:00"/>
    <d v="2026-02-05T00:00:00"/>
    <s v="2026-02-05"/>
    <n v="0"/>
    <x v="0"/>
    <s v="Delivered"/>
    <x v="3"/>
    <x v="1"/>
  </r>
  <r>
    <n v="1832"/>
    <s v="MetroLogistics"/>
    <d v="2026-03-21T00:00:00"/>
    <d v="2026-03-21T00:00:00"/>
    <d v="2026-03-26T00:00:00"/>
    <d v="2026-03-26T00:00:00"/>
    <s v="2026-03-27"/>
    <n v="0"/>
    <x v="2"/>
    <s v="Delivered"/>
    <x v="3"/>
    <x v="0"/>
  </r>
  <r>
    <n v="1834"/>
    <s v="ParcelOne"/>
    <d v="2026-05-17T00:00:00"/>
    <d v="2026-05-17T00:00:00"/>
    <d v="2026-05-22T00:00:00"/>
    <m/>
    <m/>
    <n v="0"/>
    <x v="1"/>
    <s v="Shipped"/>
    <x v="0"/>
    <x v="0"/>
  </r>
  <r>
    <n v="1835"/>
    <s v="MetroLogistics"/>
    <d v="2026-03-18T00:00:00"/>
    <d v="2026-03-18T00:00:00"/>
    <d v="2026-03-23T00:00:00"/>
    <d v="2026-03-23T00:00:00"/>
    <s v="2026-03-23"/>
    <n v="0"/>
    <x v="2"/>
    <s v="Delivered"/>
    <x v="3"/>
    <x v="0"/>
  </r>
  <r>
    <n v="1836"/>
    <s v="MetroLogistics"/>
    <d v="2026-01-22T00:00:00"/>
    <d v="2026-01-22T00:00:00"/>
    <d v="2026-01-27T00:00:00"/>
    <d v="2026-01-25T00:00:00"/>
    <s v="2026-01-25"/>
    <n v="0"/>
    <x v="2"/>
    <s v="Delivered"/>
    <x v="3"/>
    <x v="0"/>
  </r>
  <r>
    <n v="1837"/>
    <s v="ParcelOne"/>
    <d v="2026-06-30T00:00:00"/>
    <d v="2026-07-01T00:00:00"/>
    <d v="2026-07-05T00:00:00"/>
    <d v="2026-07-05T00:00:00"/>
    <s v="2026-07-05"/>
    <n v="0"/>
    <x v="1"/>
    <s v="Delivered"/>
    <x v="3"/>
    <x v="1"/>
  </r>
  <r>
    <n v="1838"/>
    <s v="ParcelOne"/>
    <d v="2026-02-15T00:00:00"/>
    <d v="2026-02-15T00:00:00"/>
    <d v="2026-02-20T00:00:00"/>
    <d v="2026-02-24T00:00:00"/>
    <s v="2026-02-24"/>
    <n v="0"/>
    <x v="1"/>
    <s v="Delivered"/>
    <x v="2"/>
    <x v="0"/>
  </r>
  <r>
    <n v="1840"/>
    <s v="ParcelOne"/>
    <d v="2026-06-13T00:00:00"/>
    <d v="2026-06-13T00:00:00"/>
    <d v="2026-06-18T00:00:00"/>
    <d v="2026-06-18T00:00:00"/>
    <s v="2026-06-18"/>
    <n v="0"/>
    <x v="1"/>
    <s v="Delivered"/>
    <x v="3"/>
    <x v="0"/>
  </r>
  <r>
    <n v="1841"/>
    <s v="MetroLogistics"/>
    <d v="2026-06-12T00:00:00"/>
    <d v="2026-06-12T00:00:00"/>
    <d v="2026-06-17T00:00:00"/>
    <d v="2026-06-21T00:00:00"/>
    <s v="2026-06-21"/>
    <n v="0"/>
    <x v="2"/>
    <s v="Delivered"/>
    <x v="2"/>
    <x v="0"/>
  </r>
  <r>
    <n v="1842"/>
    <s v="SwiftShip"/>
    <d v="2026-01-30T00:00:00"/>
    <d v="2026-01-30T00:00:00"/>
    <d v="2026-02-04T00:00:00"/>
    <d v="2026-02-03T00:00:00"/>
    <s v="2026-02-03"/>
    <n v="0"/>
    <x v="0"/>
    <s v="Delivered"/>
    <x v="3"/>
    <x v="0"/>
  </r>
  <r>
    <n v="1843"/>
    <s v="ParcelOne"/>
    <d v="2026-02-11T00:00:00"/>
    <d v="2026-02-11T00:00:00"/>
    <d v="2026-02-16T00:00:00"/>
    <d v="2026-02-15T00:00:00"/>
    <s v="2026-02-16"/>
    <n v="0"/>
    <x v="1"/>
    <s v="Delivered"/>
    <x v="3"/>
    <x v="0"/>
  </r>
  <r>
    <n v="1844"/>
    <s v="SwiftShip"/>
    <d v="2026-05-28T00:00:00"/>
    <d v="2026-05-28T00:00:00"/>
    <d v="2026-06-02T00:00:00"/>
    <d v="2026-06-01T00:00:00"/>
    <s v="2026-06-01"/>
    <n v="0"/>
    <x v="0"/>
    <s v="Delivered"/>
    <x v="3"/>
    <x v="0"/>
  </r>
  <r>
    <n v="1845"/>
    <s v="SwiftShip"/>
    <d v="2026-03-06T00:00:00"/>
    <d v="2026-03-06T00:00:00"/>
    <d v="2026-03-11T00:00:00"/>
    <d v="2026-03-12T00:00:00"/>
    <s v="2026-03-12"/>
    <n v="0"/>
    <x v="0"/>
    <s v="Delivered"/>
    <x v="2"/>
    <x v="0"/>
  </r>
  <r>
    <n v="1846"/>
    <s v="ParcelOne"/>
    <d v="2026-04-11T00:00:00"/>
    <d v="2026-04-13T00:00:00"/>
    <d v="2026-04-16T00:00:00"/>
    <d v="2026-04-16T00:00:00"/>
    <s v="2026-04-16"/>
    <n v="0"/>
    <x v="1"/>
    <s v="Delivered"/>
    <x v="3"/>
    <x v="1"/>
  </r>
  <r>
    <n v="1847"/>
    <s v="MetroLogistics"/>
    <d v="2026-01-30T00:00:00"/>
    <d v="2026-01-30T00:00:00"/>
    <d v="2026-02-04T00:00:00"/>
    <d v="2026-02-04T00:00:00"/>
    <s v="2026-02-04"/>
    <n v="0"/>
    <x v="2"/>
    <s v="Delivered"/>
    <x v="3"/>
    <x v="0"/>
  </r>
  <r>
    <n v="1848"/>
    <s v="SwiftShip"/>
    <d v="2026-06-29T00:00:00"/>
    <d v="2026-06-29T00:00:00"/>
    <d v="2026-07-04T00:00:00"/>
    <d v="2026-07-04T00:00:00"/>
    <s v="2026-07-04"/>
    <n v="0"/>
    <x v="0"/>
    <s v="Delivered"/>
    <x v="3"/>
    <x v="0"/>
  </r>
  <r>
    <n v="1849"/>
    <s v="MetroLogistics"/>
    <d v="2026-02-08T00:00:00"/>
    <d v="2026-02-08T00:00:00"/>
    <d v="2026-02-13T00:00:00"/>
    <d v="2026-02-13T00:00:00"/>
    <s v="2026-02-13"/>
    <n v="0"/>
    <x v="2"/>
    <s v="Delivered"/>
    <x v="3"/>
    <x v="0"/>
  </r>
  <r>
    <n v="1850"/>
    <s v="SwiftShip"/>
    <d v="2026-04-11T00:00:00"/>
    <d v="2026-04-13T00:00:00"/>
    <d v="2026-04-16T00:00:00"/>
    <d v="2026-04-16T00:00:00"/>
    <s v="2026-04-16"/>
    <n v="0"/>
    <x v="0"/>
    <s v="Delivered"/>
    <x v="3"/>
    <x v="1"/>
  </r>
  <r>
    <n v="1851"/>
    <s v="MetroLogistics"/>
    <d v="2026-02-02T00:00:00"/>
    <d v="2026-02-02T00:00:00"/>
    <d v="2026-02-07T00:00:00"/>
    <d v="2026-02-07T00:00:00"/>
    <s v="2026-02-07"/>
    <n v="0"/>
    <x v="2"/>
    <s v="Delivered"/>
    <x v="3"/>
    <x v="0"/>
  </r>
  <r>
    <n v="1852"/>
    <s v="ParcelOne"/>
    <d v="2026-04-21T00:00:00"/>
    <d v="2026-04-23T00:00:00"/>
    <d v="2026-04-26T00:00:00"/>
    <d v="2026-04-27T00:00:00"/>
    <s v="2026-04-27"/>
    <n v="0"/>
    <x v="1"/>
    <s v="Delivered"/>
    <x v="2"/>
    <x v="1"/>
  </r>
  <r>
    <n v="1854"/>
    <s v="SwiftShip"/>
    <d v="2026-01-20T00:00:00"/>
    <d v="2026-01-20T00:00:00"/>
    <d v="2026-01-25T00:00:00"/>
    <d v="2026-01-25T00:00:00"/>
    <s v="2026-01-25"/>
    <n v="0"/>
    <x v="0"/>
    <s v="Delivered"/>
    <x v="3"/>
    <x v="0"/>
  </r>
  <r>
    <n v="1855"/>
    <s v="SwiftShip"/>
    <d v="2026-06-29T00:00:00"/>
    <m/>
    <d v="2026-07-04T00:00:00"/>
    <m/>
    <m/>
    <n v="0"/>
    <x v="0"/>
    <s v="Pending"/>
    <x v="0"/>
    <x v="2"/>
  </r>
  <r>
    <n v="1856"/>
    <s v="MetroLogistics"/>
    <d v="2026-04-20T00:00:00"/>
    <d v="2026-04-20T00:00:00"/>
    <d v="2026-04-25T00:00:00"/>
    <d v="2026-04-25T00:00:00"/>
    <s v="2026-04-25"/>
    <n v="0"/>
    <x v="2"/>
    <s v="Delivered"/>
    <x v="3"/>
    <x v="0"/>
  </r>
  <r>
    <n v="1857"/>
    <s v="ParcelOne"/>
    <d v="2026-02-28T00:00:00"/>
    <d v="2026-02-28T00:00:00"/>
    <d v="2026-03-05T00:00:00"/>
    <d v="2026-03-09T00:00:00"/>
    <s v="2026-03-11"/>
    <n v="0"/>
    <x v="1"/>
    <s v="Delivered"/>
    <x v="2"/>
    <x v="0"/>
  </r>
  <r>
    <n v="1858"/>
    <s v="ParcelOne"/>
    <d v="2026-04-02T00:00:00"/>
    <d v="2026-04-02T00:00:00"/>
    <d v="2026-04-07T00:00:00"/>
    <d v="2026-04-06T00:00:00"/>
    <s v="2026-04-06"/>
    <n v="0"/>
    <x v="1"/>
    <s v="Delivered"/>
    <x v="3"/>
    <x v="0"/>
  </r>
  <r>
    <n v="1859"/>
    <s v="ParcelOne"/>
    <d v="2026-06-30T00:00:00"/>
    <d v="2026-06-30T00:00:00"/>
    <d v="2026-07-05T00:00:00"/>
    <d v="2026-07-05T00:00:00"/>
    <s v="2026-07-05"/>
    <n v="0"/>
    <x v="1"/>
    <s v="Delivered"/>
    <x v="3"/>
    <x v="0"/>
  </r>
  <r>
    <n v="1860"/>
    <s v="MetroLogistics"/>
    <d v="2026-04-06T00:00:00"/>
    <d v="2026-04-06T00:00:00"/>
    <d v="2026-04-11T00:00:00"/>
    <d v="2026-04-10T00:00:00"/>
    <s v="2026-04-10"/>
    <n v="0"/>
    <x v="2"/>
    <s v="Delivered"/>
    <x v="3"/>
    <x v="0"/>
  </r>
  <r>
    <n v="1861"/>
    <s v="ParcelOne"/>
    <d v="2026-05-18T00:00:00"/>
    <d v="2026-05-18T00:00:00"/>
    <d v="2026-05-23T00:00:00"/>
    <d v="2026-05-22T00:00:00"/>
    <s v="2026-05-23"/>
    <n v="0"/>
    <x v="1"/>
    <s v="Delivered"/>
    <x v="3"/>
    <x v="0"/>
  </r>
  <r>
    <n v="1862"/>
    <s v="MetroLogistics"/>
    <d v="2026-06-06T00:00:00"/>
    <d v="2026-06-07T00:00:00"/>
    <d v="2026-06-11T00:00:00"/>
    <d v="2026-06-12T00:00:00"/>
    <s v="2026-06-13"/>
    <n v="0"/>
    <x v="2"/>
    <s v="Delivered"/>
    <x v="2"/>
    <x v="1"/>
  </r>
  <r>
    <n v="1863"/>
    <s v="ParcelOne"/>
    <d v="2026-03-10T00:00:00"/>
    <d v="2026-03-10T00:00:00"/>
    <d v="2026-03-15T00:00:00"/>
    <m/>
    <m/>
    <n v="0"/>
    <x v="1"/>
    <s v="Shipped"/>
    <x v="0"/>
    <x v="0"/>
  </r>
  <r>
    <n v="1864"/>
    <s v="ParcelOne"/>
    <d v="2026-05-16T00:00:00"/>
    <d v="2026-05-16T00:00:00"/>
    <d v="2026-05-21T00:00:00"/>
    <d v="2026-05-22T00:00:00"/>
    <s v="2026-05-22"/>
    <n v="0"/>
    <x v="1"/>
    <s v="Delivered"/>
    <x v="2"/>
    <x v="0"/>
  </r>
  <r>
    <n v="1865"/>
    <s v="ParcelOne"/>
    <d v="2026-06-29T00:00:00"/>
    <d v="2026-06-29T00:00:00"/>
    <d v="2026-07-04T00:00:00"/>
    <d v="2026-07-03T00:00:00"/>
    <s v="2026-07-03"/>
    <n v="0"/>
    <x v="1"/>
    <s v="Delivered"/>
    <x v="3"/>
    <x v="0"/>
  </r>
  <r>
    <n v="1866"/>
    <s v="ParcelOne"/>
    <d v="2026-04-05T00:00:00"/>
    <d v="2026-04-05T00:00:00"/>
    <d v="2026-04-10T00:00:00"/>
    <d v="2026-04-09T00:00:00"/>
    <s v="2026-04-09"/>
    <n v="0"/>
    <x v="1"/>
    <s v="Delivered"/>
    <x v="3"/>
    <x v="0"/>
  </r>
  <r>
    <n v="1867"/>
    <s v="ParcelOne"/>
    <d v="2026-03-23T00:00:00"/>
    <d v="2026-03-23T00:00:00"/>
    <d v="2026-03-28T00:00:00"/>
    <d v="2026-03-28T00:00:00"/>
    <s v="2026-03-30"/>
    <n v="0"/>
    <x v="1"/>
    <s v="Delivered"/>
    <x v="3"/>
    <x v="0"/>
  </r>
  <r>
    <n v="1868"/>
    <s v="MetroLogistics"/>
    <d v="2026-04-04T00:00:00"/>
    <d v="2026-04-04T00:00:00"/>
    <d v="2026-04-09T00:00:00"/>
    <d v="2026-04-11T00:00:00"/>
    <s v="2026-04-11"/>
    <n v="0"/>
    <x v="2"/>
    <s v="Delivered"/>
    <x v="2"/>
    <x v="0"/>
  </r>
  <r>
    <n v="1869"/>
    <s v="ParcelOne"/>
    <d v="2026-02-10T00:00:00"/>
    <d v="2026-02-10T00:00:00"/>
    <d v="2026-02-15T00:00:00"/>
    <d v="2026-02-15T00:00:00"/>
    <s v="2026-02-16"/>
    <n v="0"/>
    <x v="1"/>
    <s v="Delivered"/>
    <x v="3"/>
    <x v="0"/>
  </r>
  <r>
    <n v="1871"/>
    <s v="ParcelOne"/>
    <d v="2026-03-30T00:00:00"/>
    <d v="2026-03-30T00:00:00"/>
    <d v="2026-04-04T00:00:00"/>
    <d v="2026-04-08T00:00:00"/>
    <s v="2026-04-08"/>
    <n v="0"/>
    <x v="1"/>
    <s v="Delivered"/>
    <x v="2"/>
    <x v="0"/>
  </r>
  <r>
    <n v="1872"/>
    <s v="ParcelOne"/>
    <d v="2026-05-28T00:00:00"/>
    <d v="2026-05-28T00:00:00"/>
    <d v="2026-06-02T00:00:00"/>
    <d v="2026-06-02T00:00:00"/>
    <s v="2026-06-03"/>
    <n v="0"/>
    <x v="1"/>
    <s v="Delivered"/>
    <x v="3"/>
    <x v="0"/>
  </r>
  <r>
    <n v="1873"/>
    <s v="ParcelOne"/>
    <d v="2026-05-10T00:00:00"/>
    <d v="2026-05-10T00:00:00"/>
    <d v="2026-05-15T00:00:00"/>
    <d v="2026-05-15T00:00:00"/>
    <s v="2026-05-15"/>
    <n v="0"/>
    <x v="1"/>
    <s v="Delivered"/>
    <x v="3"/>
    <x v="0"/>
  </r>
  <r>
    <n v="1874"/>
    <s v="SwiftShip"/>
    <d v="2026-02-17T00:00:00"/>
    <d v="2026-02-19T00:00:00"/>
    <d v="2026-02-22T00:00:00"/>
    <d v="2026-02-26T00:00:00"/>
    <s v="2026-02-26"/>
    <n v="0"/>
    <x v="0"/>
    <s v="Delivered"/>
    <x v="2"/>
    <x v="1"/>
  </r>
  <r>
    <n v="1875"/>
    <s v="MetroLogistics"/>
    <d v="2026-03-17T00:00:00"/>
    <d v="2026-03-17T00:00:00"/>
    <d v="2026-03-22T00:00:00"/>
    <d v="2026-03-22T00:00:00"/>
    <s v="2026-03-22"/>
    <n v="0"/>
    <x v="2"/>
    <s v="Delivered"/>
    <x v="3"/>
    <x v="0"/>
  </r>
  <r>
    <n v="1876"/>
    <s v="ParcelOne"/>
    <d v="2026-01-13T00:00:00"/>
    <d v="2026-01-13T00:00:00"/>
    <d v="2026-01-18T00:00:00"/>
    <d v="2026-01-18T00:00:00"/>
    <s v="2026-01-19"/>
    <n v="0"/>
    <x v="1"/>
    <s v="Delivered"/>
    <x v="3"/>
    <x v="0"/>
  </r>
  <r>
    <n v="1878"/>
    <s v="ParcelOne"/>
    <d v="2026-01-24T00:00:00"/>
    <d v="2026-01-24T00:00:00"/>
    <d v="2026-01-29T00:00:00"/>
    <d v="2026-01-29T00:00:00"/>
    <s v="2026-01-29"/>
    <n v="0"/>
    <x v="1"/>
    <s v="Delivered"/>
    <x v="3"/>
    <x v="0"/>
  </r>
  <r>
    <n v="1879"/>
    <s v="MetroLogistics"/>
    <d v="2026-07-01T00:00:00"/>
    <d v="2026-07-01T00:00:00"/>
    <d v="2026-07-06T00:00:00"/>
    <d v="2026-07-05T00:00:00"/>
    <s v="2026-07-05"/>
    <n v="0"/>
    <x v="2"/>
    <s v="Delivered"/>
    <x v="3"/>
    <x v="0"/>
  </r>
  <r>
    <n v="1880"/>
    <s v="SwiftShip"/>
    <d v="2026-04-10T00:00:00"/>
    <d v="2026-04-11T00:00:00"/>
    <d v="2026-04-15T00:00:00"/>
    <d v="2026-04-19T00:00:00"/>
    <s v="2026-04-19"/>
    <n v="0"/>
    <x v="0"/>
    <s v="Delivered"/>
    <x v="2"/>
    <x v="1"/>
  </r>
  <r>
    <n v="1881"/>
    <s v="SwiftShip"/>
    <d v="2026-03-08T00:00:00"/>
    <d v="2026-03-08T00:00:00"/>
    <d v="2026-03-13T00:00:00"/>
    <d v="2026-03-13T00:00:00"/>
    <s v="2026-03-13"/>
    <n v="0"/>
    <x v="0"/>
    <s v="Delivered"/>
    <x v="3"/>
    <x v="0"/>
  </r>
  <r>
    <n v="1882"/>
    <s v="SwiftShip"/>
    <d v="2026-05-17T00:00:00"/>
    <d v="2026-05-18T00:00:00"/>
    <d v="2026-05-22T00:00:00"/>
    <d v="2026-05-22T00:00:00"/>
    <s v="2026-05-24"/>
    <n v="0"/>
    <x v="0"/>
    <s v="Delivered"/>
    <x v="3"/>
    <x v="1"/>
  </r>
  <r>
    <n v="1883"/>
    <s v="ParcelOne"/>
    <d v="2026-02-14T00:00:00"/>
    <d v="2026-02-14T00:00:00"/>
    <d v="2026-02-19T00:00:00"/>
    <d v="2026-02-20T00:00:00"/>
    <s v="2026-02-20"/>
    <n v="0"/>
    <x v="1"/>
    <s v="Delivered"/>
    <x v="2"/>
    <x v="0"/>
  </r>
  <r>
    <n v="1884"/>
    <s v="MetroLogistics"/>
    <d v="2026-05-26T00:00:00"/>
    <d v="2026-05-26T00:00:00"/>
    <d v="2026-05-31T00:00:00"/>
    <d v="2026-06-04T00:00:00"/>
    <s v="2026-06-06"/>
    <n v="0"/>
    <x v="2"/>
    <s v="Delivered"/>
    <x v="2"/>
    <x v="0"/>
  </r>
  <r>
    <n v="1885"/>
    <s v="MetroLogistics"/>
    <d v="2026-03-25T00:00:00"/>
    <d v="2026-03-25T00:00:00"/>
    <d v="2026-03-30T00:00:00"/>
    <d v="2026-04-03T00:00:00"/>
    <s v="2026-04-03"/>
    <n v="0"/>
    <x v="2"/>
    <s v="Delivered"/>
    <x v="2"/>
    <x v="0"/>
  </r>
  <r>
    <n v="1886"/>
    <s v="MetroLogistics"/>
    <d v="2026-01-03T00:00:00"/>
    <m/>
    <d v="2026-01-08T00:00:00"/>
    <m/>
    <m/>
    <n v="0"/>
    <x v="2"/>
    <s v="Pending"/>
    <x v="0"/>
    <x v="2"/>
  </r>
  <r>
    <n v="1887"/>
    <s v="MetroLogistics"/>
    <d v="2026-02-20T00:00:00"/>
    <d v="2026-02-20T00:00:00"/>
    <d v="2026-02-25T00:00:00"/>
    <d v="2026-02-24T00:00:00"/>
    <s v="2026-02-24"/>
    <n v="0"/>
    <x v="2"/>
    <s v="Delivered"/>
    <x v="3"/>
    <x v="0"/>
  </r>
  <r>
    <n v="1888"/>
    <s v="MetroLogistics"/>
    <d v="2026-05-30T00:00:00"/>
    <d v="2026-05-30T00:00:00"/>
    <d v="2026-06-04T00:00:00"/>
    <m/>
    <m/>
    <n v="0"/>
    <x v="2"/>
    <s v="Shipped"/>
    <x v="0"/>
    <x v="0"/>
  </r>
  <r>
    <n v="1889"/>
    <s v="MetroLogistics"/>
    <d v="2026-04-29T00:00:00"/>
    <d v="2026-05-01T00:00:00"/>
    <d v="2026-05-04T00:00:00"/>
    <d v="2026-05-04T00:00:00"/>
    <s v="2026-05-04"/>
    <n v="0"/>
    <x v="2"/>
    <s v="Delivered"/>
    <x v="3"/>
    <x v="1"/>
  </r>
  <r>
    <n v="1890"/>
    <s v="ParcelOne"/>
    <d v="2026-06-04T00:00:00"/>
    <d v="2026-06-04T00:00:00"/>
    <d v="2026-06-09T00:00:00"/>
    <d v="2026-06-13T00:00:00"/>
    <s v="2026-06-15"/>
    <n v="0"/>
    <x v="1"/>
    <s v="Delivered"/>
    <x v="2"/>
    <x v="0"/>
  </r>
  <r>
    <n v="1891"/>
    <s v="MetroLogistics"/>
    <d v="2026-01-25T00:00:00"/>
    <d v="2026-01-25T00:00:00"/>
    <d v="2026-01-30T00:00:00"/>
    <d v="2026-01-30T00:00:00"/>
    <s v="2026-01-30"/>
    <n v="0"/>
    <x v="2"/>
    <s v="Delivered"/>
    <x v="3"/>
    <x v="0"/>
  </r>
  <r>
    <n v="1892"/>
    <s v="SwiftShip"/>
    <d v="2026-05-22T00:00:00"/>
    <d v="2026-05-22T00:00:00"/>
    <d v="2026-05-27T00:00:00"/>
    <d v="2026-05-27T00:00:00"/>
    <s v="2026-05-27"/>
    <n v="0"/>
    <x v="0"/>
    <s v="Delivered"/>
    <x v="3"/>
    <x v="0"/>
  </r>
  <r>
    <n v="1893"/>
    <s v="MetroLogistics"/>
    <d v="2026-02-03T00:00:00"/>
    <d v="2026-02-03T00:00:00"/>
    <d v="2026-02-08T00:00:00"/>
    <d v="2026-02-08T00:00:00"/>
    <s v="2026-02-08"/>
    <n v="0"/>
    <x v="2"/>
    <s v="Delivered"/>
    <x v="3"/>
    <x v="0"/>
  </r>
  <r>
    <n v="1894"/>
    <s v="MetroLogistics"/>
    <d v="2026-03-11T00:00:00"/>
    <d v="2026-03-11T00:00:00"/>
    <d v="2026-03-16T00:00:00"/>
    <d v="2026-03-16T00:00:00"/>
    <s v="2026-03-17"/>
    <n v="0"/>
    <x v="2"/>
    <s v="Delivered"/>
    <x v="3"/>
    <x v="0"/>
  </r>
  <r>
    <n v="1895"/>
    <s v="ParcelOne"/>
    <d v="2026-06-05T00:00:00"/>
    <d v="2026-06-06T00:00:00"/>
    <d v="2026-06-10T00:00:00"/>
    <d v="2026-06-11T00:00:00"/>
    <s v="2026-06-11"/>
    <n v="0"/>
    <x v="1"/>
    <s v="Delivered"/>
    <x v="2"/>
    <x v="1"/>
  </r>
  <r>
    <n v="1896"/>
    <s v="ParcelOne"/>
    <d v="2026-06-14T00:00:00"/>
    <d v="2026-06-14T00:00:00"/>
    <d v="2026-06-19T00:00:00"/>
    <d v="2026-06-20T00:00:00"/>
    <s v="2026-06-20"/>
    <n v="0"/>
    <x v="1"/>
    <s v="Delivered"/>
    <x v="2"/>
    <x v="0"/>
  </r>
  <r>
    <n v="1897"/>
    <s v="MetroLogistics"/>
    <d v="2026-06-13T00:00:00"/>
    <d v="2026-06-13T00:00:00"/>
    <d v="2026-06-18T00:00:00"/>
    <d v="2026-06-18T00:00:00"/>
    <s v="2026-06-18"/>
    <n v="0"/>
    <x v="2"/>
    <s v="Delivered"/>
    <x v="3"/>
    <x v="0"/>
  </r>
  <r>
    <n v="1898"/>
    <s v="MetroLogistics"/>
    <d v="2026-02-11T00:00:00"/>
    <d v="2026-02-11T00:00:00"/>
    <d v="2026-02-16T00:00:00"/>
    <d v="2026-02-17T00:00:00"/>
    <s v="2026-02-19"/>
    <n v="0"/>
    <x v="2"/>
    <s v="Delivered"/>
    <x v="2"/>
    <x v="0"/>
  </r>
  <r>
    <n v="1899"/>
    <s v="SwiftShip"/>
    <d v="2026-06-13T00:00:00"/>
    <d v="2026-06-13T00:00:00"/>
    <d v="2026-06-18T00:00:00"/>
    <d v="2026-06-18T00:00:00"/>
    <s v="2026-06-18"/>
    <n v="0"/>
    <x v="0"/>
    <s v="Delivered"/>
    <x v="3"/>
    <x v="0"/>
  </r>
  <r>
    <n v="1900"/>
    <s v="SwiftShip"/>
    <d v="2026-03-10T00:00:00"/>
    <d v="2026-03-10T00:00:00"/>
    <d v="2026-03-15T00:00:00"/>
    <d v="2026-03-15T00:00:00"/>
    <s v="2026-03-15"/>
    <n v="0"/>
    <x v="0"/>
    <s v="Delivered"/>
    <x v="3"/>
    <x v="0"/>
  </r>
  <r>
    <n v="1901"/>
    <s v="SwiftShip"/>
    <d v="2026-06-04T00:00:00"/>
    <d v="2026-06-04T00:00:00"/>
    <d v="2026-06-09T00:00:00"/>
    <d v="2026-06-09T00:00:00"/>
    <s v="2026-06-10"/>
    <n v="0"/>
    <x v="0"/>
    <s v="Delivered"/>
    <x v="3"/>
    <x v="0"/>
  </r>
  <r>
    <n v="1902"/>
    <s v="SwiftShip"/>
    <d v="2026-01-28T00:00:00"/>
    <d v="2026-01-28T00:00:00"/>
    <d v="2026-02-02T00:00:00"/>
    <d v="2026-02-02T00:00:00"/>
    <s v="2026-02-02"/>
    <n v="0"/>
    <x v="0"/>
    <s v="Delivered"/>
    <x v="3"/>
    <x v="0"/>
  </r>
  <r>
    <n v="1903"/>
    <s v="MetroLogistics"/>
    <d v="2026-02-13T00:00:00"/>
    <d v="2026-02-13T00:00:00"/>
    <d v="2026-02-18T00:00:00"/>
    <d v="2026-02-18T00:00:00"/>
    <s v="2026-02-18"/>
    <n v="0"/>
    <x v="2"/>
    <s v="Delivered"/>
    <x v="3"/>
    <x v="0"/>
  </r>
  <r>
    <n v="1904"/>
    <s v="SwiftShip"/>
    <d v="2026-06-05T00:00:00"/>
    <d v="2026-06-05T00:00:00"/>
    <d v="2026-06-10T00:00:00"/>
    <d v="2026-06-11T00:00:00"/>
    <s v="2026-06-11"/>
    <n v="0"/>
    <x v="0"/>
    <s v="Delivered"/>
    <x v="2"/>
    <x v="0"/>
  </r>
  <r>
    <n v="1906"/>
    <s v="SwiftShip"/>
    <d v="2026-03-12T00:00:00"/>
    <d v="2026-03-12T00:00:00"/>
    <d v="2026-03-17T00:00:00"/>
    <d v="2026-03-18T00:00:00"/>
    <s v="2026-03-18"/>
    <n v="0"/>
    <x v="0"/>
    <s v="Delivered"/>
    <x v="2"/>
    <x v="0"/>
  </r>
  <r>
    <n v="1907"/>
    <s v="SwiftShip"/>
    <d v="2026-02-21T00:00:00"/>
    <d v="2026-02-21T00:00:00"/>
    <d v="2026-02-26T00:00:00"/>
    <d v="2026-03-02T00:00:00"/>
    <s v="2026-03-02"/>
    <n v="0"/>
    <x v="0"/>
    <s v="Delivered"/>
    <x v="2"/>
    <x v="0"/>
  </r>
  <r>
    <n v="1908"/>
    <s v="ParcelOne"/>
    <d v="2026-04-21T00:00:00"/>
    <d v="2026-04-21T00:00:00"/>
    <d v="2026-04-26T00:00:00"/>
    <d v="2026-04-26T00:00:00"/>
    <s v="2026-04-27"/>
    <n v="0"/>
    <x v="1"/>
    <s v="Delivered"/>
    <x v="3"/>
    <x v="0"/>
  </r>
  <r>
    <n v="1909"/>
    <s v="ParcelOne"/>
    <d v="2026-04-28T00:00:00"/>
    <d v="2026-04-28T00:00:00"/>
    <d v="2026-05-03T00:00:00"/>
    <d v="2026-05-02T00:00:00"/>
    <s v="2026-05-02"/>
    <n v="0"/>
    <x v="1"/>
    <s v="Delivered"/>
    <x v="3"/>
    <x v="0"/>
  </r>
  <r>
    <n v="1910"/>
    <s v="SwiftShip"/>
    <d v="2026-04-04T00:00:00"/>
    <d v="2026-04-04T00:00:00"/>
    <d v="2026-04-09T00:00:00"/>
    <d v="2026-04-07T00:00:00"/>
    <s v="2026-04-07"/>
    <n v="0"/>
    <x v="0"/>
    <s v="Delivered"/>
    <x v="3"/>
    <x v="0"/>
  </r>
  <r>
    <n v="1911"/>
    <s v="MetroLogistics"/>
    <d v="2026-05-28T00:00:00"/>
    <d v="2026-05-28T00:00:00"/>
    <d v="2026-06-02T00:00:00"/>
    <d v="2026-06-03T00:00:00"/>
    <s v="2026-06-05"/>
    <n v="0"/>
    <x v="2"/>
    <s v="Delivered"/>
    <x v="2"/>
    <x v="0"/>
  </r>
  <r>
    <n v="1912"/>
    <s v="SwiftShip"/>
    <d v="2026-01-22T00:00:00"/>
    <d v="2026-01-23T00:00:00"/>
    <d v="2026-01-27T00:00:00"/>
    <d v="2026-01-27T00:00:00"/>
    <s v="2026-01-29"/>
    <n v="0"/>
    <x v="0"/>
    <s v="Delivered"/>
    <x v="3"/>
    <x v="1"/>
  </r>
  <r>
    <n v="1913"/>
    <s v="ParcelOne"/>
    <d v="2026-02-02T00:00:00"/>
    <d v="2026-02-02T00:00:00"/>
    <d v="2026-02-07T00:00:00"/>
    <d v="2026-02-08T00:00:00"/>
    <s v="2026-02-08"/>
    <n v="0"/>
    <x v="1"/>
    <s v="Delivered"/>
    <x v="2"/>
    <x v="0"/>
  </r>
  <r>
    <n v="1914"/>
    <s v="SwiftShip"/>
    <d v="2026-05-01T00:00:00"/>
    <d v="2026-05-01T00:00:00"/>
    <d v="2026-05-06T00:00:00"/>
    <d v="2026-05-04T00:00:00"/>
    <s v="2026-05-04"/>
    <n v="0"/>
    <x v="0"/>
    <s v="Delivered"/>
    <x v="3"/>
    <x v="0"/>
  </r>
  <r>
    <n v="1915"/>
    <s v="SwiftShip"/>
    <d v="2026-03-21T00:00:00"/>
    <d v="2026-03-21T00:00:00"/>
    <d v="2026-03-26T00:00:00"/>
    <d v="2026-03-26T00:00:00"/>
    <s v="2026-03-26"/>
    <n v="0"/>
    <x v="0"/>
    <s v="Delivered"/>
    <x v="3"/>
    <x v="0"/>
  </r>
  <r>
    <n v="1916"/>
    <s v="SwiftShip"/>
    <d v="2026-05-09T00:00:00"/>
    <d v="2026-05-09T00:00:00"/>
    <d v="2026-05-14T00:00:00"/>
    <d v="2026-05-12T00:00:00"/>
    <s v="2026-05-12"/>
    <n v="0"/>
    <x v="0"/>
    <s v="Delivered"/>
    <x v="3"/>
    <x v="0"/>
  </r>
  <r>
    <n v="1917"/>
    <s v="MetroLogistics"/>
    <d v="2026-06-28T00:00:00"/>
    <d v="2026-06-28T00:00:00"/>
    <d v="2026-07-03T00:00:00"/>
    <d v="2026-07-04T00:00:00"/>
    <s v="2026-07-05"/>
    <n v="0"/>
    <x v="2"/>
    <s v="Delivered"/>
    <x v="2"/>
    <x v="0"/>
  </r>
  <r>
    <n v="1918"/>
    <s v="SwiftShip"/>
    <d v="2026-01-04T00:00:00"/>
    <d v="2026-01-04T00:00:00"/>
    <d v="2026-01-09T00:00:00"/>
    <m/>
    <m/>
    <n v="0"/>
    <x v="0"/>
    <s v="Shipped"/>
    <x v="0"/>
    <x v="0"/>
  </r>
  <r>
    <n v="1919"/>
    <s v="MetroLogistics"/>
    <d v="2026-06-28T00:00:00"/>
    <d v="2026-06-28T00:00:00"/>
    <d v="2026-07-03T00:00:00"/>
    <d v="2026-07-03T00:00:00"/>
    <s v="2026-07-03"/>
    <n v="0"/>
    <x v="2"/>
    <s v="Delivered"/>
    <x v="3"/>
    <x v="0"/>
  </r>
  <r>
    <n v="1920"/>
    <s v="SwiftShip"/>
    <d v="2026-04-18T00:00:00"/>
    <d v="2026-04-18T00:00:00"/>
    <d v="2026-04-23T00:00:00"/>
    <d v="2026-04-24T00:00:00"/>
    <s v="2026-04-24"/>
    <n v="0"/>
    <x v="0"/>
    <s v="Delivered"/>
    <x v="2"/>
    <x v="0"/>
  </r>
  <r>
    <n v="1921"/>
    <s v="SwiftShip"/>
    <d v="2026-03-19T00:00:00"/>
    <d v="2026-03-19T00:00:00"/>
    <d v="2026-03-24T00:00:00"/>
    <d v="2026-03-22T00:00:00"/>
    <s v="2026-03-22"/>
    <n v="0"/>
    <x v="0"/>
    <s v="Delivered"/>
    <x v="3"/>
    <x v="0"/>
  </r>
  <r>
    <n v="1922"/>
    <s v="ParcelOne"/>
    <d v="2026-02-20T00:00:00"/>
    <d v="2026-02-20T00:00:00"/>
    <d v="2026-02-25T00:00:00"/>
    <d v="2026-02-25T00:00:00"/>
    <s v="2026-02-25"/>
    <n v="0"/>
    <x v="1"/>
    <s v="Delivered"/>
    <x v="3"/>
    <x v="0"/>
  </r>
  <r>
    <n v="1923"/>
    <s v="SwiftShip"/>
    <d v="2026-05-12T00:00:00"/>
    <d v="2026-05-14T00:00:00"/>
    <d v="2026-05-17T00:00:00"/>
    <d v="2026-05-19T00:00:00"/>
    <s v="2026-05-19"/>
    <n v="0"/>
    <x v="0"/>
    <s v="Delivered"/>
    <x v="2"/>
    <x v="1"/>
  </r>
  <r>
    <n v="1924"/>
    <s v="SwiftShip"/>
    <d v="2026-02-20T00:00:00"/>
    <d v="2026-02-22T00:00:00"/>
    <d v="2026-02-25T00:00:00"/>
    <d v="2026-02-25T00:00:00"/>
    <s v="2026-02-25"/>
    <n v="0"/>
    <x v="0"/>
    <s v="Delivered"/>
    <x v="3"/>
    <x v="1"/>
  </r>
  <r>
    <n v="1925"/>
    <s v="SwiftShip"/>
    <d v="2026-01-30T00:00:00"/>
    <d v="2026-01-30T00:00:00"/>
    <d v="2026-02-04T00:00:00"/>
    <d v="2026-02-04T00:00:00"/>
    <s v="2026-02-04"/>
    <n v="0"/>
    <x v="0"/>
    <s v="Delivered"/>
    <x v="3"/>
    <x v="0"/>
  </r>
  <r>
    <n v="1926"/>
    <s v="SwiftShip"/>
    <d v="2026-03-11T00:00:00"/>
    <d v="2026-03-11T00:00:00"/>
    <d v="2026-03-16T00:00:00"/>
    <d v="2026-03-16T00:00:00"/>
    <s v="2026-03-16"/>
    <n v="0"/>
    <x v="0"/>
    <s v="Delivered"/>
    <x v="3"/>
    <x v="0"/>
  </r>
  <r>
    <n v="1927"/>
    <s v="SwiftShip"/>
    <d v="2026-01-16T00:00:00"/>
    <d v="2026-01-16T00:00:00"/>
    <d v="2026-01-21T00:00:00"/>
    <d v="2026-01-21T00:00:00"/>
    <s v="2026-01-21"/>
    <n v="0"/>
    <x v="0"/>
    <s v="Delivered"/>
    <x v="3"/>
    <x v="0"/>
  </r>
  <r>
    <n v="1928"/>
    <s v="ParcelOne"/>
    <d v="2026-02-17T00:00:00"/>
    <d v="2026-02-19T00:00:00"/>
    <d v="2026-02-22T00:00:00"/>
    <d v="2026-02-21T00:00:00"/>
    <s v="2026-02-21"/>
    <n v="0"/>
    <x v="1"/>
    <s v="Delivered"/>
    <x v="3"/>
    <x v="1"/>
  </r>
  <r>
    <n v="1929"/>
    <s v="SwiftShip"/>
    <d v="2026-05-30T00:00:00"/>
    <d v="2026-05-30T00:00:00"/>
    <d v="2026-06-04T00:00:00"/>
    <d v="2026-06-05T00:00:00"/>
    <s v="2026-06-06"/>
    <n v="0"/>
    <x v="0"/>
    <s v="Delivered"/>
    <x v="2"/>
    <x v="0"/>
  </r>
  <r>
    <n v="1930"/>
    <s v="SwiftShip"/>
    <d v="2026-05-09T00:00:00"/>
    <d v="2026-05-09T00:00:00"/>
    <d v="2026-05-14T00:00:00"/>
    <d v="2026-05-14T00:00:00"/>
    <s v="2026-05-14"/>
    <n v="0"/>
    <x v="0"/>
    <s v="Delivered"/>
    <x v="3"/>
    <x v="0"/>
  </r>
  <r>
    <n v="1932"/>
    <s v="ParcelOne"/>
    <d v="2026-02-14T00:00:00"/>
    <d v="2026-02-14T00:00:00"/>
    <d v="2026-02-19T00:00:00"/>
    <d v="2026-02-17T00:00:00"/>
    <s v="2026-02-19"/>
    <n v="0"/>
    <x v="1"/>
    <s v="Delivered"/>
    <x v="3"/>
    <x v="0"/>
  </r>
  <r>
    <n v="1933"/>
    <s v="MetroLogistics"/>
    <d v="2026-02-15T00:00:00"/>
    <d v="2026-02-15T00:00:00"/>
    <d v="2026-02-20T00:00:00"/>
    <d v="2026-02-18T00:00:00"/>
    <s v="2026-02-18"/>
    <n v="0"/>
    <x v="2"/>
    <s v="Delivered"/>
    <x v="3"/>
    <x v="0"/>
  </r>
  <r>
    <n v="1934"/>
    <s v="SwiftShip"/>
    <d v="2026-03-18T00:00:00"/>
    <d v="2026-03-18T00:00:00"/>
    <d v="2026-03-23T00:00:00"/>
    <d v="2026-03-24T00:00:00"/>
    <s v="2026-03-26"/>
    <n v="0"/>
    <x v="0"/>
    <s v="Delivered"/>
    <x v="2"/>
    <x v="0"/>
  </r>
  <r>
    <n v="1935"/>
    <s v="MetroLogistics"/>
    <d v="2026-06-21T00:00:00"/>
    <d v="2026-06-22T00:00:00"/>
    <d v="2026-06-26T00:00:00"/>
    <d v="2026-06-27T00:00:00"/>
    <s v="2026-06-28"/>
    <n v="0"/>
    <x v="2"/>
    <s v="Delivered"/>
    <x v="2"/>
    <x v="1"/>
  </r>
  <r>
    <n v="1936"/>
    <s v="MetroLogistics"/>
    <d v="2026-05-06T00:00:00"/>
    <d v="2026-05-06T00:00:00"/>
    <d v="2026-05-11T00:00:00"/>
    <d v="2026-05-09T00:00:00"/>
    <s v="2026-05-09"/>
    <n v="0"/>
    <x v="2"/>
    <s v="Delivered"/>
    <x v="3"/>
    <x v="0"/>
  </r>
  <r>
    <n v="1937"/>
    <s v="SwiftShip"/>
    <d v="2026-04-23T00:00:00"/>
    <d v="2026-04-25T00:00:00"/>
    <d v="2026-04-28T00:00:00"/>
    <d v="2026-04-30T00:00:00"/>
    <s v="2026-04-30"/>
    <n v="0"/>
    <x v="0"/>
    <s v="Delivered"/>
    <x v="2"/>
    <x v="1"/>
  </r>
  <r>
    <n v="1938"/>
    <s v="SwiftShip"/>
    <d v="2026-05-17T00:00:00"/>
    <d v="2026-05-17T00:00:00"/>
    <d v="2026-05-22T00:00:00"/>
    <d v="2026-05-20T00:00:00"/>
    <s v="2026-05-20"/>
    <n v="0"/>
    <x v="0"/>
    <s v="Delivered"/>
    <x v="3"/>
    <x v="0"/>
  </r>
  <r>
    <n v="1939"/>
    <s v="MetroLogistics"/>
    <d v="2026-06-08T00:00:00"/>
    <d v="2026-06-08T00:00:00"/>
    <d v="2026-06-13T00:00:00"/>
    <d v="2026-06-12T00:00:00"/>
    <s v="2026-06-14"/>
    <n v="0"/>
    <x v="2"/>
    <s v="Delivered"/>
    <x v="3"/>
    <x v="0"/>
  </r>
  <r>
    <n v="1940"/>
    <s v="ParcelOne"/>
    <d v="2026-05-25T00:00:00"/>
    <d v="2026-05-25T00:00:00"/>
    <d v="2026-05-30T00:00:00"/>
    <d v="2026-05-29T00:00:00"/>
    <s v="2026-05-30"/>
    <n v="0"/>
    <x v="1"/>
    <s v="Delivered"/>
    <x v="3"/>
    <x v="0"/>
  </r>
  <r>
    <n v="1941"/>
    <s v="MetroLogistics"/>
    <d v="2026-01-16T00:00:00"/>
    <d v="2026-01-16T00:00:00"/>
    <d v="2026-01-21T00:00:00"/>
    <d v="2026-01-21T00:00:00"/>
    <s v="2026-01-21"/>
    <n v="0"/>
    <x v="2"/>
    <s v="Delivered"/>
    <x v="3"/>
    <x v="0"/>
  </r>
  <r>
    <n v="1942"/>
    <s v="MetroLogistics"/>
    <d v="2026-06-22T00:00:00"/>
    <d v="2026-06-22T00:00:00"/>
    <d v="2026-06-27T00:00:00"/>
    <m/>
    <m/>
    <n v="0"/>
    <x v="2"/>
    <s v="Shipped"/>
    <x v="0"/>
    <x v="0"/>
  </r>
  <r>
    <n v="1943"/>
    <s v="SwiftShip"/>
    <d v="2026-02-22T00:00:00"/>
    <d v="2026-02-22T00:00:00"/>
    <d v="2026-02-27T00:00:00"/>
    <d v="2026-02-28T00:00:00"/>
    <s v="2026-02-28"/>
    <n v="0"/>
    <x v="0"/>
    <s v="Delivered"/>
    <x v="2"/>
    <x v="0"/>
  </r>
  <r>
    <n v="1945"/>
    <s v="MetroLogistics"/>
    <d v="2026-06-26T00:00:00"/>
    <d v="2026-06-26T00:00:00"/>
    <d v="2026-07-01T00:00:00"/>
    <d v="2026-06-30T00:00:00"/>
    <s v="2026-06-30"/>
    <n v="0"/>
    <x v="2"/>
    <s v="Delivered"/>
    <x v="3"/>
    <x v="0"/>
  </r>
  <r>
    <n v="1946"/>
    <s v="SwiftShip"/>
    <d v="2026-05-01T00:00:00"/>
    <d v="2026-05-01T00:00:00"/>
    <d v="2026-05-06T00:00:00"/>
    <d v="2026-05-07T00:00:00"/>
    <s v="2026-05-07"/>
    <n v="0"/>
    <x v="0"/>
    <s v="Delivered"/>
    <x v="2"/>
    <x v="0"/>
  </r>
  <r>
    <n v="1947"/>
    <s v="ParcelOne"/>
    <d v="2026-04-22T00:00:00"/>
    <d v="2026-04-22T00:00:00"/>
    <d v="2026-04-27T00:00:00"/>
    <d v="2026-04-26T00:00:00"/>
    <s v="2026-04-28"/>
    <n v="0"/>
    <x v="1"/>
    <s v="Delivered"/>
    <x v="3"/>
    <x v="0"/>
  </r>
  <r>
    <n v="1948"/>
    <s v="MetroLogistics"/>
    <d v="2026-05-31T00:00:00"/>
    <d v="2026-05-31T00:00:00"/>
    <d v="2026-06-05T00:00:00"/>
    <d v="2026-06-03T00:00:00"/>
    <s v="2026-06-04"/>
    <n v="0"/>
    <x v="2"/>
    <s v="Delivered"/>
    <x v="3"/>
    <x v="0"/>
  </r>
  <r>
    <n v="1949"/>
    <s v="SwiftShip"/>
    <d v="2026-04-30T00:00:00"/>
    <d v="2026-04-30T00:00:00"/>
    <d v="2026-05-05T00:00:00"/>
    <d v="2026-05-04T00:00:00"/>
    <s v="2026-05-04"/>
    <n v="0"/>
    <x v="0"/>
    <s v="Delivered"/>
    <x v="3"/>
    <x v="0"/>
  </r>
  <r>
    <n v="1950"/>
    <s v="SwiftShip"/>
    <d v="2026-06-28T00:00:00"/>
    <d v="2026-06-28T00:00:00"/>
    <d v="2026-07-03T00:00:00"/>
    <d v="2026-07-03T00:00:00"/>
    <s v="2026-07-03"/>
    <n v="0"/>
    <x v="0"/>
    <s v="Delivered"/>
    <x v="3"/>
    <x v="0"/>
  </r>
  <r>
    <n v="1951"/>
    <s v="ParcelOne"/>
    <d v="2026-02-06T00:00:00"/>
    <d v="2026-02-06T00:00:00"/>
    <d v="2026-02-11T00:00:00"/>
    <d v="2026-02-10T00:00:00"/>
    <s v="2026-02-10"/>
    <n v="0"/>
    <x v="1"/>
    <s v="Delivered"/>
    <x v="3"/>
    <x v="0"/>
  </r>
  <r>
    <n v="1953"/>
    <s v="MetroLogistics"/>
    <d v="2026-01-29T00:00:00"/>
    <d v="2026-01-29T00:00:00"/>
    <d v="2026-02-03T00:00:00"/>
    <d v="2026-02-07T00:00:00"/>
    <s v="2026-02-08"/>
    <n v="0"/>
    <x v="2"/>
    <s v="Delivered"/>
    <x v="2"/>
    <x v="0"/>
  </r>
  <r>
    <n v="1954"/>
    <s v="MetroLogistics"/>
    <d v="2026-03-10T00:00:00"/>
    <d v="2026-03-10T00:00:00"/>
    <d v="2026-03-15T00:00:00"/>
    <d v="2026-03-16T00:00:00"/>
    <s v="2026-03-16"/>
    <n v="0"/>
    <x v="2"/>
    <s v="Delivered"/>
    <x v="2"/>
    <x v="0"/>
  </r>
  <r>
    <n v="1955"/>
    <s v="ParcelOne"/>
    <d v="2026-07-01T00:00:00"/>
    <d v="2026-07-01T00:00:00"/>
    <d v="2026-07-06T00:00:00"/>
    <d v="2026-07-06T00:00:00"/>
    <s v="2026-07-06"/>
    <n v="0"/>
    <x v="1"/>
    <s v="Delivered"/>
    <x v="3"/>
    <x v="0"/>
  </r>
  <r>
    <n v="1956"/>
    <s v="SwiftShip"/>
    <d v="2026-05-01T00:00:00"/>
    <d v="2026-05-01T00:00:00"/>
    <d v="2026-05-06T00:00:00"/>
    <d v="2026-05-06T00:00:00"/>
    <s v="2026-05-06"/>
    <n v="0"/>
    <x v="0"/>
    <s v="Delivered"/>
    <x v="3"/>
    <x v="0"/>
  </r>
  <r>
    <n v="1957"/>
    <s v="ParcelOne"/>
    <d v="2026-01-11T00:00:00"/>
    <d v="2026-01-11T00:00:00"/>
    <d v="2026-01-16T00:00:00"/>
    <d v="2026-01-17T00:00:00"/>
    <s v="2026-01-17"/>
    <n v="0"/>
    <x v="1"/>
    <s v="Delivered"/>
    <x v="2"/>
    <x v="0"/>
  </r>
  <r>
    <n v="1958"/>
    <s v="MetroLogistics"/>
    <d v="2026-04-04T00:00:00"/>
    <d v="2026-04-04T00:00:00"/>
    <d v="2026-04-09T00:00:00"/>
    <d v="2026-04-08T00:00:00"/>
    <s v="2026-04-08"/>
    <n v="0"/>
    <x v="2"/>
    <s v="Delivered"/>
    <x v="3"/>
    <x v="0"/>
  </r>
  <r>
    <n v="1959"/>
    <s v="SwiftShip"/>
    <d v="2026-05-27T00:00:00"/>
    <d v="2026-05-29T00:00:00"/>
    <d v="2026-06-01T00:00:00"/>
    <d v="2026-06-01T00:00:00"/>
    <s v="2026-06-01"/>
    <n v="0"/>
    <x v="0"/>
    <s v="Delivered"/>
    <x v="3"/>
    <x v="1"/>
  </r>
  <r>
    <n v="1960"/>
    <s v="SwiftShip"/>
    <d v="2026-06-07T00:00:00"/>
    <d v="2026-06-07T00:00:00"/>
    <d v="2026-06-12T00:00:00"/>
    <d v="2026-06-12T00:00:00"/>
    <s v="2026-06-12"/>
    <n v="0"/>
    <x v="0"/>
    <s v="Delivered"/>
    <x v="3"/>
    <x v="0"/>
  </r>
  <r>
    <n v="1961"/>
    <s v="ParcelOne"/>
    <d v="2026-01-20T00:00:00"/>
    <d v="2026-01-20T00:00:00"/>
    <d v="2026-01-25T00:00:00"/>
    <d v="2026-01-26T00:00:00"/>
    <s v="2026-01-26"/>
    <n v="0"/>
    <x v="1"/>
    <s v="Delivered"/>
    <x v="2"/>
    <x v="0"/>
  </r>
  <r>
    <n v="1962"/>
    <s v="SwiftShip"/>
    <d v="2026-03-04T00:00:00"/>
    <d v="2026-03-04T00:00:00"/>
    <d v="2026-03-09T00:00:00"/>
    <d v="2026-03-10T00:00:00"/>
    <s v="2026-03-10"/>
    <n v="0"/>
    <x v="0"/>
    <s v="Delivered"/>
    <x v="2"/>
    <x v="0"/>
  </r>
  <r>
    <n v="1963"/>
    <s v="MetroLogistics"/>
    <d v="2026-06-07T00:00:00"/>
    <d v="2026-06-07T00:00:00"/>
    <d v="2026-06-12T00:00:00"/>
    <d v="2026-06-12T00:00:00"/>
    <s v="2026-06-14"/>
    <n v="0"/>
    <x v="2"/>
    <s v="Delivered"/>
    <x v="3"/>
    <x v="0"/>
  </r>
  <r>
    <n v="1964"/>
    <s v="ParcelOne"/>
    <d v="2026-05-25T00:00:00"/>
    <d v="2026-05-25T00:00:00"/>
    <d v="2026-05-30T00:00:00"/>
    <d v="2026-05-29T00:00:00"/>
    <s v="2026-05-30"/>
    <n v="0"/>
    <x v="1"/>
    <s v="Delivered"/>
    <x v="3"/>
    <x v="0"/>
  </r>
  <r>
    <n v="1965"/>
    <s v="MetroLogistics"/>
    <d v="2026-01-25T00:00:00"/>
    <d v="2026-01-26T00:00:00"/>
    <d v="2026-01-30T00:00:00"/>
    <d v="2026-01-30T00:00:00"/>
    <s v="2026-01-30"/>
    <n v="0"/>
    <x v="2"/>
    <s v="Delivered"/>
    <x v="3"/>
    <x v="1"/>
  </r>
  <r>
    <n v="1966"/>
    <s v="ParcelOne"/>
    <d v="2026-01-21T00:00:00"/>
    <d v="2026-01-21T00:00:00"/>
    <d v="2026-01-26T00:00:00"/>
    <d v="2026-01-28T00:00:00"/>
    <s v="2026-01-29"/>
    <n v="0"/>
    <x v="1"/>
    <s v="Delivered"/>
    <x v="2"/>
    <x v="0"/>
  </r>
  <r>
    <n v="1967"/>
    <s v="SwiftShip"/>
    <d v="2026-04-25T00:00:00"/>
    <d v="2026-04-25T00:00:00"/>
    <d v="2026-04-30T00:00:00"/>
    <d v="2026-04-30T00:00:00"/>
    <s v="2026-04-30"/>
    <n v="0"/>
    <x v="0"/>
    <s v="Delivered"/>
    <x v="3"/>
    <x v="0"/>
  </r>
  <r>
    <n v="1968"/>
    <s v="ParcelOne"/>
    <d v="2026-03-03T00:00:00"/>
    <d v="2026-03-03T00:00:00"/>
    <d v="2026-03-08T00:00:00"/>
    <d v="2026-03-08T00:00:00"/>
    <s v="2026-03-09"/>
    <n v="0"/>
    <x v="1"/>
    <s v="Delivered"/>
    <x v="3"/>
    <x v="0"/>
  </r>
  <r>
    <n v="1969"/>
    <s v="ParcelOne"/>
    <d v="2026-03-17T00:00:00"/>
    <d v="2026-03-17T00:00:00"/>
    <d v="2026-03-22T00:00:00"/>
    <d v="2026-03-20T00:00:00"/>
    <s v="2026-03-20"/>
    <n v="0"/>
    <x v="1"/>
    <s v="Delivered"/>
    <x v="3"/>
    <x v="0"/>
  </r>
  <r>
    <n v="1970"/>
    <s v="MetroLogistics"/>
    <d v="2026-06-01T00:00:00"/>
    <d v="2026-06-01T00:00:00"/>
    <d v="2026-06-06T00:00:00"/>
    <d v="2026-06-07T00:00:00"/>
    <s v="2026-06-07"/>
    <n v="0"/>
    <x v="2"/>
    <s v="Delivered"/>
    <x v="2"/>
    <x v="0"/>
  </r>
  <r>
    <n v="1971"/>
    <s v="MetroLogistics"/>
    <d v="2026-03-28T00:00:00"/>
    <d v="2026-03-29T00:00:00"/>
    <d v="2026-04-02T00:00:00"/>
    <m/>
    <m/>
    <n v="0"/>
    <x v="2"/>
    <s v="Shipped"/>
    <x v="0"/>
    <x v="1"/>
  </r>
  <r>
    <n v="1972"/>
    <s v="ParcelOne"/>
    <d v="2026-06-08T00:00:00"/>
    <d v="2026-06-10T00:00:00"/>
    <d v="2026-06-13T00:00:00"/>
    <d v="2026-06-13T00:00:00"/>
    <s v="2026-06-13"/>
    <n v="0"/>
    <x v="1"/>
    <s v="Delivered"/>
    <x v="3"/>
    <x v="1"/>
  </r>
  <r>
    <n v="1973"/>
    <s v="ParcelOne"/>
    <d v="2026-05-10T00:00:00"/>
    <d v="2026-05-12T00:00:00"/>
    <d v="2026-05-15T00:00:00"/>
    <d v="2026-05-13T00:00:00"/>
    <s v="2026-05-13"/>
    <n v="0"/>
    <x v="1"/>
    <s v="Delivered"/>
    <x v="3"/>
    <x v="1"/>
  </r>
  <r>
    <n v="1974"/>
    <s v="SwiftShip"/>
    <d v="2026-05-19T00:00:00"/>
    <d v="2026-05-19T00:00:00"/>
    <d v="2026-05-24T00:00:00"/>
    <d v="2026-05-25T00:00:00"/>
    <s v="2026-05-25"/>
    <n v="0"/>
    <x v="0"/>
    <s v="Delivered"/>
    <x v="2"/>
    <x v="0"/>
  </r>
  <r>
    <n v="1975"/>
    <s v="ParcelOne"/>
    <d v="2026-05-23T00:00:00"/>
    <d v="2026-05-23T00:00:00"/>
    <d v="2026-05-28T00:00:00"/>
    <d v="2026-05-28T00:00:00"/>
    <s v="2026-05-30"/>
    <n v="0"/>
    <x v="1"/>
    <s v="Delivered"/>
    <x v="3"/>
    <x v="0"/>
  </r>
  <r>
    <n v="1976"/>
    <s v="ParcelOne"/>
    <d v="2026-03-03T00:00:00"/>
    <d v="2026-03-05T00:00:00"/>
    <d v="2026-03-08T00:00:00"/>
    <d v="2026-03-06T00:00:00"/>
    <s v="2026-03-06"/>
    <n v="0"/>
    <x v="1"/>
    <s v="Delivered"/>
    <x v="3"/>
    <x v="1"/>
  </r>
  <r>
    <n v="1977"/>
    <s v="SwiftShip"/>
    <d v="2026-01-22T00:00:00"/>
    <d v="2026-01-22T00:00:00"/>
    <d v="2026-01-27T00:00:00"/>
    <d v="2026-01-27T00:00:00"/>
    <s v="2026-01-28"/>
    <n v="0"/>
    <x v="0"/>
    <s v="Delivered"/>
    <x v="3"/>
    <x v="0"/>
  </r>
  <r>
    <n v="1978"/>
    <s v="ParcelOne"/>
    <d v="2026-02-05T00:00:00"/>
    <d v="2026-02-05T00:00:00"/>
    <d v="2026-02-10T00:00:00"/>
    <d v="2026-02-11T00:00:00"/>
    <s v="2026-02-11"/>
    <n v="0"/>
    <x v="1"/>
    <s v="Delivered"/>
    <x v="2"/>
    <x v="0"/>
  </r>
  <r>
    <n v="1979"/>
    <s v="MetroLogistics"/>
    <d v="2026-04-26T00:00:00"/>
    <d v="2026-04-26T00:00:00"/>
    <d v="2026-05-01T00:00:00"/>
    <d v="2026-05-03T00:00:00"/>
    <s v="2026-05-03"/>
    <n v="0"/>
    <x v="2"/>
    <s v="Delivered"/>
    <x v="2"/>
    <x v="0"/>
  </r>
  <r>
    <n v="1980"/>
    <s v="MetroLogistics"/>
    <d v="2026-05-07T00:00:00"/>
    <d v="2026-05-07T00:00:00"/>
    <d v="2026-05-12T00:00:00"/>
    <d v="2026-05-12T00:00:00"/>
    <s v="2026-05-12"/>
    <n v="0"/>
    <x v="2"/>
    <s v="Delivered"/>
    <x v="3"/>
    <x v="0"/>
  </r>
  <r>
    <n v="1981"/>
    <s v="SwiftShip"/>
    <d v="2026-02-08T00:00:00"/>
    <d v="2026-02-09T00:00:00"/>
    <d v="2026-02-13T00:00:00"/>
    <d v="2026-02-13T00:00:00"/>
    <s v="2026-02-13"/>
    <n v="0"/>
    <x v="0"/>
    <s v="Delivered"/>
    <x v="3"/>
    <x v="1"/>
  </r>
  <r>
    <n v="1982"/>
    <s v="SwiftShip"/>
    <d v="2026-01-24T00:00:00"/>
    <d v="2026-01-24T00:00:00"/>
    <d v="2026-01-29T00:00:00"/>
    <d v="2026-01-28T00:00:00"/>
    <s v="2026-01-28"/>
    <n v="0"/>
    <x v="0"/>
    <s v="Delivered"/>
    <x v="3"/>
    <x v="0"/>
  </r>
  <r>
    <n v="1983"/>
    <s v="SwiftShip"/>
    <d v="2026-05-19T00:00:00"/>
    <d v="2026-05-21T00:00:00"/>
    <d v="2026-05-24T00:00:00"/>
    <d v="2026-05-26T00:00:00"/>
    <s v="2026-05-26"/>
    <n v="0"/>
    <x v="0"/>
    <s v="Delivered"/>
    <x v="2"/>
    <x v="1"/>
  </r>
  <r>
    <n v="1984"/>
    <s v="ParcelOne"/>
    <d v="2026-03-11T00:00:00"/>
    <d v="2026-03-12T00:00:00"/>
    <d v="2026-03-16T00:00:00"/>
    <d v="2026-03-17T00:00:00"/>
    <s v="2026-03-19"/>
    <n v="0"/>
    <x v="1"/>
    <s v="Delivered"/>
    <x v="2"/>
    <x v="1"/>
  </r>
  <r>
    <n v="1985"/>
    <s v="ParcelOne"/>
    <d v="2026-01-30T00:00:00"/>
    <d v="2026-01-30T00:00:00"/>
    <d v="2026-02-04T00:00:00"/>
    <d v="2026-02-08T00:00:00"/>
    <s v="2026-02-08"/>
    <n v="0"/>
    <x v="1"/>
    <s v="Delivered"/>
    <x v="2"/>
    <x v="0"/>
  </r>
  <r>
    <n v="1986"/>
    <s v="SwiftShip"/>
    <d v="2026-03-15T00:00:00"/>
    <d v="2026-03-15T00:00:00"/>
    <d v="2026-03-20T00:00:00"/>
    <d v="2026-03-20T00:00:00"/>
    <s v="2026-03-20"/>
    <n v="0"/>
    <x v="0"/>
    <s v="Delivered"/>
    <x v="3"/>
    <x v="0"/>
  </r>
  <r>
    <n v="1987"/>
    <s v="ParcelOne"/>
    <d v="2026-03-12T00:00:00"/>
    <d v="2026-03-13T00:00:00"/>
    <d v="2026-03-17T00:00:00"/>
    <d v="2026-03-19T00:00:00"/>
    <s v="2026-03-19"/>
    <n v="0"/>
    <x v="1"/>
    <s v="Delivered"/>
    <x v="2"/>
    <x v="1"/>
  </r>
  <r>
    <n v="1988"/>
    <s v="MetroLogistics"/>
    <d v="2026-04-25T00:00:00"/>
    <d v="2026-04-25T00:00:00"/>
    <d v="2026-04-30T00:00:00"/>
    <d v="2026-05-04T00:00:00"/>
    <s v="2026-05-04"/>
    <n v="0"/>
    <x v="2"/>
    <s v="Delivered"/>
    <x v="2"/>
    <x v="0"/>
  </r>
  <r>
    <n v="1989"/>
    <s v="ParcelOne"/>
    <d v="2026-05-24T00:00:00"/>
    <d v="2026-05-25T00:00:00"/>
    <d v="2026-05-29T00:00:00"/>
    <d v="2026-05-28T00:00:00"/>
    <s v="2026-05-28"/>
    <n v="0"/>
    <x v="1"/>
    <s v="Delivered"/>
    <x v="3"/>
    <x v="1"/>
  </r>
  <r>
    <n v="1990"/>
    <s v="SwiftShip"/>
    <d v="2026-06-10T00:00:00"/>
    <d v="2026-06-10T00:00:00"/>
    <d v="2026-06-15T00:00:00"/>
    <d v="2026-06-15T00:00:00"/>
    <s v="2026-06-15"/>
    <n v="0"/>
    <x v="0"/>
    <s v="Delivered"/>
    <x v="3"/>
    <x v="0"/>
  </r>
  <r>
    <n v="1991"/>
    <s v="SwiftShip"/>
    <d v="2026-01-13T00:00:00"/>
    <d v="2026-01-15T00:00:00"/>
    <d v="2026-01-18T00:00:00"/>
    <d v="2026-01-16T00:00:00"/>
    <s v="2026-01-17"/>
    <n v="0"/>
    <x v="0"/>
    <s v="Delivered"/>
    <x v="3"/>
    <x v="1"/>
  </r>
  <r>
    <n v="1992"/>
    <s v="SwiftShip"/>
    <d v="2026-05-21T00:00:00"/>
    <d v="2026-05-21T00:00:00"/>
    <d v="2026-05-26T00:00:00"/>
    <d v="2026-05-25T00:00:00"/>
    <s v="2026-05-25"/>
    <n v="0"/>
    <x v="0"/>
    <s v="Delivered"/>
    <x v="3"/>
    <x v="0"/>
  </r>
  <r>
    <n v="1993"/>
    <s v="SwiftShip"/>
    <d v="2026-06-26T00:00:00"/>
    <d v="2026-06-26T00:00:00"/>
    <d v="2026-07-01T00:00:00"/>
    <d v="2026-07-01T00:00:00"/>
    <s v="2026-07-01"/>
    <n v="0"/>
    <x v="0"/>
    <s v="Delivered"/>
    <x v="3"/>
    <x v="0"/>
  </r>
  <r>
    <n v="1994"/>
    <s v="MetroLogistics"/>
    <d v="2026-03-19T00:00:00"/>
    <d v="2026-03-19T00:00:00"/>
    <d v="2026-03-24T00:00:00"/>
    <d v="2026-03-23T00:00:00"/>
    <s v="2026-03-23"/>
    <n v="0"/>
    <x v="2"/>
    <s v="Delivered"/>
    <x v="3"/>
    <x v="0"/>
  </r>
  <r>
    <n v="1995"/>
    <s v="MetroLogistics"/>
    <d v="2026-05-13T00:00:00"/>
    <d v="2026-05-13T00:00:00"/>
    <d v="2026-05-18T00:00:00"/>
    <d v="2026-05-17T00:00:00"/>
    <s v="2026-05-17"/>
    <n v="0"/>
    <x v="2"/>
    <s v="Delivered"/>
    <x v="3"/>
    <x v="0"/>
  </r>
  <r>
    <n v="1996"/>
    <s v="MetroLogistics"/>
    <d v="2026-01-23T00:00:00"/>
    <d v="2026-01-23T00:00:00"/>
    <d v="2026-01-28T00:00:00"/>
    <m/>
    <m/>
    <n v="0"/>
    <x v="2"/>
    <s v="Shipped"/>
    <x v="0"/>
    <x v="0"/>
  </r>
  <r>
    <n v="1997"/>
    <s v="ParcelOne"/>
    <d v="2026-05-17T00:00:00"/>
    <d v="2026-05-17T00:00:00"/>
    <d v="2026-05-22T00:00:00"/>
    <d v="2026-05-23T00:00:00"/>
    <s v="2026-05-25"/>
    <n v="0"/>
    <x v="1"/>
    <s v="Delivered"/>
    <x v="2"/>
    <x v="0"/>
  </r>
  <r>
    <n v="1998"/>
    <s v="SwiftShip"/>
    <d v="2026-04-29T00:00:00"/>
    <d v="2026-04-29T00:00:00"/>
    <d v="2026-05-04T00:00:00"/>
    <d v="2026-05-02T00:00:00"/>
    <s v="2026-05-02"/>
    <n v="0"/>
    <x v="0"/>
    <s v="Delivered"/>
    <x v="3"/>
    <x v="0"/>
  </r>
  <r>
    <n v="1999"/>
    <s v="MetroLogistics"/>
    <d v="2026-06-06T00:00:00"/>
    <d v="2026-06-08T00:00:00"/>
    <d v="2026-06-11T00:00:00"/>
    <d v="2026-06-10T00:00:00"/>
    <s v="2026-06-12"/>
    <n v="0"/>
    <x v="2"/>
    <s v="Delivered"/>
    <x v="3"/>
    <x v="1"/>
  </r>
  <r>
    <n v="2000"/>
    <s v="SwiftShip"/>
    <d v="2026-06-01T00:00:00"/>
    <d v="2026-06-01T00:00:00"/>
    <d v="2026-06-06T00:00:00"/>
    <d v="2026-06-06T00:00:00"/>
    <s v="2026-06-06"/>
    <n v="0"/>
    <x v="0"/>
    <s v="Delivered"/>
    <x v="3"/>
    <x v="0"/>
  </r>
  <r>
    <n v="2002"/>
    <s v="MetroLogistics"/>
    <d v="2026-02-14T00:00:00"/>
    <d v="2026-02-14T00:00:00"/>
    <d v="2026-02-19T00:00:00"/>
    <d v="2026-02-18T00:00:00"/>
    <s v="2026-02-18"/>
    <n v="0"/>
    <x v="2"/>
    <s v="Delivered"/>
    <x v="3"/>
    <x v="0"/>
  </r>
  <r>
    <n v="2003"/>
    <s v="SwiftShip"/>
    <d v="2026-05-18T00:00:00"/>
    <d v="2026-05-18T00:00:00"/>
    <d v="2026-05-23T00:00:00"/>
    <m/>
    <m/>
    <n v="0"/>
    <x v="0"/>
    <s v="Shipped"/>
    <x v="0"/>
    <x v="0"/>
  </r>
  <r>
    <n v="2004"/>
    <s v="MetroLogistics"/>
    <d v="2026-06-03T00:00:00"/>
    <d v="2026-06-03T00:00:00"/>
    <d v="2026-06-08T00:00:00"/>
    <d v="2026-06-08T00:00:00"/>
    <s v="2026-06-08"/>
    <n v="0"/>
    <x v="2"/>
    <s v="Delivered"/>
    <x v="3"/>
    <x v="0"/>
  </r>
  <r>
    <n v="2005"/>
    <s v="SwiftShip"/>
    <d v="2026-02-06T00:00:00"/>
    <d v="2026-02-06T00:00:00"/>
    <d v="2026-02-11T00:00:00"/>
    <d v="2026-02-11T00:00:00"/>
    <s v="2026-02-11"/>
    <n v="0"/>
    <x v="0"/>
    <s v="Delivered"/>
    <x v="3"/>
    <x v="0"/>
  </r>
  <r>
    <n v="2006"/>
    <s v="MetroLogistics"/>
    <d v="2026-03-26T00:00:00"/>
    <d v="2026-03-26T00:00:00"/>
    <d v="2026-03-31T00:00:00"/>
    <d v="2026-03-31T00:00:00"/>
    <s v="2026-04-01"/>
    <n v="0"/>
    <x v="2"/>
    <s v="Delivered"/>
    <x v="3"/>
    <x v="0"/>
  </r>
  <r>
    <n v="2007"/>
    <s v="MetroLogistics"/>
    <d v="2026-05-13T00:00:00"/>
    <d v="2026-05-15T00:00:00"/>
    <d v="2026-05-18T00:00:00"/>
    <d v="2026-05-16T00:00:00"/>
    <s v="2026-05-18"/>
    <n v="0"/>
    <x v="2"/>
    <s v="Delivered"/>
    <x v="3"/>
    <x v="1"/>
  </r>
  <r>
    <n v="2008"/>
    <s v="ParcelOne"/>
    <d v="2026-02-25T00:00:00"/>
    <d v="2026-02-25T00:00:00"/>
    <d v="2026-03-02T00:00:00"/>
    <d v="2026-03-02T00:00:00"/>
    <s v="2026-03-02"/>
    <n v="0"/>
    <x v="1"/>
    <s v="Delivered"/>
    <x v="3"/>
    <x v="0"/>
  </r>
  <r>
    <n v="2009"/>
    <s v="MetroLogistics"/>
    <d v="2026-03-17T00:00:00"/>
    <d v="2026-03-17T00:00:00"/>
    <d v="2026-03-22T00:00:00"/>
    <m/>
    <m/>
    <n v="0"/>
    <x v="2"/>
    <s v="Shipped"/>
    <x v="0"/>
    <x v="0"/>
  </r>
  <r>
    <n v="2010"/>
    <s v="MetroLogistics"/>
    <d v="2026-02-15T00:00:00"/>
    <d v="2026-02-15T00:00:00"/>
    <d v="2026-02-20T00:00:00"/>
    <d v="2026-02-24T00:00:00"/>
    <s v="2026-02-24"/>
    <n v="0"/>
    <x v="2"/>
    <s v="Delivered"/>
    <x v="2"/>
    <x v="0"/>
  </r>
  <r>
    <n v="2011"/>
    <s v="SwiftShip"/>
    <d v="2026-04-26T00:00:00"/>
    <d v="2026-04-26T00:00:00"/>
    <d v="2026-05-01T00:00:00"/>
    <d v="2026-04-30T00:00:00"/>
    <s v="2026-04-30"/>
    <n v="0"/>
    <x v="0"/>
    <s v="Delivered"/>
    <x v="3"/>
    <x v="0"/>
  </r>
  <r>
    <n v="2012"/>
    <s v="SwiftShip"/>
    <d v="2026-06-23T00:00:00"/>
    <d v="2026-06-23T00:00:00"/>
    <d v="2026-06-28T00:00:00"/>
    <d v="2026-06-28T00:00:00"/>
    <s v="2026-06-28"/>
    <n v="0"/>
    <x v="0"/>
    <s v="Delivered"/>
    <x v="3"/>
    <x v="0"/>
  </r>
  <r>
    <n v="2013"/>
    <s v="MetroLogistics"/>
    <d v="2026-04-29T00:00:00"/>
    <d v="2026-04-29T00:00:00"/>
    <d v="2026-05-04T00:00:00"/>
    <d v="2026-05-04T00:00:00"/>
    <s v="2026-05-05"/>
    <n v="0"/>
    <x v="2"/>
    <s v="Delivered"/>
    <x v="3"/>
    <x v="0"/>
  </r>
  <r>
    <n v="2014"/>
    <s v="ParcelOne"/>
    <d v="2026-01-12T00:00:00"/>
    <d v="2026-01-13T00:00:00"/>
    <d v="2026-01-17T00:00:00"/>
    <m/>
    <m/>
    <n v="0"/>
    <x v="1"/>
    <s v="Shipped"/>
    <x v="0"/>
    <x v="1"/>
  </r>
  <r>
    <n v="2015"/>
    <s v="ParcelOne"/>
    <d v="2026-06-24T00:00:00"/>
    <d v="2026-06-24T00:00:00"/>
    <d v="2026-06-29T00:00:00"/>
    <d v="2026-06-29T00:00:00"/>
    <s v="2026-06-29"/>
    <n v="0"/>
    <x v="1"/>
    <s v="Delivered"/>
    <x v="3"/>
    <x v="0"/>
  </r>
  <r>
    <n v="2017"/>
    <s v="ParcelOne"/>
    <d v="2026-05-08T00:00:00"/>
    <d v="2026-05-08T00:00:00"/>
    <d v="2026-05-13T00:00:00"/>
    <d v="2026-05-13T00:00:00"/>
    <s v="2026-05-13"/>
    <n v="0"/>
    <x v="1"/>
    <s v="Delivered"/>
    <x v="3"/>
    <x v="0"/>
  </r>
  <r>
    <n v="2018"/>
    <s v="SwiftShip"/>
    <d v="2026-03-20T00:00:00"/>
    <d v="2026-03-20T00:00:00"/>
    <d v="2026-03-25T00:00:00"/>
    <d v="2026-03-24T00:00:00"/>
    <s v="2026-03-25"/>
    <n v="0"/>
    <x v="0"/>
    <s v="Delivered"/>
    <x v="3"/>
    <x v="0"/>
  </r>
  <r>
    <n v="2019"/>
    <s v="SwiftShip"/>
    <d v="2026-04-20T00:00:00"/>
    <d v="2026-04-20T00:00:00"/>
    <d v="2026-04-25T00:00:00"/>
    <m/>
    <m/>
    <n v="0"/>
    <x v="0"/>
    <s v="Shipped"/>
    <x v="0"/>
    <x v="0"/>
  </r>
  <r>
    <n v="2020"/>
    <s v="SwiftShip"/>
    <d v="2026-03-25T00:00:00"/>
    <d v="2026-03-25T00:00:00"/>
    <d v="2026-03-30T00:00:00"/>
    <d v="2026-03-30T00:00:00"/>
    <s v="2026-03-30"/>
    <n v="0"/>
    <x v="0"/>
    <s v="Delivered"/>
    <x v="3"/>
    <x v="0"/>
  </r>
  <r>
    <n v="2021"/>
    <s v="ParcelOne"/>
    <d v="2026-01-18T00:00:00"/>
    <d v="2026-01-19T00:00:00"/>
    <d v="2026-01-23T00:00:00"/>
    <d v="2026-01-23T00:00:00"/>
    <s v="2026-01-23"/>
    <n v="0"/>
    <x v="1"/>
    <s v="Delivered"/>
    <x v="3"/>
    <x v="1"/>
  </r>
  <r>
    <n v="2022"/>
    <s v="ParcelOne"/>
    <d v="2026-03-12T00:00:00"/>
    <d v="2026-03-12T00:00:00"/>
    <d v="2026-03-17T00:00:00"/>
    <d v="2026-03-17T00:00:00"/>
    <s v="2026-03-17"/>
    <n v="0"/>
    <x v="1"/>
    <s v="Delivered"/>
    <x v="3"/>
    <x v="0"/>
  </r>
  <r>
    <n v="2023"/>
    <s v="MetroLogistics"/>
    <d v="2026-06-12T00:00:00"/>
    <d v="2026-06-14T00:00:00"/>
    <d v="2026-06-17T00:00:00"/>
    <d v="2026-06-15T00:00:00"/>
    <s v="2026-06-15"/>
    <n v="0"/>
    <x v="2"/>
    <s v="Delivered"/>
    <x v="3"/>
    <x v="1"/>
  </r>
  <r>
    <n v="2024"/>
    <s v="SwiftShip"/>
    <d v="2026-03-29T00:00:00"/>
    <d v="2026-03-29T00:00:00"/>
    <d v="2026-04-03T00:00:00"/>
    <m/>
    <m/>
    <n v="0"/>
    <x v="0"/>
    <s v="Shipped"/>
    <x v="0"/>
    <x v="0"/>
  </r>
  <r>
    <n v="2025"/>
    <s v="ParcelOne"/>
    <d v="2026-05-20T00:00:00"/>
    <d v="2026-05-20T00:00:00"/>
    <d v="2026-05-25T00:00:00"/>
    <d v="2026-05-25T00:00:00"/>
    <s v="2026-05-25"/>
    <n v="0"/>
    <x v="1"/>
    <s v="Delivered"/>
    <x v="3"/>
    <x v="0"/>
  </r>
  <r>
    <n v="2026"/>
    <s v="ParcelOne"/>
    <d v="2026-01-12T00:00:00"/>
    <d v="2026-01-12T00:00:00"/>
    <d v="2026-01-17T00:00:00"/>
    <d v="2026-01-15T00:00:00"/>
    <s v="2026-01-15"/>
    <n v="0"/>
    <x v="1"/>
    <s v="Delivered"/>
    <x v="3"/>
    <x v="0"/>
  </r>
  <r>
    <n v="2027"/>
    <s v="MetroLogistics"/>
    <d v="2026-03-02T00:00:00"/>
    <d v="2026-03-03T00:00:00"/>
    <d v="2026-03-07T00:00:00"/>
    <d v="2026-03-07T00:00:00"/>
    <s v="2026-03-07"/>
    <n v="0"/>
    <x v="2"/>
    <s v="Delivered"/>
    <x v="3"/>
    <x v="1"/>
  </r>
  <r>
    <n v="2029"/>
    <s v="SwiftShip"/>
    <d v="2026-01-08T00:00:00"/>
    <d v="2026-01-08T00:00:00"/>
    <d v="2026-01-13T00:00:00"/>
    <d v="2026-01-13T00:00:00"/>
    <s v="2026-01-13"/>
    <n v="0"/>
    <x v="0"/>
    <s v="Delivered"/>
    <x v="3"/>
    <x v="0"/>
  </r>
  <r>
    <n v="2030"/>
    <s v="MetroLogistics"/>
    <d v="2026-03-14T00:00:00"/>
    <d v="2026-03-14T00:00:00"/>
    <d v="2026-03-19T00:00:00"/>
    <d v="2026-03-18T00:00:00"/>
    <s v="2026-03-20"/>
    <n v="0"/>
    <x v="2"/>
    <s v="Delivered"/>
    <x v="3"/>
    <x v="0"/>
  </r>
  <r>
    <n v="2031"/>
    <s v="MetroLogistics"/>
    <d v="2026-03-15T00:00:00"/>
    <d v="2026-03-15T00:00:00"/>
    <d v="2026-03-20T00:00:00"/>
    <d v="2026-03-21T00:00:00"/>
    <s v="2026-03-21"/>
    <n v="0"/>
    <x v="2"/>
    <s v="Delivered"/>
    <x v="2"/>
    <x v="0"/>
  </r>
  <r>
    <n v="2032"/>
    <s v="ParcelOne"/>
    <d v="2026-01-09T00:00:00"/>
    <d v="2026-01-09T00:00:00"/>
    <d v="2026-01-14T00:00:00"/>
    <d v="2026-01-15T00:00:00"/>
    <s v="2026-01-17"/>
    <n v="0"/>
    <x v="1"/>
    <s v="Delivered"/>
    <x v="2"/>
    <x v="0"/>
  </r>
  <r>
    <n v="2033"/>
    <s v="MetroLogistics"/>
    <d v="2026-05-26T00:00:00"/>
    <d v="2026-05-26T00:00:00"/>
    <d v="2026-05-31T00:00:00"/>
    <d v="2026-05-31T00:00:00"/>
    <s v="2026-05-31"/>
    <n v="0"/>
    <x v="2"/>
    <s v="Delivered"/>
    <x v="3"/>
    <x v="0"/>
  </r>
  <r>
    <n v="2034"/>
    <s v="SwiftShip"/>
    <d v="2026-03-30T00:00:00"/>
    <d v="2026-03-30T00:00:00"/>
    <d v="2026-04-04T00:00:00"/>
    <d v="2026-04-03T00:00:00"/>
    <s v="2026-04-03"/>
    <n v="0"/>
    <x v="0"/>
    <s v="Delivered"/>
    <x v="3"/>
    <x v="0"/>
  </r>
  <r>
    <n v="2035"/>
    <s v="ParcelOne"/>
    <d v="2026-05-22T00:00:00"/>
    <d v="2026-05-22T00:00:00"/>
    <d v="2026-05-27T00:00:00"/>
    <d v="2026-05-25T00:00:00"/>
    <s v="2026-05-25"/>
    <n v="0"/>
    <x v="1"/>
    <s v="Delivered"/>
    <x v="3"/>
    <x v="0"/>
  </r>
  <r>
    <n v="2036"/>
    <s v="SwiftShip"/>
    <d v="2026-02-13T00:00:00"/>
    <d v="2026-02-14T00:00:00"/>
    <d v="2026-02-18T00:00:00"/>
    <d v="2026-02-17T00:00:00"/>
    <s v="2026-02-18"/>
    <n v="0"/>
    <x v="0"/>
    <s v="Delivered"/>
    <x v="3"/>
    <x v="1"/>
  </r>
  <r>
    <n v="2037"/>
    <s v="MetroLogistics"/>
    <d v="2026-02-15T00:00:00"/>
    <d v="2026-02-15T00:00:00"/>
    <d v="2026-02-20T00:00:00"/>
    <d v="2026-02-19T00:00:00"/>
    <s v="2026-02-21"/>
    <n v="0"/>
    <x v="2"/>
    <s v="Delivered"/>
    <x v="3"/>
    <x v="0"/>
  </r>
  <r>
    <n v="2038"/>
    <s v="MetroLogistics"/>
    <d v="2026-06-25T00:00:00"/>
    <d v="2026-06-26T00:00:00"/>
    <d v="2026-06-30T00:00:00"/>
    <d v="2026-07-04T00:00:00"/>
    <s v="2026-07-04"/>
    <n v="0"/>
    <x v="2"/>
    <s v="Delivered"/>
    <x v="2"/>
    <x v="1"/>
  </r>
  <r>
    <n v="2039"/>
    <s v="ParcelOne"/>
    <d v="2026-03-08T00:00:00"/>
    <d v="2026-03-08T00:00:00"/>
    <d v="2026-03-13T00:00:00"/>
    <d v="2026-03-13T00:00:00"/>
    <s v="2026-03-13"/>
    <n v="0"/>
    <x v="1"/>
    <s v="Delivered"/>
    <x v="3"/>
    <x v="0"/>
  </r>
  <r>
    <n v="2040"/>
    <s v="SwiftShip"/>
    <d v="2026-01-04T00:00:00"/>
    <d v="2026-01-04T00:00:00"/>
    <d v="2026-01-09T00:00:00"/>
    <d v="2026-01-09T00:00:00"/>
    <s v="2026-01-09"/>
    <n v="0"/>
    <x v="0"/>
    <s v="Delivered"/>
    <x v="3"/>
    <x v="0"/>
  </r>
  <r>
    <n v="2041"/>
    <s v="MetroLogistics"/>
    <d v="2026-06-04T00:00:00"/>
    <d v="2026-06-04T00:00:00"/>
    <d v="2026-06-09T00:00:00"/>
    <d v="2026-06-11T00:00:00"/>
    <s v="2026-06-11"/>
    <n v="0"/>
    <x v="2"/>
    <s v="Delivered"/>
    <x v="2"/>
    <x v="0"/>
  </r>
  <r>
    <n v="2042"/>
    <s v="ParcelOne"/>
    <d v="2026-03-22T00:00:00"/>
    <d v="2026-03-22T00:00:00"/>
    <d v="2026-03-27T00:00:00"/>
    <d v="2026-03-26T00:00:00"/>
    <s v="2026-03-26"/>
    <n v="0"/>
    <x v="1"/>
    <s v="Delivered"/>
    <x v="3"/>
    <x v="0"/>
  </r>
  <r>
    <n v="2043"/>
    <s v="ParcelOne"/>
    <d v="2026-03-11T00:00:00"/>
    <d v="2026-03-11T00:00:00"/>
    <d v="2026-03-16T00:00:00"/>
    <d v="2026-03-14T00:00:00"/>
    <s v="2026-03-14"/>
    <n v="0"/>
    <x v="1"/>
    <s v="Delivered"/>
    <x v="3"/>
    <x v="0"/>
  </r>
  <r>
    <n v="2044"/>
    <s v="SwiftShip"/>
    <d v="2026-01-26T00:00:00"/>
    <d v="2026-01-27T00:00:00"/>
    <d v="2026-01-31T00:00:00"/>
    <m/>
    <m/>
    <n v="0"/>
    <x v="0"/>
    <s v="Shipped"/>
    <x v="0"/>
    <x v="1"/>
  </r>
  <r>
    <n v="2046"/>
    <s v="SwiftShip"/>
    <d v="2026-04-21T00:00:00"/>
    <d v="2026-04-21T00:00:00"/>
    <d v="2026-04-26T00:00:00"/>
    <d v="2026-04-26T00:00:00"/>
    <s v="2026-04-26"/>
    <n v="0"/>
    <x v="0"/>
    <s v="Delivered"/>
    <x v="3"/>
    <x v="0"/>
  </r>
  <r>
    <n v="2047"/>
    <s v="MetroLogistics"/>
    <d v="2026-05-16T00:00:00"/>
    <d v="2026-05-16T00:00:00"/>
    <d v="2026-05-21T00:00:00"/>
    <d v="2026-05-22T00:00:00"/>
    <s v="2026-05-22"/>
    <n v="0"/>
    <x v="2"/>
    <s v="Delivered"/>
    <x v="2"/>
    <x v="0"/>
  </r>
  <r>
    <n v="2048"/>
    <s v="MetroLogistics"/>
    <d v="2026-04-24T00:00:00"/>
    <d v="2026-04-24T00:00:00"/>
    <d v="2026-04-29T00:00:00"/>
    <d v="2026-04-29T00:00:00"/>
    <s v="2026-04-29"/>
    <n v="0"/>
    <x v="2"/>
    <s v="Delivered"/>
    <x v="3"/>
    <x v="0"/>
  </r>
  <r>
    <n v="2050"/>
    <s v="MetroLogistics"/>
    <d v="2026-04-26T00:00:00"/>
    <d v="2026-04-26T00:00:00"/>
    <d v="2026-05-01T00:00:00"/>
    <d v="2026-05-03T00:00:00"/>
    <s v="2026-05-05"/>
    <n v="0"/>
    <x v="2"/>
    <s v="Delivered"/>
    <x v="2"/>
    <x v="0"/>
  </r>
  <r>
    <n v="2051"/>
    <s v="ParcelOne"/>
    <d v="2026-01-06T00:00:00"/>
    <d v="2026-01-06T00:00:00"/>
    <d v="2026-01-11T00:00:00"/>
    <d v="2026-01-09T00:00:00"/>
    <s v="2026-01-09"/>
    <n v="0"/>
    <x v="1"/>
    <s v="Delivered"/>
    <x v="3"/>
    <x v="0"/>
  </r>
  <r>
    <n v="2052"/>
    <s v="SwiftShip"/>
    <d v="2026-05-03T00:00:00"/>
    <m/>
    <d v="2026-05-08T00:00:00"/>
    <m/>
    <m/>
    <n v="0"/>
    <x v="0"/>
    <s v="Pending"/>
    <x v="0"/>
    <x v="2"/>
  </r>
  <r>
    <n v="2053"/>
    <s v="ParcelOne"/>
    <d v="2026-01-10T00:00:00"/>
    <d v="2026-01-10T00:00:00"/>
    <d v="2026-01-15T00:00:00"/>
    <d v="2026-01-15T00:00:00"/>
    <s v="2026-01-15"/>
    <n v="0"/>
    <x v="1"/>
    <s v="Delivered"/>
    <x v="3"/>
    <x v="0"/>
  </r>
  <r>
    <n v="2054"/>
    <s v="MetroLogistics"/>
    <d v="2026-05-22T00:00:00"/>
    <d v="2026-05-22T00:00:00"/>
    <d v="2026-05-27T00:00:00"/>
    <d v="2026-05-31T00:00:00"/>
    <s v="2026-05-31"/>
    <n v="0"/>
    <x v="2"/>
    <s v="Delivered"/>
    <x v="2"/>
    <x v="0"/>
  </r>
  <r>
    <n v="2055"/>
    <s v="ParcelOne"/>
    <d v="2026-06-23T00:00:00"/>
    <d v="2026-06-23T00:00:00"/>
    <d v="2026-06-28T00:00:00"/>
    <d v="2026-06-27T00:00:00"/>
    <s v="2026-06-27"/>
    <n v="0"/>
    <x v="1"/>
    <s v="Delivered"/>
    <x v="3"/>
    <x v="0"/>
  </r>
  <r>
    <n v="2056"/>
    <s v="MetroLogistics"/>
    <d v="2026-06-14T00:00:00"/>
    <d v="2026-06-14T00:00:00"/>
    <d v="2026-06-19T00:00:00"/>
    <d v="2026-06-19T00:00:00"/>
    <s v="2026-06-19"/>
    <n v="0"/>
    <x v="2"/>
    <s v="Delivered"/>
    <x v="3"/>
    <x v="0"/>
  </r>
  <r>
    <n v="2057"/>
    <s v="ParcelOne"/>
    <d v="2026-05-01T00:00:00"/>
    <d v="2026-05-01T00:00:00"/>
    <d v="2026-05-06T00:00:00"/>
    <d v="2026-05-06T00:00:00"/>
    <s v="2026-05-08"/>
    <n v="0"/>
    <x v="1"/>
    <s v="Delivered"/>
    <x v="3"/>
    <x v="0"/>
  </r>
  <r>
    <n v="2058"/>
    <s v="SwiftShip"/>
    <d v="2026-01-05T00:00:00"/>
    <d v="2026-01-05T00:00:00"/>
    <d v="2026-01-10T00:00:00"/>
    <d v="2026-01-11T00:00:00"/>
    <s v="2026-01-11"/>
    <n v="0"/>
    <x v="0"/>
    <s v="Delivered"/>
    <x v="2"/>
    <x v="0"/>
  </r>
  <r>
    <n v="2059"/>
    <s v="ParcelOne"/>
    <d v="2026-07-02T00:00:00"/>
    <d v="2026-07-02T00:00:00"/>
    <d v="2026-07-07T00:00:00"/>
    <d v="2026-07-09T00:00:00"/>
    <s v="2026-07-09"/>
    <n v="0"/>
    <x v="1"/>
    <s v="Delivered"/>
    <x v="2"/>
    <x v="0"/>
  </r>
  <r>
    <n v="2060"/>
    <s v="SwiftShip"/>
    <d v="2026-02-17T00:00:00"/>
    <m/>
    <d v="2026-02-22T00:00:00"/>
    <m/>
    <m/>
    <n v="0"/>
    <x v="0"/>
    <s v="Pending"/>
    <x v="0"/>
    <x v="2"/>
  </r>
  <r>
    <n v="2061"/>
    <s v="SwiftShip"/>
    <d v="2026-06-16T00:00:00"/>
    <d v="2026-06-16T00:00:00"/>
    <d v="2026-06-21T00:00:00"/>
    <d v="2026-06-21T00:00:00"/>
    <s v="2026-06-23"/>
    <n v="0"/>
    <x v="0"/>
    <s v="Delivered"/>
    <x v="3"/>
    <x v="0"/>
  </r>
  <r>
    <n v="2062"/>
    <s v="SwiftShip"/>
    <d v="2026-04-01T00:00:00"/>
    <d v="2026-04-01T00:00:00"/>
    <d v="2026-04-06T00:00:00"/>
    <d v="2026-04-07T00:00:00"/>
    <s v="2026-04-07"/>
    <n v="0"/>
    <x v="0"/>
    <s v="Delivered"/>
    <x v="2"/>
    <x v="0"/>
  </r>
  <r>
    <n v="2063"/>
    <s v="MetroLogistics"/>
    <d v="2026-03-10T00:00:00"/>
    <d v="2026-03-10T00:00:00"/>
    <d v="2026-03-15T00:00:00"/>
    <d v="2026-03-15T00:00:00"/>
    <s v="2026-03-15"/>
    <n v="0"/>
    <x v="2"/>
    <s v="Delivered"/>
    <x v="3"/>
    <x v="0"/>
  </r>
  <r>
    <n v="2064"/>
    <s v="SwiftShip"/>
    <d v="2026-01-11T00:00:00"/>
    <d v="2026-01-11T00:00:00"/>
    <d v="2026-01-16T00:00:00"/>
    <d v="2026-01-18T00:00:00"/>
    <s v="2026-01-18"/>
    <n v="0"/>
    <x v="0"/>
    <s v="Delivered"/>
    <x v="2"/>
    <x v="0"/>
  </r>
  <r>
    <n v="2065"/>
    <s v="SwiftShip"/>
    <d v="2026-03-22T00:00:00"/>
    <d v="2026-03-23T00:00:00"/>
    <d v="2026-03-27T00:00:00"/>
    <d v="2026-03-27T00:00:00"/>
    <s v="2026-03-27"/>
    <n v="0"/>
    <x v="0"/>
    <s v="Delivered"/>
    <x v="3"/>
    <x v="1"/>
  </r>
  <r>
    <n v="2066"/>
    <s v="ParcelOne"/>
    <d v="2026-04-15T00:00:00"/>
    <d v="2026-04-15T00:00:00"/>
    <d v="2026-04-20T00:00:00"/>
    <d v="2026-04-20T00:00:00"/>
    <s v="2026-04-22"/>
    <n v="0"/>
    <x v="1"/>
    <s v="Delivered"/>
    <x v="3"/>
    <x v="0"/>
  </r>
  <r>
    <n v="2067"/>
    <s v="MetroLogistics"/>
    <d v="2026-05-12T00:00:00"/>
    <d v="2026-05-12T00:00:00"/>
    <d v="2026-05-17T00:00:00"/>
    <d v="2026-05-21T00:00:00"/>
    <s v="2026-05-22"/>
    <n v="0"/>
    <x v="2"/>
    <s v="Delivered"/>
    <x v="2"/>
    <x v="0"/>
  </r>
  <r>
    <n v="2068"/>
    <s v="ParcelOne"/>
    <d v="2026-05-17T00:00:00"/>
    <d v="2026-05-17T00:00:00"/>
    <d v="2026-05-22T00:00:00"/>
    <d v="2026-05-20T00:00:00"/>
    <s v="2026-05-20"/>
    <n v="0"/>
    <x v="1"/>
    <s v="Delivered"/>
    <x v="3"/>
    <x v="0"/>
  </r>
  <r>
    <n v="2069"/>
    <s v="ParcelOne"/>
    <d v="2026-04-01T00:00:00"/>
    <d v="2026-04-02T00:00:00"/>
    <d v="2026-04-06T00:00:00"/>
    <d v="2026-04-06T00:00:00"/>
    <s v="2026-04-06"/>
    <n v="0"/>
    <x v="1"/>
    <s v="Delivered"/>
    <x v="3"/>
    <x v="1"/>
  </r>
  <r>
    <n v="2070"/>
    <s v="MetroLogistics"/>
    <d v="2026-02-24T00:00:00"/>
    <d v="2026-02-24T00:00:00"/>
    <d v="2026-03-01T00:00:00"/>
    <d v="2026-02-28T00:00:00"/>
    <s v="2026-02-28"/>
    <n v="0"/>
    <x v="2"/>
    <s v="Delivered"/>
    <x v="3"/>
    <x v="0"/>
  </r>
  <r>
    <n v="2071"/>
    <s v="ParcelOne"/>
    <d v="2026-06-27T00:00:00"/>
    <d v="2026-06-27T00:00:00"/>
    <d v="2026-07-02T00:00:00"/>
    <d v="2026-07-01T00:00:00"/>
    <s v="2026-07-01"/>
    <n v="0"/>
    <x v="1"/>
    <s v="Delivered"/>
    <x v="3"/>
    <x v="0"/>
  </r>
  <r>
    <n v="2072"/>
    <s v="ParcelOne"/>
    <d v="2026-04-15T00:00:00"/>
    <d v="2026-04-15T00:00:00"/>
    <d v="2026-04-20T00:00:00"/>
    <d v="2026-04-21T00:00:00"/>
    <s v="2026-04-21"/>
    <n v="0"/>
    <x v="1"/>
    <s v="Delivered"/>
    <x v="2"/>
    <x v="0"/>
  </r>
  <r>
    <n v="2073"/>
    <s v="ParcelOne"/>
    <d v="2026-06-07T00:00:00"/>
    <d v="2026-06-09T00:00:00"/>
    <d v="2026-06-12T00:00:00"/>
    <d v="2026-06-12T00:00:00"/>
    <s v="2026-06-12"/>
    <n v="0"/>
    <x v="1"/>
    <s v="Delivered"/>
    <x v="3"/>
    <x v="1"/>
  </r>
  <r>
    <n v="2074"/>
    <s v="SwiftShip"/>
    <d v="2026-01-14T00:00:00"/>
    <d v="2026-01-14T00:00:00"/>
    <d v="2026-01-19T00:00:00"/>
    <d v="2026-01-19T00:00:00"/>
    <s v="2026-01-19"/>
    <n v="0"/>
    <x v="0"/>
    <s v="Delivered"/>
    <x v="3"/>
    <x v="0"/>
  </r>
  <r>
    <n v="2075"/>
    <s v="ParcelOne"/>
    <d v="2026-06-24T00:00:00"/>
    <d v="2026-06-24T00:00:00"/>
    <d v="2026-06-29T00:00:00"/>
    <d v="2026-07-01T00:00:00"/>
    <s v="2026-07-01"/>
    <n v="0"/>
    <x v="1"/>
    <s v="Delivered"/>
    <x v="2"/>
    <x v="0"/>
  </r>
  <r>
    <n v="2076"/>
    <s v="MetroLogistics"/>
    <d v="2026-04-01T00:00:00"/>
    <d v="2026-04-01T00:00:00"/>
    <d v="2026-04-06T00:00:00"/>
    <d v="2026-04-04T00:00:00"/>
    <s v="2026-04-04"/>
    <n v="0"/>
    <x v="2"/>
    <s v="Delivered"/>
    <x v="3"/>
    <x v="0"/>
  </r>
  <r>
    <n v="2077"/>
    <s v="MetroLogistics"/>
    <d v="2026-04-15T00:00:00"/>
    <d v="2026-04-15T00:00:00"/>
    <d v="2026-04-20T00:00:00"/>
    <d v="2026-04-21T00:00:00"/>
    <s v="2026-04-21"/>
    <n v="0"/>
    <x v="2"/>
    <s v="Delivered"/>
    <x v="2"/>
    <x v="0"/>
  </r>
  <r>
    <n v="2078"/>
    <s v="SwiftShip"/>
    <d v="2026-04-06T00:00:00"/>
    <d v="2026-04-06T00:00:00"/>
    <d v="2026-04-11T00:00:00"/>
    <d v="2026-04-15T00:00:00"/>
    <s v="2026-04-15"/>
    <n v="0"/>
    <x v="0"/>
    <s v="Delivered"/>
    <x v="2"/>
    <x v="0"/>
  </r>
  <r>
    <n v="2079"/>
    <s v="MetroLogistics"/>
    <d v="2026-02-22T00:00:00"/>
    <d v="2026-02-22T00:00:00"/>
    <d v="2026-02-27T00:00:00"/>
    <d v="2026-02-27T00:00:00"/>
    <s v="2026-02-27"/>
    <n v="0"/>
    <x v="2"/>
    <s v="Delivered"/>
    <x v="3"/>
    <x v="0"/>
  </r>
  <r>
    <n v="2080"/>
    <s v="SwiftShip"/>
    <d v="2026-06-27T00:00:00"/>
    <d v="2026-06-27T00:00:00"/>
    <d v="2026-07-02T00:00:00"/>
    <d v="2026-07-02T00:00:00"/>
    <s v="2026-07-02"/>
    <n v="0"/>
    <x v="0"/>
    <s v="Delivered"/>
    <x v="3"/>
    <x v="0"/>
  </r>
  <r>
    <n v="2081"/>
    <s v="ParcelOne"/>
    <d v="2026-03-20T00:00:00"/>
    <d v="2026-03-20T00:00:00"/>
    <d v="2026-03-25T00:00:00"/>
    <d v="2026-03-25T00:00:00"/>
    <s v="2026-03-25"/>
    <n v="0"/>
    <x v="1"/>
    <s v="Delivered"/>
    <x v="3"/>
    <x v="0"/>
  </r>
  <r>
    <n v="2082"/>
    <s v="MetroLogistics"/>
    <d v="2026-06-14T00:00:00"/>
    <d v="2026-06-14T00:00:00"/>
    <d v="2026-06-19T00:00:00"/>
    <d v="2026-06-19T00:00:00"/>
    <s v="2026-06-19"/>
    <n v="0"/>
    <x v="2"/>
    <s v="Delivered"/>
    <x v="3"/>
    <x v="0"/>
  </r>
  <r>
    <n v="2083"/>
    <s v="SwiftShip"/>
    <d v="2026-06-15T00:00:00"/>
    <d v="2026-06-15T00:00:00"/>
    <d v="2026-06-20T00:00:00"/>
    <d v="2026-06-18T00:00:00"/>
    <s v="2026-06-20"/>
    <n v="0"/>
    <x v="0"/>
    <s v="Delivered"/>
    <x v="3"/>
    <x v="0"/>
  </r>
  <r>
    <n v="2084"/>
    <s v="MetroLogistics"/>
    <d v="2026-06-19T00:00:00"/>
    <d v="2026-06-19T00:00:00"/>
    <d v="2026-06-24T00:00:00"/>
    <d v="2026-06-24T00:00:00"/>
    <s v="2026-06-24"/>
    <n v="0"/>
    <x v="2"/>
    <s v="Delivered"/>
    <x v="3"/>
    <x v="0"/>
  </r>
  <r>
    <n v="2085"/>
    <s v="MetroLogistics"/>
    <d v="2026-01-15T00:00:00"/>
    <d v="2026-01-15T00:00:00"/>
    <d v="2026-01-20T00:00:00"/>
    <d v="2026-01-21T00:00:00"/>
    <s v="2026-01-21"/>
    <n v="0"/>
    <x v="2"/>
    <s v="Delivered"/>
    <x v="2"/>
    <x v="0"/>
  </r>
  <r>
    <n v="2086"/>
    <s v="SwiftShip"/>
    <d v="2026-01-14T00:00:00"/>
    <d v="2026-01-14T00:00:00"/>
    <d v="2026-01-19T00:00:00"/>
    <d v="2026-01-19T00:00:00"/>
    <s v="2026-01-19"/>
    <n v="0"/>
    <x v="0"/>
    <s v="Delivered"/>
    <x v="3"/>
    <x v="0"/>
  </r>
  <r>
    <n v="2087"/>
    <s v="SwiftShip"/>
    <d v="2026-06-05T00:00:00"/>
    <d v="2026-06-05T00:00:00"/>
    <d v="2026-06-10T00:00:00"/>
    <d v="2026-06-10T00:00:00"/>
    <s v="2026-06-10"/>
    <n v="0"/>
    <x v="0"/>
    <s v="Delivered"/>
    <x v="3"/>
    <x v="0"/>
  </r>
  <r>
    <n v="2088"/>
    <s v="ParcelOne"/>
    <d v="2026-06-07T00:00:00"/>
    <d v="2026-06-07T00:00:00"/>
    <d v="2026-06-12T00:00:00"/>
    <d v="2026-06-12T00:00:00"/>
    <s v="2026-06-13"/>
    <n v="0"/>
    <x v="1"/>
    <s v="Delivered"/>
    <x v="3"/>
    <x v="0"/>
  </r>
  <r>
    <n v="2090"/>
    <s v="ParcelOne"/>
    <d v="2026-06-24T00:00:00"/>
    <d v="2026-06-24T00:00:00"/>
    <d v="2026-06-29T00:00:00"/>
    <d v="2026-06-29T00:00:00"/>
    <s v="2026-06-29"/>
    <n v="0"/>
    <x v="1"/>
    <s v="Delivered"/>
    <x v="3"/>
    <x v="0"/>
  </r>
  <r>
    <n v="2091"/>
    <s v="MetroLogistics"/>
    <d v="2026-05-18T00:00:00"/>
    <d v="2026-05-18T00:00:00"/>
    <d v="2026-05-23T00:00:00"/>
    <d v="2026-05-23T00:00:00"/>
    <s v="2026-05-23"/>
    <n v="0"/>
    <x v="2"/>
    <s v="Delivered"/>
    <x v="3"/>
    <x v="0"/>
  </r>
  <r>
    <n v="2092"/>
    <s v="ParcelOne"/>
    <d v="2026-04-23T00:00:00"/>
    <d v="2026-04-25T00:00:00"/>
    <d v="2026-04-28T00:00:00"/>
    <d v="2026-04-27T00:00:00"/>
    <s v="2026-04-27"/>
    <n v="0"/>
    <x v="1"/>
    <s v="Delivered"/>
    <x v="3"/>
    <x v="1"/>
  </r>
  <r>
    <n v="2093"/>
    <s v="MetroLogistics"/>
    <d v="2026-01-27T00:00:00"/>
    <d v="2026-01-27T00:00:00"/>
    <d v="2026-02-01T00:00:00"/>
    <d v="2026-01-31T00:00:00"/>
    <s v="2026-01-31"/>
    <n v="0"/>
    <x v="2"/>
    <s v="Delivered"/>
    <x v="3"/>
    <x v="0"/>
  </r>
  <r>
    <n v="2094"/>
    <s v="MetroLogistics"/>
    <d v="2026-04-15T00:00:00"/>
    <d v="2026-04-15T00:00:00"/>
    <d v="2026-04-20T00:00:00"/>
    <d v="2026-04-20T00:00:00"/>
    <s v="2026-04-20"/>
    <n v="0"/>
    <x v="2"/>
    <s v="Delivered"/>
    <x v="3"/>
    <x v="0"/>
  </r>
  <r>
    <n v="2095"/>
    <s v="ParcelOne"/>
    <d v="2026-06-14T00:00:00"/>
    <d v="2026-06-14T00:00:00"/>
    <d v="2026-06-19T00:00:00"/>
    <d v="2026-06-19T00:00:00"/>
    <s v="2026-06-21"/>
    <n v="0"/>
    <x v="1"/>
    <s v="Delivered"/>
    <x v="3"/>
    <x v="0"/>
  </r>
  <r>
    <n v="2096"/>
    <s v="MetroLogistics"/>
    <d v="2026-02-17T00:00:00"/>
    <d v="2026-02-19T00:00:00"/>
    <d v="2026-02-22T00:00:00"/>
    <d v="2026-02-22T00:00:00"/>
    <s v="2026-02-22"/>
    <n v="0"/>
    <x v="2"/>
    <s v="Delivered"/>
    <x v="3"/>
    <x v="1"/>
  </r>
  <r>
    <n v="2097"/>
    <s v="MetroLogistics"/>
    <d v="2026-03-01T00:00:00"/>
    <d v="2026-03-03T00:00:00"/>
    <d v="2026-03-06T00:00:00"/>
    <d v="2026-03-06T00:00:00"/>
    <s v="2026-03-06"/>
    <n v="0"/>
    <x v="2"/>
    <s v="Delivered"/>
    <x v="3"/>
    <x v="1"/>
  </r>
  <r>
    <n v="2098"/>
    <s v="ParcelOne"/>
    <d v="2026-06-12T00:00:00"/>
    <d v="2026-06-13T00:00:00"/>
    <d v="2026-06-17T00:00:00"/>
    <d v="2026-06-16T00:00:00"/>
    <s v="2026-06-16"/>
    <n v="0"/>
    <x v="1"/>
    <s v="Delivered"/>
    <x v="3"/>
    <x v="1"/>
  </r>
  <r>
    <n v="2099"/>
    <s v="MetroLogistics"/>
    <d v="2026-02-16T00:00:00"/>
    <d v="2026-02-16T00:00:00"/>
    <d v="2026-02-21T00:00:00"/>
    <d v="2026-02-21T00:00:00"/>
    <s v="2026-02-21"/>
    <n v="0"/>
    <x v="2"/>
    <s v="Delivered"/>
    <x v="3"/>
    <x v="0"/>
  </r>
  <r>
    <n v="2100"/>
    <s v="ParcelOne"/>
    <d v="2026-04-26T00:00:00"/>
    <m/>
    <d v="2026-05-01T00:00:00"/>
    <m/>
    <m/>
    <n v="0"/>
    <x v="1"/>
    <s v="Pending"/>
    <x v="0"/>
    <x v="2"/>
  </r>
  <r>
    <n v="2101"/>
    <s v="SwiftShip"/>
    <d v="2026-03-06T00:00:00"/>
    <d v="2026-03-06T00:00:00"/>
    <d v="2026-03-11T00:00:00"/>
    <d v="2026-03-11T00:00:00"/>
    <s v="2026-03-11"/>
    <n v="0"/>
    <x v="0"/>
    <s v="Delivered"/>
    <x v="3"/>
    <x v="0"/>
  </r>
  <r>
    <n v="2102"/>
    <s v="SwiftShip"/>
    <d v="2026-04-11T00:00:00"/>
    <d v="2026-04-11T00:00:00"/>
    <d v="2026-04-16T00:00:00"/>
    <d v="2026-04-17T00:00:00"/>
    <s v="2026-04-17"/>
    <n v="0"/>
    <x v="0"/>
    <s v="Delivered"/>
    <x v="2"/>
    <x v="0"/>
  </r>
  <r>
    <n v="2103"/>
    <s v="ParcelOne"/>
    <d v="2026-01-13T00:00:00"/>
    <d v="2026-01-14T00:00:00"/>
    <d v="2026-01-18T00:00:00"/>
    <d v="2026-01-19T00:00:00"/>
    <s v="2026-01-19"/>
    <n v="0"/>
    <x v="1"/>
    <s v="Delivered"/>
    <x v="2"/>
    <x v="1"/>
  </r>
  <r>
    <n v="2104"/>
    <s v="ParcelOne"/>
    <d v="2026-02-15T00:00:00"/>
    <d v="2026-02-15T00:00:00"/>
    <d v="2026-02-20T00:00:00"/>
    <d v="2026-02-19T00:00:00"/>
    <s v="2026-02-19"/>
    <n v="0"/>
    <x v="1"/>
    <s v="Delivered"/>
    <x v="3"/>
    <x v="0"/>
  </r>
  <r>
    <n v="2106"/>
    <s v="ParcelOne"/>
    <d v="2026-03-19T00:00:00"/>
    <d v="2026-03-19T00:00:00"/>
    <d v="2026-03-24T00:00:00"/>
    <d v="2026-03-23T00:00:00"/>
    <s v="2026-03-23"/>
    <n v="0"/>
    <x v="1"/>
    <s v="Delivered"/>
    <x v="3"/>
    <x v="0"/>
  </r>
  <r>
    <n v="2107"/>
    <s v="MetroLogistics"/>
    <d v="2026-04-07T00:00:00"/>
    <d v="2026-04-07T00:00:00"/>
    <d v="2026-04-12T00:00:00"/>
    <d v="2026-04-13T00:00:00"/>
    <s v="2026-04-13"/>
    <n v="0"/>
    <x v="2"/>
    <s v="Delivered"/>
    <x v="2"/>
    <x v="0"/>
  </r>
  <r>
    <n v="2108"/>
    <s v="ParcelOne"/>
    <d v="2026-02-04T00:00:00"/>
    <d v="2026-02-05T00:00:00"/>
    <d v="2026-02-09T00:00:00"/>
    <d v="2026-02-09T00:00:00"/>
    <s v="2026-02-09"/>
    <n v="0"/>
    <x v="1"/>
    <s v="Delivered"/>
    <x v="3"/>
    <x v="1"/>
  </r>
  <r>
    <n v="2109"/>
    <s v="SwiftShip"/>
    <d v="2026-03-10T00:00:00"/>
    <d v="2026-03-10T00:00:00"/>
    <d v="2026-03-15T00:00:00"/>
    <d v="2026-03-15T00:00:00"/>
    <s v="2026-03-15"/>
    <n v="0"/>
    <x v="0"/>
    <s v="Delivered"/>
    <x v="3"/>
    <x v="0"/>
  </r>
  <r>
    <n v="2110"/>
    <s v="ParcelOne"/>
    <d v="2026-05-07T00:00:00"/>
    <d v="2026-05-07T00:00:00"/>
    <d v="2026-05-12T00:00:00"/>
    <d v="2026-05-10T00:00:00"/>
    <s v="2026-05-10"/>
    <n v="0"/>
    <x v="1"/>
    <s v="Delivered"/>
    <x v="3"/>
    <x v="0"/>
  </r>
  <r>
    <n v="2111"/>
    <s v="MetroLogistics"/>
    <d v="2026-03-01T00:00:00"/>
    <d v="2026-03-01T00:00:00"/>
    <d v="2026-03-06T00:00:00"/>
    <d v="2026-03-06T00:00:00"/>
    <s v="2026-03-06"/>
    <n v="0"/>
    <x v="2"/>
    <s v="Delivered"/>
    <x v="3"/>
    <x v="0"/>
  </r>
  <r>
    <n v="2112"/>
    <s v="ParcelOne"/>
    <d v="2026-01-28T00:00:00"/>
    <d v="2026-01-30T00:00:00"/>
    <d v="2026-02-02T00:00:00"/>
    <m/>
    <m/>
    <n v="0"/>
    <x v="1"/>
    <s v="Shipped"/>
    <x v="0"/>
    <x v="1"/>
  </r>
  <r>
    <n v="2113"/>
    <s v="MetroLogistics"/>
    <d v="2026-04-27T00:00:00"/>
    <d v="2026-04-27T00:00:00"/>
    <d v="2026-05-02T00:00:00"/>
    <d v="2026-05-02T00:00:00"/>
    <s v="2026-05-02"/>
    <n v="0"/>
    <x v="2"/>
    <s v="Delivered"/>
    <x v="3"/>
    <x v="0"/>
  </r>
  <r>
    <n v="2114"/>
    <s v="MetroLogistics"/>
    <d v="2026-04-29T00:00:00"/>
    <d v="2026-04-29T00:00:00"/>
    <d v="2026-05-04T00:00:00"/>
    <d v="2026-05-03T00:00:00"/>
    <s v="2026-05-03"/>
    <n v="0"/>
    <x v="2"/>
    <s v="Delivered"/>
    <x v="3"/>
    <x v="0"/>
  </r>
  <r>
    <n v="2115"/>
    <s v="ParcelOne"/>
    <d v="2026-05-05T00:00:00"/>
    <d v="2026-05-05T00:00:00"/>
    <d v="2026-05-10T00:00:00"/>
    <d v="2026-05-09T00:00:00"/>
    <s v="2026-05-09"/>
    <n v="0"/>
    <x v="1"/>
    <s v="Delivered"/>
    <x v="3"/>
    <x v="0"/>
  </r>
  <r>
    <n v="2116"/>
    <s v="MetroLogistics"/>
    <d v="2026-01-28T00:00:00"/>
    <d v="2026-01-28T00:00:00"/>
    <d v="2026-02-02T00:00:00"/>
    <d v="2026-02-02T00:00:00"/>
    <s v="2026-02-02"/>
    <n v="0"/>
    <x v="2"/>
    <s v="Delivered"/>
    <x v="3"/>
    <x v="0"/>
  </r>
  <r>
    <n v="2117"/>
    <s v="MetroLogistics"/>
    <d v="2026-06-14T00:00:00"/>
    <d v="2026-06-14T00:00:00"/>
    <d v="2026-06-19T00:00:00"/>
    <d v="2026-06-19T00:00:00"/>
    <s v="2026-06-19"/>
    <n v="0"/>
    <x v="2"/>
    <s v="Delivered"/>
    <x v="3"/>
    <x v="0"/>
  </r>
  <r>
    <n v="2118"/>
    <s v="ParcelOne"/>
    <d v="2026-05-06T00:00:00"/>
    <d v="2026-05-06T00:00:00"/>
    <d v="2026-05-11T00:00:00"/>
    <d v="2026-05-11T00:00:00"/>
    <s v="2026-05-11"/>
    <n v="0"/>
    <x v="1"/>
    <s v="Delivered"/>
    <x v="3"/>
    <x v="0"/>
  </r>
  <r>
    <n v="2119"/>
    <s v="SwiftShip"/>
    <d v="2026-02-18T00:00:00"/>
    <d v="2026-02-18T00:00:00"/>
    <d v="2026-02-23T00:00:00"/>
    <d v="2026-02-22T00:00:00"/>
    <s v="2026-02-23"/>
    <n v="0"/>
    <x v="0"/>
    <s v="Delivered"/>
    <x v="3"/>
    <x v="0"/>
  </r>
  <r>
    <n v="2120"/>
    <s v="MetroLogistics"/>
    <d v="2026-06-15T00:00:00"/>
    <d v="2026-06-15T00:00:00"/>
    <d v="2026-06-20T00:00:00"/>
    <d v="2026-06-20T00:00:00"/>
    <s v="2026-06-20"/>
    <n v="0"/>
    <x v="2"/>
    <s v="Delivered"/>
    <x v="3"/>
    <x v="0"/>
  </r>
  <r>
    <n v="2121"/>
    <s v="MetroLogistics"/>
    <d v="2026-05-03T00:00:00"/>
    <d v="2026-05-03T00:00:00"/>
    <d v="2026-05-08T00:00:00"/>
    <d v="2026-05-09T00:00:00"/>
    <s v="2026-05-10"/>
    <n v="0"/>
    <x v="2"/>
    <s v="Delivered"/>
    <x v="2"/>
    <x v="0"/>
  </r>
  <r>
    <n v="2122"/>
    <s v="SwiftShip"/>
    <d v="2026-06-21T00:00:00"/>
    <d v="2026-06-21T00:00:00"/>
    <d v="2026-06-26T00:00:00"/>
    <d v="2026-06-26T00:00:00"/>
    <s v="2026-06-28"/>
    <n v="0"/>
    <x v="0"/>
    <s v="Delivered"/>
    <x v="3"/>
    <x v="0"/>
  </r>
  <r>
    <n v="2123"/>
    <s v="ParcelOne"/>
    <d v="2026-04-07T00:00:00"/>
    <d v="2026-04-07T00:00:00"/>
    <d v="2026-04-12T00:00:00"/>
    <d v="2026-04-10T00:00:00"/>
    <s v="2026-04-12"/>
    <n v="0"/>
    <x v="1"/>
    <s v="Delivered"/>
    <x v="3"/>
    <x v="0"/>
  </r>
  <r>
    <n v="2124"/>
    <s v="ParcelOne"/>
    <d v="2026-04-17T00:00:00"/>
    <d v="2026-04-17T00:00:00"/>
    <d v="2026-04-22T00:00:00"/>
    <d v="2026-04-22T00:00:00"/>
    <s v="2026-04-23"/>
    <n v="0"/>
    <x v="1"/>
    <s v="Delivered"/>
    <x v="3"/>
    <x v="0"/>
  </r>
  <r>
    <n v="2125"/>
    <s v="ParcelOne"/>
    <d v="2026-03-26T00:00:00"/>
    <d v="2026-03-26T00:00:00"/>
    <d v="2026-03-31T00:00:00"/>
    <d v="2026-03-31T00:00:00"/>
    <s v="2026-03-31"/>
    <n v="0"/>
    <x v="1"/>
    <s v="Delivered"/>
    <x v="3"/>
    <x v="0"/>
  </r>
  <r>
    <n v="2126"/>
    <s v="ParcelOne"/>
    <d v="2026-03-06T00:00:00"/>
    <d v="2026-03-06T00:00:00"/>
    <d v="2026-03-11T00:00:00"/>
    <d v="2026-03-11T00:00:00"/>
    <s v="2026-03-11"/>
    <n v="0"/>
    <x v="1"/>
    <s v="Delivered"/>
    <x v="3"/>
    <x v="0"/>
  </r>
  <r>
    <n v="2127"/>
    <s v="MetroLogistics"/>
    <d v="2026-01-17T00:00:00"/>
    <d v="2026-01-18T00:00:00"/>
    <d v="2026-01-22T00:00:00"/>
    <d v="2026-01-20T00:00:00"/>
    <s v="2026-01-22"/>
    <n v="0"/>
    <x v="2"/>
    <s v="Delivered"/>
    <x v="3"/>
    <x v="1"/>
  </r>
  <r>
    <n v="2128"/>
    <s v="MetroLogistics"/>
    <d v="2026-04-18T00:00:00"/>
    <d v="2026-04-18T00:00:00"/>
    <d v="2026-04-23T00:00:00"/>
    <d v="2026-04-23T00:00:00"/>
    <s v="2026-04-23"/>
    <n v="0"/>
    <x v="2"/>
    <s v="Delivered"/>
    <x v="3"/>
    <x v="0"/>
  </r>
  <r>
    <n v="2129"/>
    <s v="MetroLogistics"/>
    <d v="2026-05-18T00:00:00"/>
    <d v="2026-05-20T00:00:00"/>
    <d v="2026-05-23T00:00:00"/>
    <d v="2026-05-23T00:00:00"/>
    <s v="2026-05-23"/>
    <n v="0"/>
    <x v="2"/>
    <s v="Delivered"/>
    <x v="3"/>
    <x v="1"/>
  </r>
  <r>
    <n v="2130"/>
    <s v="SwiftShip"/>
    <d v="2026-02-26T00:00:00"/>
    <d v="2026-02-26T00:00:00"/>
    <d v="2026-03-03T00:00:00"/>
    <d v="2026-03-04T00:00:00"/>
    <s v="2026-03-04"/>
    <n v="0"/>
    <x v="0"/>
    <s v="Delivered"/>
    <x v="2"/>
    <x v="0"/>
  </r>
  <r>
    <n v="2131"/>
    <s v="MetroLogistics"/>
    <d v="2026-06-06T00:00:00"/>
    <d v="2026-06-06T00:00:00"/>
    <d v="2026-06-11T00:00:00"/>
    <d v="2026-06-12T00:00:00"/>
    <s v="2026-06-12"/>
    <n v="0"/>
    <x v="2"/>
    <s v="Delivered"/>
    <x v="2"/>
    <x v="0"/>
  </r>
  <r>
    <n v="2132"/>
    <s v="SwiftShip"/>
    <d v="2026-01-18T00:00:00"/>
    <d v="2026-01-20T00:00:00"/>
    <d v="2026-01-23T00:00:00"/>
    <m/>
    <m/>
    <n v="0"/>
    <x v="0"/>
    <s v="Shipped"/>
    <x v="0"/>
    <x v="1"/>
  </r>
  <r>
    <n v="2133"/>
    <s v="MetroLogistics"/>
    <d v="2026-05-20T00:00:00"/>
    <d v="2026-05-22T00:00:00"/>
    <d v="2026-05-25T00:00:00"/>
    <d v="2026-05-26T00:00:00"/>
    <s v="2026-05-26"/>
    <n v="0"/>
    <x v="2"/>
    <s v="Delivered"/>
    <x v="2"/>
    <x v="1"/>
  </r>
  <r>
    <n v="2134"/>
    <s v="MetroLogistics"/>
    <d v="2026-01-25T00:00:00"/>
    <d v="2026-01-25T00:00:00"/>
    <d v="2026-01-30T00:00:00"/>
    <d v="2026-02-01T00:00:00"/>
    <s v="2026-02-01"/>
    <n v="0"/>
    <x v="2"/>
    <s v="Delivered"/>
    <x v="2"/>
    <x v="0"/>
  </r>
  <r>
    <n v="2135"/>
    <s v="SwiftShip"/>
    <d v="2026-03-28T00:00:00"/>
    <d v="2026-03-28T00:00:00"/>
    <d v="2026-04-02T00:00:00"/>
    <d v="2026-04-02T00:00:00"/>
    <s v="2026-04-02"/>
    <n v="0"/>
    <x v="0"/>
    <s v="Delivered"/>
    <x v="3"/>
    <x v="0"/>
  </r>
  <r>
    <n v="2136"/>
    <s v="MetroLogistics"/>
    <d v="2026-01-07T00:00:00"/>
    <d v="2026-01-07T00:00:00"/>
    <d v="2026-01-12T00:00:00"/>
    <d v="2026-01-12T00:00:00"/>
    <s v="2026-01-12"/>
    <n v="0"/>
    <x v="2"/>
    <s v="Delivered"/>
    <x v="3"/>
    <x v="0"/>
  </r>
  <r>
    <n v="2138"/>
    <s v="SwiftShip"/>
    <d v="2026-02-24T00:00:00"/>
    <d v="2026-02-24T00:00:00"/>
    <d v="2026-03-01T00:00:00"/>
    <d v="2026-03-01T00:00:00"/>
    <s v="2026-03-03"/>
    <n v="0"/>
    <x v="0"/>
    <s v="Delivered"/>
    <x v="3"/>
    <x v="0"/>
  </r>
  <r>
    <n v="2139"/>
    <s v="SwiftShip"/>
    <d v="2026-03-24T00:00:00"/>
    <d v="2026-03-24T00:00:00"/>
    <d v="2026-03-29T00:00:00"/>
    <m/>
    <m/>
    <n v="0"/>
    <x v="0"/>
    <s v="Shipped"/>
    <x v="0"/>
    <x v="0"/>
  </r>
  <r>
    <n v="2140"/>
    <s v="SwiftShip"/>
    <d v="2026-03-03T00:00:00"/>
    <d v="2026-03-04T00:00:00"/>
    <d v="2026-03-08T00:00:00"/>
    <m/>
    <m/>
    <n v="0"/>
    <x v="0"/>
    <s v="Shipped"/>
    <x v="0"/>
    <x v="1"/>
  </r>
  <r>
    <n v="2141"/>
    <s v="ParcelOne"/>
    <d v="2026-01-09T00:00:00"/>
    <d v="2026-01-09T00:00:00"/>
    <d v="2026-01-14T00:00:00"/>
    <d v="2026-01-15T00:00:00"/>
    <s v="2026-01-15"/>
    <n v="0"/>
    <x v="1"/>
    <s v="Delivered"/>
    <x v="2"/>
    <x v="0"/>
  </r>
  <r>
    <n v="2142"/>
    <s v="MetroLogistics"/>
    <d v="2026-01-26T00:00:00"/>
    <d v="2026-01-28T00:00:00"/>
    <d v="2026-01-31T00:00:00"/>
    <m/>
    <m/>
    <n v="0"/>
    <x v="2"/>
    <s v="Shipped"/>
    <x v="0"/>
    <x v="1"/>
  </r>
  <r>
    <n v="2143"/>
    <s v="ParcelOne"/>
    <d v="2026-06-06T00:00:00"/>
    <d v="2026-06-06T00:00:00"/>
    <d v="2026-06-11T00:00:00"/>
    <d v="2026-06-11T00:00:00"/>
    <s v="2026-06-13"/>
    <n v="0"/>
    <x v="1"/>
    <s v="Delivered"/>
    <x v="3"/>
    <x v="0"/>
  </r>
  <r>
    <n v="2144"/>
    <s v="SwiftShip"/>
    <d v="2026-01-04T00:00:00"/>
    <d v="2026-01-05T00:00:00"/>
    <d v="2026-01-09T00:00:00"/>
    <d v="2026-01-09T00:00:00"/>
    <s v="2026-01-10"/>
    <n v="0"/>
    <x v="0"/>
    <s v="Delivered"/>
    <x v="3"/>
    <x v="1"/>
  </r>
  <r>
    <n v="2145"/>
    <s v="ParcelOne"/>
    <d v="2026-03-02T00:00:00"/>
    <m/>
    <d v="2026-03-07T00:00:00"/>
    <m/>
    <m/>
    <n v="0"/>
    <x v="1"/>
    <s v="Pending"/>
    <x v="0"/>
    <x v="2"/>
  </r>
  <r>
    <n v="2146"/>
    <s v="MetroLogistics"/>
    <d v="2026-02-08T00:00:00"/>
    <d v="2026-02-08T00:00:00"/>
    <d v="2026-02-13T00:00:00"/>
    <d v="2026-02-11T00:00:00"/>
    <s v="2026-02-12"/>
    <n v="0"/>
    <x v="2"/>
    <s v="Delivered"/>
    <x v="3"/>
    <x v="0"/>
  </r>
  <r>
    <n v="2147"/>
    <s v="MetroLogistics"/>
    <d v="2026-06-21T00:00:00"/>
    <d v="2026-06-21T00:00:00"/>
    <d v="2026-06-26T00:00:00"/>
    <d v="2026-06-26T00:00:00"/>
    <s v="2026-06-26"/>
    <n v="0"/>
    <x v="2"/>
    <s v="Delivered"/>
    <x v="3"/>
    <x v="0"/>
  </r>
  <r>
    <n v="2148"/>
    <s v="SwiftShip"/>
    <d v="2026-02-18T00:00:00"/>
    <d v="2026-02-18T00:00:00"/>
    <d v="2026-02-23T00:00:00"/>
    <d v="2026-02-23T00:00:00"/>
    <s v="2026-02-23"/>
    <n v="0"/>
    <x v="0"/>
    <s v="Delivered"/>
    <x v="3"/>
    <x v="0"/>
  </r>
  <r>
    <n v="2149"/>
    <s v="MetroLogistics"/>
    <d v="2026-06-11T00:00:00"/>
    <d v="2026-06-13T00:00:00"/>
    <d v="2026-06-16T00:00:00"/>
    <d v="2026-06-14T00:00:00"/>
    <s v="2026-06-14"/>
    <n v="0"/>
    <x v="2"/>
    <s v="Delivered"/>
    <x v="3"/>
    <x v="1"/>
  </r>
  <r>
    <n v="2150"/>
    <s v="SwiftShip"/>
    <d v="2026-05-17T00:00:00"/>
    <d v="2026-05-17T00:00:00"/>
    <d v="2026-05-22T00:00:00"/>
    <d v="2026-05-26T00:00:00"/>
    <s v="2026-05-26"/>
    <n v="0"/>
    <x v="0"/>
    <s v="Delivered"/>
    <x v="2"/>
    <x v="0"/>
  </r>
  <r>
    <n v="2151"/>
    <s v="SwiftShip"/>
    <d v="2026-05-01T00:00:00"/>
    <m/>
    <d v="2026-05-06T00:00:00"/>
    <m/>
    <m/>
    <n v="0"/>
    <x v="0"/>
    <s v="Pending"/>
    <x v="0"/>
    <x v="2"/>
  </r>
  <r>
    <n v="2153"/>
    <s v="ParcelOne"/>
    <d v="2026-06-09T00:00:00"/>
    <d v="2026-06-09T00:00:00"/>
    <d v="2026-06-14T00:00:00"/>
    <d v="2026-06-13T00:00:00"/>
    <s v="2026-06-15"/>
    <n v="0"/>
    <x v="1"/>
    <s v="Delivered"/>
    <x v="3"/>
    <x v="0"/>
  </r>
  <r>
    <n v="2154"/>
    <s v="MetroLogistics"/>
    <d v="2026-06-20T00:00:00"/>
    <d v="2026-06-20T00:00:00"/>
    <d v="2026-06-25T00:00:00"/>
    <d v="2026-06-26T00:00:00"/>
    <s v="2026-06-26"/>
    <n v="0"/>
    <x v="2"/>
    <s v="Delivered"/>
    <x v="2"/>
    <x v="0"/>
  </r>
  <r>
    <n v="2155"/>
    <s v="ParcelOne"/>
    <d v="2026-05-01T00:00:00"/>
    <d v="2026-05-01T00:00:00"/>
    <d v="2026-05-06T00:00:00"/>
    <d v="2026-05-06T00:00:00"/>
    <s v="2026-05-08"/>
    <n v="0"/>
    <x v="1"/>
    <s v="Delivered"/>
    <x v="3"/>
    <x v="0"/>
  </r>
  <r>
    <n v="2156"/>
    <s v="SwiftShip"/>
    <d v="2026-04-11T00:00:00"/>
    <d v="2026-04-11T00:00:00"/>
    <d v="2026-04-16T00:00:00"/>
    <d v="2026-04-18T00:00:00"/>
    <s v="2026-04-18"/>
    <n v="0"/>
    <x v="0"/>
    <s v="Delivered"/>
    <x v="2"/>
    <x v="0"/>
  </r>
  <r>
    <n v="2157"/>
    <s v="SwiftShip"/>
    <d v="2026-03-26T00:00:00"/>
    <d v="2026-03-28T00:00:00"/>
    <d v="2026-03-31T00:00:00"/>
    <d v="2026-03-31T00:00:00"/>
    <s v="2026-03-31"/>
    <n v="0"/>
    <x v="0"/>
    <s v="Delivered"/>
    <x v="3"/>
    <x v="1"/>
  </r>
  <r>
    <n v="2158"/>
    <s v="MetroLogistics"/>
    <d v="2026-02-02T00:00:00"/>
    <d v="2026-02-03T00:00:00"/>
    <d v="2026-02-07T00:00:00"/>
    <d v="2026-02-07T00:00:00"/>
    <s v="2026-02-07"/>
    <n v="0"/>
    <x v="2"/>
    <s v="Delivered"/>
    <x v="3"/>
    <x v="1"/>
  </r>
  <r>
    <n v="2159"/>
    <s v="ParcelOne"/>
    <d v="2026-01-27T00:00:00"/>
    <d v="2026-01-27T00:00:00"/>
    <d v="2026-02-01T00:00:00"/>
    <d v="2026-02-05T00:00:00"/>
    <s v="2026-02-06"/>
    <n v="0"/>
    <x v="1"/>
    <s v="Delivered"/>
    <x v="2"/>
    <x v="0"/>
  </r>
  <r>
    <n v="2160"/>
    <s v="MetroLogistics"/>
    <d v="2026-05-23T00:00:00"/>
    <d v="2026-05-25T00:00:00"/>
    <d v="2026-05-28T00:00:00"/>
    <d v="2026-06-01T00:00:00"/>
    <s v="2026-06-01"/>
    <n v="0"/>
    <x v="2"/>
    <s v="Delivered"/>
    <x v="2"/>
    <x v="1"/>
  </r>
  <r>
    <n v="2161"/>
    <s v="MetroLogistics"/>
    <d v="2026-02-21T00:00:00"/>
    <d v="2026-02-21T00:00:00"/>
    <d v="2026-02-26T00:00:00"/>
    <d v="2026-02-27T00:00:00"/>
    <s v="2026-02-27"/>
    <n v="0"/>
    <x v="2"/>
    <s v="Delivered"/>
    <x v="2"/>
    <x v="0"/>
  </r>
  <r>
    <n v="2162"/>
    <s v="MetroLogistics"/>
    <d v="2026-05-17T00:00:00"/>
    <d v="2026-05-17T00:00:00"/>
    <d v="2026-05-22T00:00:00"/>
    <d v="2026-05-23T00:00:00"/>
    <s v="2026-05-23"/>
    <n v="0"/>
    <x v="2"/>
    <s v="Delivered"/>
    <x v="2"/>
    <x v="0"/>
  </r>
  <r>
    <n v="2163"/>
    <s v="SwiftShip"/>
    <d v="2026-03-01T00:00:00"/>
    <d v="2026-03-01T00:00:00"/>
    <d v="2026-03-06T00:00:00"/>
    <d v="2026-03-08T00:00:00"/>
    <s v="2026-03-10"/>
    <n v="0"/>
    <x v="0"/>
    <s v="Delivered"/>
    <x v="2"/>
    <x v="0"/>
  </r>
  <r>
    <n v="2164"/>
    <s v="MetroLogistics"/>
    <d v="2026-05-02T00:00:00"/>
    <d v="2026-05-02T00:00:00"/>
    <d v="2026-05-07T00:00:00"/>
    <d v="2026-05-08T00:00:00"/>
    <s v="2026-05-08"/>
    <n v="0"/>
    <x v="2"/>
    <s v="Delivered"/>
    <x v="2"/>
    <x v="0"/>
  </r>
  <r>
    <n v="2165"/>
    <s v="ParcelOne"/>
    <d v="2026-06-08T00:00:00"/>
    <d v="2026-06-08T00:00:00"/>
    <d v="2026-06-13T00:00:00"/>
    <d v="2026-06-14T00:00:00"/>
    <s v="2026-06-14"/>
    <n v="0"/>
    <x v="1"/>
    <s v="Delivered"/>
    <x v="2"/>
    <x v="0"/>
  </r>
  <r>
    <n v="2166"/>
    <s v="SwiftShip"/>
    <d v="2026-04-13T00:00:00"/>
    <d v="2026-04-13T00:00:00"/>
    <d v="2026-04-18T00:00:00"/>
    <d v="2026-04-22T00:00:00"/>
    <s v="2026-04-22"/>
    <n v="0"/>
    <x v="0"/>
    <s v="Delivered"/>
    <x v="2"/>
    <x v="0"/>
  </r>
  <r>
    <n v="2167"/>
    <s v="ParcelOne"/>
    <d v="2026-02-03T00:00:00"/>
    <d v="2026-02-03T00:00:00"/>
    <d v="2026-02-08T00:00:00"/>
    <d v="2026-02-07T00:00:00"/>
    <s v="2026-02-07"/>
    <n v="0"/>
    <x v="1"/>
    <s v="Delivered"/>
    <x v="3"/>
    <x v="0"/>
  </r>
  <r>
    <n v="2168"/>
    <s v="SwiftShip"/>
    <d v="2026-06-12T00:00:00"/>
    <d v="2026-06-13T00:00:00"/>
    <d v="2026-06-17T00:00:00"/>
    <d v="2026-06-18T00:00:00"/>
    <s v="2026-06-18"/>
    <n v="0"/>
    <x v="0"/>
    <s v="Delivered"/>
    <x v="2"/>
    <x v="1"/>
  </r>
  <r>
    <n v="2169"/>
    <s v="SwiftShip"/>
    <d v="2026-01-13T00:00:00"/>
    <d v="2026-01-13T00:00:00"/>
    <d v="2026-01-18T00:00:00"/>
    <d v="2026-01-17T00:00:00"/>
    <s v="2026-01-17"/>
    <n v="0"/>
    <x v="0"/>
    <s v="Delivered"/>
    <x v="3"/>
    <x v="0"/>
  </r>
  <r>
    <n v="2170"/>
    <s v="MetroLogistics"/>
    <d v="2026-03-18T00:00:00"/>
    <d v="2026-03-18T00:00:00"/>
    <d v="2026-03-23T00:00:00"/>
    <d v="2026-03-25T00:00:00"/>
    <s v="2026-03-25"/>
    <n v="0"/>
    <x v="2"/>
    <s v="Delivered"/>
    <x v="2"/>
    <x v="0"/>
  </r>
  <r>
    <n v="2171"/>
    <s v="ParcelOne"/>
    <d v="2026-04-23T00:00:00"/>
    <d v="2026-04-23T00:00:00"/>
    <d v="2026-04-28T00:00:00"/>
    <d v="2026-04-30T00:00:00"/>
    <s v="2026-05-02"/>
    <n v="0"/>
    <x v="1"/>
    <s v="Delivered"/>
    <x v="2"/>
    <x v="0"/>
  </r>
  <r>
    <n v="2172"/>
    <s v="MetroLogistics"/>
    <d v="2026-01-06T00:00:00"/>
    <d v="2026-01-06T00:00:00"/>
    <d v="2026-01-11T00:00:00"/>
    <d v="2026-01-11T00:00:00"/>
    <s v="2026-01-11"/>
    <n v="0"/>
    <x v="2"/>
    <s v="Delivered"/>
    <x v="3"/>
    <x v="0"/>
  </r>
  <r>
    <n v="2173"/>
    <s v="ParcelOne"/>
    <d v="2026-05-07T00:00:00"/>
    <d v="2026-05-07T00:00:00"/>
    <d v="2026-05-12T00:00:00"/>
    <d v="2026-05-12T00:00:00"/>
    <s v="2026-05-12"/>
    <n v="0"/>
    <x v="1"/>
    <s v="Delivered"/>
    <x v="3"/>
    <x v="0"/>
  </r>
  <r>
    <n v="2174"/>
    <s v="SwiftShip"/>
    <d v="2026-05-30T00:00:00"/>
    <d v="2026-05-30T00:00:00"/>
    <d v="2026-06-04T00:00:00"/>
    <d v="2026-06-02T00:00:00"/>
    <s v="2026-06-02"/>
    <n v="0"/>
    <x v="0"/>
    <s v="Delivered"/>
    <x v="3"/>
    <x v="0"/>
  </r>
  <r>
    <n v="2175"/>
    <s v="ParcelOne"/>
    <d v="2026-04-30T00:00:00"/>
    <d v="2026-04-30T00:00:00"/>
    <d v="2026-05-05T00:00:00"/>
    <d v="2026-05-03T00:00:00"/>
    <s v="2026-05-03"/>
    <n v="0"/>
    <x v="1"/>
    <s v="Delivered"/>
    <x v="3"/>
    <x v="0"/>
  </r>
  <r>
    <n v="2176"/>
    <s v="MetroLogistics"/>
    <d v="2026-06-13T00:00:00"/>
    <d v="2026-06-13T00:00:00"/>
    <d v="2026-06-18T00:00:00"/>
    <m/>
    <m/>
    <n v="0"/>
    <x v="2"/>
    <s v="Shipped"/>
    <x v="0"/>
    <x v="0"/>
  </r>
  <r>
    <n v="2177"/>
    <s v="ParcelOne"/>
    <d v="2026-04-01T00:00:00"/>
    <d v="2026-04-01T00:00:00"/>
    <d v="2026-04-06T00:00:00"/>
    <d v="2026-04-06T00:00:00"/>
    <s v="2026-04-06"/>
    <n v="0"/>
    <x v="1"/>
    <s v="Delivered"/>
    <x v="3"/>
    <x v="0"/>
  </r>
  <r>
    <n v="2178"/>
    <s v="ParcelOne"/>
    <d v="2026-02-25T00:00:00"/>
    <d v="2026-02-25T00:00:00"/>
    <d v="2026-03-02T00:00:00"/>
    <d v="2026-03-02T00:00:00"/>
    <s v="2026-03-02"/>
    <n v="0"/>
    <x v="1"/>
    <s v="Delivered"/>
    <x v="3"/>
    <x v="0"/>
  </r>
  <r>
    <n v="2179"/>
    <s v="SwiftShip"/>
    <d v="2026-03-25T00:00:00"/>
    <d v="2026-03-25T00:00:00"/>
    <d v="2026-03-30T00:00:00"/>
    <d v="2026-03-29T00:00:00"/>
    <s v="2026-03-30"/>
    <n v="0"/>
    <x v="0"/>
    <s v="Delivered"/>
    <x v="3"/>
    <x v="0"/>
  </r>
  <r>
    <n v="2180"/>
    <s v="MetroLogistics"/>
    <d v="2026-04-02T00:00:00"/>
    <d v="2026-04-02T00:00:00"/>
    <d v="2026-04-07T00:00:00"/>
    <d v="2026-04-07T00:00:00"/>
    <s v="2026-04-09"/>
    <n v="0"/>
    <x v="2"/>
    <s v="Delivered"/>
    <x v="3"/>
    <x v="0"/>
  </r>
  <r>
    <n v="2181"/>
    <s v="SwiftShip"/>
    <d v="2026-06-16T00:00:00"/>
    <d v="2026-06-16T00:00:00"/>
    <d v="2026-06-21T00:00:00"/>
    <d v="2026-06-21T00:00:00"/>
    <s v="2026-06-22"/>
    <n v="0"/>
    <x v="0"/>
    <s v="Delivered"/>
    <x v="3"/>
    <x v="0"/>
  </r>
  <r>
    <n v="2182"/>
    <s v="ParcelOne"/>
    <d v="2026-03-11T00:00:00"/>
    <d v="2026-03-11T00:00:00"/>
    <d v="2026-03-16T00:00:00"/>
    <d v="2026-03-20T00:00:00"/>
    <s v="2026-03-20"/>
    <n v="0"/>
    <x v="1"/>
    <s v="Delivered"/>
    <x v="2"/>
    <x v="0"/>
  </r>
  <r>
    <n v="2183"/>
    <s v="ParcelOne"/>
    <d v="2026-04-26T00:00:00"/>
    <d v="2026-04-27T00:00:00"/>
    <d v="2026-05-01T00:00:00"/>
    <d v="2026-05-05T00:00:00"/>
    <s v="2026-05-05"/>
    <n v="0"/>
    <x v="1"/>
    <s v="Delivered"/>
    <x v="2"/>
    <x v="1"/>
  </r>
  <r>
    <n v="2184"/>
    <s v="SwiftShip"/>
    <d v="2026-04-25T00:00:00"/>
    <d v="2026-04-25T00:00:00"/>
    <d v="2026-04-30T00:00:00"/>
    <d v="2026-04-28T00:00:00"/>
    <s v="2026-04-28"/>
    <n v="0"/>
    <x v="0"/>
    <s v="Delivered"/>
    <x v="3"/>
    <x v="0"/>
  </r>
  <r>
    <n v="2185"/>
    <s v="SwiftShip"/>
    <d v="2026-04-19T00:00:00"/>
    <d v="2026-04-20T00:00:00"/>
    <d v="2026-04-24T00:00:00"/>
    <d v="2026-04-24T00:00:00"/>
    <s v="2026-04-24"/>
    <n v="0"/>
    <x v="0"/>
    <s v="Delivered"/>
    <x v="3"/>
    <x v="1"/>
  </r>
  <r>
    <n v="2186"/>
    <s v="ParcelOne"/>
    <d v="2026-03-10T00:00:00"/>
    <d v="2026-03-10T00:00:00"/>
    <d v="2026-03-15T00:00:00"/>
    <d v="2026-03-15T00:00:00"/>
    <s v="2026-03-17"/>
    <n v="0"/>
    <x v="1"/>
    <s v="Delivered"/>
    <x v="3"/>
    <x v="0"/>
  </r>
  <r>
    <n v="2188"/>
    <s v="SwiftShip"/>
    <d v="2026-06-06T00:00:00"/>
    <d v="2026-06-06T00:00:00"/>
    <d v="2026-06-11T00:00:00"/>
    <d v="2026-06-09T00:00:00"/>
    <s v="2026-06-09"/>
    <n v="0"/>
    <x v="0"/>
    <s v="Delivered"/>
    <x v="3"/>
    <x v="0"/>
  </r>
  <r>
    <n v="2189"/>
    <s v="MetroLogistics"/>
    <d v="2026-06-03T00:00:00"/>
    <d v="2026-06-03T00:00:00"/>
    <d v="2026-06-08T00:00:00"/>
    <d v="2026-06-06T00:00:00"/>
    <s v="2026-06-06"/>
    <n v="0"/>
    <x v="2"/>
    <s v="Delivered"/>
    <x v="3"/>
    <x v="0"/>
  </r>
  <r>
    <n v="2190"/>
    <s v="MetroLogistics"/>
    <d v="2026-02-09T00:00:00"/>
    <d v="2026-02-09T00:00:00"/>
    <d v="2026-02-14T00:00:00"/>
    <d v="2026-02-18T00:00:00"/>
    <s v="2026-02-18"/>
    <n v="0"/>
    <x v="2"/>
    <s v="Delivered"/>
    <x v="2"/>
    <x v="0"/>
  </r>
  <r>
    <n v="2191"/>
    <s v="MetroLogistics"/>
    <d v="2026-06-05T00:00:00"/>
    <d v="2026-06-05T00:00:00"/>
    <d v="2026-06-10T00:00:00"/>
    <d v="2026-06-11T00:00:00"/>
    <s v="2026-06-11"/>
    <n v="0"/>
    <x v="2"/>
    <s v="Delivered"/>
    <x v="2"/>
    <x v="0"/>
  </r>
  <r>
    <n v="2192"/>
    <s v="ParcelOne"/>
    <d v="2026-05-13T00:00:00"/>
    <d v="2026-05-13T00:00:00"/>
    <d v="2026-05-18T00:00:00"/>
    <m/>
    <m/>
    <n v="0"/>
    <x v="1"/>
    <s v="Shipped"/>
    <x v="0"/>
    <x v="0"/>
  </r>
  <r>
    <n v="2193"/>
    <s v="ParcelOne"/>
    <d v="2026-06-09T00:00:00"/>
    <d v="2026-06-09T00:00:00"/>
    <d v="2026-06-14T00:00:00"/>
    <d v="2026-06-14T00:00:00"/>
    <s v="2026-06-14"/>
    <n v="0"/>
    <x v="1"/>
    <s v="Delivered"/>
    <x v="3"/>
    <x v="0"/>
  </r>
  <r>
    <n v="2194"/>
    <s v="ParcelOne"/>
    <d v="2026-01-27T00:00:00"/>
    <d v="2026-01-28T00:00:00"/>
    <d v="2026-02-01T00:00:00"/>
    <m/>
    <m/>
    <n v="0"/>
    <x v="1"/>
    <s v="Shipped"/>
    <x v="0"/>
    <x v="1"/>
  </r>
  <r>
    <n v="2195"/>
    <s v="MetroLogistics"/>
    <d v="2026-01-27T00:00:00"/>
    <d v="2026-01-27T00:00:00"/>
    <d v="2026-02-01T00:00:00"/>
    <d v="2026-01-31T00:00:00"/>
    <s v="2026-02-02"/>
    <n v="0"/>
    <x v="2"/>
    <s v="Delivered"/>
    <x v="3"/>
    <x v="0"/>
  </r>
  <r>
    <n v="2196"/>
    <s v="ParcelOne"/>
    <d v="2026-01-23T00:00:00"/>
    <d v="2026-01-23T00:00:00"/>
    <d v="2026-01-28T00:00:00"/>
    <d v="2026-01-26T00:00:00"/>
    <s v="2026-01-28"/>
    <n v="0"/>
    <x v="1"/>
    <s v="Delivered"/>
    <x v="3"/>
    <x v="0"/>
  </r>
  <r>
    <n v="2197"/>
    <s v="MetroLogistics"/>
    <d v="2026-01-04T00:00:00"/>
    <d v="2026-01-05T00:00:00"/>
    <d v="2026-01-09T00:00:00"/>
    <d v="2026-01-13T00:00:00"/>
    <s v="2026-01-13"/>
    <n v="0"/>
    <x v="2"/>
    <s v="Delivered"/>
    <x v="2"/>
    <x v="1"/>
  </r>
  <r>
    <n v="2198"/>
    <s v="ParcelOne"/>
    <d v="2026-05-10T00:00:00"/>
    <d v="2026-05-10T00:00:00"/>
    <d v="2026-05-15T00:00:00"/>
    <d v="2026-05-17T00:00:00"/>
    <s v="2026-05-17"/>
    <n v="0"/>
    <x v="1"/>
    <s v="Delivered"/>
    <x v="2"/>
    <x v="0"/>
  </r>
  <r>
    <n v="2199"/>
    <s v="ParcelOne"/>
    <d v="2026-05-12T00:00:00"/>
    <d v="2026-05-14T00:00:00"/>
    <d v="2026-05-17T00:00:00"/>
    <d v="2026-05-19T00:00:00"/>
    <s v="2026-05-19"/>
    <n v="0"/>
    <x v="1"/>
    <s v="Delivered"/>
    <x v="2"/>
    <x v="1"/>
  </r>
  <r>
    <n v="2200"/>
    <s v="MetroLogistics"/>
    <d v="2026-03-23T00:00:00"/>
    <d v="2026-03-23T00:00:00"/>
    <d v="2026-03-28T00:00:00"/>
    <m/>
    <m/>
    <n v="0"/>
    <x v="2"/>
    <s v="Shipped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7">
  <r>
    <n v="1"/>
    <n v="1001"/>
    <n v="1"/>
    <n v="2"/>
    <n v="750"/>
    <n v="1500"/>
    <s v="Shipped"/>
    <n v="1500"/>
    <x v="0"/>
  </r>
  <r>
    <n v="2"/>
    <n v="1001"/>
    <n v="6"/>
    <n v="4"/>
    <n v="140"/>
    <n v="560"/>
    <s v="Shipped"/>
    <n v="560"/>
    <x v="0"/>
  </r>
  <r>
    <n v="3"/>
    <n v="1001"/>
    <n v="10"/>
    <n v="2"/>
    <n v="8"/>
    <n v="16"/>
    <s v="Shipped"/>
    <n v="16"/>
    <x v="0"/>
  </r>
  <r>
    <n v="4"/>
    <n v="1002"/>
    <n v="4"/>
    <n v="3"/>
    <n v="25"/>
    <n v="75"/>
    <s v="Cancelled"/>
    <n v="0"/>
    <x v="1"/>
  </r>
  <r>
    <n v="5"/>
    <n v="1002"/>
    <n v="11"/>
    <n v="4"/>
    <n v="48"/>
    <n v="192"/>
    <s v="Cancelled"/>
    <n v="0"/>
    <x v="1"/>
  </r>
  <r>
    <n v="6"/>
    <n v="1002"/>
    <n v="2"/>
    <n v="2"/>
    <n v="220"/>
    <n v="440"/>
    <s v="Cancelled"/>
    <n v="0"/>
    <x v="1"/>
  </r>
  <r>
    <n v="7"/>
    <n v="1003"/>
    <n v="1"/>
    <n v="3"/>
    <n v="750"/>
    <n v="2250"/>
    <s v="Cancelled"/>
    <n v="0"/>
    <x v="2"/>
  </r>
  <r>
    <n v="8"/>
    <n v="1003"/>
    <n v="3"/>
    <n v="4"/>
    <n v="45"/>
    <n v="180"/>
    <s v="Cancelled"/>
    <n v="0"/>
    <x v="2"/>
  </r>
  <r>
    <n v="9"/>
    <n v="1004"/>
    <n v="3"/>
    <n v="4"/>
    <n v="45"/>
    <n v="180"/>
    <s v="Cancelled"/>
    <n v="0"/>
    <x v="3"/>
  </r>
  <r>
    <n v="10"/>
    <n v="1004"/>
    <n v="2"/>
    <n v="1"/>
    <n v="220"/>
    <n v="220"/>
    <s v="Cancelled"/>
    <n v="0"/>
    <x v="3"/>
  </r>
  <r>
    <n v="11"/>
    <n v="1005"/>
    <n v="5"/>
    <n v="2"/>
    <n v="180"/>
    <n v="360"/>
    <s v="Delivered"/>
    <n v="360"/>
    <x v="4"/>
  </r>
  <r>
    <n v="12"/>
    <n v="1005"/>
    <n v="4"/>
    <n v="1"/>
    <n v="25"/>
    <n v="25"/>
    <s v="Delivered"/>
    <n v="25"/>
    <x v="4"/>
  </r>
  <r>
    <n v="13"/>
    <n v="1006"/>
    <n v="11"/>
    <n v="3"/>
    <n v="48"/>
    <n v="144"/>
    <s v="Delivered"/>
    <n v="144"/>
    <x v="5"/>
  </r>
  <r>
    <n v="14"/>
    <n v="1006"/>
    <n v="9"/>
    <n v="1"/>
    <n v="30"/>
    <n v="30"/>
    <s v="Delivered"/>
    <n v="30"/>
    <x v="5"/>
  </r>
  <r>
    <n v="15"/>
    <n v="1007"/>
    <n v="12"/>
    <n v="4"/>
    <n v="22"/>
    <n v="88"/>
    <s v="Delivered"/>
    <n v="88"/>
    <x v="6"/>
  </r>
  <r>
    <n v="16"/>
    <n v="1007"/>
    <n v="6"/>
    <n v="1"/>
    <n v="140"/>
    <n v="140"/>
    <s v="Delivered"/>
    <n v="140"/>
    <x v="6"/>
  </r>
  <r>
    <n v="17"/>
    <n v="1008"/>
    <n v="12"/>
    <n v="3"/>
    <n v="22"/>
    <n v="66"/>
    <s v="Delivered"/>
    <n v="66"/>
    <x v="7"/>
  </r>
  <r>
    <n v="18"/>
    <n v="1008"/>
    <n v="11"/>
    <n v="4"/>
    <n v="48"/>
    <n v="192"/>
    <s v="Delivered"/>
    <n v="192"/>
    <x v="7"/>
  </r>
  <r>
    <n v="19"/>
    <n v="1008"/>
    <n v="4"/>
    <n v="1"/>
    <n v="25"/>
    <n v="25"/>
    <s v="Delivered"/>
    <n v="25"/>
    <x v="7"/>
  </r>
  <r>
    <n v="20"/>
    <n v="1009"/>
    <n v="5"/>
    <n v="3"/>
    <n v="180"/>
    <n v="540"/>
    <s v="Delivered"/>
    <n v="540"/>
    <x v="8"/>
  </r>
  <r>
    <n v="21"/>
    <n v="1009"/>
    <n v="11"/>
    <n v="4"/>
    <n v="48"/>
    <n v="192"/>
    <s v="Delivered"/>
    <n v="192"/>
    <x v="8"/>
  </r>
  <r>
    <n v="22"/>
    <n v="1009"/>
    <n v="7"/>
    <n v="3"/>
    <n v="65"/>
    <n v="195"/>
    <s v="Delivered"/>
    <n v="195"/>
    <x v="8"/>
  </r>
  <r>
    <n v="23"/>
    <n v="1010"/>
    <n v="10"/>
    <n v="1"/>
    <n v="8"/>
    <n v="8"/>
    <s v="Delivered"/>
    <n v="8"/>
    <x v="9"/>
  </r>
  <r>
    <n v="24"/>
    <n v="1010"/>
    <n v="5"/>
    <n v="3"/>
    <n v="180"/>
    <n v="540"/>
    <s v="Delivered"/>
    <n v="540"/>
    <x v="9"/>
  </r>
  <r>
    <n v="25"/>
    <n v="1010"/>
    <n v="7"/>
    <n v="3"/>
    <n v="65"/>
    <n v="195"/>
    <s v="Delivered"/>
    <n v="195"/>
    <x v="9"/>
  </r>
  <r>
    <n v="26"/>
    <n v="1011"/>
    <n v="8"/>
    <n v="3"/>
    <n v="55"/>
    <n v="165"/>
    <s v="Delivered"/>
    <n v="165"/>
    <x v="10"/>
  </r>
  <r>
    <n v="27"/>
    <n v="1011"/>
    <n v="3"/>
    <n v="3"/>
    <n v="45"/>
    <n v="135"/>
    <s v="Delivered"/>
    <n v="135"/>
    <x v="10"/>
  </r>
  <r>
    <n v="28"/>
    <n v="1011"/>
    <n v="2"/>
    <n v="1"/>
    <n v="220"/>
    <n v="220"/>
    <s v="Delivered"/>
    <n v="220"/>
    <x v="10"/>
  </r>
  <r>
    <n v="29"/>
    <n v="1012"/>
    <n v="8"/>
    <n v="1"/>
    <n v="55"/>
    <n v="55"/>
    <s v="Delivered"/>
    <n v="55"/>
    <x v="11"/>
  </r>
  <r>
    <n v="30"/>
    <n v="1013"/>
    <n v="3"/>
    <n v="1"/>
    <n v="45"/>
    <n v="45"/>
    <s v="Delivered"/>
    <n v="45"/>
    <x v="12"/>
  </r>
  <r>
    <n v="31"/>
    <n v="1014"/>
    <n v="1"/>
    <n v="2"/>
    <n v="750"/>
    <n v="1500"/>
    <s v="Delivered"/>
    <n v="1500"/>
    <x v="13"/>
  </r>
  <r>
    <n v="32"/>
    <n v="1014"/>
    <n v="9"/>
    <n v="1"/>
    <n v="30"/>
    <n v="30"/>
    <s v="Delivered"/>
    <n v="30"/>
    <x v="13"/>
  </r>
  <r>
    <n v="33"/>
    <n v="1015"/>
    <n v="12"/>
    <n v="4"/>
    <n v="22"/>
    <n v="88"/>
    <s v="Delivered"/>
    <n v="88"/>
    <x v="14"/>
  </r>
  <r>
    <n v="34"/>
    <n v="1015"/>
    <n v="9"/>
    <n v="2"/>
    <n v="30"/>
    <n v="60"/>
    <s v="Delivered"/>
    <n v="60"/>
    <x v="14"/>
  </r>
  <r>
    <n v="35"/>
    <n v="1015"/>
    <n v="7"/>
    <n v="4"/>
    <n v="65"/>
    <n v="260"/>
    <s v="Delivered"/>
    <n v="260"/>
    <x v="14"/>
  </r>
  <r>
    <n v="36"/>
    <n v="1016"/>
    <n v="8"/>
    <n v="3"/>
    <n v="55"/>
    <n v="165"/>
    <s v="Delivered"/>
    <n v="165"/>
    <x v="15"/>
  </r>
  <r>
    <n v="37"/>
    <n v="1016"/>
    <n v="2"/>
    <n v="2"/>
    <n v="220"/>
    <n v="440"/>
    <s v="Delivered"/>
    <n v="440"/>
    <x v="15"/>
  </r>
  <r>
    <n v="38"/>
    <n v="1017"/>
    <n v="4"/>
    <n v="4"/>
    <n v="25"/>
    <n v="100"/>
    <s v="Delivered"/>
    <n v="100"/>
    <x v="16"/>
  </r>
  <r>
    <n v="39"/>
    <n v="1017"/>
    <n v="2"/>
    <n v="3"/>
    <n v="220"/>
    <n v="660"/>
    <s v="Delivered"/>
    <n v="660"/>
    <x v="16"/>
  </r>
  <r>
    <n v="40"/>
    <n v="1017"/>
    <n v="7"/>
    <n v="4"/>
    <n v="65"/>
    <n v="260"/>
    <s v="Delivered"/>
    <n v="260"/>
    <x v="16"/>
  </r>
  <r>
    <n v="41"/>
    <n v="1018"/>
    <n v="8"/>
    <n v="3"/>
    <n v="55"/>
    <n v="165"/>
    <s v="Delivered"/>
    <n v="165"/>
    <x v="12"/>
  </r>
  <r>
    <n v="42"/>
    <n v="1018"/>
    <n v="1"/>
    <n v="3"/>
    <n v="750"/>
    <n v="2250"/>
    <s v="Delivered"/>
    <n v="2250"/>
    <x v="12"/>
  </r>
  <r>
    <n v="43"/>
    <n v="1019"/>
    <n v="4"/>
    <n v="3"/>
    <n v="25"/>
    <n v="75"/>
    <s v="Delivered"/>
    <n v="75"/>
    <x v="17"/>
  </r>
  <r>
    <n v="44"/>
    <n v="1019"/>
    <n v="8"/>
    <n v="4"/>
    <n v="55"/>
    <n v="220"/>
    <s v="Delivered"/>
    <n v="220"/>
    <x v="17"/>
  </r>
  <r>
    <n v="45"/>
    <n v="1019"/>
    <n v="12"/>
    <n v="4"/>
    <n v="22"/>
    <n v="88"/>
    <s v="Delivered"/>
    <n v="88"/>
    <x v="17"/>
  </r>
  <r>
    <n v="46"/>
    <n v="1020"/>
    <n v="9"/>
    <n v="1"/>
    <n v="30"/>
    <n v="30"/>
    <s v="Delivered"/>
    <n v="30"/>
    <x v="18"/>
  </r>
  <r>
    <n v="47"/>
    <n v="1020"/>
    <n v="1"/>
    <n v="1"/>
    <n v="750"/>
    <n v="750"/>
    <s v="Delivered"/>
    <n v="750"/>
    <x v="18"/>
  </r>
  <r>
    <n v="48"/>
    <n v="1020"/>
    <n v="7"/>
    <n v="4"/>
    <n v="65"/>
    <n v="260"/>
    <s v="Delivered"/>
    <n v="260"/>
    <x v="18"/>
  </r>
  <r>
    <n v="49"/>
    <n v="1021"/>
    <n v="7"/>
    <n v="4"/>
    <n v="65"/>
    <n v="260"/>
    <s v="Delivered"/>
    <n v="260"/>
    <x v="19"/>
  </r>
  <r>
    <n v="50"/>
    <n v="1021"/>
    <n v="5"/>
    <n v="3"/>
    <n v="180"/>
    <n v="540"/>
    <s v="Delivered"/>
    <n v="540"/>
    <x v="19"/>
  </r>
  <r>
    <n v="51"/>
    <n v="1022"/>
    <n v="1"/>
    <n v="2"/>
    <n v="750"/>
    <n v="1500"/>
    <s v="Delivered"/>
    <n v="1500"/>
    <x v="20"/>
  </r>
  <r>
    <n v="52"/>
    <n v="1022"/>
    <n v="12"/>
    <n v="1"/>
    <n v="22"/>
    <n v="22"/>
    <s v="Delivered"/>
    <n v="22"/>
    <x v="20"/>
  </r>
  <r>
    <n v="53"/>
    <n v="1022"/>
    <n v="4"/>
    <n v="2"/>
    <n v="25"/>
    <n v="50"/>
    <s v="Delivered"/>
    <n v="50"/>
    <x v="20"/>
  </r>
  <r>
    <n v="54"/>
    <n v="1023"/>
    <n v="10"/>
    <n v="1"/>
    <n v="8"/>
    <n v="8"/>
    <s v="Delivered"/>
    <n v="8"/>
    <x v="10"/>
  </r>
  <r>
    <n v="55"/>
    <n v="1024"/>
    <n v="7"/>
    <n v="1"/>
    <n v="65"/>
    <n v="65"/>
    <s v="Shipped"/>
    <n v="65"/>
    <x v="21"/>
  </r>
  <r>
    <n v="56"/>
    <n v="1024"/>
    <n v="12"/>
    <n v="2"/>
    <n v="22"/>
    <n v="44"/>
    <s v="Shipped"/>
    <n v="44"/>
    <x v="21"/>
  </r>
  <r>
    <n v="57"/>
    <n v="1024"/>
    <n v="4"/>
    <n v="1"/>
    <n v="25"/>
    <n v="25"/>
    <s v="Shipped"/>
    <n v="25"/>
    <x v="21"/>
  </r>
  <r>
    <n v="58"/>
    <n v="1025"/>
    <n v="1"/>
    <n v="4"/>
    <n v="750"/>
    <n v="3000"/>
    <s v="Delivered"/>
    <n v="3000"/>
    <x v="22"/>
  </r>
  <r>
    <n v="59"/>
    <n v="1025"/>
    <n v="6"/>
    <n v="3"/>
    <n v="140"/>
    <n v="420"/>
    <s v="Delivered"/>
    <n v="420"/>
    <x v="22"/>
  </r>
  <r>
    <n v="60"/>
    <n v="1025"/>
    <n v="9"/>
    <n v="1"/>
    <n v="30"/>
    <n v="30"/>
    <s v="Delivered"/>
    <n v="30"/>
    <x v="22"/>
  </r>
  <r>
    <n v="61"/>
    <n v="1026"/>
    <n v="8"/>
    <n v="2"/>
    <n v="55"/>
    <n v="110"/>
    <s v="Delivered"/>
    <n v="110"/>
    <x v="23"/>
  </r>
  <r>
    <n v="62"/>
    <n v="1026"/>
    <n v="3"/>
    <n v="3"/>
    <n v="45"/>
    <n v="135"/>
    <s v="Delivered"/>
    <n v="135"/>
    <x v="23"/>
  </r>
  <r>
    <n v="63"/>
    <n v="1026"/>
    <n v="7"/>
    <n v="4"/>
    <n v="65"/>
    <n v="260"/>
    <s v="Delivered"/>
    <n v="260"/>
    <x v="23"/>
  </r>
  <r>
    <n v="64"/>
    <n v="1027"/>
    <n v="8"/>
    <n v="4"/>
    <n v="55"/>
    <n v="220"/>
    <s v="Delivered"/>
    <n v="220"/>
    <x v="24"/>
  </r>
  <r>
    <n v="65"/>
    <n v="1027"/>
    <n v="4"/>
    <n v="4"/>
    <n v="25"/>
    <n v="100"/>
    <s v="Delivered"/>
    <n v="100"/>
    <x v="24"/>
  </r>
  <r>
    <n v="66"/>
    <n v="1028"/>
    <n v="5"/>
    <n v="3"/>
    <n v="180"/>
    <n v="540"/>
    <s v="Delivered"/>
    <n v="540"/>
    <x v="25"/>
  </r>
  <r>
    <n v="67"/>
    <n v="1028"/>
    <n v="10"/>
    <n v="1"/>
    <n v="8"/>
    <n v="8"/>
    <s v="Delivered"/>
    <n v="8"/>
    <x v="25"/>
  </r>
  <r>
    <n v="68"/>
    <n v="1029"/>
    <n v="8"/>
    <n v="4"/>
    <n v="55"/>
    <n v="220"/>
    <s v="Delivered"/>
    <n v="220"/>
    <x v="26"/>
  </r>
  <r>
    <n v="69"/>
    <n v="1029"/>
    <n v="11"/>
    <n v="1"/>
    <n v="48"/>
    <n v="48"/>
    <s v="Delivered"/>
    <n v="48"/>
    <x v="26"/>
  </r>
  <r>
    <n v="70"/>
    <n v="1029"/>
    <n v="12"/>
    <n v="1"/>
    <n v="22"/>
    <n v="22"/>
    <s v="Delivered"/>
    <n v="22"/>
    <x v="26"/>
  </r>
  <r>
    <n v="71"/>
    <n v="1030"/>
    <n v="6"/>
    <n v="3"/>
    <n v="140"/>
    <n v="420"/>
    <s v="Delivered"/>
    <n v="420"/>
    <x v="27"/>
  </r>
  <r>
    <n v="72"/>
    <n v="1030"/>
    <n v="7"/>
    <n v="3"/>
    <n v="65"/>
    <n v="195"/>
    <s v="Delivered"/>
    <n v="195"/>
    <x v="27"/>
  </r>
  <r>
    <n v="73"/>
    <n v="1030"/>
    <n v="9"/>
    <n v="4"/>
    <n v="30"/>
    <n v="120"/>
    <s v="Delivered"/>
    <n v="120"/>
    <x v="27"/>
  </r>
  <r>
    <n v="74"/>
    <n v="1031"/>
    <n v="3"/>
    <n v="4"/>
    <n v="45"/>
    <n v="180"/>
    <s v="Delivered"/>
    <n v="180"/>
    <x v="28"/>
  </r>
  <r>
    <n v="75"/>
    <n v="1031"/>
    <n v="4"/>
    <n v="3"/>
    <n v="25"/>
    <n v="75"/>
    <s v="Delivered"/>
    <n v="75"/>
    <x v="28"/>
  </r>
  <r>
    <n v="76"/>
    <n v="1031"/>
    <n v="11"/>
    <n v="3"/>
    <n v="48"/>
    <n v="144"/>
    <s v="Delivered"/>
    <n v="144"/>
    <x v="28"/>
  </r>
  <r>
    <n v="77"/>
    <n v="1032"/>
    <n v="5"/>
    <n v="1"/>
    <n v="180"/>
    <n v="180"/>
    <s v="Delivered"/>
    <n v="180"/>
    <x v="29"/>
  </r>
  <r>
    <n v="78"/>
    <n v="1033"/>
    <n v="1"/>
    <n v="3"/>
    <n v="750"/>
    <n v="2250"/>
    <s v="Cancelled"/>
    <n v="0"/>
    <x v="30"/>
  </r>
  <r>
    <n v="79"/>
    <n v="1034"/>
    <n v="1"/>
    <n v="3"/>
    <n v="750"/>
    <n v="2250"/>
    <s v="Delivered"/>
    <n v="2250"/>
    <x v="4"/>
  </r>
  <r>
    <n v="80"/>
    <n v="1035"/>
    <n v="3"/>
    <n v="3"/>
    <n v="45"/>
    <n v="135"/>
    <s v="Delivered"/>
    <n v="135"/>
    <x v="26"/>
  </r>
  <r>
    <n v="81"/>
    <n v="1036"/>
    <n v="7"/>
    <n v="3"/>
    <n v="65"/>
    <n v="195"/>
    <s v="Delivered"/>
    <n v="195"/>
    <x v="31"/>
  </r>
  <r>
    <n v="82"/>
    <n v="1036"/>
    <n v="8"/>
    <n v="4"/>
    <n v="55"/>
    <n v="220"/>
    <s v="Delivered"/>
    <n v="220"/>
    <x v="31"/>
  </r>
  <r>
    <n v="83"/>
    <n v="1036"/>
    <n v="11"/>
    <n v="3"/>
    <n v="48"/>
    <n v="144"/>
    <s v="Delivered"/>
    <n v="144"/>
    <x v="31"/>
  </r>
  <r>
    <n v="84"/>
    <n v="1037"/>
    <n v="2"/>
    <n v="2"/>
    <n v="220"/>
    <n v="440"/>
    <s v="Delivered"/>
    <n v="440"/>
    <x v="32"/>
  </r>
  <r>
    <n v="85"/>
    <n v="1037"/>
    <n v="3"/>
    <n v="1"/>
    <n v="45"/>
    <n v="45"/>
    <s v="Delivered"/>
    <n v="45"/>
    <x v="32"/>
  </r>
  <r>
    <n v="86"/>
    <n v="1037"/>
    <n v="4"/>
    <n v="2"/>
    <n v="25"/>
    <n v="50"/>
    <s v="Delivered"/>
    <n v="50"/>
    <x v="32"/>
  </r>
  <r>
    <n v="87"/>
    <n v="1038"/>
    <n v="8"/>
    <n v="3"/>
    <n v="55"/>
    <n v="165"/>
    <s v="Delivered"/>
    <n v="165"/>
    <x v="33"/>
  </r>
  <r>
    <n v="88"/>
    <n v="1038"/>
    <n v="2"/>
    <n v="2"/>
    <n v="220"/>
    <n v="440"/>
    <s v="Delivered"/>
    <n v="440"/>
    <x v="33"/>
  </r>
  <r>
    <n v="89"/>
    <n v="1038"/>
    <n v="4"/>
    <n v="4"/>
    <n v="25"/>
    <n v="100"/>
    <s v="Delivered"/>
    <n v="100"/>
    <x v="33"/>
  </r>
  <r>
    <n v="90"/>
    <n v="1039"/>
    <n v="10"/>
    <n v="3"/>
    <n v="8"/>
    <n v="24"/>
    <s v="Delivered"/>
    <n v="24"/>
    <x v="34"/>
  </r>
  <r>
    <n v="91"/>
    <n v="1039"/>
    <n v="12"/>
    <n v="4"/>
    <n v="22"/>
    <n v="88"/>
    <s v="Delivered"/>
    <n v="88"/>
    <x v="34"/>
  </r>
  <r>
    <n v="92"/>
    <n v="1040"/>
    <n v="10"/>
    <n v="1"/>
    <n v="8"/>
    <n v="8"/>
    <s v="Delivered"/>
    <n v="8"/>
    <x v="35"/>
  </r>
  <r>
    <n v="93"/>
    <n v="1041"/>
    <n v="1"/>
    <n v="1"/>
    <n v="750"/>
    <n v="750"/>
    <s v="Delivered"/>
    <n v="750"/>
    <x v="36"/>
  </r>
  <r>
    <n v="94"/>
    <n v="1041"/>
    <n v="11"/>
    <n v="2"/>
    <n v="48"/>
    <n v="96"/>
    <s v="Delivered"/>
    <n v="96"/>
    <x v="36"/>
  </r>
  <r>
    <n v="95"/>
    <n v="1041"/>
    <n v="5"/>
    <n v="4"/>
    <n v="180"/>
    <n v="720"/>
    <s v="Delivered"/>
    <n v="720"/>
    <x v="36"/>
  </r>
  <r>
    <n v="96"/>
    <n v="1042"/>
    <n v="8"/>
    <n v="3"/>
    <n v="55"/>
    <n v="165"/>
    <s v="Delivered"/>
    <n v="165"/>
    <x v="7"/>
  </r>
  <r>
    <n v="97"/>
    <n v="1043"/>
    <n v="11"/>
    <n v="1"/>
    <n v="48"/>
    <n v="48"/>
    <s v="Delivered"/>
    <n v="48"/>
    <x v="37"/>
  </r>
  <r>
    <n v="98"/>
    <n v="1043"/>
    <n v="7"/>
    <n v="4"/>
    <n v="65"/>
    <n v="260"/>
    <s v="Delivered"/>
    <n v="260"/>
    <x v="37"/>
  </r>
  <r>
    <n v="99"/>
    <n v="1044"/>
    <n v="9"/>
    <n v="1"/>
    <n v="30"/>
    <n v="30"/>
    <s v="Delivered"/>
    <n v="30"/>
    <x v="38"/>
  </r>
  <r>
    <n v="100"/>
    <n v="1044"/>
    <n v="8"/>
    <n v="2"/>
    <n v="55"/>
    <n v="110"/>
    <s v="Delivered"/>
    <n v="110"/>
    <x v="38"/>
  </r>
  <r>
    <n v="101"/>
    <n v="1044"/>
    <n v="7"/>
    <n v="3"/>
    <n v="65"/>
    <n v="195"/>
    <s v="Delivered"/>
    <n v="195"/>
    <x v="38"/>
  </r>
  <r>
    <n v="102"/>
    <n v="1045"/>
    <n v="8"/>
    <n v="1"/>
    <n v="55"/>
    <n v="55"/>
    <s v="Delivered"/>
    <n v="55"/>
    <x v="39"/>
  </r>
  <r>
    <n v="103"/>
    <n v="1045"/>
    <n v="12"/>
    <n v="1"/>
    <n v="22"/>
    <n v="22"/>
    <s v="Delivered"/>
    <n v="22"/>
    <x v="39"/>
  </r>
  <r>
    <n v="104"/>
    <n v="1046"/>
    <n v="2"/>
    <n v="1"/>
    <n v="220"/>
    <n v="220"/>
    <s v="Delivered"/>
    <n v="220"/>
    <x v="40"/>
  </r>
  <r>
    <n v="105"/>
    <n v="1046"/>
    <n v="4"/>
    <n v="4"/>
    <n v="25"/>
    <n v="100"/>
    <s v="Delivered"/>
    <n v="100"/>
    <x v="40"/>
  </r>
  <r>
    <n v="106"/>
    <n v="1047"/>
    <n v="8"/>
    <n v="2"/>
    <n v="55"/>
    <n v="110"/>
    <s v="Delivered"/>
    <n v="110"/>
    <x v="41"/>
  </r>
  <r>
    <n v="107"/>
    <n v="1047"/>
    <n v="12"/>
    <n v="4"/>
    <n v="22"/>
    <n v="88"/>
    <s v="Delivered"/>
    <n v="88"/>
    <x v="41"/>
  </r>
  <r>
    <n v="108"/>
    <n v="1048"/>
    <n v="6"/>
    <n v="3"/>
    <n v="140"/>
    <n v="420"/>
    <s v="Cancelled"/>
    <n v="0"/>
    <x v="42"/>
  </r>
  <r>
    <n v="109"/>
    <n v="1048"/>
    <n v="9"/>
    <n v="1"/>
    <n v="30"/>
    <n v="30"/>
    <s v="Cancelled"/>
    <n v="0"/>
    <x v="42"/>
  </r>
  <r>
    <n v="110"/>
    <n v="1049"/>
    <n v="8"/>
    <n v="4"/>
    <n v="55"/>
    <n v="220"/>
    <s v="Delivered"/>
    <n v="220"/>
    <x v="43"/>
  </r>
  <r>
    <n v="111"/>
    <n v="1049"/>
    <n v="3"/>
    <n v="3"/>
    <n v="45"/>
    <n v="135"/>
    <s v="Delivered"/>
    <n v="135"/>
    <x v="43"/>
  </r>
  <r>
    <n v="112"/>
    <n v="1049"/>
    <n v="12"/>
    <n v="3"/>
    <n v="22"/>
    <n v="66"/>
    <s v="Delivered"/>
    <n v="66"/>
    <x v="43"/>
  </r>
  <r>
    <n v="113"/>
    <n v="1050"/>
    <n v="7"/>
    <n v="1"/>
    <n v="65"/>
    <n v="65"/>
    <s v="Pending"/>
    <n v="65"/>
    <x v="44"/>
  </r>
  <r>
    <n v="114"/>
    <n v="1050"/>
    <n v="4"/>
    <n v="3"/>
    <n v="25"/>
    <n v="75"/>
    <s v="Pending"/>
    <n v="75"/>
    <x v="44"/>
  </r>
  <r>
    <n v="115"/>
    <n v="1050"/>
    <n v="12"/>
    <n v="4"/>
    <n v="22"/>
    <n v="88"/>
    <s v="Pending"/>
    <n v="88"/>
    <x v="44"/>
  </r>
  <r>
    <n v="116"/>
    <n v="1051"/>
    <n v="1"/>
    <n v="3"/>
    <n v="750"/>
    <n v="2250"/>
    <s v="Delivered"/>
    <n v="2250"/>
    <x v="45"/>
  </r>
  <r>
    <n v="117"/>
    <n v="1051"/>
    <n v="3"/>
    <n v="1"/>
    <n v="45"/>
    <n v="45"/>
    <s v="Delivered"/>
    <n v="45"/>
    <x v="45"/>
  </r>
  <r>
    <n v="118"/>
    <n v="1052"/>
    <n v="3"/>
    <n v="3"/>
    <n v="45"/>
    <n v="135"/>
    <s v="Delivered"/>
    <n v="135"/>
    <x v="46"/>
  </r>
  <r>
    <n v="119"/>
    <n v="1052"/>
    <n v="2"/>
    <n v="3"/>
    <n v="220"/>
    <n v="660"/>
    <s v="Delivered"/>
    <n v="660"/>
    <x v="46"/>
  </r>
  <r>
    <n v="120"/>
    <n v="1052"/>
    <n v="8"/>
    <n v="4"/>
    <n v="55"/>
    <n v="220"/>
    <s v="Delivered"/>
    <n v="220"/>
    <x v="46"/>
  </r>
  <r>
    <n v="121"/>
    <n v="1053"/>
    <n v="1"/>
    <n v="2"/>
    <n v="750"/>
    <n v="1500"/>
    <s v="Shipped"/>
    <n v="1500"/>
    <x v="45"/>
  </r>
  <r>
    <n v="122"/>
    <n v="1053"/>
    <n v="10"/>
    <n v="3"/>
    <n v="8"/>
    <n v="24"/>
    <s v="Shipped"/>
    <n v="24"/>
    <x v="45"/>
  </r>
  <r>
    <n v="123"/>
    <n v="1053"/>
    <n v="2"/>
    <n v="2"/>
    <n v="220"/>
    <n v="440"/>
    <s v="Shipped"/>
    <n v="440"/>
    <x v="45"/>
  </r>
  <r>
    <n v="124"/>
    <n v="1054"/>
    <n v="3"/>
    <n v="1"/>
    <n v="45"/>
    <n v="45"/>
    <s v="Delivered"/>
    <n v="45"/>
    <x v="47"/>
  </r>
  <r>
    <n v="125"/>
    <n v="1054"/>
    <n v="5"/>
    <n v="1"/>
    <n v="180"/>
    <n v="180"/>
    <s v="Delivered"/>
    <n v="180"/>
    <x v="47"/>
  </r>
  <r>
    <n v="126"/>
    <n v="1055"/>
    <n v="11"/>
    <n v="2"/>
    <n v="48"/>
    <n v="96"/>
    <s v="Delivered"/>
    <n v="96"/>
    <x v="48"/>
  </r>
  <r>
    <n v="127"/>
    <n v="1055"/>
    <n v="3"/>
    <n v="1"/>
    <n v="45"/>
    <n v="45"/>
    <s v="Delivered"/>
    <n v="45"/>
    <x v="48"/>
  </r>
  <r>
    <n v="128"/>
    <n v="1055"/>
    <n v="12"/>
    <n v="4"/>
    <n v="22"/>
    <n v="88"/>
    <s v="Delivered"/>
    <n v="88"/>
    <x v="48"/>
  </r>
  <r>
    <n v="129"/>
    <n v="1056"/>
    <n v="5"/>
    <n v="1"/>
    <n v="180"/>
    <n v="180"/>
    <s v="Delivered"/>
    <n v="180"/>
    <x v="49"/>
  </r>
  <r>
    <n v="130"/>
    <n v="1056"/>
    <n v="11"/>
    <n v="4"/>
    <n v="48"/>
    <n v="192"/>
    <s v="Delivered"/>
    <n v="192"/>
    <x v="49"/>
  </r>
  <r>
    <n v="131"/>
    <n v="1057"/>
    <n v="7"/>
    <n v="3"/>
    <n v="65"/>
    <n v="195"/>
    <s v="Pending"/>
    <n v="195"/>
    <x v="50"/>
  </r>
  <r>
    <n v="132"/>
    <n v="1057"/>
    <n v="5"/>
    <n v="2"/>
    <n v="180"/>
    <n v="360"/>
    <s v="Pending"/>
    <n v="360"/>
    <x v="50"/>
  </r>
  <r>
    <n v="133"/>
    <n v="1057"/>
    <n v="8"/>
    <n v="4"/>
    <n v="55"/>
    <n v="220"/>
    <s v="Pending"/>
    <n v="220"/>
    <x v="50"/>
  </r>
  <r>
    <n v="134"/>
    <n v="1058"/>
    <n v="10"/>
    <n v="3"/>
    <n v="8"/>
    <n v="24"/>
    <s v="Delivered"/>
    <n v="24"/>
    <x v="23"/>
  </r>
  <r>
    <n v="135"/>
    <n v="1058"/>
    <n v="5"/>
    <n v="1"/>
    <n v="180"/>
    <n v="180"/>
    <s v="Delivered"/>
    <n v="180"/>
    <x v="23"/>
  </r>
  <r>
    <n v="136"/>
    <n v="1059"/>
    <n v="12"/>
    <n v="2"/>
    <n v="22"/>
    <n v="44"/>
    <s v="Delivered"/>
    <n v="44"/>
    <x v="22"/>
  </r>
  <r>
    <n v="137"/>
    <n v="1059"/>
    <n v="8"/>
    <n v="3"/>
    <n v="55"/>
    <n v="165"/>
    <s v="Delivered"/>
    <n v="165"/>
    <x v="22"/>
  </r>
  <r>
    <n v="138"/>
    <n v="1059"/>
    <n v="5"/>
    <n v="2"/>
    <n v="180"/>
    <n v="360"/>
    <s v="Delivered"/>
    <n v="360"/>
    <x v="22"/>
  </r>
  <r>
    <n v="139"/>
    <n v="1060"/>
    <n v="2"/>
    <n v="3"/>
    <n v="220"/>
    <n v="660"/>
    <s v="Delivered"/>
    <n v="660"/>
    <x v="51"/>
  </r>
  <r>
    <n v="140"/>
    <n v="1060"/>
    <n v="11"/>
    <n v="4"/>
    <n v="48"/>
    <n v="192"/>
    <s v="Delivered"/>
    <n v="192"/>
    <x v="51"/>
  </r>
  <r>
    <n v="141"/>
    <n v="1060"/>
    <n v="1"/>
    <n v="1"/>
    <n v="750"/>
    <n v="750"/>
    <s v="Delivered"/>
    <n v="750"/>
    <x v="51"/>
  </r>
  <r>
    <n v="142"/>
    <n v="1061"/>
    <n v="3"/>
    <n v="3"/>
    <n v="45"/>
    <n v="135"/>
    <s v="Delivered"/>
    <n v="135"/>
    <x v="19"/>
  </r>
  <r>
    <n v="143"/>
    <n v="1062"/>
    <n v="6"/>
    <n v="1"/>
    <n v="140"/>
    <n v="140"/>
    <s v="Shipped"/>
    <n v="140"/>
    <x v="52"/>
  </r>
  <r>
    <n v="144"/>
    <n v="1062"/>
    <n v="2"/>
    <n v="2"/>
    <n v="220"/>
    <n v="440"/>
    <s v="Shipped"/>
    <n v="440"/>
    <x v="52"/>
  </r>
  <r>
    <n v="145"/>
    <n v="1062"/>
    <n v="8"/>
    <n v="2"/>
    <n v="55"/>
    <n v="110"/>
    <s v="Shipped"/>
    <n v="110"/>
    <x v="52"/>
  </r>
  <r>
    <n v="146"/>
    <n v="1063"/>
    <n v="2"/>
    <n v="1"/>
    <n v="220"/>
    <n v="220"/>
    <s v="Pending"/>
    <n v="220"/>
    <x v="53"/>
  </r>
  <r>
    <n v="147"/>
    <n v="1063"/>
    <n v="7"/>
    <n v="3"/>
    <n v="65"/>
    <n v="195"/>
    <s v="Pending"/>
    <n v="195"/>
    <x v="53"/>
  </r>
  <r>
    <n v="148"/>
    <n v="1064"/>
    <n v="7"/>
    <n v="1"/>
    <n v="65"/>
    <n v="65"/>
    <s v="Delivered"/>
    <n v="65"/>
    <x v="8"/>
  </r>
  <r>
    <n v="149"/>
    <n v="1064"/>
    <n v="11"/>
    <n v="2"/>
    <n v="48"/>
    <n v="96"/>
    <s v="Delivered"/>
    <n v="96"/>
    <x v="8"/>
  </r>
  <r>
    <n v="150"/>
    <n v="1064"/>
    <n v="6"/>
    <n v="4"/>
    <n v="140"/>
    <n v="560"/>
    <s v="Delivered"/>
    <n v="560"/>
    <x v="8"/>
  </r>
  <r>
    <n v="151"/>
    <n v="1065"/>
    <n v="5"/>
    <n v="1"/>
    <n v="180"/>
    <n v="180"/>
    <s v="Delivered"/>
    <n v="180"/>
    <x v="13"/>
  </r>
  <r>
    <n v="152"/>
    <n v="1065"/>
    <n v="11"/>
    <n v="2"/>
    <n v="48"/>
    <n v="96"/>
    <s v="Delivered"/>
    <n v="96"/>
    <x v="13"/>
  </r>
  <r>
    <n v="153"/>
    <n v="1065"/>
    <n v="7"/>
    <n v="1"/>
    <n v="65"/>
    <n v="65"/>
    <s v="Delivered"/>
    <n v="65"/>
    <x v="13"/>
  </r>
  <r>
    <n v="154"/>
    <n v="1066"/>
    <n v="8"/>
    <n v="4"/>
    <n v="55"/>
    <n v="220"/>
    <s v="Cancelled"/>
    <n v="0"/>
    <x v="2"/>
  </r>
  <r>
    <n v="155"/>
    <n v="1066"/>
    <n v="6"/>
    <n v="2"/>
    <n v="140"/>
    <n v="280"/>
    <s v="Cancelled"/>
    <n v="0"/>
    <x v="2"/>
  </r>
  <r>
    <n v="156"/>
    <n v="1067"/>
    <n v="7"/>
    <n v="3"/>
    <n v="65"/>
    <n v="195"/>
    <s v="Delivered"/>
    <n v="195"/>
    <x v="54"/>
  </r>
  <r>
    <n v="157"/>
    <n v="1067"/>
    <n v="5"/>
    <n v="2"/>
    <n v="180"/>
    <n v="360"/>
    <s v="Delivered"/>
    <n v="360"/>
    <x v="54"/>
  </r>
  <r>
    <n v="158"/>
    <n v="1067"/>
    <n v="1"/>
    <n v="4"/>
    <n v="750"/>
    <n v="3000"/>
    <s v="Delivered"/>
    <n v="3000"/>
    <x v="54"/>
  </r>
  <r>
    <n v="159"/>
    <n v="1068"/>
    <n v="7"/>
    <n v="3"/>
    <n v="65"/>
    <n v="195"/>
    <s v="Delivered"/>
    <n v="195"/>
    <x v="55"/>
  </r>
  <r>
    <n v="160"/>
    <n v="1069"/>
    <n v="6"/>
    <n v="2"/>
    <n v="140"/>
    <n v="280"/>
    <s v="Delivered"/>
    <n v="280"/>
    <x v="36"/>
  </r>
  <r>
    <n v="161"/>
    <n v="1070"/>
    <n v="3"/>
    <n v="1"/>
    <n v="45"/>
    <n v="45"/>
    <s v="Delivered"/>
    <n v="45"/>
    <x v="32"/>
  </r>
  <r>
    <n v="162"/>
    <n v="1070"/>
    <n v="10"/>
    <n v="3"/>
    <n v="8"/>
    <n v="24"/>
    <s v="Delivered"/>
    <n v="24"/>
    <x v="32"/>
  </r>
  <r>
    <n v="163"/>
    <n v="1071"/>
    <n v="1"/>
    <n v="3"/>
    <n v="750"/>
    <n v="2250"/>
    <s v="Delivered"/>
    <n v="2250"/>
    <x v="56"/>
  </r>
  <r>
    <n v="164"/>
    <n v="1072"/>
    <n v="2"/>
    <n v="4"/>
    <n v="220"/>
    <n v="880"/>
    <s v="Delivered"/>
    <n v="880"/>
    <x v="57"/>
  </r>
  <r>
    <n v="165"/>
    <n v="1072"/>
    <n v="12"/>
    <n v="3"/>
    <n v="22"/>
    <n v="66"/>
    <s v="Delivered"/>
    <n v="66"/>
    <x v="57"/>
  </r>
  <r>
    <n v="166"/>
    <n v="1072"/>
    <n v="8"/>
    <n v="1"/>
    <n v="55"/>
    <n v="55"/>
    <s v="Delivered"/>
    <n v="55"/>
    <x v="57"/>
  </r>
  <r>
    <n v="167"/>
    <n v="1073"/>
    <n v="1"/>
    <n v="4"/>
    <n v="750"/>
    <n v="3000"/>
    <s v="Delivered"/>
    <n v="3000"/>
    <x v="51"/>
  </r>
  <r>
    <n v="168"/>
    <n v="1073"/>
    <n v="12"/>
    <n v="4"/>
    <n v="22"/>
    <n v="88"/>
    <s v="Delivered"/>
    <n v="88"/>
    <x v="51"/>
  </r>
  <r>
    <n v="169"/>
    <n v="1073"/>
    <n v="8"/>
    <n v="1"/>
    <n v="55"/>
    <n v="55"/>
    <s v="Delivered"/>
    <n v="55"/>
    <x v="51"/>
  </r>
  <r>
    <n v="170"/>
    <n v="1074"/>
    <n v="5"/>
    <n v="3"/>
    <n v="180"/>
    <n v="540"/>
    <s v="Delivered"/>
    <n v="540"/>
    <x v="58"/>
  </r>
  <r>
    <n v="171"/>
    <n v="1075"/>
    <n v="11"/>
    <n v="4"/>
    <n v="48"/>
    <n v="192"/>
    <s v="Delivered"/>
    <n v="192"/>
    <x v="59"/>
  </r>
  <r>
    <n v="172"/>
    <n v="1075"/>
    <n v="9"/>
    <n v="4"/>
    <n v="30"/>
    <n v="120"/>
    <s v="Delivered"/>
    <n v="120"/>
    <x v="59"/>
  </r>
  <r>
    <n v="173"/>
    <n v="1075"/>
    <n v="4"/>
    <n v="2"/>
    <n v="25"/>
    <n v="50"/>
    <s v="Delivered"/>
    <n v="50"/>
    <x v="59"/>
  </r>
  <r>
    <n v="174"/>
    <n v="1076"/>
    <n v="5"/>
    <n v="4"/>
    <n v="180"/>
    <n v="720"/>
    <s v="Delivered"/>
    <n v="720"/>
    <x v="60"/>
  </r>
  <r>
    <n v="175"/>
    <n v="1076"/>
    <n v="6"/>
    <n v="1"/>
    <n v="140"/>
    <n v="140"/>
    <s v="Delivered"/>
    <n v="140"/>
    <x v="60"/>
  </r>
  <r>
    <n v="176"/>
    <n v="1076"/>
    <n v="3"/>
    <n v="1"/>
    <n v="45"/>
    <n v="45"/>
    <s v="Delivered"/>
    <n v="45"/>
    <x v="60"/>
  </r>
  <r>
    <n v="177"/>
    <n v="1077"/>
    <n v="10"/>
    <n v="3"/>
    <n v="8"/>
    <n v="24"/>
    <s v="Delivered"/>
    <n v="24"/>
    <x v="61"/>
  </r>
  <r>
    <n v="178"/>
    <n v="1078"/>
    <n v="2"/>
    <n v="2"/>
    <n v="220"/>
    <n v="440"/>
    <s v="Shipped"/>
    <n v="440"/>
    <x v="62"/>
  </r>
  <r>
    <n v="179"/>
    <n v="1078"/>
    <n v="10"/>
    <n v="2"/>
    <n v="8"/>
    <n v="16"/>
    <s v="Shipped"/>
    <n v="16"/>
    <x v="62"/>
  </r>
  <r>
    <n v="180"/>
    <n v="1079"/>
    <n v="2"/>
    <n v="2"/>
    <n v="220"/>
    <n v="440"/>
    <s v="Delivered"/>
    <n v="440"/>
    <x v="23"/>
  </r>
  <r>
    <n v="181"/>
    <n v="1079"/>
    <n v="5"/>
    <n v="4"/>
    <n v="180"/>
    <n v="720"/>
    <s v="Delivered"/>
    <n v="720"/>
    <x v="23"/>
  </r>
  <r>
    <n v="182"/>
    <n v="1080"/>
    <n v="11"/>
    <n v="2"/>
    <n v="48"/>
    <n v="96"/>
    <s v="Delivered"/>
    <n v="96"/>
    <x v="53"/>
  </r>
  <r>
    <n v="183"/>
    <n v="1080"/>
    <n v="5"/>
    <n v="3"/>
    <n v="180"/>
    <n v="540"/>
    <s v="Delivered"/>
    <n v="540"/>
    <x v="53"/>
  </r>
  <r>
    <n v="184"/>
    <n v="1080"/>
    <n v="1"/>
    <n v="3"/>
    <n v="750"/>
    <n v="2250"/>
    <s v="Delivered"/>
    <n v="2250"/>
    <x v="53"/>
  </r>
  <r>
    <n v="185"/>
    <n v="1081"/>
    <n v="12"/>
    <n v="1"/>
    <n v="22"/>
    <n v="22"/>
    <s v="Delivered"/>
    <n v="22"/>
    <x v="63"/>
  </r>
  <r>
    <n v="186"/>
    <n v="1082"/>
    <n v="6"/>
    <n v="1"/>
    <n v="140"/>
    <n v="140"/>
    <s v="Delivered"/>
    <n v="140"/>
    <x v="64"/>
  </r>
  <r>
    <n v="187"/>
    <n v="1082"/>
    <n v="10"/>
    <n v="1"/>
    <n v="8"/>
    <n v="8"/>
    <s v="Delivered"/>
    <n v="8"/>
    <x v="64"/>
  </r>
  <r>
    <n v="188"/>
    <n v="1082"/>
    <n v="11"/>
    <n v="2"/>
    <n v="48"/>
    <n v="96"/>
    <s v="Delivered"/>
    <n v="96"/>
    <x v="64"/>
  </r>
  <r>
    <n v="189"/>
    <n v="1083"/>
    <n v="8"/>
    <n v="2"/>
    <n v="55"/>
    <n v="110"/>
    <s v="Delivered"/>
    <n v="110"/>
    <x v="65"/>
  </r>
  <r>
    <n v="190"/>
    <n v="1083"/>
    <n v="7"/>
    <n v="1"/>
    <n v="65"/>
    <n v="65"/>
    <s v="Delivered"/>
    <n v="65"/>
    <x v="65"/>
  </r>
  <r>
    <n v="191"/>
    <n v="1083"/>
    <n v="5"/>
    <n v="3"/>
    <n v="180"/>
    <n v="540"/>
    <s v="Delivered"/>
    <n v="540"/>
    <x v="65"/>
  </r>
  <r>
    <n v="192"/>
    <n v="1084"/>
    <n v="7"/>
    <n v="1"/>
    <n v="65"/>
    <n v="65"/>
    <s v="Delivered"/>
    <n v="65"/>
    <x v="66"/>
  </r>
  <r>
    <n v="193"/>
    <n v="1085"/>
    <n v="8"/>
    <n v="4"/>
    <n v="55"/>
    <n v="220"/>
    <s v="Delivered"/>
    <n v="220"/>
    <x v="67"/>
  </r>
  <r>
    <n v="194"/>
    <n v="1086"/>
    <n v="7"/>
    <n v="1"/>
    <n v="65"/>
    <n v="65"/>
    <s v="Delivered"/>
    <n v="65"/>
    <x v="68"/>
  </r>
  <r>
    <n v="195"/>
    <n v="1087"/>
    <n v="11"/>
    <n v="1"/>
    <n v="48"/>
    <n v="48"/>
    <s v="Delivered"/>
    <n v="48"/>
    <x v="69"/>
  </r>
  <r>
    <n v="196"/>
    <n v="1087"/>
    <n v="7"/>
    <n v="4"/>
    <n v="65"/>
    <n v="260"/>
    <s v="Delivered"/>
    <n v="260"/>
    <x v="69"/>
  </r>
  <r>
    <n v="197"/>
    <n v="1087"/>
    <n v="5"/>
    <n v="1"/>
    <n v="180"/>
    <n v="180"/>
    <s v="Delivered"/>
    <n v="180"/>
    <x v="69"/>
  </r>
  <r>
    <n v="198"/>
    <n v="1088"/>
    <n v="2"/>
    <n v="4"/>
    <n v="220"/>
    <n v="880"/>
    <s v="Shipped"/>
    <n v="880"/>
    <x v="70"/>
  </r>
  <r>
    <n v="199"/>
    <n v="1088"/>
    <n v="4"/>
    <n v="4"/>
    <n v="25"/>
    <n v="100"/>
    <s v="Shipped"/>
    <n v="100"/>
    <x v="70"/>
  </r>
  <r>
    <n v="200"/>
    <n v="1089"/>
    <n v="3"/>
    <n v="1"/>
    <n v="45"/>
    <n v="45"/>
    <s v="Delivered"/>
    <n v="45"/>
    <x v="40"/>
  </r>
  <r>
    <n v="201"/>
    <n v="1089"/>
    <n v="2"/>
    <n v="2"/>
    <n v="220"/>
    <n v="440"/>
    <s v="Delivered"/>
    <n v="440"/>
    <x v="40"/>
  </r>
  <r>
    <n v="202"/>
    <n v="1090"/>
    <n v="4"/>
    <n v="2"/>
    <n v="25"/>
    <n v="50"/>
    <s v="Delivered"/>
    <n v="50"/>
    <x v="48"/>
  </r>
  <r>
    <n v="203"/>
    <n v="1090"/>
    <n v="3"/>
    <n v="1"/>
    <n v="45"/>
    <n v="45"/>
    <s v="Delivered"/>
    <n v="45"/>
    <x v="48"/>
  </r>
  <r>
    <n v="204"/>
    <n v="1091"/>
    <n v="11"/>
    <n v="3"/>
    <n v="48"/>
    <n v="144"/>
    <s v="Delivered"/>
    <n v="144"/>
    <x v="27"/>
  </r>
  <r>
    <n v="205"/>
    <n v="1091"/>
    <n v="10"/>
    <n v="2"/>
    <n v="8"/>
    <n v="16"/>
    <s v="Delivered"/>
    <n v="16"/>
    <x v="27"/>
  </r>
  <r>
    <n v="206"/>
    <n v="1091"/>
    <n v="6"/>
    <n v="4"/>
    <n v="140"/>
    <n v="560"/>
    <s v="Delivered"/>
    <n v="560"/>
    <x v="27"/>
  </r>
  <r>
    <n v="207"/>
    <n v="1092"/>
    <n v="5"/>
    <n v="4"/>
    <n v="180"/>
    <n v="720"/>
    <s v="Delivered"/>
    <n v="720"/>
    <x v="71"/>
  </r>
  <r>
    <n v="208"/>
    <n v="1093"/>
    <n v="10"/>
    <n v="4"/>
    <n v="8"/>
    <n v="32"/>
    <s v="Cancelled"/>
    <n v="0"/>
    <x v="72"/>
  </r>
  <r>
    <n v="209"/>
    <n v="1093"/>
    <n v="9"/>
    <n v="1"/>
    <n v="30"/>
    <n v="30"/>
    <s v="Cancelled"/>
    <n v="0"/>
    <x v="72"/>
  </r>
  <r>
    <n v="210"/>
    <n v="1093"/>
    <n v="7"/>
    <n v="4"/>
    <n v="65"/>
    <n v="260"/>
    <s v="Cancelled"/>
    <n v="0"/>
    <x v="72"/>
  </r>
  <r>
    <n v="211"/>
    <n v="1094"/>
    <n v="8"/>
    <n v="1"/>
    <n v="55"/>
    <n v="55"/>
    <s v="Delivered"/>
    <n v="55"/>
    <x v="73"/>
  </r>
  <r>
    <n v="212"/>
    <n v="1094"/>
    <n v="9"/>
    <n v="4"/>
    <n v="30"/>
    <n v="120"/>
    <s v="Delivered"/>
    <n v="120"/>
    <x v="73"/>
  </r>
  <r>
    <n v="213"/>
    <n v="1094"/>
    <n v="3"/>
    <n v="1"/>
    <n v="45"/>
    <n v="45"/>
    <s v="Delivered"/>
    <n v="45"/>
    <x v="73"/>
  </r>
  <r>
    <n v="214"/>
    <n v="1095"/>
    <n v="12"/>
    <n v="4"/>
    <n v="22"/>
    <n v="88"/>
    <s v="Delivered"/>
    <n v="88"/>
    <x v="74"/>
  </r>
  <r>
    <n v="215"/>
    <n v="1096"/>
    <n v="6"/>
    <n v="1"/>
    <n v="140"/>
    <n v="140"/>
    <s v="Shipped"/>
    <n v="140"/>
    <x v="61"/>
  </r>
  <r>
    <n v="216"/>
    <n v="1096"/>
    <n v="11"/>
    <n v="3"/>
    <n v="48"/>
    <n v="144"/>
    <s v="Shipped"/>
    <n v="144"/>
    <x v="61"/>
  </r>
  <r>
    <n v="217"/>
    <n v="1097"/>
    <n v="12"/>
    <n v="2"/>
    <n v="22"/>
    <n v="44"/>
    <s v="Delivered"/>
    <n v="44"/>
    <x v="75"/>
  </r>
  <r>
    <n v="218"/>
    <n v="1097"/>
    <n v="11"/>
    <n v="3"/>
    <n v="48"/>
    <n v="144"/>
    <s v="Delivered"/>
    <n v="144"/>
    <x v="75"/>
  </r>
  <r>
    <n v="219"/>
    <n v="1098"/>
    <n v="10"/>
    <n v="1"/>
    <n v="8"/>
    <n v="8"/>
    <s v="Delivered"/>
    <n v="8"/>
    <x v="76"/>
  </r>
  <r>
    <n v="220"/>
    <n v="1099"/>
    <n v="11"/>
    <n v="4"/>
    <n v="48"/>
    <n v="192"/>
    <s v="Delivered"/>
    <n v="192"/>
    <x v="3"/>
  </r>
  <r>
    <n v="221"/>
    <n v="1100"/>
    <n v="4"/>
    <n v="2"/>
    <n v="25"/>
    <n v="50"/>
    <s v="Shipped"/>
    <n v="50"/>
    <x v="64"/>
  </r>
  <r>
    <n v="222"/>
    <n v="1101"/>
    <n v="9"/>
    <n v="2"/>
    <n v="30"/>
    <n v="60"/>
    <s v="Delivered"/>
    <n v="60"/>
    <x v="47"/>
  </r>
  <r>
    <n v="223"/>
    <n v="1101"/>
    <n v="1"/>
    <n v="4"/>
    <n v="750"/>
    <n v="3000"/>
    <s v="Delivered"/>
    <n v="3000"/>
    <x v="47"/>
  </r>
  <r>
    <n v="224"/>
    <n v="1101"/>
    <n v="6"/>
    <n v="2"/>
    <n v="140"/>
    <n v="280"/>
    <s v="Delivered"/>
    <n v="280"/>
    <x v="47"/>
  </r>
  <r>
    <n v="225"/>
    <n v="1102"/>
    <n v="12"/>
    <n v="3"/>
    <n v="22"/>
    <n v="66"/>
    <s v="Delivered"/>
    <n v="66"/>
    <x v="77"/>
  </r>
  <r>
    <n v="226"/>
    <n v="1102"/>
    <n v="4"/>
    <n v="4"/>
    <n v="25"/>
    <n v="100"/>
    <s v="Delivered"/>
    <n v="100"/>
    <x v="77"/>
  </r>
  <r>
    <n v="227"/>
    <n v="1102"/>
    <n v="8"/>
    <n v="2"/>
    <n v="55"/>
    <n v="110"/>
    <s v="Delivered"/>
    <n v="110"/>
    <x v="77"/>
  </r>
  <r>
    <n v="228"/>
    <n v="1103"/>
    <n v="8"/>
    <n v="4"/>
    <n v="55"/>
    <n v="220"/>
    <s v="Delivered"/>
    <n v="220"/>
    <x v="78"/>
  </r>
  <r>
    <n v="229"/>
    <n v="1103"/>
    <n v="5"/>
    <n v="4"/>
    <n v="180"/>
    <n v="720"/>
    <s v="Delivered"/>
    <n v="720"/>
    <x v="78"/>
  </r>
  <r>
    <n v="230"/>
    <n v="1104"/>
    <n v="9"/>
    <n v="1"/>
    <n v="30"/>
    <n v="30"/>
    <s v="Delivered"/>
    <n v="30"/>
    <x v="79"/>
  </r>
  <r>
    <n v="231"/>
    <n v="1104"/>
    <n v="2"/>
    <n v="3"/>
    <n v="220"/>
    <n v="660"/>
    <s v="Delivered"/>
    <n v="660"/>
    <x v="79"/>
  </r>
  <r>
    <n v="232"/>
    <n v="1105"/>
    <n v="8"/>
    <n v="3"/>
    <n v="55"/>
    <n v="165"/>
    <s v="Delivered"/>
    <n v="165"/>
    <x v="48"/>
  </r>
  <r>
    <n v="233"/>
    <n v="1106"/>
    <n v="4"/>
    <n v="3"/>
    <n v="25"/>
    <n v="75"/>
    <s v="Delivered"/>
    <n v="75"/>
    <x v="2"/>
  </r>
  <r>
    <n v="234"/>
    <n v="1106"/>
    <n v="1"/>
    <n v="1"/>
    <n v="750"/>
    <n v="750"/>
    <s v="Delivered"/>
    <n v="750"/>
    <x v="2"/>
  </r>
  <r>
    <n v="235"/>
    <n v="1107"/>
    <n v="3"/>
    <n v="1"/>
    <n v="45"/>
    <n v="45"/>
    <s v="Delivered"/>
    <n v="45"/>
    <x v="6"/>
  </r>
  <r>
    <n v="236"/>
    <n v="1107"/>
    <n v="8"/>
    <n v="1"/>
    <n v="55"/>
    <n v="55"/>
    <s v="Delivered"/>
    <n v="55"/>
    <x v="6"/>
  </r>
  <r>
    <n v="237"/>
    <n v="1107"/>
    <n v="11"/>
    <n v="1"/>
    <n v="48"/>
    <n v="48"/>
    <s v="Delivered"/>
    <n v="48"/>
    <x v="6"/>
  </r>
  <r>
    <n v="238"/>
    <n v="1108"/>
    <n v="4"/>
    <n v="1"/>
    <n v="25"/>
    <n v="25"/>
    <s v="Delivered"/>
    <n v="25"/>
    <x v="31"/>
  </r>
  <r>
    <n v="239"/>
    <n v="1108"/>
    <n v="5"/>
    <n v="1"/>
    <n v="180"/>
    <n v="180"/>
    <s v="Delivered"/>
    <n v="180"/>
    <x v="31"/>
  </r>
  <r>
    <n v="240"/>
    <n v="1109"/>
    <n v="9"/>
    <n v="2"/>
    <n v="30"/>
    <n v="60"/>
    <s v="Delivered"/>
    <n v="60"/>
    <x v="80"/>
  </r>
  <r>
    <n v="241"/>
    <n v="1109"/>
    <n v="1"/>
    <n v="2"/>
    <n v="750"/>
    <n v="1500"/>
    <s v="Delivered"/>
    <n v="1500"/>
    <x v="80"/>
  </r>
  <r>
    <n v="242"/>
    <n v="1109"/>
    <n v="12"/>
    <n v="3"/>
    <n v="22"/>
    <n v="66"/>
    <s v="Delivered"/>
    <n v="66"/>
    <x v="80"/>
  </r>
  <r>
    <n v="243"/>
    <n v="1110"/>
    <n v="6"/>
    <n v="1"/>
    <n v="140"/>
    <n v="140"/>
    <s v="Delivered"/>
    <n v="140"/>
    <x v="81"/>
  </r>
  <r>
    <n v="244"/>
    <n v="1110"/>
    <n v="2"/>
    <n v="4"/>
    <n v="220"/>
    <n v="880"/>
    <s v="Delivered"/>
    <n v="880"/>
    <x v="81"/>
  </r>
  <r>
    <n v="245"/>
    <n v="1110"/>
    <n v="9"/>
    <n v="4"/>
    <n v="30"/>
    <n v="120"/>
    <s v="Delivered"/>
    <n v="120"/>
    <x v="81"/>
  </r>
  <r>
    <n v="246"/>
    <n v="1111"/>
    <n v="4"/>
    <n v="1"/>
    <n v="25"/>
    <n v="25"/>
    <s v="Delivered"/>
    <n v="25"/>
    <x v="82"/>
  </r>
  <r>
    <n v="247"/>
    <n v="1111"/>
    <n v="11"/>
    <n v="3"/>
    <n v="48"/>
    <n v="144"/>
    <s v="Delivered"/>
    <n v="144"/>
    <x v="82"/>
  </r>
  <r>
    <n v="248"/>
    <n v="1112"/>
    <n v="8"/>
    <n v="2"/>
    <n v="55"/>
    <n v="110"/>
    <s v="Delivered"/>
    <n v="110"/>
    <x v="56"/>
  </r>
  <r>
    <n v="249"/>
    <n v="1112"/>
    <n v="11"/>
    <n v="1"/>
    <n v="48"/>
    <n v="48"/>
    <s v="Delivered"/>
    <n v="48"/>
    <x v="56"/>
  </r>
  <r>
    <n v="250"/>
    <n v="1112"/>
    <n v="3"/>
    <n v="4"/>
    <n v="45"/>
    <n v="180"/>
    <s v="Delivered"/>
    <n v="180"/>
    <x v="56"/>
  </r>
  <r>
    <n v="251"/>
    <n v="1113"/>
    <n v="9"/>
    <n v="3"/>
    <n v="30"/>
    <n v="90"/>
    <s v="Shipped"/>
    <n v="90"/>
    <x v="28"/>
  </r>
  <r>
    <n v="252"/>
    <n v="1113"/>
    <n v="8"/>
    <n v="1"/>
    <n v="55"/>
    <n v="55"/>
    <s v="Shipped"/>
    <n v="55"/>
    <x v="28"/>
  </r>
  <r>
    <n v="253"/>
    <n v="1114"/>
    <n v="6"/>
    <n v="3"/>
    <n v="140"/>
    <n v="420"/>
    <s v="Delivered"/>
    <n v="420"/>
    <x v="83"/>
  </r>
  <r>
    <n v="254"/>
    <n v="1114"/>
    <n v="5"/>
    <n v="4"/>
    <n v="180"/>
    <n v="720"/>
    <s v="Delivered"/>
    <n v="720"/>
    <x v="83"/>
  </r>
  <r>
    <n v="255"/>
    <n v="1114"/>
    <n v="2"/>
    <n v="4"/>
    <n v="220"/>
    <n v="880"/>
    <s v="Delivered"/>
    <n v="880"/>
    <x v="83"/>
  </r>
  <r>
    <n v="256"/>
    <n v="1115"/>
    <n v="5"/>
    <n v="1"/>
    <n v="180"/>
    <n v="180"/>
    <s v="Delivered"/>
    <n v="180"/>
    <x v="84"/>
  </r>
  <r>
    <n v="257"/>
    <n v="1115"/>
    <n v="2"/>
    <n v="4"/>
    <n v="220"/>
    <n v="880"/>
    <s v="Delivered"/>
    <n v="880"/>
    <x v="84"/>
  </r>
  <r>
    <n v="258"/>
    <n v="1115"/>
    <n v="7"/>
    <n v="2"/>
    <n v="65"/>
    <n v="130"/>
    <s v="Delivered"/>
    <n v="130"/>
    <x v="84"/>
  </r>
  <r>
    <n v="259"/>
    <n v="1116"/>
    <n v="12"/>
    <n v="4"/>
    <n v="22"/>
    <n v="88"/>
    <s v="Delivered"/>
    <n v="88"/>
    <x v="85"/>
  </r>
  <r>
    <n v="260"/>
    <n v="1117"/>
    <n v="1"/>
    <n v="3"/>
    <n v="750"/>
    <n v="2250"/>
    <s v="Pending"/>
    <n v="2250"/>
    <x v="86"/>
  </r>
  <r>
    <n v="261"/>
    <n v="1117"/>
    <n v="2"/>
    <n v="2"/>
    <n v="220"/>
    <n v="440"/>
    <s v="Pending"/>
    <n v="440"/>
    <x v="86"/>
  </r>
  <r>
    <n v="262"/>
    <n v="1117"/>
    <n v="7"/>
    <n v="1"/>
    <n v="65"/>
    <n v="65"/>
    <s v="Pending"/>
    <n v="65"/>
    <x v="86"/>
  </r>
  <r>
    <n v="263"/>
    <n v="1118"/>
    <n v="3"/>
    <n v="1"/>
    <n v="45"/>
    <n v="45"/>
    <s v="Delivered"/>
    <n v="45"/>
    <x v="31"/>
  </r>
  <r>
    <n v="264"/>
    <n v="1119"/>
    <n v="6"/>
    <n v="1"/>
    <n v="140"/>
    <n v="140"/>
    <s v="Delivered"/>
    <n v="140"/>
    <x v="33"/>
  </r>
  <r>
    <n v="265"/>
    <n v="1119"/>
    <n v="8"/>
    <n v="2"/>
    <n v="55"/>
    <n v="110"/>
    <s v="Delivered"/>
    <n v="110"/>
    <x v="33"/>
  </r>
  <r>
    <n v="266"/>
    <n v="1120"/>
    <n v="9"/>
    <n v="1"/>
    <n v="30"/>
    <n v="30"/>
    <s v="Delivered"/>
    <n v="30"/>
    <x v="87"/>
  </r>
  <r>
    <n v="267"/>
    <n v="1120"/>
    <n v="7"/>
    <n v="3"/>
    <n v="65"/>
    <n v="195"/>
    <s v="Delivered"/>
    <n v="195"/>
    <x v="87"/>
  </r>
  <r>
    <n v="268"/>
    <n v="1121"/>
    <n v="2"/>
    <n v="2"/>
    <n v="220"/>
    <n v="440"/>
    <s v="Delivered"/>
    <n v="440"/>
    <x v="83"/>
  </r>
  <r>
    <n v="269"/>
    <n v="1122"/>
    <n v="6"/>
    <n v="3"/>
    <n v="140"/>
    <n v="420"/>
    <s v="Delivered"/>
    <n v="420"/>
    <x v="88"/>
  </r>
  <r>
    <n v="270"/>
    <n v="1122"/>
    <n v="2"/>
    <n v="3"/>
    <n v="220"/>
    <n v="660"/>
    <s v="Delivered"/>
    <n v="660"/>
    <x v="88"/>
  </r>
  <r>
    <n v="271"/>
    <n v="1122"/>
    <n v="9"/>
    <n v="2"/>
    <n v="30"/>
    <n v="60"/>
    <s v="Delivered"/>
    <n v="60"/>
    <x v="88"/>
  </r>
  <r>
    <n v="272"/>
    <n v="1123"/>
    <n v="4"/>
    <n v="4"/>
    <n v="25"/>
    <n v="100"/>
    <s v="Delivered"/>
    <n v="100"/>
    <x v="89"/>
  </r>
  <r>
    <n v="273"/>
    <n v="1124"/>
    <n v="5"/>
    <n v="4"/>
    <n v="180"/>
    <n v="720"/>
    <s v="Delivered"/>
    <n v="720"/>
    <x v="90"/>
  </r>
  <r>
    <n v="274"/>
    <n v="1125"/>
    <n v="2"/>
    <n v="3"/>
    <n v="220"/>
    <n v="660"/>
    <s v="Delivered"/>
    <n v="660"/>
    <x v="69"/>
  </r>
  <r>
    <n v="275"/>
    <n v="1125"/>
    <n v="8"/>
    <n v="2"/>
    <n v="55"/>
    <n v="110"/>
    <s v="Delivered"/>
    <n v="110"/>
    <x v="69"/>
  </r>
  <r>
    <n v="276"/>
    <n v="1125"/>
    <n v="11"/>
    <n v="2"/>
    <n v="48"/>
    <n v="96"/>
    <s v="Delivered"/>
    <n v="96"/>
    <x v="69"/>
  </r>
  <r>
    <n v="277"/>
    <n v="1126"/>
    <n v="3"/>
    <n v="3"/>
    <n v="45"/>
    <n v="135"/>
    <s v="Delivered"/>
    <n v="135"/>
    <x v="8"/>
  </r>
  <r>
    <n v="278"/>
    <n v="1127"/>
    <n v="11"/>
    <n v="3"/>
    <n v="48"/>
    <n v="144"/>
    <s v="Delivered"/>
    <n v="144"/>
    <x v="43"/>
  </r>
  <r>
    <n v="279"/>
    <n v="1128"/>
    <n v="3"/>
    <n v="3"/>
    <n v="45"/>
    <n v="135"/>
    <s v="Delivered"/>
    <n v="135"/>
    <x v="91"/>
  </r>
  <r>
    <n v="280"/>
    <n v="1129"/>
    <n v="11"/>
    <n v="4"/>
    <n v="48"/>
    <n v="192"/>
    <s v="Delivered"/>
    <n v="192"/>
    <x v="92"/>
  </r>
  <r>
    <n v="281"/>
    <n v="1129"/>
    <n v="4"/>
    <n v="1"/>
    <n v="25"/>
    <n v="25"/>
    <s v="Delivered"/>
    <n v="25"/>
    <x v="92"/>
  </r>
  <r>
    <n v="282"/>
    <n v="1130"/>
    <n v="8"/>
    <n v="1"/>
    <n v="55"/>
    <n v="55"/>
    <s v="Delivered"/>
    <n v="55"/>
    <x v="52"/>
  </r>
  <r>
    <n v="283"/>
    <n v="1130"/>
    <n v="2"/>
    <n v="2"/>
    <n v="220"/>
    <n v="440"/>
    <s v="Delivered"/>
    <n v="440"/>
    <x v="52"/>
  </r>
  <r>
    <n v="284"/>
    <n v="1131"/>
    <n v="6"/>
    <n v="3"/>
    <n v="140"/>
    <n v="420"/>
    <s v="Delivered"/>
    <n v="420"/>
    <x v="34"/>
  </r>
  <r>
    <n v="285"/>
    <n v="1131"/>
    <n v="7"/>
    <n v="1"/>
    <n v="65"/>
    <n v="65"/>
    <s v="Delivered"/>
    <n v="65"/>
    <x v="34"/>
  </r>
  <r>
    <n v="286"/>
    <n v="1131"/>
    <n v="3"/>
    <n v="3"/>
    <n v="45"/>
    <n v="135"/>
    <s v="Delivered"/>
    <n v="135"/>
    <x v="34"/>
  </r>
  <r>
    <n v="287"/>
    <n v="1132"/>
    <n v="7"/>
    <n v="3"/>
    <n v="65"/>
    <n v="195"/>
    <s v="Delivered"/>
    <n v="195"/>
    <x v="60"/>
  </r>
  <r>
    <n v="288"/>
    <n v="1132"/>
    <n v="4"/>
    <n v="3"/>
    <n v="25"/>
    <n v="75"/>
    <s v="Delivered"/>
    <n v="75"/>
    <x v="60"/>
  </r>
  <r>
    <n v="289"/>
    <n v="1132"/>
    <n v="3"/>
    <n v="2"/>
    <n v="45"/>
    <n v="90"/>
    <s v="Delivered"/>
    <n v="90"/>
    <x v="60"/>
  </r>
  <r>
    <n v="290"/>
    <n v="1133"/>
    <n v="9"/>
    <n v="2"/>
    <n v="30"/>
    <n v="60"/>
    <s v="Delivered"/>
    <n v="60"/>
    <x v="93"/>
  </r>
  <r>
    <n v="291"/>
    <n v="1133"/>
    <n v="8"/>
    <n v="2"/>
    <n v="55"/>
    <n v="110"/>
    <s v="Delivered"/>
    <n v="110"/>
    <x v="93"/>
  </r>
  <r>
    <n v="292"/>
    <n v="1134"/>
    <n v="1"/>
    <n v="2"/>
    <n v="750"/>
    <n v="1500"/>
    <s v="Delivered"/>
    <n v="1500"/>
    <x v="76"/>
  </r>
  <r>
    <n v="293"/>
    <n v="1134"/>
    <n v="2"/>
    <n v="3"/>
    <n v="220"/>
    <n v="660"/>
    <s v="Delivered"/>
    <n v="660"/>
    <x v="76"/>
  </r>
  <r>
    <n v="294"/>
    <n v="1134"/>
    <n v="7"/>
    <n v="3"/>
    <n v="65"/>
    <n v="195"/>
    <s v="Delivered"/>
    <n v="195"/>
    <x v="76"/>
  </r>
  <r>
    <n v="295"/>
    <n v="1135"/>
    <n v="2"/>
    <n v="4"/>
    <n v="220"/>
    <n v="880"/>
    <s v="Delivered"/>
    <n v="880"/>
    <x v="68"/>
  </r>
  <r>
    <n v="296"/>
    <n v="1135"/>
    <n v="7"/>
    <n v="3"/>
    <n v="65"/>
    <n v="195"/>
    <s v="Delivered"/>
    <n v="195"/>
    <x v="68"/>
  </r>
  <r>
    <n v="297"/>
    <n v="1136"/>
    <n v="6"/>
    <n v="4"/>
    <n v="140"/>
    <n v="560"/>
    <s v="Delivered"/>
    <n v="560"/>
    <x v="60"/>
  </r>
  <r>
    <n v="298"/>
    <n v="1136"/>
    <n v="3"/>
    <n v="1"/>
    <n v="45"/>
    <n v="45"/>
    <s v="Delivered"/>
    <n v="45"/>
    <x v="60"/>
  </r>
  <r>
    <n v="299"/>
    <n v="1136"/>
    <n v="4"/>
    <n v="1"/>
    <n v="25"/>
    <n v="25"/>
    <s v="Delivered"/>
    <n v="25"/>
    <x v="60"/>
  </r>
  <r>
    <n v="300"/>
    <n v="1137"/>
    <n v="6"/>
    <n v="3"/>
    <n v="140"/>
    <n v="420"/>
    <s v="Delivered"/>
    <n v="420"/>
    <x v="94"/>
  </r>
  <r>
    <n v="301"/>
    <n v="1138"/>
    <n v="8"/>
    <n v="4"/>
    <n v="55"/>
    <n v="220"/>
    <s v="Delivered"/>
    <n v="220"/>
    <x v="71"/>
  </r>
  <r>
    <n v="302"/>
    <n v="1138"/>
    <n v="10"/>
    <n v="1"/>
    <n v="8"/>
    <n v="8"/>
    <s v="Delivered"/>
    <n v="8"/>
    <x v="71"/>
  </r>
  <r>
    <n v="303"/>
    <n v="1138"/>
    <n v="5"/>
    <n v="3"/>
    <n v="180"/>
    <n v="540"/>
    <s v="Delivered"/>
    <n v="540"/>
    <x v="71"/>
  </r>
  <r>
    <n v="304"/>
    <n v="1139"/>
    <n v="11"/>
    <n v="2"/>
    <n v="48"/>
    <n v="96"/>
    <s v="Delivered"/>
    <n v="96"/>
    <x v="70"/>
  </r>
  <r>
    <n v="305"/>
    <n v="1139"/>
    <n v="10"/>
    <n v="1"/>
    <n v="8"/>
    <n v="8"/>
    <s v="Delivered"/>
    <n v="8"/>
    <x v="70"/>
  </r>
  <r>
    <n v="306"/>
    <n v="1140"/>
    <n v="10"/>
    <n v="1"/>
    <n v="8"/>
    <n v="8"/>
    <s v="Delivered"/>
    <n v="8"/>
    <x v="45"/>
  </r>
  <r>
    <n v="307"/>
    <n v="1141"/>
    <n v="8"/>
    <n v="2"/>
    <n v="55"/>
    <n v="110"/>
    <s v="Delivered"/>
    <n v="110"/>
    <x v="70"/>
  </r>
  <r>
    <n v="308"/>
    <n v="1141"/>
    <n v="1"/>
    <n v="3"/>
    <n v="750"/>
    <n v="2250"/>
    <s v="Delivered"/>
    <n v="2250"/>
    <x v="70"/>
  </r>
  <r>
    <n v="309"/>
    <n v="1141"/>
    <n v="3"/>
    <n v="4"/>
    <n v="45"/>
    <n v="180"/>
    <s v="Delivered"/>
    <n v="180"/>
    <x v="70"/>
  </r>
  <r>
    <n v="310"/>
    <n v="1142"/>
    <n v="8"/>
    <n v="3"/>
    <n v="55"/>
    <n v="165"/>
    <s v="Delivered"/>
    <n v="165"/>
    <x v="64"/>
  </r>
  <r>
    <n v="311"/>
    <n v="1142"/>
    <n v="4"/>
    <n v="3"/>
    <n v="25"/>
    <n v="75"/>
    <s v="Delivered"/>
    <n v="75"/>
    <x v="64"/>
  </r>
  <r>
    <n v="312"/>
    <n v="1142"/>
    <n v="11"/>
    <n v="2"/>
    <n v="48"/>
    <n v="96"/>
    <s v="Delivered"/>
    <n v="96"/>
    <x v="64"/>
  </r>
  <r>
    <n v="313"/>
    <n v="1143"/>
    <n v="8"/>
    <n v="3"/>
    <n v="55"/>
    <n v="165"/>
    <s v="Delivered"/>
    <n v="165"/>
    <x v="32"/>
  </r>
  <r>
    <n v="314"/>
    <n v="1143"/>
    <n v="6"/>
    <n v="3"/>
    <n v="140"/>
    <n v="420"/>
    <s v="Delivered"/>
    <n v="420"/>
    <x v="32"/>
  </r>
  <r>
    <n v="315"/>
    <n v="1144"/>
    <n v="1"/>
    <n v="1"/>
    <n v="750"/>
    <n v="750"/>
    <s v="Shipped"/>
    <n v="750"/>
    <x v="50"/>
  </r>
  <r>
    <n v="316"/>
    <n v="1144"/>
    <n v="5"/>
    <n v="3"/>
    <n v="180"/>
    <n v="540"/>
    <s v="Shipped"/>
    <n v="540"/>
    <x v="50"/>
  </r>
  <r>
    <n v="317"/>
    <n v="1145"/>
    <n v="9"/>
    <n v="3"/>
    <n v="30"/>
    <n v="90"/>
    <s v="Delivered"/>
    <n v="90"/>
    <x v="67"/>
  </r>
  <r>
    <n v="318"/>
    <n v="1146"/>
    <n v="9"/>
    <n v="1"/>
    <n v="30"/>
    <n v="30"/>
    <s v="Delivered"/>
    <n v="30"/>
    <x v="95"/>
  </r>
  <r>
    <n v="319"/>
    <n v="1146"/>
    <n v="4"/>
    <n v="1"/>
    <n v="25"/>
    <n v="25"/>
    <s v="Delivered"/>
    <n v="25"/>
    <x v="95"/>
  </r>
  <r>
    <n v="320"/>
    <n v="1146"/>
    <n v="11"/>
    <n v="4"/>
    <n v="48"/>
    <n v="192"/>
    <s v="Delivered"/>
    <n v="192"/>
    <x v="95"/>
  </r>
  <r>
    <n v="321"/>
    <n v="1147"/>
    <n v="11"/>
    <n v="4"/>
    <n v="48"/>
    <n v="192"/>
    <s v="Shipped"/>
    <n v="192"/>
    <x v="96"/>
  </r>
  <r>
    <n v="322"/>
    <n v="1147"/>
    <n v="8"/>
    <n v="2"/>
    <n v="55"/>
    <n v="110"/>
    <s v="Shipped"/>
    <n v="110"/>
    <x v="96"/>
  </r>
  <r>
    <n v="323"/>
    <n v="1148"/>
    <n v="11"/>
    <n v="2"/>
    <n v="48"/>
    <n v="96"/>
    <s v="Delivered"/>
    <n v="96"/>
    <x v="58"/>
  </r>
  <r>
    <n v="324"/>
    <n v="1149"/>
    <n v="7"/>
    <n v="4"/>
    <n v="65"/>
    <n v="260"/>
    <s v="Cancelled"/>
    <n v="0"/>
    <x v="54"/>
  </r>
  <r>
    <n v="325"/>
    <n v="1150"/>
    <n v="1"/>
    <n v="3"/>
    <n v="750"/>
    <n v="2250"/>
    <s v="Shipped"/>
    <n v="2250"/>
    <x v="81"/>
  </r>
  <r>
    <n v="326"/>
    <n v="1151"/>
    <n v="8"/>
    <n v="4"/>
    <n v="55"/>
    <n v="220"/>
    <s v="Delivered"/>
    <n v="220"/>
    <x v="97"/>
  </r>
  <r>
    <n v="327"/>
    <n v="1151"/>
    <n v="3"/>
    <n v="3"/>
    <n v="45"/>
    <n v="135"/>
    <s v="Delivered"/>
    <n v="135"/>
    <x v="97"/>
  </r>
  <r>
    <n v="328"/>
    <n v="1151"/>
    <n v="9"/>
    <n v="2"/>
    <n v="30"/>
    <n v="60"/>
    <s v="Delivered"/>
    <n v="60"/>
    <x v="97"/>
  </r>
  <r>
    <n v="329"/>
    <n v="1152"/>
    <n v="6"/>
    <n v="2"/>
    <n v="140"/>
    <n v="280"/>
    <s v="Delivered"/>
    <n v="280"/>
    <x v="67"/>
  </r>
  <r>
    <n v="330"/>
    <n v="1152"/>
    <n v="5"/>
    <n v="2"/>
    <n v="180"/>
    <n v="360"/>
    <s v="Delivered"/>
    <n v="360"/>
    <x v="67"/>
  </r>
  <r>
    <n v="331"/>
    <n v="1152"/>
    <n v="10"/>
    <n v="4"/>
    <n v="8"/>
    <n v="32"/>
    <s v="Delivered"/>
    <n v="32"/>
    <x v="67"/>
  </r>
  <r>
    <n v="332"/>
    <n v="1153"/>
    <n v="6"/>
    <n v="1"/>
    <n v="140"/>
    <n v="140"/>
    <s v="Delivered"/>
    <n v="140"/>
    <x v="60"/>
  </r>
  <r>
    <n v="333"/>
    <n v="1153"/>
    <n v="4"/>
    <n v="3"/>
    <n v="25"/>
    <n v="75"/>
    <s v="Delivered"/>
    <n v="75"/>
    <x v="60"/>
  </r>
  <r>
    <n v="334"/>
    <n v="1154"/>
    <n v="5"/>
    <n v="3"/>
    <n v="180"/>
    <n v="540"/>
    <s v="Delivered"/>
    <n v="540"/>
    <x v="98"/>
  </r>
  <r>
    <n v="335"/>
    <n v="1155"/>
    <n v="5"/>
    <n v="3"/>
    <n v="180"/>
    <n v="540"/>
    <s v="Delivered"/>
    <n v="540"/>
    <x v="99"/>
  </r>
  <r>
    <n v="336"/>
    <n v="1155"/>
    <n v="2"/>
    <n v="2"/>
    <n v="220"/>
    <n v="440"/>
    <s v="Delivered"/>
    <n v="440"/>
    <x v="99"/>
  </r>
  <r>
    <n v="337"/>
    <n v="1155"/>
    <n v="12"/>
    <n v="2"/>
    <n v="22"/>
    <n v="44"/>
    <s v="Delivered"/>
    <n v="44"/>
    <x v="99"/>
  </r>
  <r>
    <n v="338"/>
    <n v="1156"/>
    <n v="9"/>
    <n v="2"/>
    <n v="30"/>
    <n v="60"/>
    <s v="Delivered"/>
    <n v="60"/>
    <x v="61"/>
  </r>
  <r>
    <n v="339"/>
    <n v="1156"/>
    <n v="11"/>
    <n v="2"/>
    <n v="48"/>
    <n v="96"/>
    <s v="Delivered"/>
    <n v="96"/>
    <x v="61"/>
  </r>
  <r>
    <n v="340"/>
    <n v="1157"/>
    <n v="10"/>
    <n v="1"/>
    <n v="8"/>
    <n v="8"/>
    <s v="Delivered"/>
    <n v="8"/>
    <x v="100"/>
  </r>
  <r>
    <n v="341"/>
    <n v="1158"/>
    <n v="8"/>
    <n v="4"/>
    <n v="55"/>
    <n v="220"/>
    <s v="Delivered"/>
    <n v="220"/>
    <x v="17"/>
  </r>
  <r>
    <n v="342"/>
    <n v="1158"/>
    <n v="2"/>
    <n v="1"/>
    <n v="220"/>
    <n v="220"/>
    <s v="Delivered"/>
    <n v="220"/>
    <x v="17"/>
  </r>
  <r>
    <n v="343"/>
    <n v="1158"/>
    <n v="4"/>
    <n v="4"/>
    <n v="25"/>
    <n v="100"/>
    <s v="Delivered"/>
    <n v="100"/>
    <x v="17"/>
  </r>
  <r>
    <n v="344"/>
    <n v="1159"/>
    <n v="5"/>
    <n v="3"/>
    <n v="180"/>
    <n v="540"/>
    <s v="Delivered"/>
    <n v="540"/>
    <x v="63"/>
  </r>
  <r>
    <n v="345"/>
    <n v="1159"/>
    <n v="1"/>
    <n v="1"/>
    <n v="750"/>
    <n v="750"/>
    <s v="Delivered"/>
    <n v="750"/>
    <x v="63"/>
  </r>
  <r>
    <n v="346"/>
    <n v="1159"/>
    <n v="7"/>
    <n v="2"/>
    <n v="65"/>
    <n v="130"/>
    <s v="Delivered"/>
    <n v="130"/>
    <x v="63"/>
  </r>
  <r>
    <n v="347"/>
    <n v="1160"/>
    <n v="1"/>
    <n v="4"/>
    <n v="750"/>
    <n v="3000"/>
    <s v="Pending"/>
    <n v="3000"/>
    <x v="101"/>
  </r>
  <r>
    <n v="348"/>
    <n v="1160"/>
    <n v="5"/>
    <n v="2"/>
    <n v="180"/>
    <n v="360"/>
    <s v="Pending"/>
    <n v="360"/>
    <x v="101"/>
  </r>
  <r>
    <n v="349"/>
    <n v="1161"/>
    <n v="7"/>
    <n v="4"/>
    <n v="65"/>
    <n v="260"/>
    <s v="Pending"/>
    <n v="260"/>
    <x v="91"/>
  </r>
  <r>
    <n v="350"/>
    <n v="1161"/>
    <n v="8"/>
    <n v="4"/>
    <n v="55"/>
    <n v="220"/>
    <s v="Pending"/>
    <n v="220"/>
    <x v="91"/>
  </r>
  <r>
    <n v="351"/>
    <n v="1162"/>
    <n v="11"/>
    <n v="3"/>
    <n v="48"/>
    <n v="144"/>
    <s v="Shipped"/>
    <n v="144"/>
    <x v="102"/>
  </r>
  <r>
    <n v="352"/>
    <n v="1163"/>
    <n v="1"/>
    <n v="3"/>
    <n v="750"/>
    <n v="2250"/>
    <s v="Delivered"/>
    <n v="2250"/>
    <x v="103"/>
  </r>
  <r>
    <n v="353"/>
    <n v="1164"/>
    <n v="5"/>
    <n v="2"/>
    <n v="180"/>
    <n v="360"/>
    <s v="Delivered"/>
    <n v="360"/>
    <x v="104"/>
  </r>
  <r>
    <n v="354"/>
    <n v="1165"/>
    <n v="4"/>
    <n v="1"/>
    <n v="25"/>
    <n v="25"/>
    <s v="Delivered"/>
    <n v="25"/>
    <x v="105"/>
  </r>
  <r>
    <n v="355"/>
    <n v="1166"/>
    <n v="8"/>
    <n v="2"/>
    <n v="55"/>
    <n v="110"/>
    <s v="Delivered"/>
    <n v="110"/>
    <x v="106"/>
  </r>
  <r>
    <n v="356"/>
    <n v="1166"/>
    <n v="4"/>
    <n v="1"/>
    <n v="25"/>
    <n v="25"/>
    <s v="Delivered"/>
    <n v="25"/>
    <x v="106"/>
  </r>
  <r>
    <n v="357"/>
    <n v="1167"/>
    <n v="5"/>
    <n v="2"/>
    <n v="180"/>
    <n v="360"/>
    <s v="Delivered"/>
    <n v="360"/>
    <x v="69"/>
  </r>
  <r>
    <n v="358"/>
    <n v="1168"/>
    <n v="11"/>
    <n v="4"/>
    <n v="48"/>
    <n v="192"/>
    <s v="Delivered"/>
    <n v="192"/>
    <x v="107"/>
  </r>
  <r>
    <n v="359"/>
    <n v="1168"/>
    <n v="7"/>
    <n v="1"/>
    <n v="65"/>
    <n v="65"/>
    <s v="Delivered"/>
    <n v="65"/>
    <x v="107"/>
  </r>
  <r>
    <n v="360"/>
    <n v="1168"/>
    <n v="9"/>
    <n v="3"/>
    <n v="30"/>
    <n v="90"/>
    <s v="Delivered"/>
    <n v="90"/>
    <x v="107"/>
  </r>
  <r>
    <n v="361"/>
    <n v="1169"/>
    <n v="7"/>
    <n v="4"/>
    <n v="65"/>
    <n v="260"/>
    <s v="Delivered"/>
    <n v="260"/>
    <x v="12"/>
  </r>
  <r>
    <n v="362"/>
    <n v="1169"/>
    <n v="3"/>
    <n v="2"/>
    <n v="45"/>
    <n v="90"/>
    <s v="Delivered"/>
    <n v="90"/>
    <x v="12"/>
  </r>
  <r>
    <n v="363"/>
    <n v="1170"/>
    <n v="9"/>
    <n v="2"/>
    <n v="30"/>
    <n v="60"/>
    <s v="Delivered"/>
    <n v="60"/>
    <x v="108"/>
  </r>
  <r>
    <n v="364"/>
    <n v="1170"/>
    <n v="3"/>
    <n v="3"/>
    <n v="45"/>
    <n v="135"/>
    <s v="Delivered"/>
    <n v="135"/>
    <x v="108"/>
  </r>
  <r>
    <n v="365"/>
    <n v="1170"/>
    <n v="7"/>
    <n v="2"/>
    <n v="65"/>
    <n v="130"/>
    <s v="Delivered"/>
    <n v="130"/>
    <x v="108"/>
  </r>
  <r>
    <n v="366"/>
    <n v="1171"/>
    <n v="5"/>
    <n v="4"/>
    <n v="180"/>
    <n v="720"/>
    <s v="Delivered"/>
    <n v="720"/>
    <x v="36"/>
  </r>
  <r>
    <n v="367"/>
    <n v="1172"/>
    <n v="8"/>
    <n v="2"/>
    <n v="55"/>
    <n v="110"/>
    <s v="Delivered"/>
    <n v="110"/>
    <x v="95"/>
  </r>
  <r>
    <n v="368"/>
    <n v="1173"/>
    <n v="8"/>
    <n v="2"/>
    <n v="55"/>
    <n v="110"/>
    <s v="Shipped"/>
    <n v="110"/>
    <x v="25"/>
  </r>
  <r>
    <n v="369"/>
    <n v="1173"/>
    <n v="4"/>
    <n v="4"/>
    <n v="25"/>
    <n v="100"/>
    <s v="Shipped"/>
    <n v="100"/>
    <x v="25"/>
  </r>
  <r>
    <n v="370"/>
    <n v="1173"/>
    <n v="10"/>
    <n v="2"/>
    <n v="8"/>
    <n v="16"/>
    <s v="Shipped"/>
    <n v="16"/>
    <x v="25"/>
  </r>
  <r>
    <n v="371"/>
    <n v="1174"/>
    <n v="5"/>
    <n v="4"/>
    <n v="180"/>
    <n v="720"/>
    <s v="Delivered"/>
    <n v="720"/>
    <x v="45"/>
  </r>
  <r>
    <n v="372"/>
    <n v="1174"/>
    <n v="6"/>
    <n v="4"/>
    <n v="140"/>
    <n v="560"/>
    <s v="Delivered"/>
    <n v="560"/>
    <x v="45"/>
  </r>
  <r>
    <n v="373"/>
    <n v="1175"/>
    <n v="10"/>
    <n v="2"/>
    <n v="8"/>
    <n v="16"/>
    <s v="Delivered"/>
    <n v="16"/>
    <x v="39"/>
  </r>
  <r>
    <n v="374"/>
    <n v="1176"/>
    <n v="4"/>
    <n v="3"/>
    <n v="25"/>
    <n v="75"/>
    <s v="Delivered"/>
    <n v="75"/>
    <x v="27"/>
  </r>
  <r>
    <n v="375"/>
    <n v="1177"/>
    <n v="8"/>
    <n v="4"/>
    <n v="55"/>
    <n v="220"/>
    <s v="Shipped"/>
    <n v="220"/>
    <x v="76"/>
  </r>
  <r>
    <n v="376"/>
    <n v="1177"/>
    <n v="11"/>
    <n v="4"/>
    <n v="48"/>
    <n v="192"/>
    <s v="Shipped"/>
    <n v="192"/>
    <x v="76"/>
  </r>
  <r>
    <n v="377"/>
    <n v="1178"/>
    <n v="3"/>
    <n v="1"/>
    <n v="45"/>
    <n v="45"/>
    <s v="Delivered"/>
    <n v="45"/>
    <x v="109"/>
  </r>
  <r>
    <n v="378"/>
    <n v="1178"/>
    <n v="9"/>
    <n v="1"/>
    <n v="30"/>
    <n v="30"/>
    <s v="Delivered"/>
    <n v="30"/>
    <x v="109"/>
  </r>
  <r>
    <n v="379"/>
    <n v="1179"/>
    <n v="12"/>
    <n v="2"/>
    <n v="22"/>
    <n v="44"/>
    <s v="Delivered"/>
    <n v="44"/>
    <x v="96"/>
  </r>
  <r>
    <n v="380"/>
    <n v="1180"/>
    <n v="8"/>
    <n v="4"/>
    <n v="55"/>
    <n v="220"/>
    <s v="Delivered"/>
    <n v="220"/>
    <x v="30"/>
  </r>
  <r>
    <n v="381"/>
    <n v="1180"/>
    <n v="1"/>
    <n v="1"/>
    <n v="750"/>
    <n v="750"/>
    <s v="Delivered"/>
    <n v="750"/>
    <x v="30"/>
  </r>
  <r>
    <n v="382"/>
    <n v="1180"/>
    <n v="11"/>
    <n v="1"/>
    <n v="48"/>
    <n v="48"/>
    <s v="Delivered"/>
    <n v="48"/>
    <x v="30"/>
  </r>
  <r>
    <n v="383"/>
    <n v="1181"/>
    <n v="2"/>
    <n v="1"/>
    <n v="220"/>
    <n v="220"/>
    <s v="Delivered"/>
    <n v="220"/>
    <x v="35"/>
  </r>
  <r>
    <n v="384"/>
    <n v="1182"/>
    <n v="6"/>
    <n v="4"/>
    <n v="140"/>
    <n v="560"/>
    <s v="Delivered"/>
    <n v="560"/>
    <x v="110"/>
  </r>
  <r>
    <n v="385"/>
    <n v="1183"/>
    <n v="11"/>
    <n v="4"/>
    <n v="48"/>
    <n v="192"/>
    <s v="Delivered"/>
    <n v="192"/>
    <x v="22"/>
  </r>
  <r>
    <n v="386"/>
    <n v="1183"/>
    <n v="1"/>
    <n v="4"/>
    <n v="750"/>
    <n v="3000"/>
    <s v="Delivered"/>
    <n v="3000"/>
    <x v="22"/>
  </r>
  <r>
    <n v="387"/>
    <n v="1183"/>
    <n v="2"/>
    <n v="4"/>
    <n v="220"/>
    <n v="880"/>
    <s v="Delivered"/>
    <n v="880"/>
    <x v="22"/>
  </r>
  <r>
    <n v="388"/>
    <n v="1184"/>
    <n v="6"/>
    <n v="1"/>
    <n v="140"/>
    <n v="140"/>
    <s v="Delivered"/>
    <n v="140"/>
    <x v="111"/>
  </r>
  <r>
    <n v="389"/>
    <n v="1184"/>
    <n v="10"/>
    <n v="2"/>
    <n v="8"/>
    <n v="16"/>
    <s v="Delivered"/>
    <n v="16"/>
    <x v="111"/>
  </r>
  <r>
    <n v="390"/>
    <n v="1184"/>
    <n v="2"/>
    <n v="2"/>
    <n v="220"/>
    <n v="440"/>
    <s v="Delivered"/>
    <n v="440"/>
    <x v="111"/>
  </r>
  <r>
    <n v="391"/>
    <n v="1185"/>
    <n v="10"/>
    <n v="2"/>
    <n v="8"/>
    <n v="16"/>
    <s v="Shipped"/>
    <n v="16"/>
    <x v="112"/>
  </r>
  <r>
    <n v="392"/>
    <n v="1185"/>
    <n v="11"/>
    <n v="3"/>
    <n v="48"/>
    <n v="144"/>
    <s v="Shipped"/>
    <n v="144"/>
    <x v="112"/>
  </r>
  <r>
    <n v="393"/>
    <n v="1185"/>
    <n v="1"/>
    <n v="1"/>
    <n v="750"/>
    <n v="750"/>
    <s v="Shipped"/>
    <n v="750"/>
    <x v="112"/>
  </r>
  <r>
    <n v="394"/>
    <n v="1186"/>
    <n v="5"/>
    <n v="2"/>
    <n v="180"/>
    <n v="360"/>
    <s v="Delivered"/>
    <n v="360"/>
    <x v="34"/>
  </r>
  <r>
    <n v="395"/>
    <n v="1187"/>
    <n v="12"/>
    <n v="3"/>
    <n v="22"/>
    <n v="66"/>
    <s v="Delivered"/>
    <n v="66"/>
    <x v="101"/>
  </r>
  <r>
    <n v="396"/>
    <n v="1187"/>
    <n v="2"/>
    <n v="1"/>
    <n v="220"/>
    <n v="220"/>
    <s v="Delivered"/>
    <n v="220"/>
    <x v="101"/>
  </r>
  <r>
    <n v="397"/>
    <n v="1187"/>
    <n v="9"/>
    <n v="1"/>
    <n v="30"/>
    <n v="30"/>
    <s v="Delivered"/>
    <n v="30"/>
    <x v="101"/>
  </r>
  <r>
    <n v="398"/>
    <n v="1188"/>
    <n v="11"/>
    <n v="3"/>
    <n v="48"/>
    <n v="144"/>
    <s v="Delivered"/>
    <n v="144"/>
    <x v="14"/>
  </r>
  <r>
    <n v="399"/>
    <n v="1189"/>
    <n v="7"/>
    <n v="3"/>
    <n v="65"/>
    <n v="195"/>
    <s v="Delivered"/>
    <n v="195"/>
    <x v="113"/>
  </r>
  <r>
    <n v="400"/>
    <n v="1189"/>
    <n v="2"/>
    <n v="2"/>
    <n v="220"/>
    <n v="440"/>
    <s v="Delivered"/>
    <n v="440"/>
    <x v="113"/>
  </r>
  <r>
    <n v="401"/>
    <n v="1189"/>
    <n v="10"/>
    <n v="1"/>
    <n v="8"/>
    <n v="8"/>
    <s v="Delivered"/>
    <n v="8"/>
    <x v="113"/>
  </r>
  <r>
    <n v="402"/>
    <n v="1190"/>
    <n v="2"/>
    <n v="1"/>
    <n v="220"/>
    <n v="220"/>
    <s v="Delivered"/>
    <n v="220"/>
    <x v="114"/>
  </r>
  <r>
    <n v="403"/>
    <n v="1190"/>
    <n v="12"/>
    <n v="3"/>
    <n v="22"/>
    <n v="66"/>
    <s v="Delivered"/>
    <n v="66"/>
    <x v="114"/>
  </r>
  <r>
    <n v="404"/>
    <n v="1191"/>
    <n v="9"/>
    <n v="1"/>
    <n v="30"/>
    <n v="30"/>
    <s v="Delivered"/>
    <n v="30"/>
    <x v="81"/>
  </r>
  <r>
    <n v="405"/>
    <n v="1191"/>
    <n v="7"/>
    <n v="1"/>
    <n v="65"/>
    <n v="65"/>
    <s v="Delivered"/>
    <n v="65"/>
    <x v="81"/>
  </r>
  <r>
    <n v="406"/>
    <n v="1191"/>
    <n v="2"/>
    <n v="3"/>
    <n v="220"/>
    <n v="660"/>
    <s v="Delivered"/>
    <n v="660"/>
    <x v="81"/>
  </r>
  <r>
    <n v="407"/>
    <n v="1192"/>
    <n v="12"/>
    <n v="2"/>
    <n v="22"/>
    <n v="44"/>
    <s v="Delivered"/>
    <n v="44"/>
    <x v="46"/>
  </r>
  <r>
    <n v="408"/>
    <n v="1193"/>
    <n v="2"/>
    <n v="2"/>
    <n v="220"/>
    <n v="440"/>
    <s v="Delivered"/>
    <n v="440"/>
    <x v="115"/>
  </r>
  <r>
    <n v="409"/>
    <n v="1194"/>
    <n v="11"/>
    <n v="2"/>
    <n v="48"/>
    <n v="96"/>
    <s v="Delivered"/>
    <n v="96"/>
    <x v="116"/>
  </r>
  <r>
    <n v="410"/>
    <n v="1194"/>
    <n v="8"/>
    <n v="4"/>
    <n v="55"/>
    <n v="220"/>
    <s v="Delivered"/>
    <n v="220"/>
    <x v="116"/>
  </r>
  <r>
    <n v="411"/>
    <n v="1194"/>
    <n v="10"/>
    <n v="1"/>
    <n v="8"/>
    <n v="8"/>
    <s v="Delivered"/>
    <n v="8"/>
    <x v="116"/>
  </r>
  <r>
    <n v="412"/>
    <n v="1195"/>
    <n v="6"/>
    <n v="2"/>
    <n v="140"/>
    <n v="280"/>
    <s v="Delivered"/>
    <n v="280"/>
    <x v="45"/>
  </r>
  <r>
    <n v="413"/>
    <n v="1195"/>
    <n v="7"/>
    <n v="3"/>
    <n v="65"/>
    <n v="195"/>
    <s v="Delivered"/>
    <n v="195"/>
    <x v="45"/>
  </r>
  <r>
    <n v="414"/>
    <n v="1196"/>
    <n v="12"/>
    <n v="4"/>
    <n v="22"/>
    <n v="88"/>
    <s v="Shipped"/>
    <n v="88"/>
    <x v="29"/>
  </r>
  <r>
    <n v="415"/>
    <n v="1196"/>
    <n v="11"/>
    <n v="2"/>
    <n v="48"/>
    <n v="96"/>
    <s v="Shipped"/>
    <n v="96"/>
    <x v="29"/>
  </r>
  <r>
    <n v="416"/>
    <n v="1197"/>
    <n v="10"/>
    <n v="2"/>
    <n v="8"/>
    <n v="16"/>
    <s v="Delivered"/>
    <n v="16"/>
    <x v="103"/>
  </r>
  <r>
    <n v="417"/>
    <n v="1198"/>
    <n v="2"/>
    <n v="2"/>
    <n v="220"/>
    <n v="440"/>
    <s v="Delivered"/>
    <n v="440"/>
    <x v="32"/>
  </r>
  <r>
    <n v="418"/>
    <n v="1198"/>
    <n v="7"/>
    <n v="3"/>
    <n v="65"/>
    <n v="195"/>
    <s v="Delivered"/>
    <n v="195"/>
    <x v="32"/>
  </r>
  <r>
    <n v="419"/>
    <n v="1198"/>
    <n v="8"/>
    <n v="2"/>
    <n v="55"/>
    <n v="110"/>
    <s v="Delivered"/>
    <n v="110"/>
    <x v="32"/>
  </r>
  <r>
    <n v="420"/>
    <n v="1199"/>
    <n v="7"/>
    <n v="4"/>
    <n v="65"/>
    <n v="260"/>
    <s v="Delivered"/>
    <n v="260"/>
    <x v="117"/>
  </r>
  <r>
    <n v="421"/>
    <n v="1199"/>
    <n v="9"/>
    <n v="1"/>
    <n v="30"/>
    <n v="30"/>
    <s v="Delivered"/>
    <n v="30"/>
    <x v="117"/>
  </r>
  <r>
    <n v="422"/>
    <n v="1199"/>
    <n v="11"/>
    <n v="3"/>
    <n v="48"/>
    <n v="144"/>
    <s v="Delivered"/>
    <n v="144"/>
    <x v="117"/>
  </r>
  <r>
    <n v="423"/>
    <n v="1200"/>
    <n v="11"/>
    <n v="1"/>
    <n v="48"/>
    <n v="48"/>
    <s v="Delivered"/>
    <n v="48"/>
    <x v="23"/>
  </r>
  <r>
    <n v="424"/>
    <n v="1201"/>
    <n v="4"/>
    <n v="2"/>
    <n v="25"/>
    <n v="50"/>
    <s v="Delivered"/>
    <n v="50"/>
    <x v="118"/>
  </r>
  <r>
    <n v="425"/>
    <n v="1201"/>
    <n v="9"/>
    <n v="4"/>
    <n v="30"/>
    <n v="120"/>
    <s v="Delivered"/>
    <n v="120"/>
    <x v="118"/>
  </r>
  <r>
    <n v="426"/>
    <n v="1202"/>
    <n v="2"/>
    <n v="4"/>
    <n v="220"/>
    <n v="880"/>
    <s v="Delivered"/>
    <n v="880"/>
    <x v="35"/>
  </r>
  <r>
    <n v="427"/>
    <n v="1202"/>
    <n v="5"/>
    <n v="1"/>
    <n v="180"/>
    <n v="180"/>
    <s v="Delivered"/>
    <n v="180"/>
    <x v="35"/>
  </r>
  <r>
    <n v="428"/>
    <n v="1203"/>
    <n v="8"/>
    <n v="1"/>
    <n v="55"/>
    <n v="55"/>
    <s v="Delivered"/>
    <n v="55"/>
    <x v="64"/>
  </r>
  <r>
    <n v="429"/>
    <n v="1203"/>
    <n v="6"/>
    <n v="4"/>
    <n v="140"/>
    <n v="560"/>
    <s v="Delivered"/>
    <n v="560"/>
    <x v="64"/>
  </r>
  <r>
    <n v="430"/>
    <n v="1203"/>
    <n v="12"/>
    <n v="4"/>
    <n v="22"/>
    <n v="88"/>
    <s v="Delivered"/>
    <n v="88"/>
    <x v="64"/>
  </r>
  <r>
    <n v="431"/>
    <n v="1204"/>
    <n v="3"/>
    <n v="2"/>
    <n v="45"/>
    <n v="90"/>
    <s v="Delivered"/>
    <n v="90"/>
    <x v="119"/>
  </r>
  <r>
    <n v="432"/>
    <n v="1204"/>
    <n v="4"/>
    <n v="2"/>
    <n v="25"/>
    <n v="50"/>
    <s v="Delivered"/>
    <n v="50"/>
    <x v="119"/>
  </r>
  <r>
    <n v="433"/>
    <n v="1204"/>
    <n v="9"/>
    <n v="3"/>
    <n v="30"/>
    <n v="90"/>
    <s v="Delivered"/>
    <n v="90"/>
    <x v="119"/>
  </r>
  <r>
    <n v="434"/>
    <n v="1205"/>
    <n v="1"/>
    <n v="2"/>
    <n v="750"/>
    <n v="1500"/>
    <s v="Delivered"/>
    <n v="1500"/>
    <x v="120"/>
  </r>
  <r>
    <n v="435"/>
    <n v="1205"/>
    <n v="10"/>
    <n v="4"/>
    <n v="8"/>
    <n v="32"/>
    <s v="Delivered"/>
    <n v="32"/>
    <x v="120"/>
  </r>
  <r>
    <n v="436"/>
    <n v="1206"/>
    <n v="2"/>
    <n v="3"/>
    <n v="220"/>
    <n v="660"/>
    <s v="Delivered"/>
    <n v="660"/>
    <x v="5"/>
  </r>
  <r>
    <n v="437"/>
    <n v="1206"/>
    <n v="9"/>
    <n v="3"/>
    <n v="30"/>
    <n v="90"/>
    <s v="Delivered"/>
    <n v="90"/>
    <x v="5"/>
  </r>
  <r>
    <n v="438"/>
    <n v="1206"/>
    <n v="3"/>
    <n v="2"/>
    <n v="45"/>
    <n v="90"/>
    <s v="Delivered"/>
    <n v="90"/>
    <x v="5"/>
  </r>
  <r>
    <n v="439"/>
    <n v="1207"/>
    <n v="7"/>
    <n v="3"/>
    <n v="65"/>
    <n v="195"/>
    <s v="Delivered"/>
    <n v="195"/>
    <x v="30"/>
  </r>
  <r>
    <n v="440"/>
    <n v="1207"/>
    <n v="10"/>
    <n v="3"/>
    <n v="8"/>
    <n v="24"/>
    <s v="Delivered"/>
    <n v="24"/>
    <x v="30"/>
  </r>
  <r>
    <n v="441"/>
    <n v="1207"/>
    <n v="2"/>
    <n v="4"/>
    <n v="220"/>
    <n v="880"/>
    <s v="Delivered"/>
    <n v="880"/>
    <x v="30"/>
  </r>
  <r>
    <n v="442"/>
    <n v="1208"/>
    <n v="2"/>
    <n v="3"/>
    <n v="220"/>
    <n v="660"/>
    <s v="Delivered"/>
    <n v="660"/>
    <x v="86"/>
  </r>
  <r>
    <n v="443"/>
    <n v="1208"/>
    <n v="4"/>
    <n v="1"/>
    <n v="25"/>
    <n v="25"/>
    <s v="Delivered"/>
    <n v="25"/>
    <x v="86"/>
  </r>
  <r>
    <n v="444"/>
    <n v="1209"/>
    <n v="3"/>
    <n v="2"/>
    <n v="45"/>
    <n v="90"/>
    <s v="Delivered"/>
    <n v="90"/>
    <x v="14"/>
  </r>
  <r>
    <n v="445"/>
    <n v="1209"/>
    <n v="8"/>
    <n v="2"/>
    <n v="55"/>
    <n v="110"/>
    <s v="Delivered"/>
    <n v="110"/>
    <x v="14"/>
  </r>
  <r>
    <n v="446"/>
    <n v="1210"/>
    <n v="8"/>
    <n v="2"/>
    <n v="55"/>
    <n v="110"/>
    <s v="Delivered"/>
    <n v="110"/>
    <x v="121"/>
  </r>
  <r>
    <n v="447"/>
    <n v="1211"/>
    <n v="12"/>
    <n v="4"/>
    <n v="22"/>
    <n v="88"/>
    <s v="Delivered"/>
    <n v="88"/>
    <x v="122"/>
  </r>
  <r>
    <n v="448"/>
    <n v="1211"/>
    <n v="8"/>
    <n v="2"/>
    <n v="55"/>
    <n v="110"/>
    <s v="Delivered"/>
    <n v="110"/>
    <x v="122"/>
  </r>
  <r>
    <n v="449"/>
    <n v="1212"/>
    <n v="3"/>
    <n v="4"/>
    <n v="45"/>
    <n v="180"/>
    <s v="Delivered"/>
    <n v="180"/>
    <x v="33"/>
  </r>
  <r>
    <n v="450"/>
    <n v="1212"/>
    <n v="8"/>
    <n v="1"/>
    <n v="55"/>
    <n v="55"/>
    <s v="Delivered"/>
    <n v="55"/>
    <x v="33"/>
  </r>
  <r>
    <n v="451"/>
    <n v="1213"/>
    <n v="8"/>
    <n v="4"/>
    <n v="55"/>
    <n v="220"/>
    <s v="Delivered"/>
    <n v="220"/>
    <x v="101"/>
  </r>
  <r>
    <n v="452"/>
    <n v="1213"/>
    <n v="9"/>
    <n v="1"/>
    <n v="30"/>
    <n v="30"/>
    <s v="Delivered"/>
    <n v="30"/>
    <x v="101"/>
  </r>
  <r>
    <n v="453"/>
    <n v="1213"/>
    <n v="4"/>
    <n v="2"/>
    <n v="25"/>
    <n v="50"/>
    <s v="Delivered"/>
    <n v="50"/>
    <x v="101"/>
  </r>
  <r>
    <n v="454"/>
    <n v="1214"/>
    <n v="4"/>
    <n v="3"/>
    <n v="25"/>
    <n v="75"/>
    <s v="Delivered"/>
    <n v="75"/>
    <x v="88"/>
  </r>
  <r>
    <n v="455"/>
    <n v="1215"/>
    <n v="10"/>
    <n v="3"/>
    <n v="8"/>
    <n v="24"/>
    <s v="Delivered"/>
    <n v="24"/>
    <x v="123"/>
  </r>
  <r>
    <n v="456"/>
    <n v="1216"/>
    <n v="11"/>
    <n v="4"/>
    <n v="48"/>
    <n v="192"/>
    <s v="Delivered"/>
    <n v="192"/>
    <x v="41"/>
  </r>
  <r>
    <n v="457"/>
    <n v="1216"/>
    <n v="2"/>
    <n v="1"/>
    <n v="220"/>
    <n v="220"/>
    <s v="Delivered"/>
    <n v="220"/>
    <x v="41"/>
  </r>
  <r>
    <n v="458"/>
    <n v="1216"/>
    <n v="3"/>
    <n v="3"/>
    <n v="45"/>
    <n v="135"/>
    <s v="Delivered"/>
    <n v="135"/>
    <x v="41"/>
  </r>
  <r>
    <n v="459"/>
    <n v="1217"/>
    <n v="7"/>
    <n v="3"/>
    <n v="65"/>
    <n v="195"/>
    <s v="Delivered"/>
    <n v="195"/>
    <x v="48"/>
  </r>
  <r>
    <n v="460"/>
    <n v="1217"/>
    <n v="8"/>
    <n v="4"/>
    <n v="55"/>
    <n v="220"/>
    <s v="Delivered"/>
    <n v="220"/>
    <x v="48"/>
  </r>
  <r>
    <n v="461"/>
    <n v="1217"/>
    <n v="3"/>
    <n v="4"/>
    <n v="45"/>
    <n v="180"/>
    <s v="Delivered"/>
    <n v="180"/>
    <x v="48"/>
  </r>
  <r>
    <n v="462"/>
    <n v="1218"/>
    <n v="6"/>
    <n v="3"/>
    <n v="140"/>
    <n v="420"/>
    <s v="Delivered"/>
    <n v="420"/>
    <x v="124"/>
  </r>
  <r>
    <n v="463"/>
    <n v="1218"/>
    <n v="8"/>
    <n v="1"/>
    <n v="55"/>
    <n v="55"/>
    <s v="Delivered"/>
    <n v="55"/>
    <x v="124"/>
  </r>
  <r>
    <n v="464"/>
    <n v="1218"/>
    <n v="11"/>
    <n v="1"/>
    <n v="48"/>
    <n v="48"/>
    <s v="Delivered"/>
    <n v="48"/>
    <x v="124"/>
  </r>
  <r>
    <n v="465"/>
    <n v="1219"/>
    <n v="7"/>
    <n v="2"/>
    <n v="65"/>
    <n v="130"/>
    <s v="Delivered"/>
    <n v="130"/>
    <x v="125"/>
  </r>
  <r>
    <n v="466"/>
    <n v="1220"/>
    <n v="11"/>
    <n v="1"/>
    <n v="48"/>
    <n v="48"/>
    <s v="Delivered"/>
    <n v="48"/>
    <x v="69"/>
  </r>
  <r>
    <n v="467"/>
    <n v="1220"/>
    <n v="1"/>
    <n v="1"/>
    <n v="750"/>
    <n v="750"/>
    <s v="Delivered"/>
    <n v="750"/>
    <x v="69"/>
  </r>
  <r>
    <n v="468"/>
    <n v="1221"/>
    <n v="12"/>
    <n v="2"/>
    <n v="22"/>
    <n v="44"/>
    <s v="Delivered"/>
    <n v="44"/>
    <x v="77"/>
  </r>
  <r>
    <n v="469"/>
    <n v="1222"/>
    <n v="6"/>
    <n v="2"/>
    <n v="140"/>
    <n v="280"/>
    <s v="Delivered"/>
    <n v="280"/>
    <x v="36"/>
  </r>
  <r>
    <n v="470"/>
    <n v="1223"/>
    <n v="4"/>
    <n v="4"/>
    <n v="25"/>
    <n v="100"/>
    <s v="Delivered"/>
    <n v="100"/>
    <x v="126"/>
  </r>
  <r>
    <n v="471"/>
    <n v="1224"/>
    <n v="7"/>
    <n v="2"/>
    <n v="65"/>
    <n v="130"/>
    <s v="Delivered"/>
    <n v="130"/>
    <x v="127"/>
  </r>
  <r>
    <n v="472"/>
    <n v="1225"/>
    <n v="7"/>
    <n v="2"/>
    <n v="65"/>
    <n v="130"/>
    <s v="Delivered"/>
    <n v="130"/>
    <x v="128"/>
  </r>
  <r>
    <n v="473"/>
    <n v="1226"/>
    <n v="6"/>
    <n v="2"/>
    <n v="140"/>
    <n v="280"/>
    <s v="Delivered"/>
    <n v="280"/>
    <x v="127"/>
  </r>
  <r>
    <n v="474"/>
    <n v="1226"/>
    <n v="4"/>
    <n v="4"/>
    <n v="25"/>
    <n v="100"/>
    <s v="Delivered"/>
    <n v="100"/>
    <x v="127"/>
  </r>
  <r>
    <n v="475"/>
    <n v="1227"/>
    <n v="7"/>
    <n v="2"/>
    <n v="65"/>
    <n v="130"/>
    <s v="Delivered"/>
    <n v="130"/>
    <x v="123"/>
  </r>
  <r>
    <n v="476"/>
    <n v="1227"/>
    <n v="6"/>
    <n v="2"/>
    <n v="140"/>
    <n v="280"/>
    <s v="Delivered"/>
    <n v="280"/>
    <x v="123"/>
  </r>
  <r>
    <n v="477"/>
    <n v="1228"/>
    <n v="5"/>
    <n v="2"/>
    <n v="180"/>
    <n v="360"/>
    <s v="Delivered"/>
    <n v="360"/>
    <x v="31"/>
  </r>
  <r>
    <n v="478"/>
    <n v="1228"/>
    <n v="4"/>
    <n v="4"/>
    <n v="25"/>
    <n v="100"/>
    <s v="Delivered"/>
    <n v="100"/>
    <x v="31"/>
  </r>
  <r>
    <n v="479"/>
    <n v="1228"/>
    <n v="9"/>
    <n v="3"/>
    <n v="30"/>
    <n v="90"/>
    <s v="Delivered"/>
    <n v="90"/>
    <x v="31"/>
  </r>
  <r>
    <n v="480"/>
    <n v="1229"/>
    <n v="11"/>
    <n v="1"/>
    <n v="48"/>
    <n v="48"/>
    <s v="Delivered"/>
    <n v="48"/>
    <x v="122"/>
  </r>
  <r>
    <n v="481"/>
    <n v="1229"/>
    <n v="10"/>
    <n v="1"/>
    <n v="8"/>
    <n v="8"/>
    <s v="Delivered"/>
    <n v="8"/>
    <x v="122"/>
  </r>
  <r>
    <n v="482"/>
    <n v="1230"/>
    <n v="2"/>
    <n v="1"/>
    <n v="220"/>
    <n v="220"/>
    <s v="Delivered"/>
    <n v="220"/>
    <x v="105"/>
  </r>
  <r>
    <n v="483"/>
    <n v="1230"/>
    <n v="1"/>
    <n v="1"/>
    <n v="750"/>
    <n v="750"/>
    <s v="Delivered"/>
    <n v="750"/>
    <x v="105"/>
  </r>
  <r>
    <n v="484"/>
    <n v="1231"/>
    <n v="7"/>
    <n v="1"/>
    <n v="65"/>
    <n v="65"/>
    <s v="Delivered"/>
    <n v="65"/>
    <x v="74"/>
  </r>
  <r>
    <n v="485"/>
    <n v="1231"/>
    <n v="12"/>
    <n v="2"/>
    <n v="22"/>
    <n v="44"/>
    <s v="Delivered"/>
    <n v="44"/>
    <x v="74"/>
  </r>
  <r>
    <n v="486"/>
    <n v="1232"/>
    <n v="11"/>
    <n v="3"/>
    <n v="48"/>
    <n v="144"/>
    <s v="Delivered"/>
    <n v="144"/>
    <x v="114"/>
  </r>
  <r>
    <n v="487"/>
    <n v="1232"/>
    <n v="12"/>
    <n v="4"/>
    <n v="22"/>
    <n v="88"/>
    <s v="Delivered"/>
    <n v="88"/>
    <x v="114"/>
  </r>
  <r>
    <n v="488"/>
    <n v="1232"/>
    <n v="2"/>
    <n v="2"/>
    <n v="220"/>
    <n v="440"/>
    <s v="Delivered"/>
    <n v="440"/>
    <x v="114"/>
  </r>
  <r>
    <n v="489"/>
    <n v="1233"/>
    <n v="12"/>
    <n v="1"/>
    <n v="22"/>
    <n v="22"/>
    <s v="Delivered"/>
    <n v="22"/>
    <x v="129"/>
  </r>
  <r>
    <n v="490"/>
    <n v="1233"/>
    <n v="11"/>
    <n v="1"/>
    <n v="48"/>
    <n v="48"/>
    <s v="Delivered"/>
    <n v="48"/>
    <x v="129"/>
  </r>
  <r>
    <n v="491"/>
    <n v="1233"/>
    <n v="3"/>
    <n v="2"/>
    <n v="45"/>
    <n v="90"/>
    <s v="Delivered"/>
    <n v="90"/>
    <x v="129"/>
  </r>
  <r>
    <n v="492"/>
    <n v="1234"/>
    <n v="6"/>
    <n v="2"/>
    <n v="140"/>
    <n v="280"/>
    <s v="Delivered"/>
    <n v="280"/>
    <x v="130"/>
  </r>
  <r>
    <n v="493"/>
    <n v="1235"/>
    <n v="9"/>
    <n v="3"/>
    <n v="30"/>
    <n v="90"/>
    <s v="Delivered"/>
    <n v="90"/>
    <x v="131"/>
  </r>
  <r>
    <n v="494"/>
    <n v="1235"/>
    <n v="2"/>
    <n v="1"/>
    <n v="220"/>
    <n v="220"/>
    <s v="Delivered"/>
    <n v="220"/>
    <x v="131"/>
  </r>
  <r>
    <n v="495"/>
    <n v="1236"/>
    <n v="10"/>
    <n v="1"/>
    <n v="8"/>
    <n v="8"/>
    <s v="Delivered"/>
    <n v="8"/>
    <x v="18"/>
  </r>
  <r>
    <n v="496"/>
    <n v="1237"/>
    <n v="3"/>
    <n v="1"/>
    <n v="45"/>
    <n v="45"/>
    <s v="Delivered"/>
    <n v="45"/>
    <x v="24"/>
  </r>
  <r>
    <n v="497"/>
    <n v="1237"/>
    <n v="12"/>
    <n v="4"/>
    <n v="22"/>
    <n v="88"/>
    <s v="Delivered"/>
    <n v="88"/>
    <x v="24"/>
  </r>
  <r>
    <n v="498"/>
    <n v="1238"/>
    <n v="2"/>
    <n v="1"/>
    <n v="220"/>
    <n v="220"/>
    <s v="Delivered"/>
    <n v="220"/>
    <x v="132"/>
  </r>
  <r>
    <n v="499"/>
    <n v="1238"/>
    <n v="9"/>
    <n v="2"/>
    <n v="30"/>
    <n v="60"/>
    <s v="Delivered"/>
    <n v="60"/>
    <x v="132"/>
  </r>
  <r>
    <n v="500"/>
    <n v="1239"/>
    <n v="6"/>
    <n v="4"/>
    <n v="140"/>
    <n v="560"/>
    <s v="Cancelled"/>
    <n v="0"/>
    <x v="133"/>
  </r>
  <r>
    <n v="501"/>
    <n v="1239"/>
    <n v="2"/>
    <n v="1"/>
    <n v="220"/>
    <n v="220"/>
    <s v="Cancelled"/>
    <n v="0"/>
    <x v="133"/>
  </r>
  <r>
    <n v="502"/>
    <n v="1240"/>
    <n v="12"/>
    <n v="2"/>
    <n v="22"/>
    <n v="44"/>
    <s v="Delivered"/>
    <n v="44"/>
    <x v="55"/>
  </r>
  <r>
    <n v="503"/>
    <n v="1240"/>
    <n v="10"/>
    <n v="4"/>
    <n v="8"/>
    <n v="32"/>
    <s v="Delivered"/>
    <n v="32"/>
    <x v="55"/>
  </r>
  <r>
    <n v="504"/>
    <n v="1241"/>
    <n v="1"/>
    <n v="4"/>
    <n v="750"/>
    <n v="3000"/>
    <s v="Delivered"/>
    <n v="3000"/>
    <x v="134"/>
  </r>
  <r>
    <n v="505"/>
    <n v="1242"/>
    <n v="7"/>
    <n v="2"/>
    <n v="65"/>
    <n v="130"/>
    <s v="Shipped"/>
    <n v="130"/>
    <x v="127"/>
  </r>
  <r>
    <n v="506"/>
    <n v="1242"/>
    <n v="5"/>
    <n v="2"/>
    <n v="180"/>
    <n v="360"/>
    <s v="Shipped"/>
    <n v="360"/>
    <x v="127"/>
  </r>
  <r>
    <n v="507"/>
    <n v="1242"/>
    <n v="2"/>
    <n v="4"/>
    <n v="220"/>
    <n v="880"/>
    <s v="Shipped"/>
    <n v="880"/>
    <x v="127"/>
  </r>
  <r>
    <n v="508"/>
    <n v="1243"/>
    <n v="4"/>
    <n v="4"/>
    <n v="25"/>
    <n v="100"/>
    <s v="Delivered"/>
    <n v="100"/>
    <x v="34"/>
  </r>
  <r>
    <n v="509"/>
    <n v="1244"/>
    <n v="7"/>
    <n v="1"/>
    <n v="65"/>
    <n v="65"/>
    <s v="Delivered"/>
    <n v="65"/>
    <x v="27"/>
  </r>
  <r>
    <n v="510"/>
    <n v="1244"/>
    <n v="2"/>
    <n v="4"/>
    <n v="220"/>
    <n v="880"/>
    <s v="Delivered"/>
    <n v="880"/>
    <x v="27"/>
  </r>
  <r>
    <n v="511"/>
    <n v="1244"/>
    <n v="10"/>
    <n v="2"/>
    <n v="8"/>
    <n v="16"/>
    <s v="Delivered"/>
    <n v="16"/>
    <x v="27"/>
  </r>
  <r>
    <n v="512"/>
    <n v="1245"/>
    <n v="8"/>
    <n v="2"/>
    <n v="55"/>
    <n v="110"/>
    <s v="Delivered"/>
    <n v="110"/>
    <x v="135"/>
  </r>
  <r>
    <n v="513"/>
    <n v="1245"/>
    <n v="5"/>
    <n v="1"/>
    <n v="180"/>
    <n v="180"/>
    <s v="Delivered"/>
    <n v="180"/>
    <x v="135"/>
  </r>
  <r>
    <n v="514"/>
    <n v="1246"/>
    <n v="6"/>
    <n v="1"/>
    <n v="140"/>
    <n v="140"/>
    <s v="Delivered"/>
    <n v="140"/>
    <x v="114"/>
  </r>
  <r>
    <n v="515"/>
    <n v="1246"/>
    <n v="7"/>
    <n v="3"/>
    <n v="65"/>
    <n v="195"/>
    <s v="Delivered"/>
    <n v="195"/>
    <x v="114"/>
  </r>
  <r>
    <n v="516"/>
    <n v="1247"/>
    <n v="12"/>
    <n v="2"/>
    <n v="22"/>
    <n v="44"/>
    <s v="Delivered"/>
    <n v="44"/>
    <x v="136"/>
  </r>
  <r>
    <n v="517"/>
    <n v="1247"/>
    <n v="10"/>
    <n v="3"/>
    <n v="8"/>
    <n v="24"/>
    <s v="Delivered"/>
    <n v="24"/>
    <x v="136"/>
  </r>
  <r>
    <n v="518"/>
    <n v="1247"/>
    <n v="1"/>
    <n v="2"/>
    <n v="750"/>
    <n v="1500"/>
    <s v="Delivered"/>
    <n v="1500"/>
    <x v="136"/>
  </r>
  <r>
    <n v="519"/>
    <n v="1248"/>
    <n v="1"/>
    <n v="4"/>
    <n v="750"/>
    <n v="3000"/>
    <s v="Delivered"/>
    <n v="3000"/>
    <x v="106"/>
  </r>
  <r>
    <n v="520"/>
    <n v="1249"/>
    <n v="1"/>
    <n v="1"/>
    <n v="750"/>
    <n v="750"/>
    <s v="Delivered"/>
    <n v="750"/>
    <x v="137"/>
  </r>
  <r>
    <n v="521"/>
    <n v="1250"/>
    <n v="10"/>
    <n v="1"/>
    <n v="8"/>
    <n v="8"/>
    <s v="Delivered"/>
    <n v="8"/>
    <x v="61"/>
  </r>
  <r>
    <n v="522"/>
    <n v="1250"/>
    <n v="5"/>
    <n v="1"/>
    <n v="180"/>
    <n v="180"/>
    <s v="Delivered"/>
    <n v="180"/>
    <x v="61"/>
  </r>
  <r>
    <n v="523"/>
    <n v="1250"/>
    <n v="2"/>
    <n v="2"/>
    <n v="220"/>
    <n v="440"/>
    <s v="Delivered"/>
    <n v="440"/>
    <x v="61"/>
  </r>
  <r>
    <n v="524"/>
    <n v="1251"/>
    <n v="3"/>
    <n v="4"/>
    <n v="45"/>
    <n v="180"/>
    <s v="Delivered"/>
    <n v="180"/>
    <x v="8"/>
  </r>
  <r>
    <n v="525"/>
    <n v="1252"/>
    <n v="5"/>
    <n v="3"/>
    <n v="180"/>
    <n v="540"/>
    <s v="Delivered"/>
    <n v="540"/>
    <x v="126"/>
  </r>
  <r>
    <n v="526"/>
    <n v="1253"/>
    <n v="9"/>
    <n v="1"/>
    <n v="30"/>
    <n v="30"/>
    <s v="Delivered"/>
    <n v="30"/>
    <x v="24"/>
  </r>
  <r>
    <n v="527"/>
    <n v="1253"/>
    <n v="8"/>
    <n v="1"/>
    <n v="55"/>
    <n v="55"/>
    <s v="Delivered"/>
    <n v="55"/>
    <x v="24"/>
  </r>
  <r>
    <n v="528"/>
    <n v="1254"/>
    <n v="7"/>
    <n v="3"/>
    <n v="65"/>
    <n v="195"/>
    <s v="Delivered"/>
    <n v="195"/>
    <x v="138"/>
  </r>
  <r>
    <n v="529"/>
    <n v="1255"/>
    <n v="1"/>
    <n v="3"/>
    <n v="750"/>
    <n v="2250"/>
    <s v="Delivered"/>
    <n v="2250"/>
    <x v="35"/>
  </r>
  <r>
    <n v="530"/>
    <n v="1256"/>
    <n v="6"/>
    <n v="2"/>
    <n v="140"/>
    <n v="280"/>
    <s v="Delivered"/>
    <n v="280"/>
    <x v="108"/>
  </r>
  <r>
    <n v="531"/>
    <n v="1256"/>
    <n v="10"/>
    <n v="1"/>
    <n v="8"/>
    <n v="8"/>
    <s v="Delivered"/>
    <n v="8"/>
    <x v="108"/>
  </r>
  <r>
    <n v="532"/>
    <n v="1256"/>
    <n v="4"/>
    <n v="2"/>
    <n v="25"/>
    <n v="50"/>
    <s v="Delivered"/>
    <n v="50"/>
    <x v="108"/>
  </r>
  <r>
    <n v="533"/>
    <n v="1257"/>
    <n v="7"/>
    <n v="2"/>
    <n v="65"/>
    <n v="130"/>
    <s v="Delivered"/>
    <n v="130"/>
    <x v="108"/>
  </r>
  <r>
    <n v="534"/>
    <n v="1257"/>
    <n v="6"/>
    <n v="2"/>
    <n v="140"/>
    <n v="280"/>
    <s v="Delivered"/>
    <n v="280"/>
    <x v="108"/>
  </r>
  <r>
    <n v="535"/>
    <n v="1257"/>
    <n v="3"/>
    <n v="3"/>
    <n v="45"/>
    <n v="135"/>
    <s v="Delivered"/>
    <n v="135"/>
    <x v="108"/>
  </r>
  <r>
    <n v="536"/>
    <n v="1258"/>
    <n v="3"/>
    <n v="4"/>
    <n v="45"/>
    <n v="180"/>
    <s v="Delivered"/>
    <n v="180"/>
    <x v="139"/>
  </r>
  <r>
    <n v="537"/>
    <n v="1258"/>
    <n v="10"/>
    <n v="3"/>
    <n v="8"/>
    <n v="24"/>
    <s v="Delivered"/>
    <n v="24"/>
    <x v="139"/>
  </r>
  <r>
    <n v="538"/>
    <n v="1258"/>
    <n v="4"/>
    <n v="2"/>
    <n v="25"/>
    <n v="50"/>
    <s v="Delivered"/>
    <n v="50"/>
    <x v="139"/>
  </r>
  <r>
    <n v="539"/>
    <n v="1259"/>
    <n v="10"/>
    <n v="2"/>
    <n v="8"/>
    <n v="16"/>
    <s v="Delivered"/>
    <n v="16"/>
    <x v="119"/>
  </r>
  <r>
    <n v="540"/>
    <n v="1259"/>
    <n v="4"/>
    <n v="3"/>
    <n v="25"/>
    <n v="75"/>
    <s v="Delivered"/>
    <n v="75"/>
    <x v="119"/>
  </r>
  <r>
    <n v="541"/>
    <n v="1260"/>
    <n v="9"/>
    <n v="3"/>
    <n v="30"/>
    <n v="90"/>
    <s v="Delivered"/>
    <n v="90"/>
    <x v="107"/>
  </r>
  <r>
    <n v="542"/>
    <n v="1261"/>
    <n v="3"/>
    <n v="4"/>
    <n v="45"/>
    <n v="180"/>
    <s v="Delivered"/>
    <n v="180"/>
    <x v="95"/>
  </r>
  <r>
    <n v="543"/>
    <n v="1261"/>
    <n v="12"/>
    <n v="4"/>
    <n v="22"/>
    <n v="88"/>
    <s v="Delivered"/>
    <n v="88"/>
    <x v="95"/>
  </r>
  <r>
    <n v="544"/>
    <n v="1262"/>
    <n v="10"/>
    <n v="3"/>
    <n v="8"/>
    <n v="24"/>
    <s v="Delivered"/>
    <n v="24"/>
    <x v="86"/>
  </r>
  <r>
    <n v="545"/>
    <n v="1262"/>
    <n v="3"/>
    <n v="3"/>
    <n v="45"/>
    <n v="135"/>
    <s v="Delivered"/>
    <n v="135"/>
    <x v="86"/>
  </r>
  <r>
    <n v="546"/>
    <n v="1262"/>
    <n v="7"/>
    <n v="2"/>
    <n v="65"/>
    <n v="130"/>
    <s v="Delivered"/>
    <n v="130"/>
    <x v="86"/>
  </r>
  <r>
    <n v="547"/>
    <n v="1263"/>
    <n v="3"/>
    <n v="3"/>
    <n v="45"/>
    <n v="135"/>
    <s v="Cancelled"/>
    <n v="0"/>
    <x v="103"/>
  </r>
  <r>
    <n v="548"/>
    <n v="1264"/>
    <n v="8"/>
    <n v="2"/>
    <n v="55"/>
    <n v="110"/>
    <s v="Delivered"/>
    <n v="110"/>
    <x v="129"/>
  </r>
  <r>
    <n v="549"/>
    <n v="1265"/>
    <n v="11"/>
    <n v="4"/>
    <n v="48"/>
    <n v="192"/>
    <s v="Delivered"/>
    <n v="192"/>
    <x v="18"/>
  </r>
  <r>
    <n v="550"/>
    <n v="1265"/>
    <n v="12"/>
    <n v="1"/>
    <n v="22"/>
    <n v="22"/>
    <s v="Delivered"/>
    <n v="22"/>
    <x v="18"/>
  </r>
  <r>
    <n v="551"/>
    <n v="1265"/>
    <n v="6"/>
    <n v="3"/>
    <n v="140"/>
    <n v="420"/>
    <s v="Delivered"/>
    <n v="420"/>
    <x v="18"/>
  </r>
  <r>
    <n v="552"/>
    <n v="1266"/>
    <n v="7"/>
    <n v="4"/>
    <n v="65"/>
    <n v="260"/>
    <s v="Delivered"/>
    <n v="260"/>
    <x v="140"/>
  </r>
  <r>
    <n v="553"/>
    <n v="1266"/>
    <n v="3"/>
    <n v="4"/>
    <n v="45"/>
    <n v="180"/>
    <s v="Delivered"/>
    <n v="180"/>
    <x v="140"/>
  </r>
  <r>
    <n v="554"/>
    <n v="1266"/>
    <n v="12"/>
    <n v="3"/>
    <n v="22"/>
    <n v="66"/>
    <s v="Delivered"/>
    <n v="66"/>
    <x v="140"/>
  </r>
  <r>
    <n v="555"/>
    <n v="1267"/>
    <n v="8"/>
    <n v="1"/>
    <n v="55"/>
    <n v="55"/>
    <s v="Delivered"/>
    <n v="55"/>
    <x v="141"/>
  </r>
  <r>
    <n v="556"/>
    <n v="1268"/>
    <n v="3"/>
    <n v="1"/>
    <n v="45"/>
    <n v="45"/>
    <s v="Delivered"/>
    <n v="45"/>
    <x v="128"/>
  </r>
  <r>
    <n v="557"/>
    <n v="1268"/>
    <n v="2"/>
    <n v="3"/>
    <n v="220"/>
    <n v="660"/>
    <s v="Delivered"/>
    <n v="660"/>
    <x v="128"/>
  </r>
  <r>
    <n v="558"/>
    <n v="1269"/>
    <n v="7"/>
    <n v="1"/>
    <n v="65"/>
    <n v="65"/>
    <s v="Shipped"/>
    <n v="65"/>
    <x v="118"/>
  </r>
  <r>
    <n v="559"/>
    <n v="1269"/>
    <n v="3"/>
    <n v="3"/>
    <n v="45"/>
    <n v="135"/>
    <s v="Shipped"/>
    <n v="135"/>
    <x v="118"/>
  </r>
  <r>
    <n v="560"/>
    <n v="1269"/>
    <n v="1"/>
    <n v="2"/>
    <n v="750"/>
    <n v="1500"/>
    <s v="Shipped"/>
    <n v="1500"/>
    <x v="118"/>
  </r>
  <r>
    <n v="561"/>
    <n v="1270"/>
    <n v="11"/>
    <n v="3"/>
    <n v="48"/>
    <n v="144"/>
    <s v="Delivered"/>
    <n v="144"/>
    <x v="12"/>
  </r>
  <r>
    <n v="562"/>
    <n v="1270"/>
    <n v="5"/>
    <n v="2"/>
    <n v="180"/>
    <n v="360"/>
    <s v="Delivered"/>
    <n v="360"/>
    <x v="12"/>
  </r>
  <r>
    <n v="563"/>
    <n v="1271"/>
    <n v="2"/>
    <n v="4"/>
    <n v="220"/>
    <n v="880"/>
    <s v="Delivered"/>
    <n v="880"/>
    <x v="114"/>
  </r>
  <r>
    <n v="564"/>
    <n v="1271"/>
    <n v="5"/>
    <n v="2"/>
    <n v="180"/>
    <n v="360"/>
    <s v="Delivered"/>
    <n v="360"/>
    <x v="114"/>
  </r>
  <r>
    <n v="565"/>
    <n v="1272"/>
    <n v="8"/>
    <n v="3"/>
    <n v="55"/>
    <n v="165"/>
    <s v="Delivered"/>
    <n v="165"/>
    <x v="142"/>
  </r>
  <r>
    <n v="566"/>
    <n v="1272"/>
    <n v="12"/>
    <n v="1"/>
    <n v="22"/>
    <n v="22"/>
    <s v="Delivered"/>
    <n v="22"/>
    <x v="142"/>
  </r>
  <r>
    <n v="567"/>
    <n v="1273"/>
    <n v="8"/>
    <n v="3"/>
    <n v="55"/>
    <n v="165"/>
    <s v="Delivered"/>
    <n v="165"/>
    <x v="55"/>
  </r>
  <r>
    <n v="568"/>
    <n v="1273"/>
    <n v="12"/>
    <n v="2"/>
    <n v="22"/>
    <n v="44"/>
    <s v="Delivered"/>
    <n v="44"/>
    <x v="55"/>
  </r>
  <r>
    <n v="569"/>
    <n v="1274"/>
    <n v="7"/>
    <n v="1"/>
    <n v="65"/>
    <n v="65"/>
    <s v="Delivered"/>
    <n v="65"/>
    <x v="143"/>
  </r>
  <r>
    <n v="570"/>
    <n v="1274"/>
    <n v="10"/>
    <n v="4"/>
    <n v="8"/>
    <n v="32"/>
    <s v="Delivered"/>
    <n v="32"/>
    <x v="143"/>
  </r>
  <r>
    <n v="571"/>
    <n v="1274"/>
    <n v="4"/>
    <n v="4"/>
    <n v="25"/>
    <n v="100"/>
    <s v="Delivered"/>
    <n v="100"/>
    <x v="143"/>
  </r>
  <r>
    <n v="572"/>
    <n v="1275"/>
    <n v="12"/>
    <n v="2"/>
    <n v="22"/>
    <n v="44"/>
    <s v="Delivered"/>
    <n v="44"/>
    <x v="2"/>
  </r>
  <r>
    <n v="573"/>
    <n v="1275"/>
    <n v="1"/>
    <n v="1"/>
    <n v="750"/>
    <n v="750"/>
    <s v="Delivered"/>
    <n v="750"/>
    <x v="2"/>
  </r>
  <r>
    <n v="574"/>
    <n v="1276"/>
    <n v="7"/>
    <n v="1"/>
    <n v="65"/>
    <n v="65"/>
    <s v="Delivered"/>
    <n v="65"/>
    <x v="25"/>
  </r>
  <r>
    <n v="575"/>
    <n v="1277"/>
    <n v="12"/>
    <n v="1"/>
    <n v="22"/>
    <n v="22"/>
    <s v="Delivered"/>
    <n v="22"/>
    <x v="48"/>
  </r>
  <r>
    <n v="576"/>
    <n v="1277"/>
    <n v="2"/>
    <n v="4"/>
    <n v="220"/>
    <n v="880"/>
    <s v="Delivered"/>
    <n v="880"/>
    <x v="48"/>
  </r>
  <r>
    <n v="577"/>
    <n v="1278"/>
    <n v="10"/>
    <n v="4"/>
    <n v="8"/>
    <n v="32"/>
    <s v="Shipped"/>
    <n v="32"/>
    <x v="144"/>
  </r>
  <r>
    <n v="578"/>
    <n v="1278"/>
    <n v="12"/>
    <n v="1"/>
    <n v="22"/>
    <n v="22"/>
    <s v="Shipped"/>
    <n v="22"/>
    <x v="144"/>
  </r>
  <r>
    <n v="579"/>
    <n v="1278"/>
    <n v="9"/>
    <n v="4"/>
    <n v="30"/>
    <n v="120"/>
    <s v="Shipped"/>
    <n v="120"/>
    <x v="144"/>
  </r>
  <r>
    <n v="580"/>
    <n v="1279"/>
    <n v="10"/>
    <n v="1"/>
    <n v="8"/>
    <n v="8"/>
    <s v="Delivered"/>
    <n v="8"/>
    <x v="95"/>
  </r>
  <r>
    <n v="581"/>
    <n v="1280"/>
    <n v="10"/>
    <n v="2"/>
    <n v="8"/>
    <n v="16"/>
    <s v="Delivered"/>
    <n v="16"/>
    <x v="57"/>
  </r>
  <r>
    <n v="582"/>
    <n v="1280"/>
    <n v="8"/>
    <n v="3"/>
    <n v="55"/>
    <n v="165"/>
    <s v="Delivered"/>
    <n v="165"/>
    <x v="57"/>
  </r>
  <r>
    <n v="583"/>
    <n v="1280"/>
    <n v="1"/>
    <n v="4"/>
    <n v="750"/>
    <n v="3000"/>
    <s v="Delivered"/>
    <n v="3000"/>
    <x v="57"/>
  </r>
  <r>
    <n v="584"/>
    <n v="1281"/>
    <n v="4"/>
    <n v="3"/>
    <n v="25"/>
    <n v="75"/>
    <s v="Cancelled"/>
    <n v="0"/>
    <x v="145"/>
  </r>
  <r>
    <n v="585"/>
    <n v="1281"/>
    <n v="1"/>
    <n v="3"/>
    <n v="750"/>
    <n v="2250"/>
    <s v="Cancelled"/>
    <n v="0"/>
    <x v="145"/>
  </r>
  <r>
    <n v="586"/>
    <n v="1281"/>
    <n v="8"/>
    <n v="1"/>
    <n v="55"/>
    <n v="55"/>
    <s v="Cancelled"/>
    <n v="0"/>
    <x v="145"/>
  </r>
  <r>
    <n v="587"/>
    <n v="1282"/>
    <n v="5"/>
    <n v="1"/>
    <n v="180"/>
    <n v="180"/>
    <s v="Delivered"/>
    <n v="180"/>
    <x v="146"/>
  </r>
  <r>
    <n v="588"/>
    <n v="1282"/>
    <n v="8"/>
    <n v="2"/>
    <n v="55"/>
    <n v="110"/>
    <s v="Delivered"/>
    <n v="110"/>
    <x v="146"/>
  </r>
  <r>
    <n v="589"/>
    <n v="1283"/>
    <n v="8"/>
    <n v="2"/>
    <n v="55"/>
    <n v="110"/>
    <s v="Delivered"/>
    <n v="110"/>
    <x v="115"/>
  </r>
  <r>
    <n v="590"/>
    <n v="1284"/>
    <n v="2"/>
    <n v="3"/>
    <n v="220"/>
    <n v="660"/>
    <s v="Delivered"/>
    <n v="660"/>
    <x v="61"/>
  </r>
  <r>
    <n v="591"/>
    <n v="1285"/>
    <n v="1"/>
    <n v="2"/>
    <n v="750"/>
    <n v="1500"/>
    <s v="Delivered"/>
    <n v="1500"/>
    <x v="147"/>
  </r>
  <r>
    <n v="592"/>
    <n v="1286"/>
    <n v="7"/>
    <n v="1"/>
    <n v="65"/>
    <n v="65"/>
    <s v="Delivered"/>
    <n v="65"/>
    <x v="148"/>
  </r>
  <r>
    <n v="593"/>
    <n v="1286"/>
    <n v="11"/>
    <n v="2"/>
    <n v="48"/>
    <n v="96"/>
    <s v="Delivered"/>
    <n v="96"/>
    <x v="148"/>
  </r>
  <r>
    <n v="594"/>
    <n v="1286"/>
    <n v="2"/>
    <n v="3"/>
    <n v="220"/>
    <n v="660"/>
    <s v="Delivered"/>
    <n v="660"/>
    <x v="148"/>
  </r>
  <r>
    <n v="595"/>
    <n v="1287"/>
    <n v="5"/>
    <n v="1"/>
    <n v="180"/>
    <n v="180"/>
    <s v="Delivered"/>
    <n v="180"/>
    <x v="95"/>
  </r>
  <r>
    <n v="596"/>
    <n v="1288"/>
    <n v="4"/>
    <n v="1"/>
    <n v="25"/>
    <n v="25"/>
    <s v="Cancelled"/>
    <n v="0"/>
    <x v="25"/>
  </r>
  <r>
    <n v="597"/>
    <n v="1288"/>
    <n v="5"/>
    <n v="1"/>
    <n v="180"/>
    <n v="180"/>
    <s v="Cancelled"/>
    <n v="0"/>
    <x v="25"/>
  </r>
  <r>
    <n v="598"/>
    <n v="1288"/>
    <n v="7"/>
    <n v="4"/>
    <n v="65"/>
    <n v="260"/>
    <s v="Cancelled"/>
    <n v="0"/>
    <x v="25"/>
  </r>
  <r>
    <n v="599"/>
    <n v="1289"/>
    <n v="5"/>
    <n v="3"/>
    <n v="180"/>
    <n v="540"/>
    <s v="Delivered"/>
    <n v="540"/>
    <x v="90"/>
  </r>
  <r>
    <n v="600"/>
    <n v="1290"/>
    <n v="5"/>
    <n v="4"/>
    <n v="180"/>
    <n v="720"/>
    <s v="Delivered"/>
    <n v="720"/>
    <x v="20"/>
  </r>
  <r>
    <n v="601"/>
    <n v="1290"/>
    <n v="11"/>
    <n v="1"/>
    <n v="48"/>
    <n v="48"/>
    <s v="Delivered"/>
    <n v="48"/>
    <x v="20"/>
  </r>
  <r>
    <n v="602"/>
    <n v="1291"/>
    <n v="11"/>
    <n v="4"/>
    <n v="48"/>
    <n v="192"/>
    <s v="Delivered"/>
    <n v="192"/>
    <x v="68"/>
  </r>
  <r>
    <n v="603"/>
    <n v="1291"/>
    <n v="2"/>
    <n v="1"/>
    <n v="220"/>
    <n v="220"/>
    <s v="Delivered"/>
    <n v="220"/>
    <x v="68"/>
  </r>
  <r>
    <n v="604"/>
    <n v="1292"/>
    <n v="3"/>
    <n v="2"/>
    <n v="45"/>
    <n v="90"/>
    <s v="Delivered"/>
    <n v="90"/>
    <x v="149"/>
  </r>
  <r>
    <n v="605"/>
    <n v="1293"/>
    <n v="1"/>
    <n v="3"/>
    <n v="750"/>
    <n v="2250"/>
    <s v="Delivered"/>
    <n v="2250"/>
    <x v="124"/>
  </r>
  <r>
    <n v="606"/>
    <n v="1293"/>
    <n v="11"/>
    <n v="3"/>
    <n v="48"/>
    <n v="144"/>
    <s v="Delivered"/>
    <n v="144"/>
    <x v="124"/>
  </r>
  <r>
    <n v="607"/>
    <n v="1293"/>
    <n v="8"/>
    <n v="4"/>
    <n v="55"/>
    <n v="220"/>
    <s v="Delivered"/>
    <n v="220"/>
    <x v="124"/>
  </r>
  <r>
    <n v="608"/>
    <n v="1294"/>
    <n v="9"/>
    <n v="3"/>
    <n v="30"/>
    <n v="90"/>
    <s v="Delivered"/>
    <n v="90"/>
    <x v="44"/>
  </r>
  <r>
    <n v="609"/>
    <n v="1294"/>
    <n v="11"/>
    <n v="3"/>
    <n v="48"/>
    <n v="144"/>
    <s v="Delivered"/>
    <n v="144"/>
    <x v="44"/>
  </r>
  <r>
    <n v="610"/>
    <n v="1294"/>
    <n v="8"/>
    <n v="2"/>
    <n v="55"/>
    <n v="110"/>
    <s v="Delivered"/>
    <n v="110"/>
    <x v="44"/>
  </r>
  <r>
    <n v="611"/>
    <n v="1295"/>
    <n v="9"/>
    <n v="1"/>
    <n v="30"/>
    <n v="30"/>
    <s v="Delivered"/>
    <n v="30"/>
    <x v="4"/>
  </r>
  <r>
    <n v="612"/>
    <n v="1295"/>
    <n v="3"/>
    <n v="2"/>
    <n v="45"/>
    <n v="90"/>
    <s v="Delivered"/>
    <n v="90"/>
    <x v="4"/>
  </r>
  <r>
    <n v="613"/>
    <n v="1295"/>
    <n v="6"/>
    <n v="3"/>
    <n v="140"/>
    <n v="420"/>
    <s v="Delivered"/>
    <n v="420"/>
    <x v="4"/>
  </r>
  <r>
    <n v="614"/>
    <n v="1296"/>
    <n v="2"/>
    <n v="1"/>
    <n v="220"/>
    <n v="220"/>
    <s v="Delivered"/>
    <n v="220"/>
    <x v="61"/>
  </r>
  <r>
    <n v="615"/>
    <n v="1296"/>
    <n v="8"/>
    <n v="1"/>
    <n v="55"/>
    <n v="55"/>
    <s v="Delivered"/>
    <n v="55"/>
    <x v="61"/>
  </r>
  <r>
    <n v="616"/>
    <n v="1297"/>
    <n v="3"/>
    <n v="2"/>
    <n v="45"/>
    <n v="90"/>
    <s v="Delivered"/>
    <n v="90"/>
    <x v="45"/>
  </r>
  <r>
    <n v="617"/>
    <n v="1298"/>
    <n v="8"/>
    <n v="3"/>
    <n v="55"/>
    <n v="165"/>
    <s v="Delivered"/>
    <n v="165"/>
    <x v="34"/>
  </r>
  <r>
    <n v="618"/>
    <n v="1299"/>
    <n v="3"/>
    <n v="2"/>
    <n v="45"/>
    <n v="90"/>
    <s v="Delivered"/>
    <n v="90"/>
    <x v="150"/>
  </r>
  <r>
    <n v="619"/>
    <n v="1299"/>
    <n v="8"/>
    <n v="4"/>
    <n v="55"/>
    <n v="220"/>
    <s v="Delivered"/>
    <n v="220"/>
    <x v="150"/>
  </r>
  <r>
    <n v="620"/>
    <n v="1299"/>
    <n v="2"/>
    <n v="4"/>
    <n v="220"/>
    <n v="880"/>
    <s v="Delivered"/>
    <n v="880"/>
    <x v="150"/>
  </r>
  <r>
    <n v="621"/>
    <n v="1300"/>
    <n v="6"/>
    <n v="2"/>
    <n v="140"/>
    <n v="280"/>
    <s v="Delivered"/>
    <n v="280"/>
    <x v="151"/>
  </r>
  <r>
    <n v="622"/>
    <n v="1301"/>
    <n v="2"/>
    <n v="4"/>
    <n v="220"/>
    <n v="880"/>
    <s v="Cancelled"/>
    <n v="0"/>
    <x v="152"/>
  </r>
  <r>
    <n v="623"/>
    <n v="1302"/>
    <n v="1"/>
    <n v="3"/>
    <n v="750"/>
    <n v="2250"/>
    <s v="Delivered"/>
    <n v="2250"/>
    <x v="35"/>
  </r>
  <r>
    <n v="624"/>
    <n v="1303"/>
    <n v="8"/>
    <n v="2"/>
    <n v="55"/>
    <n v="110"/>
    <s v="Delivered"/>
    <n v="110"/>
    <x v="146"/>
  </r>
  <r>
    <n v="625"/>
    <n v="1303"/>
    <n v="6"/>
    <n v="2"/>
    <n v="140"/>
    <n v="280"/>
    <s v="Delivered"/>
    <n v="280"/>
    <x v="146"/>
  </r>
  <r>
    <n v="626"/>
    <n v="1304"/>
    <n v="12"/>
    <n v="1"/>
    <n v="22"/>
    <n v="22"/>
    <s v="Delivered"/>
    <n v="22"/>
    <x v="153"/>
  </r>
  <r>
    <n v="627"/>
    <n v="1305"/>
    <n v="10"/>
    <n v="1"/>
    <n v="8"/>
    <n v="8"/>
    <s v="Delivered"/>
    <n v="8"/>
    <x v="6"/>
  </r>
  <r>
    <n v="628"/>
    <n v="1305"/>
    <n v="1"/>
    <n v="1"/>
    <n v="750"/>
    <n v="750"/>
    <s v="Delivered"/>
    <n v="750"/>
    <x v="6"/>
  </r>
  <r>
    <n v="629"/>
    <n v="1305"/>
    <n v="12"/>
    <n v="1"/>
    <n v="22"/>
    <n v="22"/>
    <s v="Delivered"/>
    <n v="22"/>
    <x v="6"/>
  </r>
  <r>
    <n v="630"/>
    <n v="1306"/>
    <n v="12"/>
    <n v="1"/>
    <n v="22"/>
    <n v="22"/>
    <s v="Delivered"/>
    <n v="22"/>
    <x v="154"/>
  </r>
  <r>
    <n v="631"/>
    <n v="1307"/>
    <n v="2"/>
    <n v="1"/>
    <n v="220"/>
    <n v="220"/>
    <s v="Delivered"/>
    <n v="220"/>
    <x v="155"/>
  </r>
  <r>
    <n v="632"/>
    <n v="1307"/>
    <n v="9"/>
    <n v="3"/>
    <n v="30"/>
    <n v="90"/>
    <s v="Delivered"/>
    <n v="90"/>
    <x v="155"/>
  </r>
  <r>
    <n v="633"/>
    <n v="1308"/>
    <n v="12"/>
    <n v="3"/>
    <n v="22"/>
    <n v="66"/>
    <s v="Delivered"/>
    <n v="66"/>
    <x v="57"/>
  </r>
  <r>
    <n v="634"/>
    <n v="1308"/>
    <n v="7"/>
    <n v="2"/>
    <n v="65"/>
    <n v="130"/>
    <s v="Delivered"/>
    <n v="130"/>
    <x v="57"/>
  </r>
  <r>
    <n v="635"/>
    <n v="1309"/>
    <n v="2"/>
    <n v="4"/>
    <n v="220"/>
    <n v="880"/>
    <s v="Delivered"/>
    <n v="880"/>
    <x v="37"/>
  </r>
  <r>
    <n v="636"/>
    <n v="1309"/>
    <n v="12"/>
    <n v="2"/>
    <n v="22"/>
    <n v="44"/>
    <s v="Delivered"/>
    <n v="44"/>
    <x v="37"/>
  </r>
  <r>
    <n v="637"/>
    <n v="1309"/>
    <n v="10"/>
    <n v="1"/>
    <n v="8"/>
    <n v="8"/>
    <s v="Delivered"/>
    <n v="8"/>
    <x v="37"/>
  </r>
  <r>
    <n v="638"/>
    <n v="1310"/>
    <n v="8"/>
    <n v="1"/>
    <n v="55"/>
    <n v="55"/>
    <s v="Delivered"/>
    <n v="55"/>
    <x v="91"/>
  </r>
  <r>
    <n v="639"/>
    <n v="1310"/>
    <n v="1"/>
    <n v="2"/>
    <n v="750"/>
    <n v="1500"/>
    <s v="Delivered"/>
    <n v="1500"/>
    <x v="91"/>
  </r>
  <r>
    <n v="640"/>
    <n v="1311"/>
    <n v="1"/>
    <n v="1"/>
    <n v="750"/>
    <n v="750"/>
    <s v="Delivered"/>
    <n v="750"/>
    <x v="28"/>
  </r>
  <r>
    <n v="641"/>
    <n v="1312"/>
    <n v="2"/>
    <n v="2"/>
    <n v="220"/>
    <n v="440"/>
    <s v="Shipped"/>
    <n v="440"/>
    <x v="77"/>
  </r>
  <r>
    <n v="642"/>
    <n v="1312"/>
    <n v="6"/>
    <n v="1"/>
    <n v="140"/>
    <n v="140"/>
    <s v="Shipped"/>
    <n v="140"/>
    <x v="77"/>
  </r>
  <r>
    <n v="643"/>
    <n v="1312"/>
    <n v="11"/>
    <n v="4"/>
    <n v="48"/>
    <n v="192"/>
    <s v="Shipped"/>
    <n v="192"/>
    <x v="77"/>
  </r>
  <r>
    <n v="644"/>
    <n v="1313"/>
    <n v="11"/>
    <n v="1"/>
    <n v="48"/>
    <n v="48"/>
    <s v="Delivered"/>
    <n v="48"/>
    <x v="132"/>
  </r>
  <r>
    <n v="645"/>
    <n v="1313"/>
    <n v="3"/>
    <n v="2"/>
    <n v="45"/>
    <n v="90"/>
    <s v="Delivered"/>
    <n v="90"/>
    <x v="132"/>
  </r>
  <r>
    <n v="646"/>
    <n v="1314"/>
    <n v="11"/>
    <n v="4"/>
    <n v="48"/>
    <n v="192"/>
    <s v="Delivered"/>
    <n v="192"/>
    <x v="128"/>
  </r>
  <r>
    <n v="647"/>
    <n v="1314"/>
    <n v="8"/>
    <n v="3"/>
    <n v="55"/>
    <n v="165"/>
    <s v="Delivered"/>
    <n v="165"/>
    <x v="128"/>
  </r>
  <r>
    <n v="648"/>
    <n v="1314"/>
    <n v="3"/>
    <n v="1"/>
    <n v="45"/>
    <n v="45"/>
    <s v="Delivered"/>
    <n v="45"/>
    <x v="128"/>
  </r>
  <r>
    <n v="649"/>
    <n v="1315"/>
    <n v="8"/>
    <n v="1"/>
    <n v="55"/>
    <n v="55"/>
    <s v="Shipped"/>
    <n v="55"/>
    <x v="52"/>
  </r>
  <r>
    <n v="650"/>
    <n v="1315"/>
    <n v="1"/>
    <n v="3"/>
    <n v="750"/>
    <n v="2250"/>
    <s v="Shipped"/>
    <n v="2250"/>
    <x v="52"/>
  </r>
  <r>
    <n v="651"/>
    <n v="1316"/>
    <n v="10"/>
    <n v="3"/>
    <n v="8"/>
    <n v="24"/>
    <s v="Cancelled"/>
    <n v="0"/>
    <x v="139"/>
  </r>
  <r>
    <n v="652"/>
    <n v="1316"/>
    <n v="12"/>
    <n v="1"/>
    <n v="22"/>
    <n v="22"/>
    <s v="Cancelled"/>
    <n v="0"/>
    <x v="139"/>
  </r>
  <r>
    <n v="653"/>
    <n v="1316"/>
    <n v="4"/>
    <n v="4"/>
    <n v="25"/>
    <n v="100"/>
    <s v="Cancelled"/>
    <n v="0"/>
    <x v="139"/>
  </r>
  <r>
    <n v="654"/>
    <n v="1317"/>
    <n v="11"/>
    <n v="4"/>
    <n v="48"/>
    <n v="192"/>
    <s v="Delivered"/>
    <n v="192"/>
    <x v="156"/>
  </r>
  <r>
    <n v="655"/>
    <n v="1317"/>
    <n v="12"/>
    <n v="2"/>
    <n v="22"/>
    <n v="44"/>
    <s v="Delivered"/>
    <n v="44"/>
    <x v="156"/>
  </r>
  <r>
    <n v="656"/>
    <n v="1318"/>
    <n v="8"/>
    <n v="1"/>
    <n v="55"/>
    <n v="55"/>
    <s v="Delivered"/>
    <n v="55"/>
    <x v="127"/>
  </r>
  <r>
    <n v="657"/>
    <n v="1318"/>
    <n v="12"/>
    <n v="4"/>
    <n v="22"/>
    <n v="88"/>
    <s v="Delivered"/>
    <n v="88"/>
    <x v="127"/>
  </r>
  <r>
    <n v="658"/>
    <n v="1318"/>
    <n v="3"/>
    <n v="3"/>
    <n v="45"/>
    <n v="135"/>
    <s v="Delivered"/>
    <n v="135"/>
    <x v="127"/>
  </r>
  <r>
    <n v="659"/>
    <n v="1319"/>
    <n v="2"/>
    <n v="4"/>
    <n v="220"/>
    <n v="880"/>
    <s v="Delivered"/>
    <n v="880"/>
    <x v="154"/>
  </r>
  <r>
    <n v="660"/>
    <n v="1320"/>
    <n v="11"/>
    <n v="4"/>
    <n v="48"/>
    <n v="192"/>
    <s v="Delivered"/>
    <n v="192"/>
    <x v="100"/>
  </r>
  <r>
    <n v="661"/>
    <n v="1320"/>
    <n v="1"/>
    <n v="4"/>
    <n v="750"/>
    <n v="3000"/>
    <s v="Delivered"/>
    <n v="3000"/>
    <x v="100"/>
  </r>
  <r>
    <n v="662"/>
    <n v="1320"/>
    <n v="2"/>
    <n v="1"/>
    <n v="220"/>
    <n v="220"/>
    <s v="Delivered"/>
    <n v="220"/>
    <x v="100"/>
  </r>
  <r>
    <n v="663"/>
    <n v="1321"/>
    <n v="4"/>
    <n v="3"/>
    <n v="25"/>
    <n v="75"/>
    <s v="Delivered"/>
    <n v="75"/>
    <x v="121"/>
  </r>
  <r>
    <n v="664"/>
    <n v="1321"/>
    <n v="11"/>
    <n v="3"/>
    <n v="48"/>
    <n v="144"/>
    <s v="Delivered"/>
    <n v="144"/>
    <x v="121"/>
  </r>
  <r>
    <n v="665"/>
    <n v="1321"/>
    <n v="8"/>
    <n v="1"/>
    <n v="55"/>
    <n v="55"/>
    <s v="Delivered"/>
    <n v="55"/>
    <x v="121"/>
  </r>
  <r>
    <n v="666"/>
    <n v="1322"/>
    <n v="8"/>
    <n v="2"/>
    <n v="55"/>
    <n v="110"/>
    <s v="Delivered"/>
    <n v="110"/>
    <x v="157"/>
  </r>
  <r>
    <n v="667"/>
    <n v="1322"/>
    <n v="2"/>
    <n v="1"/>
    <n v="220"/>
    <n v="220"/>
    <s v="Delivered"/>
    <n v="220"/>
    <x v="157"/>
  </r>
  <r>
    <n v="668"/>
    <n v="1322"/>
    <n v="11"/>
    <n v="3"/>
    <n v="48"/>
    <n v="144"/>
    <s v="Delivered"/>
    <n v="144"/>
    <x v="157"/>
  </r>
  <r>
    <n v="669"/>
    <n v="1323"/>
    <n v="3"/>
    <n v="4"/>
    <n v="45"/>
    <n v="180"/>
    <s v="Delivered"/>
    <n v="180"/>
    <x v="15"/>
  </r>
  <r>
    <n v="670"/>
    <n v="1324"/>
    <n v="7"/>
    <n v="2"/>
    <n v="65"/>
    <n v="130"/>
    <s v="Delivered"/>
    <n v="130"/>
    <x v="67"/>
  </r>
  <r>
    <n v="671"/>
    <n v="1325"/>
    <n v="8"/>
    <n v="2"/>
    <n v="55"/>
    <n v="110"/>
    <s v="Delivered"/>
    <n v="110"/>
    <x v="54"/>
  </r>
  <r>
    <n v="672"/>
    <n v="1325"/>
    <n v="11"/>
    <n v="4"/>
    <n v="48"/>
    <n v="192"/>
    <s v="Delivered"/>
    <n v="192"/>
    <x v="54"/>
  </r>
  <r>
    <n v="673"/>
    <n v="1326"/>
    <n v="12"/>
    <n v="2"/>
    <n v="22"/>
    <n v="44"/>
    <s v="Delivered"/>
    <n v="44"/>
    <x v="158"/>
  </r>
  <r>
    <n v="674"/>
    <n v="1327"/>
    <n v="7"/>
    <n v="2"/>
    <n v="65"/>
    <n v="130"/>
    <s v="Cancelled"/>
    <n v="0"/>
    <x v="31"/>
  </r>
  <r>
    <n v="675"/>
    <n v="1327"/>
    <n v="10"/>
    <n v="3"/>
    <n v="8"/>
    <n v="24"/>
    <s v="Cancelled"/>
    <n v="0"/>
    <x v="31"/>
  </r>
  <r>
    <n v="676"/>
    <n v="1328"/>
    <n v="3"/>
    <n v="4"/>
    <n v="45"/>
    <n v="180"/>
    <s v="Shipped"/>
    <n v="180"/>
    <x v="145"/>
  </r>
  <r>
    <n v="677"/>
    <n v="1328"/>
    <n v="12"/>
    <n v="3"/>
    <n v="22"/>
    <n v="66"/>
    <s v="Shipped"/>
    <n v="66"/>
    <x v="145"/>
  </r>
  <r>
    <n v="678"/>
    <n v="1329"/>
    <n v="4"/>
    <n v="3"/>
    <n v="25"/>
    <n v="75"/>
    <s v="Delivered"/>
    <n v="75"/>
    <x v="28"/>
  </r>
  <r>
    <n v="679"/>
    <n v="1329"/>
    <n v="12"/>
    <n v="3"/>
    <n v="22"/>
    <n v="66"/>
    <s v="Delivered"/>
    <n v="66"/>
    <x v="28"/>
  </r>
  <r>
    <n v="680"/>
    <n v="1329"/>
    <n v="11"/>
    <n v="2"/>
    <n v="48"/>
    <n v="96"/>
    <s v="Delivered"/>
    <n v="96"/>
    <x v="28"/>
  </r>
  <r>
    <n v="681"/>
    <n v="1330"/>
    <n v="2"/>
    <n v="4"/>
    <n v="220"/>
    <n v="880"/>
    <s v="Delivered"/>
    <n v="880"/>
    <x v="101"/>
  </r>
  <r>
    <n v="682"/>
    <n v="1330"/>
    <n v="6"/>
    <n v="4"/>
    <n v="140"/>
    <n v="560"/>
    <s v="Delivered"/>
    <n v="560"/>
    <x v="101"/>
  </r>
  <r>
    <n v="683"/>
    <n v="1330"/>
    <n v="9"/>
    <n v="3"/>
    <n v="30"/>
    <n v="90"/>
    <s v="Delivered"/>
    <n v="90"/>
    <x v="101"/>
  </r>
  <r>
    <n v="684"/>
    <n v="1331"/>
    <n v="1"/>
    <n v="2"/>
    <n v="750"/>
    <n v="1500"/>
    <s v="Delivered"/>
    <n v="1500"/>
    <x v="21"/>
  </r>
  <r>
    <n v="685"/>
    <n v="1331"/>
    <n v="4"/>
    <n v="3"/>
    <n v="25"/>
    <n v="75"/>
    <s v="Delivered"/>
    <n v="75"/>
    <x v="21"/>
  </r>
  <r>
    <n v="686"/>
    <n v="1331"/>
    <n v="5"/>
    <n v="3"/>
    <n v="180"/>
    <n v="540"/>
    <s v="Delivered"/>
    <n v="540"/>
    <x v="21"/>
  </r>
  <r>
    <n v="687"/>
    <n v="1332"/>
    <n v="10"/>
    <n v="2"/>
    <n v="8"/>
    <n v="16"/>
    <s v="Delivered"/>
    <n v="16"/>
    <x v="101"/>
  </r>
  <r>
    <n v="688"/>
    <n v="1333"/>
    <n v="7"/>
    <n v="3"/>
    <n v="65"/>
    <n v="195"/>
    <s v="Delivered"/>
    <n v="195"/>
    <x v="83"/>
  </r>
  <r>
    <n v="689"/>
    <n v="1333"/>
    <n v="12"/>
    <n v="1"/>
    <n v="22"/>
    <n v="22"/>
    <s v="Delivered"/>
    <n v="22"/>
    <x v="83"/>
  </r>
  <r>
    <n v="690"/>
    <n v="1334"/>
    <n v="9"/>
    <n v="2"/>
    <n v="30"/>
    <n v="60"/>
    <s v="Shipped"/>
    <n v="60"/>
    <x v="153"/>
  </r>
  <r>
    <n v="691"/>
    <n v="1334"/>
    <n v="10"/>
    <n v="3"/>
    <n v="8"/>
    <n v="24"/>
    <s v="Shipped"/>
    <n v="24"/>
    <x v="153"/>
  </r>
  <r>
    <n v="692"/>
    <n v="1334"/>
    <n v="4"/>
    <n v="4"/>
    <n v="25"/>
    <n v="100"/>
    <s v="Shipped"/>
    <n v="100"/>
    <x v="153"/>
  </r>
  <r>
    <n v="693"/>
    <n v="1335"/>
    <n v="9"/>
    <n v="1"/>
    <n v="30"/>
    <n v="30"/>
    <s v="Delivered"/>
    <n v="30"/>
    <x v="0"/>
  </r>
  <r>
    <n v="694"/>
    <n v="1335"/>
    <n v="2"/>
    <n v="4"/>
    <n v="220"/>
    <n v="880"/>
    <s v="Delivered"/>
    <n v="880"/>
    <x v="0"/>
  </r>
  <r>
    <n v="695"/>
    <n v="1335"/>
    <n v="7"/>
    <n v="3"/>
    <n v="65"/>
    <n v="195"/>
    <s v="Delivered"/>
    <n v="195"/>
    <x v="0"/>
  </r>
  <r>
    <n v="696"/>
    <n v="1336"/>
    <n v="3"/>
    <n v="3"/>
    <n v="45"/>
    <n v="135"/>
    <s v="Delivered"/>
    <n v="135"/>
    <x v="96"/>
  </r>
  <r>
    <n v="697"/>
    <n v="1337"/>
    <n v="6"/>
    <n v="2"/>
    <n v="140"/>
    <n v="280"/>
    <s v="Delivered"/>
    <n v="280"/>
    <x v="98"/>
  </r>
  <r>
    <n v="698"/>
    <n v="1337"/>
    <n v="2"/>
    <n v="2"/>
    <n v="220"/>
    <n v="440"/>
    <s v="Delivered"/>
    <n v="440"/>
    <x v="98"/>
  </r>
  <r>
    <n v="699"/>
    <n v="1337"/>
    <n v="12"/>
    <n v="1"/>
    <n v="22"/>
    <n v="22"/>
    <s v="Delivered"/>
    <n v="22"/>
    <x v="98"/>
  </r>
  <r>
    <n v="700"/>
    <n v="1338"/>
    <n v="6"/>
    <n v="3"/>
    <n v="140"/>
    <n v="420"/>
    <s v="Delivered"/>
    <n v="420"/>
    <x v="36"/>
  </r>
  <r>
    <n v="701"/>
    <n v="1338"/>
    <n v="12"/>
    <n v="2"/>
    <n v="22"/>
    <n v="44"/>
    <s v="Delivered"/>
    <n v="44"/>
    <x v="36"/>
  </r>
  <r>
    <n v="702"/>
    <n v="1338"/>
    <n v="11"/>
    <n v="4"/>
    <n v="48"/>
    <n v="192"/>
    <s v="Delivered"/>
    <n v="192"/>
    <x v="36"/>
  </r>
  <r>
    <n v="703"/>
    <n v="1339"/>
    <n v="11"/>
    <n v="2"/>
    <n v="48"/>
    <n v="96"/>
    <s v="Delivered"/>
    <n v="96"/>
    <x v="87"/>
  </r>
  <r>
    <n v="704"/>
    <n v="1340"/>
    <n v="9"/>
    <n v="3"/>
    <n v="30"/>
    <n v="90"/>
    <s v="Delivered"/>
    <n v="90"/>
    <x v="159"/>
  </r>
  <r>
    <n v="705"/>
    <n v="1341"/>
    <n v="2"/>
    <n v="2"/>
    <n v="220"/>
    <n v="440"/>
    <s v="Delivered"/>
    <n v="440"/>
    <x v="141"/>
  </r>
  <r>
    <n v="706"/>
    <n v="1342"/>
    <n v="7"/>
    <n v="4"/>
    <n v="65"/>
    <n v="260"/>
    <s v="Delivered"/>
    <n v="260"/>
    <x v="125"/>
  </r>
  <r>
    <n v="707"/>
    <n v="1342"/>
    <n v="2"/>
    <n v="1"/>
    <n v="220"/>
    <n v="220"/>
    <s v="Delivered"/>
    <n v="220"/>
    <x v="125"/>
  </r>
  <r>
    <n v="708"/>
    <n v="1342"/>
    <n v="4"/>
    <n v="2"/>
    <n v="25"/>
    <n v="50"/>
    <s v="Delivered"/>
    <n v="50"/>
    <x v="125"/>
  </r>
  <r>
    <n v="709"/>
    <n v="1343"/>
    <n v="2"/>
    <n v="3"/>
    <n v="220"/>
    <n v="660"/>
    <s v="Delivered"/>
    <n v="660"/>
    <x v="62"/>
  </r>
  <r>
    <n v="710"/>
    <n v="1343"/>
    <n v="10"/>
    <n v="4"/>
    <n v="8"/>
    <n v="32"/>
    <s v="Delivered"/>
    <n v="32"/>
    <x v="62"/>
  </r>
  <r>
    <n v="711"/>
    <n v="1343"/>
    <n v="4"/>
    <n v="4"/>
    <n v="25"/>
    <n v="100"/>
    <s v="Delivered"/>
    <n v="100"/>
    <x v="62"/>
  </r>
  <r>
    <n v="712"/>
    <n v="1344"/>
    <n v="12"/>
    <n v="1"/>
    <n v="22"/>
    <n v="22"/>
    <s v="Delivered"/>
    <n v="22"/>
    <x v="53"/>
  </r>
  <r>
    <n v="713"/>
    <n v="1344"/>
    <n v="10"/>
    <n v="1"/>
    <n v="8"/>
    <n v="8"/>
    <s v="Delivered"/>
    <n v="8"/>
    <x v="53"/>
  </r>
  <r>
    <n v="714"/>
    <n v="1344"/>
    <n v="2"/>
    <n v="3"/>
    <n v="220"/>
    <n v="660"/>
    <s v="Delivered"/>
    <n v="660"/>
    <x v="53"/>
  </r>
  <r>
    <n v="715"/>
    <n v="1345"/>
    <n v="7"/>
    <n v="1"/>
    <n v="65"/>
    <n v="65"/>
    <s v="Delivered"/>
    <n v="65"/>
    <x v="31"/>
  </r>
  <r>
    <n v="716"/>
    <n v="1345"/>
    <n v="11"/>
    <n v="4"/>
    <n v="48"/>
    <n v="192"/>
    <s v="Delivered"/>
    <n v="192"/>
    <x v="31"/>
  </r>
  <r>
    <n v="717"/>
    <n v="1346"/>
    <n v="11"/>
    <n v="3"/>
    <n v="48"/>
    <n v="144"/>
    <s v="Shipped"/>
    <n v="144"/>
    <x v="85"/>
  </r>
  <r>
    <n v="718"/>
    <n v="1346"/>
    <n v="12"/>
    <n v="1"/>
    <n v="22"/>
    <n v="22"/>
    <s v="Shipped"/>
    <n v="22"/>
    <x v="85"/>
  </r>
  <r>
    <n v="719"/>
    <n v="1347"/>
    <n v="10"/>
    <n v="1"/>
    <n v="8"/>
    <n v="8"/>
    <s v="Delivered"/>
    <n v="8"/>
    <x v="34"/>
  </r>
  <r>
    <n v="720"/>
    <n v="1347"/>
    <n v="7"/>
    <n v="3"/>
    <n v="65"/>
    <n v="195"/>
    <s v="Delivered"/>
    <n v="195"/>
    <x v="34"/>
  </r>
  <r>
    <n v="721"/>
    <n v="1347"/>
    <n v="9"/>
    <n v="2"/>
    <n v="30"/>
    <n v="60"/>
    <s v="Delivered"/>
    <n v="60"/>
    <x v="34"/>
  </r>
  <r>
    <n v="722"/>
    <n v="1348"/>
    <n v="3"/>
    <n v="2"/>
    <n v="45"/>
    <n v="90"/>
    <s v="Cancelled"/>
    <n v="0"/>
    <x v="72"/>
  </r>
  <r>
    <n v="723"/>
    <n v="1349"/>
    <n v="3"/>
    <n v="1"/>
    <n v="45"/>
    <n v="45"/>
    <s v="Delivered"/>
    <n v="45"/>
    <x v="86"/>
  </r>
  <r>
    <n v="724"/>
    <n v="1350"/>
    <n v="2"/>
    <n v="2"/>
    <n v="220"/>
    <n v="440"/>
    <s v="Delivered"/>
    <n v="440"/>
    <x v="72"/>
  </r>
  <r>
    <n v="725"/>
    <n v="1350"/>
    <n v="5"/>
    <n v="4"/>
    <n v="180"/>
    <n v="720"/>
    <s v="Delivered"/>
    <n v="720"/>
    <x v="72"/>
  </r>
  <r>
    <n v="726"/>
    <n v="1350"/>
    <n v="12"/>
    <n v="3"/>
    <n v="22"/>
    <n v="66"/>
    <s v="Delivered"/>
    <n v="66"/>
    <x v="72"/>
  </r>
  <r>
    <n v="727"/>
    <n v="1351"/>
    <n v="8"/>
    <n v="3"/>
    <n v="55"/>
    <n v="165"/>
    <s v="Delivered"/>
    <n v="165"/>
    <x v="121"/>
  </r>
  <r>
    <n v="728"/>
    <n v="1351"/>
    <n v="12"/>
    <n v="3"/>
    <n v="22"/>
    <n v="66"/>
    <s v="Delivered"/>
    <n v="66"/>
    <x v="121"/>
  </r>
  <r>
    <n v="729"/>
    <n v="1352"/>
    <n v="4"/>
    <n v="4"/>
    <n v="25"/>
    <n v="100"/>
    <s v="Delivered"/>
    <n v="100"/>
    <x v="126"/>
  </r>
  <r>
    <n v="730"/>
    <n v="1353"/>
    <n v="8"/>
    <n v="1"/>
    <n v="55"/>
    <n v="55"/>
    <s v="Delivered"/>
    <n v="55"/>
    <x v="160"/>
  </r>
  <r>
    <n v="731"/>
    <n v="1353"/>
    <n v="9"/>
    <n v="2"/>
    <n v="30"/>
    <n v="60"/>
    <s v="Delivered"/>
    <n v="60"/>
    <x v="160"/>
  </r>
  <r>
    <n v="732"/>
    <n v="1354"/>
    <n v="2"/>
    <n v="1"/>
    <n v="220"/>
    <n v="220"/>
    <s v="Delivered"/>
    <n v="220"/>
    <x v="17"/>
  </r>
  <r>
    <n v="733"/>
    <n v="1354"/>
    <n v="1"/>
    <n v="4"/>
    <n v="750"/>
    <n v="3000"/>
    <s v="Delivered"/>
    <n v="3000"/>
    <x v="17"/>
  </r>
  <r>
    <n v="734"/>
    <n v="1354"/>
    <n v="9"/>
    <n v="2"/>
    <n v="30"/>
    <n v="60"/>
    <s v="Delivered"/>
    <n v="60"/>
    <x v="17"/>
  </r>
  <r>
    <n v="735"/>
    <n v="1355"/>
    <n v="7"/>
    <n v="3"/>
    <n v="65"/>
    <n v="195"/>
    <s v="Delivered"/>
    <n v="195"/>
    <x v="4"/>
  </r>
  <r>
    <n v="736"/>
    <n v="1355"/>
    <n v="4"/>
    <n v="2"/>
    <n v="25"/>
    <n v="50"/>
    <s v="Delivered"/>
    <n v="50"/>
    <x v="4"/>
  </r>
  <r>
    <n v="737"/>
    <n v="1356"/>
    <n v="3"/>
    <n v="2"/>
    <n v="45"/>
    <n v="90"/>
    <s v="Delivered"/>
    <n v="90"/>
    <x v="127"/>
  </r>
  <r>
    <n v="738"/>
    <n v="1356"/>
    <n v="8"/>
    <n v="2"/>
    <n v="55"/>
    <n v="110"/>
    <s v="Delivered"/>
    <n v="110"/>
    <x v="127"/>
  </r>
  <r>
    <n v="739"/>
    <n v="1356"/>
    <n v="12"/>
    <n v="4"/>
    <n v="22"/>
    <n v="88"/>
    <s v="Delivered"/>
    <n v="88"/>
    <x v="127"/>
  </r>
  <r>
    <n v="740"/>
    <n v="1357"/>
    <n v="11"/>
    <n v="2"/>
    <n v="48"/>
    <n v="96"/>
    <s v="Delivered"/>
    <n v="96"/>
    <x v="125"/>
  </r>
  <r>
    <n v="741"/>
    <n v="1358"/>
    <n v="12"/>
    <n v="3"/>
    <n v="22"/>
    <n v="66"/>
    <s v="Delivered"/>
    <n v="66"/>
    <x v="112"/>
  </r>
  <r>
    <n v="742"/>
    <n v="1359"/>
    <n v="11"/>
    <n v="3"/>
    <n v="48"/>
    <n v="144"/>
    <s v="Delivered"/>
    <n v="144"/>
    <x v="113"/>
  </r>
  <r>
    <n v="743"/>
    <n v="1359"/>
    <n v="2"/>
    <n v="4"/>
    <n v="220"/>
    <n v="880"/>
    <s v="Delivered"/>
    <n v="880"/>
    <x v="113"/>
  </r>
  <r>
    <n v="744"/>
    <n v="1359"/>
    <n v="9"/>
    <n v="2"/>
    <n v="30"/>
    <n v="60"/>
    <s v="Delivered"/>
    <n v="60"/>
    <x v="113"/>
  </r>
  <r>
    <n v="745"/>
    <n v="1360"/>
    <n v="3"/>
    <n v="2"/>
    <n v="45"/>
    <n v="90"/>
    <s v="Cancelled"/>
    <n v="0"/>
    <x v="52"/>
  </r>
  <r>
    <n v="746"/>
    <n v="1360"/>
    <n v="8"/>
    <n v="1"/>
    <n v="55"/>
    <n v="55"/>
    <s v="Cancelled"/>
    <n v="0"/>
    <x v="52"/>
  </r>
  <r>
    <n v="747"/>
    <n v="1360"/>
    <n v="12"/>
    <n v="3"/>
    <n v="22"/>
    <n v="66"/>
    <s v="Cancelled"/>
    <n v="0"/>
    <x v="52"/>
  </r>
  <r>
    <n v="748"/>
    <n v="1361"/>
    <n v="10"/>
    <n v="2"/>
    <n v="8"/>
    <n v="16"/>
    <s v="Delivered"/>
    <n v="16"/>
    <x v="25"/>
  </r>
  <r>
    <n v="749"/>
    <n v="1361"/>
    <n v="2"/>
    <n v="4"/>
    <n v="220"/>
    <n v="880"/>
    <s v="Delivered"/>
    <n v="880"/>
    <x v="25"/>
  </r>
  <r>
    <n v="750"/>
    <n v="1362"/>
    <n v="7"/>
    <n v="1"/>
    <n v="65"/>
    <n v="65"/>
    <s v="Delivered"/>
    <n v="65"/>
    <x v="160"/>
  </r>
  <r>
    <n v="751"/>
    <n v="1362"/>
    <n v="1"/>
    <n v="2"/>
    <n v="750"/>
    <n v="1500"/>
    <s v="Delivered"/>
    <n v="1500"/>
    <x v="160"/>
  </r>
  <r>
    <n v="752"/>
    <n v="1362"/>
    <n v="4"/>
    <n v="2"/>
    <n v="25"/>
    <n v="50"/>
    <s v="Delivered"/>
    <n v="50"/>
    <x v="160"/>
  </r>
  <r>
    <n v="753"/>
    <n v="1363"/>
    <n v="7"/>
    <n v="1"/>
    <n v="65"/>
    <n v="65"/>
    <s v="Delivered"/>
    <n v="65"/>
    <x v="108"/>
  </r>
  <r>
    <n v="754"/>
    <n v="1363"/>
    <n v="10"/>
    <n v="3"/>
    <n v="8"/>
    <n v="24"/>
    <s v="Delivered"/>
    <n v="24"/>
    <x v="108"/>
  </r>
  <r>
    <n v="755"/>
    <n v="1363"/>
    <n v="11"/>
    <n v="1"/>
    <n v="48"/>
    <n v="48"/>
    <s v="Delivered"/>
    <n v="48"/>
    <x v="108"/>
  </r>
  <r>
    <n v="756"/>
    <n v="1364"/>
    <n v="3"/>
    <n v="3"/>
    <n v="45"/>
    <n v="135"/>
    <s v="Delivered"/>
    <n v="135"/>
    <x v="109"/>
  </r>
  <r>
    <n v="757"/>
    <n v="1364"/>
    <n v="10"/>
    <n v="2"/>
    <n v="8"/>
    <n v="16"/>
    <s v="Delivered"/>
    <n v="16"/>
    <x v="109"/>
  </r>
  <r>
    <n v="758"/>
    <n v="1364"/>
    <n v="12"/>
    <n v="3"/>
    <n v="22"/>
    <n v="66"/>
    <s v="Delivered"/>
    <n v="66"/>
    <x v="109"/>
  </r>
  <r>
    <n v="759"/>
    <n v="1365"/>
    <n v="9"/>
    <n v="4"/>
    <n v="30"/>
    <n v="120"/>
    <s v="Delivered"/>
    <n v="120"/>
    <x v="159"/>
  </r>
  <r>
    <n v="760"/>
    <n v="1366"/>
    <n v="2"/>
    <n v="2"/>
    <n v="220"/>
    <n v="440"/>
    <s v="Delivered"/>
    <n v="440"/>
    <x v="157"/>
  </r>
  <r>
    <n v="761"/>
    <n v="1366"/>
    <n v="12"/>
    <n v="1"/>
    <n v="22"/>
    <n v="22"/>
    <s v="Delivered"/>
    <n v="22"/>
    <x v="157"/>
  </r>
  <r>
    <n v="762"/>
    <n v="1366"/>
    <n v="8"/>
    <n v="4"/>
    <n v="55"/>
    <n v="220"/>
    <s v="Delivered"/>
    <n v="220"/>
    <x v="157"/>
  </r>
  <r>
    <n v="763"/>
    <n v="1367"/>
    <n v="6"/>
    <n v="1"/>
    <n v="140"/>
    <n v="140"/>
    <s v="Delivered"/>
    <n v="140"/>
    <x v="126"/>
  </r>
  <r>
    <n v="764"/>
    <n v="1367"/>
    <n v="10"/>
    <n v="4"/>
    <n v="8"/>
    <n v="32"/>
    <s v="Delivered"/>
    <n v="32"/>
    <x v="126"/>
  </r>
  <r>
    <n v="765"/>
    <n v="1368"/>
    <n v="5"/>
    <n v="1"/>
    <n v="180"/>
    <n v="180"/>
    <s v="Delivered"/>
    <n v="180"/>
    <x v="43"/>
  </r>
  <r>
    <n v="766"/>
    <n v="1368"/>
    <n v="4"/>
    <n v="1"/>
    <n v="25"/>
    <n v="25"/>
    <s v="Delivered"/>
    <n v="25"/>
    <x v="43"/>
  </r>
  <r>
    <n v="767"/>
    <n v="1369"/>
    <n v="6"/>
    <n v="2"/>
    <n v="140"/>
    <n v="280"/>
    <s v="Delivered"/>
    <n v="280"/>
    <x v="39"/>
  </r>
  <r>
    <n v="768"/>
    <n v="1369"/>
    <n v="2"/>
    <n v="4"/>
    <n v="220"/>
    <n v="880"/>
    <s v="Delivered"/>
    <n v="880"/>
    <x v="39"/>
  </r>
  <r>
    <n v="769"/>
    <n v="1370"/>
    <n v="7"/>
    <n v="4"/>
    <n v="65"/>
    <n v="260"/>
    <s v="Delivered"/>
    <n v="260"/>
    <x v="63"/>
  </r>
  <r>
    <n v="770"/>
    <n v="1370"/>
    <n v="4"/>
    <n v="2"/>
    <n v="25"/>
    <n v="50"/>
    <s v="Delivered"/>
    <n v="50"/>
    <x v="63"/>
  </r>
  <r>
    <n v="771"/>
    <n v="1370"/>
    <n v="12"/>
    <n v="3"/>
    <n v="22"/>
    <n v="66"/>
    <s v="Delivered"/>
    <n v="66"/>
    <x v="63"/>
  </r>
  <r>
    <n v="772"/>
    <n v="1371"/>
    <n v="3"/>
    <n v="2"/>
    <n v="45"/>
    <n v="90"/>
    <s v="Delivered"/>
    <n v="90"/>
    <x v="50"/>
  </r>
  <r>
    <n v="773"/>
    <n v="1371"/>
    <n v="11"/>
    <n v="4"/>
    <n v="48"/>
    <n v="192"/>
    <s v="Delivered"/>
    <n v="192"/>
    <x v="50"/>
  </r>
  <r>
    <n v="774"/>
    <n v="1371"/>
    <n v="2"/>
    <n v="2"/>
    <n v="220"/>
    <n v="440"/>
    <s v="Delivered"/>
    <n v="440"/>
    <x v="50"/>
  </r>
  <r>
    <n v="775"/>
    <n v="1372"/>
    <n v="7"/>
    <n v="1"/>
    <n v="65"/>
    <n v="65"/>
    <s v="Delivered"/>
    <n v="65"/>
    <x v="86"/>
  </r>
  <r>
    <n v="776"/>
    <n v="1373"/>
    <n v="6"/>
    <n v="1"/>
    <n v="140"/>
    <n v="140"/>
    <s v="Delivered"/>
    <n v="140"/>
    <x v="7"/>
  </r>
  <r>
    <n v="777"/>
    <n v="1374"/>
    <n v="10"/>
    <n v="4"/>
    <n v="8"/>
    <n v="32"/>
    <s v="Delivered"/>
    <n v="32"/>
    <x v="86"/>
  </r>
  <r>
    <n v="778"/>
    <n v="1374"/>
    <n v="1"/>
    <n v="4"/>
    <n v="750"/>
    <n v="3000"/>
    <s v="Delivered"/>
    <n v="3000"/>
    <x v="86"/>
  </r>
  <r>
    <n v="779"/>
    <n v="1374"/>
    <n v="3"/>
    <n v="1"/>
    <n v="45"/>
    <n v="45"/>
    <s v="Delivered"/>
    <n v="45"/>
    <x v="86"/>
  </r>
  <r>
    <n v="780"/>
    <n v="1375"/>
    <n v="12"/>
    <n v="2"/>
    <n v="22"/>
    <n v="44"/>
    <s v="Delivered"/>
    <n v="44"/>
    <x v="78"/>
  </r>
  <r>
    <n v="781"/>
    <n v="1375"/>
    <n v="4"/>
    <n v="1"/>
    <n v="25"/>
    <n v="25"/>
    <s v="Delivered"/>
    <n v="25"/>
    <x v="78"/>
  </r>
  <r>
    <n v="782"/>
    <n v="1375"/>
    <n v="10"/>
    <n v="3"/>
    <n v="8"/>
    <n v="24"/>
    <s v="Delivered"/>
    <n v="24"/>
    <x v="78"/>
  </r>
  <r>
    <n v="783"/>
    <n v="1376"/>
    <n v="10"/>
    <n v="1"/>
    <n v="8"/>
    <n v="8"/>
    <s v="Delivered"/>
    <n v="8"/>
    <x v="161"/>
  </r>
  <r>
    <n v="784"/>
    <n v="1376"/>
    <n v="4"/>
    <n v="1"/>
    <n v="25"/>
    <n v="25"/>
    <s v="Delivered"/>
    <n v="25"/>
    <x v="161"/>
  </r>
  <r>
    <n v="785"/>
    <n v="1377"/>
    <n v="10"/>
    <n v="2"/>
    <n v="8"/>
    <n v="16"/>
    <s v="Delivered"/>
    <n v="16"/>
    <x v="158"/>
  </r>
  <r>
    <n v="786"/>
    <n v="1378"/>
    <n v="9"/>
    <n v="3"/>
    <n v="30"/>
    <n v="90"/>
    <s v="Delivered"/>
    <n v="90"/>
    <x v="162"/>
  </r>
  <r>
    <n v="787"/>
    <n v="1379"/>
    <n v="12"/>
    <n v="4"/>
    <n v="22"/>
    <n v="88"/>
    <s v="Delivered"/>
    <n v="88"/>
    <x v="17"/>
  </r>
  <r>
    <n v="788"/>
    <n v="1379"/>
    <n v="8"/>
    <n v="4"/>
    <n v="55"/>
    <n v="220"/>
    <s v="Delivered"/>
    <n v="220"/>
    <x v="17"/>
  </r>
  <r>
    <n v="789"/>
    <n v="1380"/>
    <n v="2"/>
    <n v="1"/>
    <n v="220"/>
    <n v="220"/>
    <s v="Delivered"/>
    <n v="220"/>
    <x v="102"/>
  </r>
  <r>
    <n v="790"/>
    <n v="1380"/>
    <n v="5"/>
    <n v="4"/>
    <n v="180"/>
    <n v="720"/>
    <s v="Delivered"/>
    <n v="720"/>
    <x v="102"/>
  </r>
  <r>
    <n v="791"/>
    <n v="1381"/>
    <n v="9"/>
    <n v="2"/>
    <n v="30"/>
    <n v="60"/>
    <s v="Delivered"/>
    <n v="60"/>
    <x v="28"/>
  </r>
  <r>
    <n v="792"/>
    <n v="1381"/>
    <n v="1"/>
    <n v="3"/>
    <n v="750"/>
    <n v="2250"/>
    <s v="Delivered"/>
    <n v="2250"/>
    <x v="28"/>
  </r>
  <r>
    <n v="793"/>
    <n v="1381"/>
    <n v="5"/>
    <n v="1"/>
    <n v="180"/>
    <n v="180"/>
    <s v="Delivered"/>
    <n v="180"/>
    <x v="28"/>
  </r>
  <r>
    <n v="794"/>
    <n v="1382"/>
    <n v="10"/>
    <n v="3"/>
    <n v="8"/>
    <n v="24"/>
    <s v="Delivered"/>
    <n v="24"/>
    <x v="29"/>
  </r>
  <r>
    <n v="795"/>
    <n v="1383"/>
    <n v="4"/>
    <n v="2"/>
    <n v="25"/>
    <n v="50"/>
    <s v="Delivered"/>
    <n v="50"/>
    <x v="84"/>
  </r>
  <r>
    <n v="796"/>
    <n v="1383"/>
    <n v="5"/>
    <n v="2"/>
    <n v="180"/>
    <n v="360"/>
    <s v="Delivered"/>
    <n v="360"/>
    <x v="84"/>
  </r>
  <r>
    <n v="797"/>
    <n v="1383"/>
    <n v="12"/>
    <n v="2"/>
    <n v="22"/>
    <n v="44"/>
    <s v="Delivered"/>
    <n v="44"/>
    <x v="84"/>
  </r>
  <r>
    <n v="798"/>
    <n v="1384"/>
    <n v="1"/>
    <n v="4"/>
    <n v="750"/>
    <n v="3000"/>
    <s v="Delivered"/>
    <n v="3000"/>
    <x v="92"/>
  </r>
  <r>
    <n v="799"/>
    <n v="1384"/>
    <n v="9"/>
    <n v="3"/>
    <n v="30"/>
    <n v="90"/>
    <s v="Delivered"/>
    <n v="90"/>
    <x v="92"/>
  </r>
  <r>
    <n v="800"/>
    <n v="1384"/>
    <n v="12"/>
    <n v="3"/>
    <n v="22"/>
    <n v="66"/>
    <s v="Delivered"/>
    <n v="66"/>
    <x v="92"/>
  </r>
  <r>
    <n v="801"/>
    <n v="1385"/>
    <n v="7"/>
    <n v="2"/>
    <n v="65"/>
    <n v="130"/>
    <s v="Delivered"/>
    <n v="130"/>
    <x v="26"/>
  </r>
  <r>
    <n v="802"/>
    <n v="1385"/>
    <n v="4"/>
    <n v="1"/>
    <n v="25"/>
    <n v="25"/>
    <s v="Delivered"/>
    <n v="25"/>
    <x v="26"/>
  </r>
  <r>
    <n v="803"/>
    <n v="1386"/>
    <n v="2"/>
    <n v="4"/>
    <n v="220"/>
    <n v="880"/>
    <s v="Delivered"/>
    <n v="880"/>
    <x v="35"/>
  </r>
  <r>
    <n v="804"/>
    <n v="1386"/>
    <n v="9"/>
    <n v="3"/>
    <n v="30"/>
    <n v="90"/>
    <s v="Delivered"/>
    <n v="90"/>
    <x v="35"/>
  </r>
  <r>
    <n v="805"/>
    <n v="1387"/>
    <n v="9"/>
    <n v="3"/>
    <n v="30"/>
    <n v="90"/>
    <s v="Delivered"/>
    <n v="90"/>
    <x v="47"/>
  </r>
  <r>
    <n v="806"/>
    <n v="1388"/>
    <n v="12"/>
    <n v="3"/>
    <n v="22"/>
    <n v="66"/>
    <s v="Delivered"/>
    <n v="66"/>
    <x v="81"/>
  </r>
  <r>
    <n v="807"/>
    <n v="1388"/>
    <n v="6"/>
    <n v="4"/>
    <n v="140"/>
    <n v="560"/>
    <s v="Delivered"/>
    <n v="560"/>
    <x v="81"/>
  </r>
  <r>
    <n v="808"/>
    <n v="1389"/>
    <n v="5"/>
    <n v="4"/>
    <n v="180"/>
    <n v="720"/>
    <s v="Delivered"/>
    <n v="720"/>
    <x v="22"/>
  </r>
  <r>
    <n v="809"/>
    <n v="1389"/>
    <n v="4"/>
    <n v="4"/>
    <n v="25"/>
    <n v="100"/>
    <s v="Delivered"/>
    <n v="100"/>
    <x v="22"/>
  </r>
  <r>
    <n v="810"/>
    <n v="1389"/>
    <n v="9"/>
    <n v="2"/>
    <n v="30"/>
    <n v="60"/>
    <s v="Delivered"/>
    <n v="60"/>
    <x v="22"/>
  </r>
  <r>
    <n v="811"/>
    <n v="1390"/>
    <n v="9"/>
    <n v="4"/>
    <n v="30"/>
    <n v="120"/>
    <s v="Delivered"/>
    <n v="120"/>
    <x v="29"/>
  </r>
  <r>
    <n v="812"/>
    <n v="1390"/>
    <n v="12"/>
    <n v="3"/>
    <n v="22"/>
    <n v="66"/>
    <s v="Delivered"/>
    <n v="66"/>
    <x v="29"/>
  </r>
  <r>
    <n v="813"/>
    <n v="1390"/>
    <n v="6"/>
    <n v="3"/>
    <n v="140"/>
    <n v="420"/>
    <s v="Delivered"/>
    <n v="420"/>
    <x v="29"/>
  </r>
  <r>
    <n v="814"/>
    <n v="1391"/>
    <n v="11"/>
    <n v="4"/>
    <n v="48"/>
    <n v="192"/>
    <s v="Delivered"/>
    <n v="192"/>
    <x v="163"/>
  </r>
  <r>
    <n v="815"/>
    <n v="1391"/>
    <n v="2"/>
    <n v="3"/>
    <n v="220"/>
    <n v="660"/>
    <s v="Delivered"/>
    <n v="660"/>
    <x v="163"/>
  </r>
  <r>
    <n v="816"/>
    <n v="1392"/>
    <n v="11"/>
    <n v="2"/>
    <n v="48"/>
    <n v="96"/>
    <s v="Delivered"/>
    <n v="96"/>
    <x v="50"/>
  </r>
  <r>
    <n v="817"/>
    <n v="1392"/>
    <n v="10"/>
    <n v="2"/>
    <n v="8"/>
    <n v="16"/>
    <s v="Delivered"/>
    <n v="16"/>
    <x v="50"/>
  </r>
  <r>
    <n v="818"/>
    <n v="1393"/>
    <n v="7"/>
    <n v="3"/>
    <n v="65"/>
    <n v="195"/>
    <s v="Delivered"/>
    <n v="195"/>
    <x v="164"/>
  </r>
  <r>
    <n v="819"/>
    <n v="1394"/>
    <n v="2"/>
    <n v="2"/>
    <n v="220"/>
    <n v="440"/>
    <s v="Delivered"/>
    <n v="440"/>
    <x v="146"/>
  </r>
  <r>
    <n v="820"/>
    <n v="1394"/>
    <n v="12"/>
    <n v="3"/>
    <n v="22"/>
    <n v="66"/>
    <s v="Delivered"/>
    <n v="66"/>
    <x v="146"/>
  </r>
  <r>
    <n v="821"/>
    <n v="1395"/>
    <n v="6"/>
    <n v="4"/>
    <n v="140"/>
    <n v="560"/>
    <s v="Delivered"/>
    <n v="560"/>
    <x v="59"/>
  </r>
  <r>
    <n v="822"/>
    <n v="1395"/>
    <n v="10"/>
    <n v="4"/>
    <n v="8"/>
    <n v="32"/>
    <s v="Delivered"/>
    <n v="32"/>
    <x v="59"/>
  </r>
  <r>
    <n v="823"/>
    <n v="1396"/>
    <n v="3"/>
    <n v="4"/>
    <n v="45"/>
    <n v="180"/>
    <s v="Delivered"/>
    <n v="180"/>
    <x v="156"/>
  </r>
  <r>
    <n v="824"/>
    <n v="1397"/>
    <n v="2"/>
    <n v="2"/>
    <n v="220"/>
    <n v="440"/>
    <s v="Delivered"/>
    <n v="440"/>
    <x v="62"/>
  </r>
  <r>
    <n v="825"/>
    <n v="1397"/>
    <n v="12"/>
    <n v="1"/>
    <n v="22"/>
    <n v="22"/>
    <s v="Delivered"/>
    <n v="22"/>
    <x v="62"/>
  </r>
  <r>
    <n v="826"/>
    <n v="1397"/>
    <n v="5"/>
    <n v="4"/>
    <n v="180"/>
    <n v="720"/>
    <s v="Delivered"/>
    <n v="720"/>
    <x v="62"/>
  </r>
  <r>
    <n v="827"/>
    <n v="1398"/>
    <n v="1"/>
    <n v="3"/>
    <n v="750"/>
    <n v="2250"/>
    <s v="Delivered"/>
    <n v="2250"/>
    <x v="165"/>
  </r>
  <r>
    <n v="828"/>
    <n v="1399"/>
    <n v="9"/>
    <n v="4"/>
    <n v="30"/>
    <n v="120"/>
    <s v="Delivered"/>
    <n v="120"/>
    <x v="132"/>
  </r>
  <r>
    <n v="829"/>
    <n v="1399"/>
    <n v="3"/>
    <n v="4"/>
    <n v="45"/>
    <n v="180"/>
    <s v="Delivered"/>
    <n v="180"/>
    <x v="132"/>
  </r>
  <r>
    <n v="830"/>
    <n v="1399"/>
    <n v="10"/>
    <n v="3"/>
    <n v="8"/>
    <n v="24"/>
    <s v="Delivered"/>
    <n v="24"/>
    <x v="132"/>
  </r>
  <r>
    <n v="831"/>
    <n v="1400"/>
    <n v="3"/>
    <n v="1"/>
    <n v="45"/>
    <n v="45"/>
    <s v="Delivered"/>
    <n v="45"/>
    <x v="65"/>
  </r>
  <r>
    <n v="832"/>
    <n v="1400"/>
    <n v="5"/>
    <n v="1"/>
    <n v="180"/>
    <n v="180"/>
    <s v="Delivered"/>
    <n v="180"/>
    <x v="65"/>
  </r>
  <r>
    <n v="833"/>
    <n v="1401"/>
    <n v="5"/>
    <n v="4"/>
    <n v="180"/>
    <n v="720"/>
    <s v="Delivered"/>
    <n v="720"/>
    <x v="4"/>
  </r>
  <r>
    <n v="834"/>
    <n v="1401"/>
    <n v="1"/>
    <n v="3"/>
    <n v="750"/>
    <n v="2250"/>
    <s v="Delivered"/>
    <n v="2250"/>
    <x v="4"/>
  </r>
  <r>
    <n v="835"/>
    <n v="1402"/>
    <n v="4"/>
    <n v="4"/>
    <n v="25"/>
    <n v="100"/>
    <s v="Cancelled"/>
    <n v="0"/>
    <x v="166"/>
  </r>
  <r>
    <n v="836"/>
    <n v="1402"/>
    <n v="3"/>
    <n v="4"/>
    <n v="45"/>
    <n v="180"/>
    <s v="Cancelled"/>
    <n v="0"/>
    <x v="166"/>
  </r>
  <r>
    <n v="837"/>
    <n v="1403"/>
    <n v="4"/>
    <n v="3"/>
    <n v="25"/>
    <n v="75"/>
    <s v="Delivered"/>
    <n v="75"/>
    <x v="13"/>
  </r>
  <r>
    <n v="838"/>
    <n v="1403"/>
    <n v="9"/>
    <n v="3"/>
    <n v="30"/>
    <n v="90"/>
    <s v="Delivered"/>
    <n v="90"/>
    <x v="13"/>
  </r>
  <r>
    <n v="839"/>
    <n v="1403"/>
    <n v="10"/>
    <n v="3"/>
    <n v="8"/>
    <n v="24"/>
    <s v="Delivered"/>
    <n v="24"/>
    <x v="13"/>
  </r>
  <r>
    <n v="840"/>
    <n v="1404"/>
    <n v="12"/>
    <n v="4"/>
    <n v="22"/>
    <n v="88"/>
    <s v="Delivered"/>
    <n v="88"/>
    <x v="80"/>
  </r>
  <r>
    <n v="841"/>
    <n v="1404"/>
    <n v="10"/>
    <n v="2"/>
    <n v="8"/>
    <n v="16"/>
    <s v="Delivered"/>
    <n v="16"/>
    <x v="80"/>
  </r>
  <r>
    <n v="842"/>
    <n v="1405"/>
    <n v="3"/>
    <n v="1"/>
    <n v="45"/>
    <n v="45"/>
    <s v="Pending"/>
    <n v="45"/>
    <x v="81"/>
  </r>
  <r>
    <n v="843"/>
    <n v="1405"/>
    <n v="8"/>
    <n v="2"/>
    <n v="55"/>
    <n v="110"/>
    <s v="Pending"/>
    <n v="110"/>
    <x v="81"/>
  </r>
  <r>
    <n v="844"/>
    <n v="1406"/>
    <n v="7"/>
    <n v="4"/>
    <n v="65"/>
    <n v="260"/>
    <s v="Delivered"/>
    <n v="260"/>
    <x v="16"/>
  </r>
  <r>
    <n v="845"/>
    <n v="1406"/>
    <n v="5"/>
    <n v="3"/>
    <n v="180"/>
    <n v="540"/>
    <s v="Delivered"/>
    <n v="540"/>
    <x v="16"/>
  </r>
  <r>
    <n v="846"/>
    <n v="1407"/>
    <n v="9"/>
    <n v="4"/>
    <n v="30"/>
    <n v="120"/>
    <s v="Delivered"/>
    <n v="120"/>
    <x v="108"/>
  </r>
  <r>
    <n v="847"/>
    <n v="1408"/>
    <n v="8"/>
    <n v="1"/>
    <n v="55"/>
    <n v="55"/>
    <s v="Delivered"/>
    <n v="55"/>
    <x v="46"/>
  </r>
  <r>
    <n v="848"/>
    <n v="1408"/>
    <n v="4"/>
    <n v="2"/>
    <n v="25"/>
    <n v="50"/>
    <s v="Delivered"/>
    <n v="50"/>
    <x v="46"/>
  </r>
  <r>
    <n v="849"/>
    <n v="1409"/>
    <n v="3"/>
    <n v="1"/>
    <n v="45"/>
    <n v="45"/>
    <s v="Delivered"/>
    <n v="45"/>
    <x v="142"/>
  </r>
  <r>
    <n v="850"/>
    <n v="1409"/>
    <n v="11"/>
    <n v="1"/>
    <n v="48"/>
    <n v="48"/>
    <s v="Delivered"/>
    <n v="48"/>
    <x v="142"/>
  </r>
  <r>
    <n v="851"/>
    <n v="1410"/>
    <n v="11"/>
    <n v="4"/>
    <n v="48"/>
    <n v="192"/>
    <s v="Delivered"/>
    <n v="192"/>
    <x v="143"/>
  </r>
  <r>
    <n v="852"/>
    <n v="1411"/>
    <n v="10"/>
    <n v="4"/>
    <n v="8"/>
    <n v="32"/>
    <s v="Delivered"/>
    <n v="32"/>
    <x v="145"/>
  </r>
  <r>
    <n v="853"/>
    <n v="1412"/>
    <n v="1"/>
    <n v="2"/>
    <n v="750"/>
    <n v="1500"/>
    <s v="Delivered"/>
    <n v="1500"/>
    <x v="99"/>
  </r>
  <r>
    <n v="854"/>
    <n v="1412"/>
    <n v="12"/>
    <n v="1"/>
    <n v="22"/>
    <n v="22"/>
    <s v="Delivered"/>
    <n v="22"/>
    <x v="99"/>
  </r>
  <r>
    <n v="855"/>
    <n v="1412"/>
    <n v="6"/>
    <n v="2"/>
    <n v="140"/>
    <n v="280"/>
    <s v="Delivered"/>
    <n v="280"/>
    <x v="99"/>
  </r>
  <r>
    <n v="856"/>
    <n v="1413"/>
    <n v="4"/>
    <n v="3"/>
    <n v="25"/>
    <n v="75"/>
    <s v="Delivered"/>
    <n v="75"/>
    <x v="50"/>
  </r>
  <r>
    <n v="857"/>
    <n v="1413"/>
    <n v="1"/>
    <n v="2"/>
    <n v="750"/>
    <n v="1500"/>
    <s v="Delivered"/>
    <n v="1500"/>
    <x v="50"/>
  </r>
  <r>
    <n v="858"/>
    <n v="1413"/>
    <n v="7"/>
    <n v="3"/>
    <n v="65"/>
    <n v="195"/>
    <s v="Delivered"/>
    <n v="195"/>
    <x v="50"/>
  </r>
  <r>
    <n v="859"/>
    <n v="1414"/>
    <n v="3"/>
    <n v="3"/>
    <n v="45"/>
    <n v="135"/>
    <s v="Delivered"/>
    <n v="135"/>
    <x v="101"/>
  </r>
  <r>
    <n v="860"/>
    <n v="1414"/>
    <n v="9"/>
    <n v="4"/>
    <n v="30"/>
    <n v="120"/>
    <s v="Delivered"/>
    <n v="120"/>
    <x v="101"/>
  </r>
  <r>
    <n v="861"/>
    <n v="1414"/>
    <n v="6"/>
    <n v="3"/>
    <n v="140"/>
    <n v="420"/>
    <s v="Delivered"/>
    <n v="420"/>
    <x v="101"/>
  </r>
  <r>
    <n v="862"/>
    <n v="1415"/>
    <n v="5"/>
    <n v="3"/>
    <n v="180"/>
    <n v="540"/>
    <s v="Delivered"/>
    <n v="540"/>
    <x v="133"/>
  </r>
  <r>
    <n v="863"/>
    <n v="1415"/>
    <n v="9"/>
    <n v="4"/>
    <n v="30"/>
    <n v="120"/>
    <s v="Delivered"/>
    <n v="120"/>
    <x v="133"/>
  </r>
  <r>
    <n v="864"/>
    <n v="1416"/>
    <n v="4"/>
    <n v="4"/>
    <n v="25"/>
    <n v="100"/>
    <s v="Delivered"/>
    <n v="100"/>
    <x v="82"/>
  </r>
  <r>
    <n v="865"/>
    <n v="1416"/>
    <n v="6"/>
    <n v="2"/>
    <n v="140"/>
    <n v="280"/>
    <s v="Delivered"/>
    <n v="280"/>
    <x v="82"/>
  </r>
  <r>
    <n v="866"/>
    <n v="1416"/>
    <n v="2"/>
    <n v="4"/>
    <n v="220"/>
    <n v="880"/>
    <s v="Delivered"/>
    <n v="880"/>
    <x v="82"/>
  </r>
  <r>
    <n v="867"/>
    <n v="1417"/>
    <n v="11"/>
    <n v="2"/>
    <n v="48"/>
    <n v="96"/>
    <s v="Delivered"/>
    <n v="96"/>
    <x v="91"/>
  </r>
  <r>
    <n v="868"/>
    <n v="1417"/>
    <n v="2"/>
    <n v="2"/>
    <n v="220"/>
    <n v="440"/>
    <s v="Delivered"/>
    <n v="440"/>
    <x v="91"/>
  </r>
  <r>
    <n v="869"/>
    <n v="1417"/>
    <n v="1"/>
    <n v="1"/>
    <n v="750"/>
    <n v="750"/>
    <s v="Delivered"/>
    <n v="750"/>
    <x v="91"/>
  </r>
  <r>
    <n v="870"/>
    <n v="1418"/>
    <n v="10"/>
    <n v="1"/>
    <n v="8"/>
    <n v="8"/>
    <s v="Delivered"/>
    <n v="8"/>
    <x v="91"/>
  </r>
  <r>
    <n v="871"/>
    <n v="1418"/>
    <n v="12"/>
    <n v="3"/>
    <n v="22"/>
    <n v="66"/>
    <s v="Delivered"/>
    <n v="66"/>
    <x v="91"/>
  </r>
  <r>
    <n v="872"/>
    <n v="1418"/>
    <n v="5"/>
    <n v="2"/>
    <n v="180"/>
    <n v="360"/>
    <s v="Delivered"/>
    <n v="360"/>
    <x v="91"/>
  </r>
  <r>
    <n v="873"/>
    <n v="1419"/>
    <n v="11"/>
    <n v="3"/>
    <n v="48"/>
    <n v="144"/>
    <s v="Delivered"/>
    <n v="144"/>
    <x v="76"/>
  </r>
  <r>
    <n v="874"/>
    <n v="1419"/>
    <n v="1"/>
    <n v="4"/>
    <n v="750"/>
    <n v="3000"/>
    <s v="Delivered"/>
    <n v="3000"/>
    <x v="76"/>
  </r>
  <r>
    <n v="875"/>
    <n v="1420"/>
    <n v="2"/>
    <n v="1"/>
    <n v="220"/>
    <n v="220"/>
    <s v="Delivered"/>
    <n v="220"/>
    <x v="115"/>
  </r>
  <r>
    <n v="876"/>
    <n v="1420"/>
    <n v="4"/>
    <n v="1"/>
    <n v="25"/>
    <n v="25"/>
    <s v="Delivered"/>
    <n v="25"/>
    <x v="115"/>
  </r>
  <r>
    <n v="877"/>
    <n v="1421"/>
    <n v="12"/>
    <n v="1"/>
    <n v="22"/>
    <n v="22"/>
    <s v="Delivered"/>
    <n v="22"/>
    <x v="51"/>
  </r>
  <r>
    <n v="878"/>
    <n v="1421"/>
    <n v="9"/>
    <n v="3"/>
    <n v="30"/>
    <n v="90"/>
    <s v="Delivered"/>
    <n v="90"/>
    <x v="51"/>
  </r>
  <r>
    <n v="879"/>
    <n v="1421"/>
    <n v="7"/>
    <n v="4"/>
    <n v="65"/>
    <n v="260"/>
    <s v="Delivered"/>
    <n v="260"/>
    <x v="51"/>
  </r>
  <r>
    <n v="880"/>
    <n v="1422"/>
    <n v="3"/>
    <n v="4"/>
    <n v="45"/>
    <n v="180"/>
    <s v="Delivered"/>
    <n v="180"/>
    <x v="154"/>
  </r>
  <r>
    <n v="881"/>
    <n v="1422"/>
    <n v="9"/>
    <n v="3"/>
    <n v="30"/>
    <n v="90"/>
    <s v="Delivered"/>
    <n v="90"/>
    <x v="154"/>
  </r>
  <r>
    <n v="882"/>
    <n v="1422"/>
    <n v="10"/>
    <n v="3"/>
    <n v="8"/>
    <n v="24"/>
    <s v="Delivered"/>
    <n v="24"/>
    <x v="154"/>
  </r>
  <r>
    <n v="883"/>
    <n v="1423"/>
    <n v="4"/>
    <n v="2"/>
    <n v="25"/>
    <n v="50"/>
    <s v="Delivered"/>
    <n v="50"/>
    <x v="167"/>
  </r>
  <r>
    <n v="884"/>
    <n v="1423"/>
    <n v="10"/>
    <n v="4"/>
    <n v="8"/>
    <n v="32"/>
    <s v="Delivered"/>
    <n v="32"/>
    <x v="167"/>
  </r>
  <r>
    <n v="885"/>
    <n v="1423"/>
    <n v="9"/>
    <n v="3"/>
    <n v="30"/>
    <n v="90"/>
    <s v="Delivered"/>
    <n v="90"/>
    <x v="167"/>
  </r>
  <r>
    <n v="886"/>
    <n v="1424"/>
    <n v="3"/>
    <n v="3"/>
    <n v="45"/>
    <n v="135"/>
    <s v="Pending"/>
    <n v="135"/>
    <x v="33"/>
  </r>
  <r>
    <n v="887"/>
    <n v="1424"/>
    <n v="5"/>
    <n v="2"/>
    <n v="180"/>
    <n v="360"/>
    <s v="Pending"/>
    <n v="360"/>
    <x v="33"/>
  </r>
  <r>
    <n v="888"/>
    <n v="1424"/>
    <n v="1"/>
    <n v="2"/>
    <n v="750"/>
    <n v="1500"/>
    <s v="Pending"/>
    <n v="1500"/>
    <x v="33"/>
  </r>
  <r>
    <n v="889"/>
    <n v="1425"/>
    <n v="9"/>
    <n v="2"/>
    <n v="30"/>
    <n v="60"/>
    <s v="Delivered"/>
    <n v="60"/>
    <x v="119"/>
  </r>
  <r>
    <n v="890"/>
    <n v="1425"/>
    <n v="12"/>
    <n v="1"/>
    <n v="22"/>
    <n v="22"/>
    <s v="Delivered"/>
    <n v="22"/>
    <x v="119"/>
  </r>
  <r>
    <n v="891"/>
    <n v="1425"/>
    <n v="10"/>
    <n v="1"/>
    <n v="8"/>
    <n v="8"/>
    <s v="Delivered"/>
    <n v="8"/>
    <x v="119"/>
  </r>
  <r>
    <n v="892"/>
    <n v="1426"/>
    <n v="10"/>
    <n v="4"/>
    <n v="8"/>
    <n v="32"/>
    <s v="Delivered"/>
    <n v="32"/>
    <x v="138"/>
  </r>
  <r>
    <n v="893"/>
    <n v="1427"/>
    <n v="10"/>
    <n v="3"/>
    <n v="8"/>
    <n v="24"/>
    <s v="Delivered"/>
    <n v="24"/>
    <x v="52"/>
  </r>
  <r>
    <n v="894"/>
    <n v="1428"/>
    <n v="2"/>
    <n v="1"/>
    <n v="220"/>
    <n v="220"/>
    <s v="Delivered"/>
    <n v="220"/>
    <x v="97"/>
  </r>
  <r>
    <n v="895"/>
    <n v="1428"/>
    <n v="4"/>
    <n v="4"/>
    <n v="25"/>
    <n v="100"/>
    <s v="Delivered"/>
    <n v="100"/>
    <x v="97"/>
  </r>
  <r>
    <n v="896"/>
    <n v="1429"/>
    <n v="1"/>
    <n v="4"/>
    <n v="750"/>
    <n v="3000"/>
    <s v="Delivered"/>
    <n v="3000"/>
    <x v="16"/>
  </r>
  <r>
    <n v="897"/>
    <n v="1430"/>
    <n v="3"/>
    <n v="3"/>
    <n v="45"/>
    <n v="135"/>
    <s v="Delivered"/>
    <n v="135"/>
    <x v="13"/>
  </r>
  <r>
    <n v="898"/>
    <n v="1431"/>
    <n v="12"/>
    <n v="2"/>
    <n v="22"/>
    <n v="44"/>
    <s v="Delivered"/>
    <n v="44"/>
    <x v="57"/>
  </r>
  <r>
    <n v="899"/>
    <n v="1431"/>
    <n v="3"/>
    <n v="4"/>
    <n v="45"/>
    <n v="180"/>
    <s v="Delivered"/>
    <n v="180"/>
    <x v="57"/>
  </r>
  <r>
    <n v="900"/>
    <n v="1432"/>
    <n v="4"/>
    <n v="1"/>
    <n v="25"/>
    <n v="25"/>
    <s v="Delivered"/>
    <n v="25"/>
    <x v="68"/>
  </r>
  <r>
    <n v="901"/>
    <n v="1433"/>
    <n v="6"/>
    <n v="2"/>
    <n v="140"/>
    <n v="280"/>
    <s v="Delivered"/>
    <n v="280"/>
    <x v="88"/>
  </r>
  <r>
    <n v="902"/>
    <n v="1433"/>
    <n v="12"/>
    <n v="3"/>
    <n v="22"/>
    <n v="66"/>
    <s v="Delivered"/>
    <n v="66"/>
    <x v="88"/>
  </r>
  <r>
    <n v="903"/>
    <n v="1434"/>
    <n v="3"/>
    <n v="2"/>
    <n v="45"/>
    <n v="90"/>
    <s v="Delivered"/>
    <n v="90"/>
    <x v="20"/>
  </r>
  <r>
    <n v="904"/>
    <n v="1434"/>
    <n v="8"/>
    <n v="2"/>
    <n v="55"/>
    <n v="110"/>
    <s v="Delivered"/>
    <n v="110"/>
    <x v="20"/>
  </r>
  <r>
    <n v="905"/>
    <n v="1434"/>
    <n v="1"/>
    <n v="3"/>
    <n v="750"/>
    <n v="2250"/>
    <s v="Delivered"/>
    <n v="2250"/>
    <x v="20"/>
  </r>
  <r>
    <n v="906"/>
    <n v="1435"/>
    <n v="1"/>
    <n v="1"/>
    <n v="750"/>
    <n v="750"/>
    <s v="Delivered"/>
    <n v="750"/>
    <x v="62"/>
  </r>
  <r>
    <n v="907"/>
    <n v="1435"/>
    <n v="6"/>
    <n v="3"/>
    <n v="140"/>
    <n v="420"/>
    <s v="Delivered"/>
    <n v="420"/>
    <x v="62"/>
  </r>
  <r>
    <n v="908"/>
    <n v="1436"/>
    <n v="9"/>
    <n v="2"/>
    <n v="30"/>
    <n v="60"/>
    <s v="Delivered"/>
    <n v="60"/>
    <x v="25"/>
  </r>
  <r>
    <n v="909"/>
    <n v="1436"/>
    <n v="8"/>
    <n v="1"/>
    <n v="55"/>
    <n v="55"/>
    <s v="Delivered"/>
    <n v="55"/>
    <x v="25"/>
  </r>
  <r>
    <n v="910"/>
    <n v="1437"/>
    <n v="10"/>
    <n v="4"/>
    <n v="8"/>
    <n v="32"/>
    <s v="Delivered"/>
    <n v="32"/>
    <x v="109"/>
  </r>
  <r>
    <n v="911"/>
    <n v="1437"/>
    <n v="5"/>
    <n v="1"/>
    <n v="180"/>
    <n v="180"/>
    <s v="Delivered"/>
    <n v="180"/>
    <x v="109"/>
  </r>
  <r>
    <n v="912"/>
    <n v="1437"/>
    <n v="1"/>
    <n v="1"/>
    <n v="750"/>
    <n v="750"/>
    <s v="Delivered"/>
    <n v="750"/>
    <x v="109"/>
  </r>
  <r>
    <n v="913"/>
    <n v="1438"/>
    <n v="11"/>
    <n v="2"/>
    <n v="48"/>
    <n v="96"/>
    <s v="Cancelled"/>
    <n v="0"/>
    <x v="116"/>
  </r>
  <r>
    <n v="914"/>
    <n v="1438"/>
    <n v="7"/>
    <n v="4"/>
    <n v="65"/>
    <n v="260"/>
    <s v="Cancelled"/>
    <n v="0"/>
    <x v="116"/>
  </r>
  <r>
    <n v="915"/>
    <n v="1439"/>
    <n v="8"/>
    <n v="1"/>
    <n v="55"/>
    <n v="55"/>
    <s v="Pending"/>
    <n v="55"/>
    <x v="89"/>
  </r>
  <r>
    <n v="916"/>
    <n v="1439"/>
    <n v="10"/>
    <n v="2"/>
    <n v="8"/>
    <n v="16"/>
    <s v="Pending"/>
    <n v="16"/>
    <x v="89"/>
  </r>
  <r>
    <n v="917"/>
    <n v="1440"/>
    <n v="1"/>
    <n v="3"/>
    <n v="750"/>
    <n v="2250"/>
    <s v="Shipped"/>
    <n v="2250"/>
    <x v="35"/>
  </r>
  <r>
    <n v="918"/>
    <n v="1440"/>
    <n v="12"/>
    <n v="3"/>
    <n v="22"/>
    <n v="66"/>
    <s v="Shipped"/>
    <n v="66"/>
    <x v="35"/>
  </r>
  <r>
    <n v="919"/>
    <n v="1440"/>
    <n v="4"/>
    <n v="4"/>
    <n v="25"/>
    <n v="100"/>
    <s v="Shipped"/>
    <n v="100"/>
    <x v="35"/>
  </r>
  <r>
    <n v="920"/>
    <n v="1441"/>
    <n v="11"/>
    <n v="2"/>
    <n v="48"/>
    <n v="96"/>
    <s v="Delivered"/>
    <n v="96"/>
    <x v="82"/>
  </r>
  <r>
    <n v="921"/>
    <n v="1441"/>
    <n v="5"/>
    <n v="3"/>
    <n v="180"/>
    <n v="540"/>
    <s v="Delivered"/>
    <n v="540"/>
    <x v="82"/>
  </r>
  <r>
    <n v="922"/>
    <n v="1442"/>
    <n v="6"/>
    <n v="4"/>
    <n v="140"/>
    <n v="560"/>
    <s v="Shipped"/>
    <n v="560"/>
    <x v="75"/>
  </r>
  <r>
    <n v="923"/>
    <n v="1443"/>
    <n v="4"/>
    <n v="2"/>
    <n v="25"/>
    <n v="50"/>
    <s v="Delivered"/>
    <n v="50"/>
    <x v="45"/>
  </r>
  <r>
    <n v="924"/>
    <n v="1443"/>
    <n v="10"/>
    <n v="4"/>
    <n v="8"/>
    <n v="32"/>
    <s v="Delivered"/>
    <n v="32"/>
    <x v="45"/>
  </r>
  <r>
    <n v="925"/>
    <n v="1444"/>
    <n v="9"/>
    <n v="2"/>
    <n v="30"/>
    <n v="60"/>
    <s v="Delivered"/>
    <n v="60"/>
    <x v="90"/>
  </r>
  <r>
    <n v="926"/>
    <n v="1444"/>
    <n v="11"/>
    <n v="3"/>
    <n v="48"/>
    <n v="144"/>
    <s v="Delivered"/>
    <n v="144"/>
    <x v="90"/>
  </r>
  <r>
    <n v="927"/>
    <n v="1444"/>
    <n v="4"/>
    <n v="2"/>
    <n v="25"/>
    <n v="50"/>
    <s v="Delivered"/>
    <n v="50"/>
    <x v="90"/>
  </r>
  <r>
    <n v="928"/>
    <n v="1445"/>
    <n v="9"/>
    <n v="1"/>
    <n v="30"/>
    <n v="30"/>
    <s v="Shipped"/>
    <n v="30"/>
    <x v="63"/>
  </r>
  <r>
    <n v="929"/>
    <n v="1446"/>
    <n v="5"/>
    <n v="3"/>
    <n v="180"/>
    <n v="540"/>
    <s v="Delivered"/>
    <n v="540"/>
    <x v="131"/>
  </r>
  <r>
    <n v="930"/>
    <n v="1446"/>
    <n v="8"/>
    <n v="2"/>
    <n v="55"/>
    <n v="110"/>
    <s v="Delivered"/>
    <n v="110"/>
    <x v="131"/>
  </r>
  <r>
    <n v="931"/>
    <n v="1447"/>
    <n v="4"/>
    <n v="2"/>
    <n v="25"/>
    <n v="50"/>
    <s v="Delivered"/>
    <n v="50"/>
    <x v="86"/>
  </r>
  <r>
    <n v="932"/>
    <n v="1447"/>
    <n v="10"/>
    <n v="1"/>
    <n v="8"/>
    <n v="8"/>
    <s v="Delivered"/>
    <n v="8"/>
    <x v="86"/>
  </r>
  <r>
    <n v="933"/>
    <n v="1447"/>
    <n v="12"/>
    <n v="3"/>
    <n v="22"/>
    <n v="66"/>
    <s v="Delivered"/>
    <n v="66"/>
    <x v="86"/>
  </r>
  <r>
    <n v="934"/>
    <n v="1448"/>
    <n v="7"/>
    <n v="4"/>
    <n v="65"/>
    <n v="260"/>
    <s v="Delivered"/>
    <n v="260"/>
    <x v="4"/>
  </r>
  <r>
    <n v="935"/>
    <n v="1449"/>
    <n v="12"/>
    <n v="2"/>
    <n v="22"/>
    <n v="44"/>
    <s v="Shipped"/>
    <n v="44"/>
    <x v="46"/>
  </r>
  <r>
    <n v="936"/>
    <n v="1450"/>
    <n v="8"/>
    <n v="2"/>
    <n v="55"/>
    <n v="110"/>
    <s v="Shipped"/>
    <n v="110"/>
    <x v="29"/>
  </r>
  <r>
    <n v="937"/>
    <n v="1450"/>
    <n v="6"/>
    <n v="4"/>
    <n v="140"/>
    <n v="560"/>
    <s v="Shipped"/>
    <n v="560"/>
    <x v="29"/>
  </r>
  <r>
    <n v="938"/>
    <n v="1450"/>
    <n v="12"/>
    <n v="4"/>
    <n v="22"/>
    <n v="88"/>
    <s v="Shipped"/>
    <n v="88"/>
    <x v="29"/>
  </r>
  <r>
    <n v="939"/>
    <n v="1451"/>
    <n v="12"/>
    <n v="1"/>
    <n v="22"/>
    <n v="22"/>
    <s v="Delivered"/>
    <n v="22"/>
    <x v="45"/>
  </r>
  <r>
    <n v="940"/>
    <n v="1451"/>
    <n v="10"/>
    <n v="1"/>
    <n v="8"/>
    <n v="8"/>
    <s v="Delivered"/>
    <n v="8"/>
    <x v="45"/>
  </r>
  <r>
    <n v="941"/>
    <n v="1451"/>
    <n v="11"/>
    <n v="4"/>
    <n v="48"/>
    <n v="192"/>
    <s v="Delivered"/>
    <n v="192"/>
    <x v="45"/>
  </r>
  <r>
    <n v="942"/>
    <n v="1452"/>
    <n v="7"/>
    <n v="2"/>
    <n v="65"/>
    <n v="130"/>
    <s v="Delivered"/>
    <n v="130"/>
    <x v="130"/>
  </r>
  <r>
    <n v="943"/>
    <n v="1452"/>
    <n v="9"/>
    <n v="3"/>
    <n v="30"/>
    <n v="90"/>
    <s v="Delivered"/>
    <n v="90"/>
    <x v="130"/>
  </r>
  <r>
    <n v="944"/>
    <n v="1452"/>
    <n v="1"/>
    <n v="4"/>
    <n v="750"/>
    <n v="3000"/>
    <s v="Delivered"/>
    <n v="3000"/>
    <x v="130"/>
  </r>
  <r>
    <n v="945"/>
    <n v="1453"/>
    <n v="9"/>
    <n v="4"/>
    <n v="30"/>
    <n v="120"/>
    <s v="Delivered"/>
    <n v="120"/>
    <x v="18"/>
  </r>
  <r>
    <n v="946"/>
    <n v="1453"/>
    <n v="3"/>
    <n v="1"/>
    <n v="45"/>
    <n v="45"/>
    <s v="Delivered"/>
    <n v="45"/>
    <x v="18"/>
  </r>
  <r>
    <n v="947"/>
    <n v="1453"/>
    <n v="8"/>
    <n v="1"/>
    <n v="55"/>
    <n v="55"/>
    <s v="Delivered"/>
    <n v="55"/>
    <x v="18"/>
  </r>
  <r>
    <n v="948"/>
    <n v="1454"/>
    <n v="1"/>
    <n v="4"/>
    <n v="750"/>
    <n v="3000"/>
    <s v="Delivered"/>
    <n v="3000"/>
    <x v="42"/>
  </r>
  <r>
    <n v="949"/>
    <n v="1454"/>
    <n v="3"/>
    <n v="2"/>
    <n v="45"/>
    <n v="90"/>
    <s v="Delivered"/>
    <n v="90"/>
    <x v="42"/>
  </r>
  <r>
    <n v="950"/>
    <n v="1455"/>
    <n v="2"/>
    <n v="4"/>
    <n v="220"/>
    <n v="880"/>
    <s v="Delivered"/>
    <n v="880"/>
    <x v="163"/>
  </r>
  <r>
    <n v="951"/>
    <n v="1456"/>
    <n v="9"/>
    <n v="1"/>
    <n v="30"/>
    <n v="30"/>
    <s v="Delivered"/>
    <n v="30"/>
    <x v="89"/>
  </r>
  <r>
    <n v="952"/>
    <n v="1456"/>
    <n v="7"/>
    <n v="2"/>
    <n v="65"/>
    <n v="130"/>
    <s v="Delivered"/>
    <n v="130"/>
    <x v="89"/>
  </r>
  <r>
    <n v="953"/>
    <n v="1457"/>
    <n v="1"/>
    <n v="3"/>
    <n v="750"/>
    <n v="2250"/>
    <s v="Cancelled"/>
    <n v="0"/>
    <x v="163"/>
  </r>
  <r>
    <n v="954"/>
    <n v="1457"/>
    <n v="7"/>
    <n v="4"/>
    <n v="65"/>
    <n v="260"/>
    <s v="Cancelled"/>
    <n v="0"/>
    <x v="163"/>
  </r>
  <r>
    <n v="955"/>
    <n v="1457"/>
    <n v="5"/>
    <n v="3"/>
    <n v="180"/>
    <n v="540"/>
    <s v="Cancelled"/>
    <n v="0"/>
    <x v="163"/>
  </r>
  <r>
    <n v="956"/>
    <n v="1458"/>
    <n v="1"/>
    <n v="3"/>
    <n v="750"/>
    <n v="2250"/>
    <s v="Delivered"/>
    <n v="2250"/>
    <x v="168"/>
  </r>
  <r>
    <n v="957"/>
    <n v="1459"/>
    <n v="10"/>
    <n v="4"/>
    <n v="8"/>
    <n v="32"/>
    <s v="Cancelled"/>
    <n v="0"/>
    <x v="31"/>
  </r>
  <r>
    <n v="958"/>
    <n v="1460"/>
    <n v="10"/>
    <n v="3"/>
    <n v="8"/>
    <n v="24"/>
    <s v="Delivered"/>
    <n v="24"/>
    <x v="94"/>
  </r>
  <r>
    <n v="959"/>
    <n v="1460"/>
    <n v="1"/>
    <n v="2"/>
    <n v="750"/>
    <n v="1500"/>
    <s v="Delivered"/>
    <n v="1500"/>
    <x v="94"/>
  </r>
  <r>
    <n v="960"/>
    <n v="1460"/>
    <n v="4"/>
    <n v="1"/>
    <n v="25"/>
    <n v="25"/>
    <s v="Delivered"/>
    <n v="25"/>
    <x v="94"/>
  </r>
  <r>
    <n v="961"/>
    <n v="1461"/>
    <n v="2"/>
    <n v="1"/>
    <n v="220"/>
    <n v="220"/>
    <s v="Delivered"/>
    <n v="220"/>
    <x v="33"/>
  </r>
  <r>
    <n v="962"/>
    <n v="1461"/>
    <n v="1"/>
    <n v="4"/>
    <n v="750"/>
    <n v="3000"/>
    <s v="Delivered"/>
    <n v="3000"/>
    <x v="33"/>
  </r>
  <r>
    <n v="963"/>
    <n v="1462"/>
    <n v="3"/>
    <n v="3"/>
    <n v="45"/>
    <n v="135"/>
    <s v="Delivered"/>
    <n v="135"/>
    <x v="152"/>
  </r>
  <r>
    <n v="964"/>
    <n v="1462"/>
    <n v="8"/>
    <n v="1"/>
    <n v="55"/>
    <n v="55"/>
    <s v="Delivered"/>
    <n v="55"/>
    <x v="152"/>
  </r>
  <r>
    <n v="965"/>
    <n v="1462"/>
    <n v="10"/>
    <n v="1"/>
    <n v="8"/>
    <n v="8"/>
    <s v="Delivered"/>
    <n v="8"/>
    <x v="152"/>
  </r>
  <r>
    <n v="966"/>
    <n v="1463"/>
    <n v="8"/>
    <n v="1"/>
    <n v="55"/>
    <n v="55"/>
    <s v="Delivered"/>
    <n v="55"/>
    <x v="126"/>
  </r>
  <r>
    <n v="967"/>
    <n v="1463"/>
    <n v="3"/>
    <n v="3"/>
    <n v="45"/>
    <n v="135"/>
    <s v="Delivered"/>
    <n v="135"/>
    <x v="126"/>
  </r>
  <r>
    <n v="968"/>
    <n v="1464"/>
    <n v="11"/>
    <n v="4"/>
    <n v="48"/>
    <n v="192"/>
    <s v="Delivered"/>
    <n v="192"/>
    <x v="129"/>
  </r>
  <r>
    <n v="969"/>
    <n v="1464"/>
    <n v="9"/>
    <n v="3"/>
    <n v="30"/>
    <n v="90"/>
    <s v="Delivered"/>
    <n v="90"/>
    <x v="129"/>
  </r>
  <r>
    <n v="970"/>
    <n v="1464"/>
    <n v="2"/>
    <n v="4"/>
    <n v="220"/>
    <n v="880"/>
    <s v="Delivered"/>
    <n v="880"/>
    <x v="129"/>
  </r>
  <r>
    <n v="971"/>
    <n v="1465"/>
    <n v="9"/>
    <n v="4"/>
    <n v="30"/>
    <n v="120"/>
    <s v="Shipped"/>
    <n v="120"/>
    <x v="110"/>
  </r>
  <r>
    <n v="972"/>
    <n v="1465"/>
    <n v="11"/>
    <n v="4"/>
    <n v="48"/>
    <n v="192"/>
    <s v="Shipped"/>
    <n v="192"/>
    <x v="110"/>
  </r>
  <r>
    <n v="973"/>
    <n v="1466"/>
    <n v="2"/>
    <n v="1"/>
    <n v="220"/>
    <n v="220"/>
    <s v="Delivered"/>
    <n v="220"/>
    <x v="49"/>
  </r>
  <r>
    <n v="974"/>
    <n v="1467"/>
    <n v="6"/>
    <n v="3"/>
    <n v="140"/>
    <n v="420"/>
    <s v="Pending"/>
    <n v="420"/>
    <x v="86"/>
  </r>
  <r>
    <n v="975"/>
    <n v="1468"/>
    <n v="5"/>
    <n v="3"/>
    <n v="180"/>
    <n v="540"/>
    <s v="Delivered"/>
    <n v="540"/>
    <x v="30"/>
  </r>
  <r>
    <n v="976"/>
    <n v="1468"/>
    <n v="12"/>
    <n v="3"/>
    <n v="22"/>
    <n v="66"/>
    <s v="Delivered"/>
    <n v="66"/>
    <x v="30"/>
  </r>
  <r>
    <n v="977"/>
    <n v="1468"/>
    <n v="2"/>
    <n v="3"/>
    <n v="220"/>
    <n v="660"/>
    <s v="Delivered"/>
    <n v="660"/>
    <x v="30"/>
  </r>
  <r>
    <n v="978"/>
    <n v="1469"/>
    <n v="4"/>
    <n v="3"/>
    <n v="25"/>
    <n v="75"/>
    <s v="Delivered"/>
    <n v="75"/>
    <x v="147"/>
  </r>
  <r>
    <n v="979"/>
    <n v="1470"/>
    <n v="11"/>
    <n v="4"/>
    <n v="48"/>
    <n v="192"/>
    <s v="Delivered"/>
    <n v="192"/>
    <x v="6"/>
  </r>
  <r>
    <n v="980"/>
    <n v="1471"/>
    <n v="12"/>
    <n v="1"/>
    <n v="22"/>
    <n v="22"/>
    <s v="Delivered"/>
    <n v="22"/>
    <x v="108"/>
  </r>
  <r>
    <n v="981"/>
    <n v="1471"/>
    <n v="11"/>
    <n v="2"/>
    <n v="48"/>
    <n v="96"/>
    <s v="Delivered"/>
    <n v="96"/>
    <x v="108"/>
  </r>
  <r>
    <n v="982"/>
    <n v="1471"/>
    <n v="6"/>
    <n v="3"/>
    <n v="140"/>
    <n v="420"/>
    <s v="Delivered"/>
    <n v="420"/>
    <x v="108"/>
  </r>
  <r>
    <n v="983"/>
    <n v="1472"/>
    <n v="11"/>
    <n v="2"/>
    <n v="48"/>
    <n v="96"/>
    <s v="Delivered"/>
    <n v="96"/>
    <x v="5"/>
  </r>
  <r>
    <n v="984"/>
    <n v="1472"/>
    <n v="9"/>
    <n v="4"/>
    <n v="30"/>
    <n v="120"/>
    <s v="Delivered"/>
    <n v="120"/>
    <x v="5"/>
  </r>
  <r>
    <n v="985"/>
    <n v="1473"/>
    <n v="7"/>
    <n v="4"/>
    <n v="65"/>
    <n v="260"/>
    <s v="Cancelled"/>
    <n v="0"/>
    <x v="139"/>
  </r>
  <r>
    <n v="986"/>
    <n v="1473"/>
    <n v="2"/>
    <n v="2"/>
    <n v="220"/>
    <n v="440"/>
    <s v="Cancelled"/>
    <n v="0"/>
    <x v="139"/>
  </r>
  <r>
    <n v="987"/>
    <n v="1474"/>
    <n v="9"/>
    <n v="3"/>
    <n v="30"/>
    <n v="90"/>
    <s v="Delivered"/>
    <n v="90"/>
    <x v="61"/>
  </r>
  <r>
    <n v="988"/>
    <n v="1475"/>
    <n v="9"/>
    <n v="2"/>
    <n v="30"/>
    <n v="60"/>
    <s v="Delivered"/>
    <n v="60"/>
    <x v="36"/>
  </r>
  <r>
    <n v="989"/>
    <n v="1475"/>
    <n v="3"/>
    <n v="3"/>
    <n v="45"/>
    <n v="135"/>
    <s v="Delivered"/>
    <n v="135"/>
    <x v="36"/>
  </r>
  <r>
    <n v="990"/>
    <n v="1476"/>
    <n v="11"/>
    <n v="1"/>
    <n v="48"/>
    <n v="48"/>
    <s v="Delivered"/>
    <n v="48"/>
    <x v="34"/>
  </r>
  <r>
    <n v="991"/>
    <n v="1476"/>
    <n v="3"/>
    <n v="4"/>
    <n v="45"/>
    <n v="180"/>
    <s v="Delivered"/>
    <n v="180"/>
    <x v="34"/>
  </r>
  <r>
    <n v="992"/>
    <n v="1476"/>
    <n v="4"/>
    <n v="4"/>
    <n v="25"/>
    <n v="100"/>
    <s v="Delivered"/>
    <n v="100"/>
    <x v="34"/>
  </r>
  <r>
    <n v="993"/>
    <n v="1477"/>
    <n v="8"/>
    <n v="1"/>
    <n v="55"/>
    <n v="55"/>
    <s v="Delivered"/>
    <n v="55"/>
    <x v="22"/>
  </r>
  <r>
    <n v="994"/>
    <n v="1477"/>
    <n v="1"/>
    <n v="3"/>
    <n v="750"/>
    <n v="2250"/>
    <s v="Delivered"/>
    <n v="2250"/>
    <x v="22"/>
  </r>
  <r>
    <n v="995"/>
    <n v="1478"/>
    <n v="9"/>
    <n v="4"/>
    <n v="30"/>
    <n v="120"/>
    <s v="Delivered"/>
    <n v="120"/>
    <x v="58"/>
  </r>
  <r>
    <n v="996"/>
    <n v="1478"/>
    <n v="6"/>
    <n v="1"/>
    <n v="140"/>
    <n v="140"/>
    <s v="Delivered"/>
    <n v="140"/>
    <x v="58"/>
  </r>
  <r>
    <n v="997"/>
    <n v="1479"/>
    <n v="6"/>
    <n v="3"/>
    <n v="140"/>
    <n v="420"/>
    <s v="Delivered"/>
    <n v="420"/>
    <x v="68"/>
  </r>
  <r>
    <n v="998"/>
    <n v="1479"/>
    <n v="9"/>
    <n v="2"/>
    <n v="30"/>
    <n v="60"/>
    <s v="Delivered"/>
    <n v="60"/>
    <x v="68"/>
  </r>
  <r>
    <n v="999"/>
    <n v="1479"/>
    <n v="12"/>
    <n v="3"/>
    <n v="22"/>
    <n v="66"/>
    <s v="Delivered"/>
    <n v="66"/>
    <x v="68"/>
  </r>
  <r>
    <n v="1000"/>
    <n v="1480"/>
    <n v="8"/>
    <n v="1"/>
    <n v="55"/>
    <n v="55"/>
    <s v="Delivered"/>
    <n v="55"/>
    <x v="101"/>
  </r>
  <r>
    <n v="1001"/>
    <n v="1481"/>
    <n v="6"/>
    <n v="2"/>
    <n v="140"/>
    <n v="280"/>
    <s v="Delivered"/>
    <n v="280"/>
    <x v="139"/>
  </r>
  <r>
    <n v="1002"/>
    <n v="1481"/>
    <n v="5"/>
    <n v="1"/>
    <n v="180"/>
    <n v="180"/>
    <s v="Delivered"/>
    <n v="180"/>
    <x v="139"/>
  </r>
  <r>
    <n v="1003"/>
    <n v="1481"/>
    <n v="12"/>
    <n v="4"/>
    <n v="22"/>
    <n v="88"/>
    <s v="Delivered"/>
    <n v="88"/>
    <x v="139"/>
  </r>
  <r>
    <n v="1004"/>
    <n v="1482"/>
    <n v="11"/>
    <n v="2"/>
    <n v="48"/>
    <n v="96"/>
    <s v="Delivered"/>
    <n v="96"/>
    <x v="10"/>
  </r>
  <r>
    <n v="1005"/>
    <n v="1482"/>
    <n v="8"/>
    <n v="2"/>
    <n v="55"/>
    <n v="110"/>
    <s v="Delivered"/>
    <n v="110"/>
    <x v="10"/>
  </r>
  <r>
    <n v="1006"/>
    <n v="1482"/>
    <n v="12"/>
    <n v="2"/>
    <n v="22"/>
    <n v="44"/>
    <s v="Delivered"/>
    <n v="44"/>
    <x v="10"/>
  </r>
  <r>
    <n v="1007"/>
    <n v="1483"/>
    <n v="8"/>
    <n v="1"/>
    <n v="55"/>
    <n v="55"/>
    <s v="Delivered"/>
    <n v="55"/>
    <x v="169"/>
  </r>
  <r>
    <n v="1008"/>
    <n v="1483"/>
    <n v="12"/>
    <n v="1"/>
    <n v="22"/>
    <n v="22"/>
    <s v="Delivered"/>
    <n v="22"/>
    <x v="169"/>
  </r>
  <r>
    <n v="1009"/>
    <n v="1484"/>
    <n v="9"/>
    <n v="1"/>
    <n v="30"/>
    <n v="30"/>
    <s v="Delivered"/>
    <n v="30"/>
    <x v="43"/>
  </r>
  <r>
    <n v="1010"/>
    <n v="1485"/>
    <n v="8"/>
    <n v="4"/>
    <n v="55"/>
    <n v="220"/>
    <s v="Delivered"/>
    <n v="220"/>
    <x v="141"/>
  </r>
  <r>
    <n v="1011"/>
    <n v="1485"/>
    <n v="7"/>
    <n v="2"/>
    <n v="65"/>
    <n v="130"/>
    <s v="Delivered"/>
    <n v="130"/>
    <x v="141"/>
  </r>
  <r>
    <n v="1012"/>
    <n v="1485"/>
    <n v="10"/>
    <n v="2"/>
    <n v="8"/>
    <n v="16"/>
    <s v="Delivered"/>
    <n v="16"/>
    <x v="141"/>
  </r>
  <r>
    <n v="1013"/>
    <n v="1486"/>
    <n v="10"/>
    <n v="2"/>
    <n v="8"/>
    <n v="16"/>
    <s v="Delivered"/>
    <n v="16"/>
    <x v="32"/>
  </r>
  <r>
    <n v="1014"/>
    <n v="1486"/>
    <n v="6"/>
    <n v="2"/>
    <n v="140"/>
    <n v="280"/>
    <s v="Delivered"/>
    <n v="280"/>
    <x v="32"/>
  </r>
  <r>
    <n v="1015"/>
    <n v="1487"/>
    <n v="9"/>
    <n v="4"/>
    <n v="30"/>
    <n v="120"/>
    <s v="Delivered"/>
    <n v="120"/>
    <x v="164"/>
  </r>
  <r>
    <n v="1016"/>
    <n v="1487"/>
    <n v="2"/>
    <n v="2"/>
    <n v="220"/>
    <n v="440"/>
    <s v="Delivered"/>
    <n v="440"/>
    <x v="164"/>
  </r>
  <r>
    <n v="1017"/>
    <n v="1488"/>
    <n v="8"/>
    <n v="1"/>
    <n v="55"/>
    <n v="55"/>
    <s v="Delivered"/>
    <n v="55"/>
    <x v="14"/>
  </r>
  <r>
    <n v="1018"/>
    <n v="1488"/>
    <n v="11"/>
    <n v="1"/>
    <n v="48"/>
    <n v="48"/>
    <s v="Delivered"/>
    <n v="48"/>
    <x v="14"/>
  </r>
  <r>
    <n v="1019"/>
    <n v="1489"/>
    <n v="9"/>
    <n v="4"/>
    <n v="30"/>
    <n v="120"/>
    <s v="Delivered"/>
    <n v="120"/>
    <x v="140"/>
  </r>
  <r>
    <n v="1020"/>
    <n v="1489"/>
    <n v="5"/>
    <n v="4"/>
    <n v="180"/>
    <n v="720"/>
    <s v="Delivered"/>
    <n v="720"/>
    <x v="140"/>
  </r>
  <r>
    <n v="1021"/>
    <n v="1490"/>
    <n v="6"/>
    <n v="1"/>
    <n v="140"/>
    <n v="140"/>
    <s v="Delivered"/>
    <n v="140"/>
    <x v="9"/>
  </r>
  <r>
    <n v="1022"/>
    <n v="1490"/>
    <n v="2"/>
    <n v="4"/>
    <n v="220"/>
    <n v="880"/>
    <s v="Delivered"/>
    <n v="880"/>
    <x v="9"/>
  </r>
  <r>
    <n v="1023"/>
    <n v="1490"/>
    <n v="10"/>
    <n v="2"/>
    <n v="8"/>
    <n v="16"/>
    <s v="Delivered"/>
    <n v="16"/>
    <x v="9"/>
  </r>
  <r>
    <n v="1024"/>
    <n v="1491"/>
    <n v="5"/>
    <n v="1"/>
    <n v="180"/>
    <n v="180"/>
    <s v="Delivered"/>
    <n v="180"/>
    <x v="140"/>
  </r>
  <r>
    <n v="1025"/>
    <n v="1492"/>
    <n v="4"/>
    <n v="4"/>
    <n v="25"/>
    <n v="100"/>
    <s v="Delivered"/>
    <n v="100"/>
    <x v="45"/>
  </r>
  <r>
    <n v="1026"/>
    <n v="1492"/>
    <n v="11"/>
    <n v="2"/>
    <n v="48"/>
    <n v="96"/>
    <s v="Delivered"/>
    <n v="96"/>
    <x v="45"/>
  </r>
  <r>
    <n v="1027"/>
    <n v="1492"/>
    <n v="3"/>
    <n v="2"/>
    <n v="45"/>
    <n v="90"/>
    <s v="Delivered"/>
    <n v="90"/>
    <x v="45"/>
  </r>
  <r>
    <n v="1028"/>
    <n v="1493"/>
    <n v="1"/>
    <n v="1"/>
    <n v="750"/>
    <n v="750"/>
    <s v="Delivered"/>
    <n v="750"/>
    <x v="114"/>
  </r>
  <r>
    <n v="1029"/>
    <n v="1494"/>
    <n v="3"/>
    <n v="4"/>
    <n v="45"/>
    <n v="180"/>
    <s v="Pending"/>
    <n v="180"/>
    <x v="7"/>
  </r>
  <r>
    <n v="1030"/>
    <n v="1495"/>
    <n v="3"/>
    <n v="4"/>
    <n v="45"/>
    <n v="180"/>
    <s v="Delivered"/>
    <n v="180"/>
    <x v="12"/>
  </r>
  <r>
    <n v="1031"/>
    <n v="1495"/>
    <n v="8"/>
    <n v="4"/>
    <n v="55"/>
    <n v="220"/>
    <s v="Delivered"/>
    <n v="220"/>
    <x v="12"/>
  </r>
  <r>
    <n v="1032"/>
    <n v="1495"/>
    <n v="9"/>
    <n v="4"/>
    <n v="30"/>
    <n v="120"/>
    <s v="Delivered"/>
    <n v="120"/>
    <x v="12"/>
  </r>
  <r>
    <n v="1033"/>
    <n v="1496"/>
    <n v="9"/>
    <n v="3"/>
    <n v="30"/>
    <n v="90"/>
    <s v="Delivered"/>
    <n v="90"/>
    <x v="84"/>
  </r>
  <r>
    <n v="1034"/>
    <n v="1496"/>
    <n v="5"/>
    <n v="1"/>
    <n v="180"/>
    <n v="180"/>
    <s v="Delivered"/>
    <n v="180"/>
    <x v="84"/>
  </r>
  <r>
    <n v="1035"/>
    <n v="1496"/>
    <n v="7"/>
    <n v="1"/>
    <n v="65"/>
    <n v="65"/>
    <s v="Delivered"/>
    <n v="65"/>
    <x v="84"/>
  </r>
  <r>
    <n v="1036"/>
    <n v="1497"/>
    <n v="8"/>
    <n v="1"/>
    <n v="55"/>
    <n v="55"/>
    <s v="Delivered"/>
    <n v="55"/>
    <x v="70"/>
  </r>
  <r>
    <n v="1037"/>
    <n v="1497"/>
    <n v="9"/>
    <n v="1"/>
    <n v="30"/>
    <n v="30"/>
    <s v="Delivered"/>
    <n v="30"/>
    <x v="70"/>
  </r>
  <r>
    <n v="1038"/>
    <n v="1498"/>
    <n v="5"/>
    <n v="3"/>
    <n v="180"/>
    <n v="540"/>
    <s v="Delivered"/>
    <n v="540"/>
    <x v="0"/>
  </r>
  <r>
    <n v="1039"/>
    <n v="1498"/>
    <n v="10"/>
    <n v="1"/>
    <n v="8"/>
    <n v="8"/>
    <s v="Delivered"/>
    <n v="8"/>
    <x v="0"/>
  </r>
  <r>
    <n v="1040"/>
    <n v="1498"/>
    <n v="1"/>
    <n v="4"/>
    <n v="750"/>
    <n v="3000"/>
    <s v="Delivered"/>
    <n v="3000"/>
    <x v="0"/>
  </r>
  <r>
    <n v="1041"/>
    <n v="1499"/>
    <n v="3"/>
    <n v="3"/>
    <n v="45"/>
    <n v="135"/>
    <s v="Delivered"/>
    <n v="135"/>
    <x v="105"/>
  </r>
  <r>
    <n v="1042"/>
    <n v="1499"/>
    <n v="1"/>
    <n v="3"/>
    <n v="750"/>
    <n v="2250"/>
    <s v="Delivered"/>
    <n v="2250"/>
    <x v="105"/>
  </r>
  <r>
    <n v="1043"/>
    <n v="1500"/>
    <n v="8"/>
    <n v="2"/>
    <n v="55"/>
    <n v="110"/>
    <s v="Pending"/>
    <n v="110"/>
    <x v="51"/>
  </r>
  <r>
    <n v="1044"/>
    <n v="1500"/>
    <n v="2"/>
    <n v="1"/>
    <n v="220"/>
    <n v="220"/>
    <s v="Pending"/>
    <n v="220"/>
    <x v="51"/>
  </r>
  <r>
    <n v="1045"/>
    <n v="1501"/>
    <n v="5"/>
    <n v="1"/>
    <n v="180"/>
    <n v="180"/>
    <s v="Delivered"/>
    <n v="180"/>
    <x v="79"/>
  </r>
  <r>
    <n v="1046"/>
    <n v="1501"/>
    <n v="1"/>
    <n v="2"/>
    <n v="750"/>
    <n v="1500"/>
    <s v="Delivered"/>
    <n v="1500"/>
    <x v="79"/>
  </r>
  <r>
    <n v="1047"/>
    <n v="1502"/>
    <n v="3"/>
    <n v="1"/>
    <n v="45"/>
    <n v="45"/>
    <s v="Delivered"/>
    <n v="45"/>
    <x v="56"/>
  </r>
  <r>
    <n v="1048"/>
    <n v="1502"/>
    <n v="9"/>
    <n v="3"/>
    <n v="30"/>
    <n v="90"/>
    <s v="Delivered"/>
    <n v="90"/>
    <x v="56"/>
  </r>
  <r>
    <n v="1049"/>
    <n v="1503"/>
    <n v="4"/>
    <n v="4"/>
    <n v="25"/>
    <n v="100"/>
    <s v="Delivered"/>
    <n v="100"/>
    <x v="122"/>
  </r>
  <r>
    <n v="1050"/>
    <n v="1503"/>
    <n v="11"/>
    <n v="2"/>
    <n v="48"/>
    <n v="96"/>
    <s v="Delivered"/>
    <n v="96"/>
    <x v="122"/>
  </r>
  <r>
    <n v="1051"/>
    <n v="1504"/>
    <n v="3"/>
    <n v="4"/>
    <n v="45"/>
    <n v="180"/>
    <s v="Delivered"/>
    <n v="180"/>
    <x v="57"/>
  </r>
  <r>
    <n v="1052"/>
    <n v="1505"/>
    <n v="5"/>
    <n v="4"/>
    <n v="180"/>
    <n v="720"/>
    <s v="Delivered"/>
    <n v="720"/>
    <x v="49"/>
  </r>
  <r>
    <n v="1053"/>
    <n v="1505"/>
    <n v="3"/>
    <n v="1"/>
    <n v="45"/>
    <n v="45"/>
    <s v="Delivered"/>
    <n v="45"/>
    <x v="49"/>
  </r>
  <r>
    <n v="1054"/>
    <n v="1506"/>
    <n v="9"/>
    <n v="3"/>
    <n v="30"/>
    <n v="90"/>
    <s v="Delivered"/>
    <n v="90"/>
    <x v="170"/>
  </r>
  <r>
    <n v="1055"/>
    <n v="1507"/>
    <n v="11"/>
    <n v="4"/>
    <n v="48"/>
    <n v="192"/>
    <s v="Delivered"/>
    <n v="192"/>
    <x v="97"/>
  </r>
  <r>
    <n v="1056"/>
    <n v="1507"/>
    <n v="10"/>
    <n v="4"/>
    <n v="8"/>
    <n v="32"/>
    <s v="Delivered"/>
    <n v="32"/>
    <x v="97"/>
  </r>
  <r>
    <n v="1057"/>
    <n v="1508"/>
    <n v="9"/>
    <n v="1"/>
    <n v="30"/>
    <n v="30"/>
    <s v="Delivered"/>
    <n v="30"/>
    <x v="78"/>
  </r>
  <r>
    <n v="1058"/>
    <n v="1508"/>
    <n v="1"/>
    <n v="1"/>
    <n v="750"/>
    <n v="750"/>
    <s v="Delivered"/>
    <n v="750"/>
    <x v="78"/>
  </r>
  <r>
    <n v="1059"/>
    <n v="1509"/>
    <n v="4"/>
    <n v="1"/>
    <n v="25"/>
    <n v="25"/>
    <s v="Delivered"/>
    <n v="25"/>
    <x v="20"/>
  </r>
  <r>
    <n v="1060"/>
    <n v="1509"/>
    <n v="1"/>
    <n v="1"/>
    <n v="750"/>
    <n v="750"/>
    <s v="Delivered"/>
    <n v="750"/>
    <x v="20"/>
  </r>
  <r>
    <n v="1061"/>
    <n v="1510"/>
    <n v="10"/>
    <n v="2"/>
    <n v="8"/>
    <n v="16"/>
    <s v="Delivered"/>
    <n v="16"/>
    <x v="157"/>
  </r>
  <r>
    <n v="1062"/>
    <n v="1511"/>
    <n v="8"/>
    <n v="1"/>
    <n v="55"/>
    <n v="55"/>
    <s v="Delivered"/>
    <n v="55"/>
    <x v="80"/>
  </r>
  <r>
    <n v="1063"/>
    <n v="1511"/>
    <n v="11"/>
    <n v="4"/>
    <n v="48"/>
    <n v="192"/>
    <s v="Delivered"/>
    <n v="192"/>
    <x v="80"/>
  </r>
  <r>
    <n v="1064"/>
    <n v="1512"/>
    <n v="1"/>
    <n v="4"/>
    <n v="750"/>
    <n v="3000"/>
    <s v="Delivered"/>
    <n v="3000"/>
    <x v="58"/>
  </r>
  <r>
    <n v="1065"/>
    <n v="1512"/>
    <n v="7"/>
    <n v="3"/>
    <n v="65"/>
    <n v="195"/>
    <s v="Delivered"/>
    <n v="195"/>
    <x v="58"/>
  </r>
  <r>
    <n v="1066"/>
    <n v="1513"/>
    <n v="7"/>
    <n v="1"/>
    <n v="65"/>
    <n v="65"/>
    <s v="Delivered"/>
    <n v="65"/>
    <x v="77"/>
  </r>
  <r>
    <n v="1067"/>
    <n v="1513"/>
    <n v="3"/>
    <n v="2"/>
    <n v="45"/>
    <n v="90"/>
    <s v="Delivered"/>
    <n v="90"/>
    <x v="77"/>
  </r>
  <r>
    <n v="1068"/>
    <n v="1513"/>
    <n v="8"/>
    <n v="4"/>
    <n v="55"/>
    <n v="220"/>
    <s v="Delivered"/>
    <n v="220"/>
    <x v="77"/>
  </r>
  <r>
    <n v="1069"/>
    <n v="1514"/>
    <n v="10"/>
    <n v="3"/>
    <n v="8"/>
    <n v="24"/>
    <s v="Delivered"/>
    <n v="24"/>
    <x v="149"/>
  </r>
  <r>
    <n v="1070"/>
    <n v="1515"/>
    <n v="7"/>
    <n v="3"/>
    <n v="65"/>
    <n v="195"/>
    <s v="Delivered"/>
    <n v="195"/>
    <x v="30"/>
  </r>
  <r>
    <n v="1071"/>
    <n v="1515"/>
    <n v="5"/>
    <n v="4"/>
    <n v="180"/>
    <n v="720"/>
    <s v="Delivered"/>
    <n v="720"/>
    <x v="30"/>
  </r>
  <r>
    <n v="1072"/>
    <n v="1515"/>
    <n v="3"/>
    <n v="1"/>
    <n v="45"/>
    <n v="45"/>
    <s v="Delivered"/>
    <n v="45"/>
    <x v="30"/>
  </r>
  <r>
    <n v="1073"/>
    <n v="1516"/>
    <n v="4"/>
    <n v="4"/>
    <n v="25"/>
    <n v="100"/>
    <s v="Delivered"/>
    <n v="100"/>
    <x v="124"/>
  </r>
  <r>
    <n v="1074"/>
    <n v="1516"/>
    <n v="1"/>
    <n v="1"/>
    <n v="750"/>
    <n v="750"/>
    <s v="Delivered"/>
    <n v="750"/>
    <x v="124"/>
  </r>
  <r>
    <n v="1075"/>
    <n v="1516"/>
    <n v="7"/>
    <n v="3"/>
    <n v="65"/>
    <n v="195"/>
    <s v="Delivered"/>
    <n v="195"/>
    <x v="124"/>
  </r>
  <r>
    <n v="1076"/>
    <n v="1517"/>
    <n v="8"/>
    <n v="3"/>
    <n v="55"/>
    <n v="165"/>
    <s v="Delivered"/>
    <n v="165"/>
    <x v="36"/>
  </r>
  <r>
    <n v="1077"/>
    <n v="1518"/>
    <n v="11"/>
    <n v="3"/>
    <n v="48"/>
    <n v="144"/>
    <s v="Delivered"/>
    <n v="144"/>
    <x v="156"/>
  </r>
  <r>
    <n v="1078"/>
    <n v="1519"/>
    <n v="10"/>
    <n v="4"/>
    <n v="8"/>
    <n v="32"/>
    <s v="Delivered"/>
    <n v="32"/>
    <x v="123"/>
  </r>
  <r>
    <n v="1079"/>
    <n v="1519"/>
    <n v="4"/>
    <n v="1"/>
    <n v="25"/>
    <n v="25"/>
    <s v="Delivered"/>
    <n v="25"/>
    <x v="123"/>
  </r>
  <r>
    <n v="1080"/>
    <n v="1519"/>
    <n v="8"/>
    <n v="3"/>
    <n v="55"/>
    <n v="165"/>
    <s v="Delivered"/>
    <n v="165"/>
    <x v="123"/>
  </r>
  <r>
    <n v="1081"/>
    <n v="1520"/>
    <n v="1"/>
    <n v="2"/>
    <n v="750"/>
    <n v="1500"/>
    <s v="Delivered"/>
    <n v="1500"/>
    <x v="6"/>
  </r>
  <r>
    <n v="1082"/>
    <n v="1520"/>
    <n v="7"/>
    <n v="4"/>
    <n v="65"/>
    <n v="260"/>
    <s v="Delivered"/>
    <n v="260"/>
    <x v="6"/>
  </r>
  <r>
    <n v="1083"/>
    <n v="1520"/>
    <n v="2"/>
    <n v="2"/>
    <n v="220"/>
    <n v="440"/>
    <s v="Delivered"/>
    <n v="440"/>
    <x v="6"/>
  </r>
  <r>
    <n v="1084"/>
    <n v="1521"/>
    <n v="10"/>
    <n v="2"/>
    <n v="8"/>
    <n v="16"/>
    <s v="Delivered"/>
    <n v="16"/>
    <x v="34"/>
  </r>
  <r>
    <n v="1085"/>
    <n v="1521"/>
    <n v="1"/>
    <n v="2"/>
    <n v="750"/>
    <n v="1500"/>
    <s v="Delivered"/>
    <n v="1500"/>
    <x v="34"/>
  </r>
  <r>
    <n v="1086"/>
    <n v="1522"/>
    <n v="2"/>
    <n v="4"/>
    <n v="220"/>
    <n v="880"/>
    <s v="Delivered"/>
    <n v="880"/>
    <x v="94"/>
  </r>
  <r>
    <n v="1087"/>
    <n v="1523"/>
    <n v="2"/>
    <n v="2"/>
    <n v="220"/>
    <n v="440"/>
    <s v="Delivered"/>
    <n v="440"/>
    <x v="126"/>
  </r>
  <r>
    <n v="1088"/>
    <n v="1523"/>
    <n v="11"/>
    <n v="3"/>
    <n v="48"/>
    <n v="144"/>
    <s v="Delivered"/>
    <n v="144"/>
    <x v="126"/>
  </r>
  <r>
    <n v="1089"/>
    <n v="1524"/>
    <n v="3"/>
    <n v="2"/>
    <n v="45"/>
    <n v="90"/>
    <s v="Delivered"/>
    <n v="90"/>
    <x v="56"/>
  </r>
  <r>
    <n v="1090"/>
    <n v="1524"/>
    <n v="7"/>
    <n v="3"/>
    <n v="65"/>
    <n v="195"/>
    <s v="Delivered"/>
    <n v="195"/>
    <x v="56"/>
  </r>
  <r>
    <n v="1091"/>
    <n v="1525"/>
    <n v="1"/>
    <n v="4"/>
    <n v="750"/>
    <n v="3000"/>
    <s v="Delivered"/>
    <n v="3000"/>
    <x v="42"/>
  </r>
  <r>
    <n v="1092"/>
    <n v="1526"/>
    <n v="12"/>
    <n v="2"/>
    <n v="22"/>
    <n v="44"/>
    <s v="Delivered"/>
    <n v="44"/>
    <x v="141"/>
  </r>
  <r>
    <n v="1093"/>
    <n v="1526"/>
    <n v="8"/>
    <n v="2"/>
    <n v="55"/>
    <n v="110"/>
    <s v="Delivered"/>
    <n v="110"/>
    <x v="141"/>
  </r>
  <r>
    <n v="1094"/>
    <n v="1527"/>
    <n v="3"/>
    <n v="1"/>
    <n v="45"/>
    <n v="45"/>
    <s v="Delivered"/>
    <n v="45"/>
    <x v="56"/>
  </r>
  <r>
    <n v="1095"/>
    <n v="1527"/>
    <n v="8"/>
    <n v="3"/>
    <n v="55"/>
    <n v="165"/>
    <s v="Delivered"/>
    <n v="165"/>
    <x v="56"/>
  </r>
  <r>
    <n v="1096"/>
    <n v="1527"/>
    <n v="10"/>
    <n v="3"/>
    <n v="8"/>
    <n v="24"/>
    <s v="Delivered"/>
    <n v="24"/>
    <x v="56"/>
  </r>
  <r>
    <n v="1097"/>
    <n v="1528"/>
    <n v="4"/>
    <n v="3"/>
    <n v="25"/>
    <n v="75"/>
    <s v="Delivered"/>
    <n v="75"/>
    <x v="60"/>
  </r>
  <r>
    <n v="1098"/>
    <n v="1528"/>
    <n v="8"/>
    <n v="1"/>
    <n v="55"/>
    <n v="55"/>
    <s v="Delivered"/>
    <n v="55"/>
    <x v="60"/>
  </r>
  <r>
    <n v="1099"/>
    <n v="1528"/>
    <n v="12"/>
    <n v="2"/>
    <n v="22"/>
    <n v="44"/>
    <s v="Delivered"/>
    <n v="44"/>
    <x v="60"/>
  </r>
  <r>
    <n v="1100"/>
    <n v="1529"/>
    <n v="11"/>
    <n v="3"/>
    <n v="48"/>
    <n v="144"/>
    <s v="Delivered"/>
    <n v="144"/>
    <x v="84"/>
  </r>
  <r>
    <n v="1101"/>
    <n v="1530"/>
    <n v="3"/>
    <n v="4"/>
    <n v="45"/>
    <n v="180"/>
    <s v="Delivered"/>
    <n v="180"/>
    <x v="112"/>
  </r>
  <r>
    <n v="1102"/>
    <n v="1530"/>
    <n v="12"/>
    <n v="1"/>
    <n v="22"/>
    <n v="22"/>
    <s v="Delivered"/>
    <n v="22"/>
    <x v="112"/>
  </r>
  <r>
    <n v="1103"/>
    <n v="1530"/>
    <n v="1"/>
    <n v="1"/>
    <n v="750"/>
    <n v="750"/>
    <s v="Delivered"/>
    <n v="750"/>
    <x v="112"/>
  </r>
  <r>
    <n v="1104"/>
    <n v="1531"/>
    <n v="2"/>
    <n v="3"/>
    <n v="220"/>
    <n v="660"/>
    <s v="Delivered"/>
    <n v="660"/>
    <x v="105"/>
  </r>
  <r>
    <n v="1105"/>
    <n v="1532"/>
    <n v="10"/>
    <n v="1"/>
    <n v="8"/>
    <n v="8"/>
    <s v="Cancelled"/>
    <n v="0"/>
    <x v="113"/>
  </r>
  <r>
    <n v="1106"/>
    <n v="1532"/>
    <n v="8"/>
    <n v="4"/>
    <n v="55"/>
    <n v="220"/>
    <s v="Cancelled"/>
    <n v="0"/>
    <x v="113"/>
  </r>
  <r>
    <n v="1107"/>
    <n v="1533"/>
    <n v="7"/>
    <n v="3"/>
    <n v="65"/>
    <n v="195"/>
    <s v="Delivered"/>
    <n v="195"/>
    <x v="48"/>
  </r>
  <r>
    <n v="1108"/>
    <n v="1534"/>
    <n v="10"/>
    <n v="2"/>
    <n v="8"/>
    <n v="16"/>
    <s v="Delivered"/>
    <n v="16"/>
    <x v="171"/>
  </r>
  <r>
    <n v="1109"/>
    <n v="1534"/>
    <n v="1"/>
    <n v="1"/>
    <n v="750"/>
    <n v="750"/>
    <s v="Delivered"/>
    <n v="750"/>
    <x v="171"/>
  </r>
  <r>
    <n v="1110"/>
    <n v="1534"/>
    <n v="5"/>
    <n v="4"/>
    <n v="180"/>
    <n v="720"/>
    <s v="Delivered"/>
    <n v="720"/>
    <x v="171"/>
  </r>
  <r>
    <n v="1111"/>
    <n v="1535"/>
    <n v="9"/>
    <n v="4"/>
    <n v="30"/>
    <n v="120"/>
    <s v="Delivered"/>
    <n v="120"/>
    <x v="59"/>
  </r>
  <r>
    <n v="1112"/>
    <n v="1535"/>
    <n v="4"/>
    <n v="4"/>
    <n v="25"/>
    <n v="100"/>
    <s v="Delivered"/>
    <n v="100"/>
    <x v="59"/>
  </r>
  <r>
    <n v="1113"/>
    <n v="1535"/>
    <n v="2"/>
    <n v="2"/>
    <n v="220"/>
    <n v="440"/>
    <s v="Delivered"/>
    <n v="440"/>
    <x v="59"/>
  </r>
  <r>
    <n v="1114"/>
    <n v="1536"/>
    <n v="6"/>
    <n v="4"/>
    <n v="140"/>
    <n v="560"/>
    <s v="Delivered"/>
    <n v="560"/>
    <x v="126"/>
  </r>
  <r>
    <n v="1115"/>
    <n v="1537"/>
    <n v="1"/>
    <n v="4"/>
    <n v="750"/>
    <n v="3000"/>
    <s v="Cancelled"/>
    <n v="0"/>
    <x v="73"/>
  </r>
  <r>
    <n v="1116"/>
    <n v="1538"/>
    <n v="8"/>
    <n v="4"/>
    <n v="55"/>
    <n v="220"/>
    <s v="Delivered"/>
    <n v="220"/>
    <x v="74"/>
  </r>
  <r>
    <n v="1117"/>
    <n v="1538"/>
    <n v="2"/>
    <n v="4"/>
    <n v="220"/>
    <n v="880"/>
    <s v="Delivered"/>
    <n v="880"/>
    <x v="74"/>
  </r>
  <r>
    <n v="1118"/>
    <n v="1539"/>
    <n v="5"/>
    <n v="1"/>
    <n v="180"/>
    <n v="180"/>
    <s v="Shipped"/>
    <n v="180"/>
    <x v="162"/>
  </r>
  <r>
    <n v="1119"/>
    <n v="1539"/>
    <n v="4"/>
    <n v="1"/>
    <n v="25"/>
    <n v="25"/>
    <s v="Shipped"/>
    <n v="25"/>
    <x v="162"/>
  </r>
  <r>
    <n v="1120"/>
    <n v="1540"/>
    <n v="10"/>
    <n v="4"/>
    <n v="8"/>
    <n v="32"/>
    <s v="Delivered"/>
    <n v="32"/>
    <x v="163"/>
  </r>
  <r>
    <n v="1121"/>
    <n v="1540"/>
    <n v="1"/>
    <n v="2"/>
    <n v="750"/>
    <n v="1500"/>
    <s v="Delivered"/>
    <n v="1500"/>
    <x v="163"/>
  </r>
  <r>
    <n v="1122"/>
    <n v="1540"/>
    <n v="8"/>
    <n v="4"/>
    <n v="55"/>
    <n v="220"/>
    <s v="Delivered"/>
    <n v="220"/>
    <x v="163"/>
  </r>
  <r>
    <n v="1123"/>
    <n v="1541"/>
    <n v="12"/>
    <n v="1"/>
    <n v="22"/>
    <n v="22"/>
    <s v="Delivered"/>
    <n v="22"/>
    <x v="167"/>
  </r>
  <r>
    <n v="1124"/>
    <n v="1541"/>
    <n v="6"/>
    <n v="3"/>
    <n v="140"/>
    <n v="420"/>
    <s v="Delivered"/>
    <n v="420"/>
    <x v="167"/>
  </r>
  <r>
    <n v="1125"/>
    <n v="1542"/>
    <n v="6"/>
    <n v="3"/>
    <n v="140"/>
    <n v="420"/>
    <s v="Delivered"/>
    <n v="420"/>
    <x v="69"/>
  </r>
  <r>
    <n v="1126"/>
    <n v="1542"/>
    <n v="1"/>
    <n v="1"/>
    <n v="750"/>
    <n v="750"/>
    <s v="Delivered"/>
    <n v="750"/>
    <x v="69"/>
  </r>
  <r>
    <n v="1127"/>
    <n v="1542"/>
    <n v="9"/>
    <n v="1"/>
    <n v="30"/>
    <n v="30"/>
    <s v="Delivered"/>
    <n v="30"/>
    <x v="69"/>
  </r>
  <r>
    <n v="1128"/>
    <n v="1543"/>
    <n v="12"/>
    <n v="3"/>
    <n v="22"/>
    <n v="66"/>
    <s v="Delivered"/>
    <n v="66"/>
    <x v="56"/>
  </r>
  <r>
    <n v="1129"/>
    <n v="1543"/>
    <n v="4"/>
    <n v="2"/>
    <n v="25"/>
    <n v="50"/>
    <s v="Delivered"/>
    <n v="50"/>
    <x v="56"/>
  </r>
  <r>
    <n v="1130"/>
    <n v="1543"/>
    <n v="3"/>
    <n v="1"/>
    <n v="45"/>
    <n v="45"/>
    <s v="Delivered"/>
    <n v="45"/>
    <x v="56"/>
  </r>
  <r>
    <n v="1131"/>
    <n v="1544"/>
    <n v="6"/>
    <n v="4"/>
    <n v="140"/>
    <n v="560"/>
    <s v="Delivered"/>
    <n v="560"/>
    <x v="32"/>
  </r>
  <r>
    <n v="1132"/>
    <n v="1544"/>
    <n v="5"/>
    <n v="3"/>
    <n v="180"/>
    <n v="540"/>
    <s v="Delivered"/>
    <n v="540"/>
    <x v="32"/>
  </r>
  <r>
    <n v="1133"/>
    <n v="1545"/>
    <n v="9"/>
    <n v="3"/>
    <n v="30"/>
    <n v="90"/>
    <s v="Delivered"/>
    <n v="90"/>
    <x v="66"/>
  </r>
  <r>
    <n v="1134"/>
    <n v="1545"/>
    <n v="11"/>
    <n v="4"/>
    <n v="48"/>
    <n v="192"/>
    <s v="Delivered"/>
    <n v="192"/>
    <x v="66"/>
  </r>
  <r>
    <n v="1135"/>
    <n v="1545"/>
    <n v="12"/>
    <n v="3"/>
    <n v="22"/>
    <n v="66"/>
    <s v="Delivered"/>
    <n v="66"/>
    <x v="66"/>
  </r>
  <r>
    <n v="1136"/>
    <n v="1546"/>
    <n v="2"/>
    <n v="4"/>
    <n v="220"/>
    <n v="880"/>
    <s v="Cancelled"/>
    <n v="0"/>
    <x v="44"/>
  </r>
  <r>
    <n v="1137"/>
    <n v="1547"/>
    <n v="3"/>
    <n v="3"/>
    <n v="45"/>
    <n v="135"/>
    <s v="Delivered"/>
    <n v="135"/>
    <x v="29"/>
  </r>
  <r>
    <n v="1138"/>
    <n v="1548"/>
    <n v="7"/>
    <n v="2"/>
    <n v="65"/>
    <n v="130"/>
    <s v="Shipped"/>
    <n v="130"/>
    <x v="15"/>
  </r>
  <r>
    <n v="1139"/>
    <n v="1548"/>
    <n v="11"/>
    <n v="4"/>
    <n v="48"/>
    <n v="192"/>
    <s v="Shipped"/>
    <n v="192"/>
    <x v="15"/>
  </r>
  <r>
    <n v="1140"/>
    <n v="1549"/>
    <n v="1"/>
    <n v="2"/>
    <n v="750"/>
    <n v="1500"/>
    <s v="Delivered"/>
    <n v="1500"/>
    <x v="72"/>
  </r>
  <r>
    <n v="1141"/>
    <n v="1550"/>
    <n v="10"/>
    <n v="4"/>
    <n v="8"/>
    <n v="32"/>
    <s v="Delivered"/>
    <n v="32"/>
    <x v="64"/>
  </r>
  <r>
    <n v="1142"/>
    <n v="1550"/>
    <n v="11"/>
    <n v="4"/>
    <n v="48"/>
    <n v="192"/>
    <s v="Delivered"/>
    <n v="192"/>
    <x v="64"/>
  </r>
  <r>
    <n v="1143"/>
    <n v="1551"/>
    <n v="1"/>
    <n v="3"/>
    <n v="750"/>
    <n v="2250"/>
    <s v="Delivered"/>
    <n v="2250"/>
    <x v="149"/>
  </r>
  <r>
    <n v="1144"/>
    <n v="1551"/>
    <n v="3"/>
    <n v="3"/>
    <n v="45"/>
    <n v="135"/>
    <s v="Delivered"/>
    <n v="135"/>
    <x v="149"/>
  </r>
  <r>
    <n v="1145"/>
    <n v="1552"/>
    <n v="12"/>
    <n v="2"/>
    <n v="22"/>
    <n v="44"/>
    <s v="Delivered"/>
    <n v="44"/>
    <x v="17"/>
  </r>
  <r>
    <n v="1146"/>
    <n v="1552"/>
    <n v="11"/>
    <n v="2"/>
    <n v="48"/>
    <n v="96"/>
    <s v="Delivered"/>
    <n v="96"/>
    <x v="17"/>
  </r>
  <r>
    <n v="1147"/>
    <n v="1552"/>
    <n v="3"/>
    <n v="1"/>
    <n v="45"/>
    <n v="45"/>
    <s v="Delivered"/>
    <n v="45"/>
    <x v="17"/>
  </r>
  <r>
    <n v="1148"/>
    <n v="1553"/>
    <n v="1"/>
    <n v="3"/>
    <n v="750"/>
    <n v="2250"/>
    <s v="Delivered"/>
    <n v="2250"/>
    <x v="55"/>
  </r>
  <r>
    <n v="1149"/>
    <n v="1553"/>
    <n v="11"/>
    <n v="2"/>
    <n v="48"/>
    <n v="96"/>
    <s v="Delivered"/>
    <n v="96"/>
    <x v="55"/>
  </r>
  <r>
    <n v="1150"/>
    <n v="1553"/>
    <n v="6"/>
    <n v="3"/>
    <n v="140"/>
    <n v="420"/>
    <s v="Delivered"/>
    <n v="420"/>
    <x v="55"/>
  </r>
  <r>
    <n v="1151"/>
    <n v="1554"/>
    <n v="8"/>
    <n v="3"/>
    <n v="55"/>
    <n v="165"/>
    <s v="Delivered"/>
    <n v="165"/>
    <x v="21"/>
  </r>
  <r>
    <n v="1152"/>
    <n v="1555"/>
    <n v="5"/>
    <n v="2"/>
    <n v="180"/>
    <n v="360"/>
    <s v="Delivered"/>
    <n v="360"/>
    <x v="37"/>
  </r>
  <r>
    <n v="1153"/>
    <n v="1555"/>
    <n v="10"/>
    <n v="4"/>
    <n v="8"/>
    <n v="32"/>
    <s v="Delivered"/>
    <n v="32"/>
    <x v="37"/>
  </r>
  <r>
    <n v="1154"/>
    <n v="1556"/>
    <n v="1"/>
    <n v="2"/>
    <n v="750"/>
    <n v="1500"/>
    <s v="Delivered"/>
    <n v="1500"/>
    <x v="123"/>
  </r>
  <r>
    <n v="1155"/>
    <n v="1556"/>
    <n v="7"/>
    <n v="4"/>
    <n v="65"/>
    <n v="260"/>
    <s v="Delivered"/>
    <n v="260"/>
    <x v="123"/>
  </r>
  <r>
    <n v="1156"/>
    <n v="1557"/>
    <n v="1"/>
    <n v="1"/>
    <n v="750"/>
    <n v="750"/>
    <s v="Delivered"/>
    <n v="750"/>
    <x v="158"/>
  </r>
  <r>
    <n v="1157"/>
    <n v="1558"/>
    <n v="10"/>
    <n v="1"/>
    <n v="8"/>
    <n v="8"/>
    <s v="Delivered"/>
    <n v="8"/>
    <x v="38"/>
  </r>
  <r>
    <n v="1158"/>
    <n v="1558"/>
    <n v="12"/>
    <n v="3"/>
    <n v="22"/>
    <n v="66"/>
    <s v="Delivered"/>
    <n v="66"/>
    <x v="38"/>
  </r>
  <r>
    <n v="1159"/>
    <n v="1559"/>
    <n v="5"/>
    <n v="1"/>
    <n v="180"/>
    <n v="180"/>
    <s v="Delivered"/>
    <n v="180"/>
    <x v="61"/>
  </r>
  <r>
    <n v="1160"/>
    <n v="1559"/>
    <n v="8"/>
    <n v="2"/>
    <n v="55"/>
    <n v="110"/>
    <s v="Delivered"/>
    <n v="110"/>
    <x v="61"/>
  </r>
  <r>
    <n v="1161"/>
    <n v="1560"/>
    <n v="7"/>
    <n v="1"/>
    <n v="65"/>
    <n v="65"/>
    <s v="Delivered"/>
    <n v="65"/>
    <x v="83"/>
  </r>
  <r>
    <n v="1162"/>
    <n v="1560"/>
    <n v="3"/>
    <n v="2"/>
    <n v="45"/>
    <n v="90"/>
    <s v="Delivered"/>
    <n v="90"/>
    <x v="83"/>
  </r>
  <r>
    <n v="1163"/>
    <n v="1560"/>
    <n v="10"/>
    <n v="2"/>
    <n v="8"/>
    <n v="16"/>
    <s v="Delivered"/>
    <n v="16"/>
    <x v="83"/>
  </r>
  <r>
    <n v="1164"/>
    <n v="1561"/>
    <n v="1"/>
    <n v="4"/>
    <n v="750"/>
    <n v="3000"/>
    <s v="Shipped"/>
    <n v="3000"/>
    <x v="125"/>
  </r>
  <r>
    <n v="1165"/>
    <n v="1562"/>
    <n v="10"/>
    <n v="2"/>
    <n v="8"/>
    <n v="16"/>
    <s v="Delivered"/>
    <n v="16"/>
    <x v="54"/>
  </r>
  <r>
    <n v="1166"/>
    <n v="1562"/>
    <n v="3"/>
    <n v="4"/>
    <n v="45"/>
    <n v="180"/>
    <s v="Delivered"/>
    <n v="180"/>
    <x v="54"/>
  </r>
  <r>
    <n v="1167"/>
    <n v="1562"/>
    <n v="4"/>
    <n v="3"/>
    <n v="25"/>
    <n v="75"/>
    <s v="Delivered"/>
    <n v="75"/>
    <x v="54"/>
  </r>
  <r>
    <n v="1168"/>
    <n v="1563"/>
    <n v="1"/>
    <n v="1"/>
    <n v="750"/>
    <n v="750"/>
    <s v="Delivered"/>
    <n v="750"/>
    <x v="98"/>
  </r>
  <r>
    <n v="1169"/>
    <n v="1564"/>
    <n v="3"/>
    <n v="2"/>
    <n v="45"/>
    <n v="90"/>
    <s v="Delivered"/>
    <n v="90"/>
    <x v="4"/>
  </r>
  <r>
    <n v="1170"/>
    <n v="1564"/>
    <n v="8"/>
    <n v="1"/>
    <n v="55"/>
    <n v="55"/>
    <s v="Delivered"/>
    <n v="55"/>
    <x v="4"/>
  </r>
  <r>
    <n v="1171"/>
    <n v="1565"/>
    <n v="10"/>
    <n v="3"/>
    <n v="8"/>
    <n v="24"/>
    <s v="Delivered"/>
    <n v="24"/>
    <x v="157"/>
  </r>
  <r>
    <n v="1172"/>
    <n v="1565"/>
    <n v="7"/>
    <n v="4"/>
    <n v="65"/>
    <n v="260"/>
    <s v="Delivered"/>
    <n v="260"/>
    <x v="157"/>
  </r>
  <r>
    <n v="1173"/>
    <n v="1566"/>
    <n v="10"/>
    <n v="1"/>
    <n v="8"/>
    <n v="8"/>
    <s v="Delivered"/>
    <n v="8"/>
    <x v="69"/>
  </r>
  <r>
    <n v="1174"/>
    <n v="1567"/>
    <n v="11"/>
    <n v="1"/>
    <n v="48"/>
    <n v="48"/>
    <s v="Delivered"/>
    <n v="48"/>
    <x v="163"/>
  </r>
  <r>
    <n v="1175"/>
    <n v="1567"/>
    <n v="6"/>
    <n v="3"/>
    <n v="140"/>
    <n v="420"/>
    <s v="Delivered"/>
    <n v="420"/>
    <x v="163"/>
  </r>
  <r>
    <n v="1176"/>
    <n v="1568"/>
    <n v="3"/>
    <n v="3"/>
    <n v="45"/>
    <n v="135"/>
    <s v="Delivered"/>
    <n v="135"/>
    <x v="168"/>
  </r>
  <r>
    <n v="1177"/>
    <n v="1568"/>
    <n v="9"/>
    <n v="3"/>
    <n v="30"/>
    <n v="90"/>
    <s v="Delivered"/>
    <n v="90"/>
    <x v="168"/>
  </r>
  <r>
    <n v="1178"/>
    <n v="1568"/>
    <n v="6"/>
    <n v="3"/>
    <n v="140"/>
    <n v="420"/>
    <s v="Delivered"/>
    <n v="420"/>
    <x v="168"/>
  </r>
  <r>
    <n v="1179"/>
    <n v="1569"/>
    <n v="9"/>
    <n v="3"/>
    <n v="30"/>
    <n v="90"/>
    <s v="Delivered"/>
    <n v="90"/>
    <x v="110"/>
  </r>
  <r>
    <n v="1180"/>
    <n v="1570"/>
    <n v="4"/>
    <n v="1"/>
    <n v="25"/>
    <n v="25"/>
    <s v="Delivered"/>
    <n v="25"/>
    <x v="128"/>
  </r>
  <r>
    <n v="1181"/>
    <n v="1571"/>
    <n v="6"/>
    <n v="3"/>
    <n v="140"/>
    <n v="420"/>
    <s v="Delivered"/>
    <n v="420"/>
    <x v="82"/>
  </r>
  <r>
    <n v="1182"/>
    <n v="1571"/>
    <n v="3"/>
    <n v="2"/>
    <n v="45"/>
    <n v="90"/>
    <s v="Delivered"/>
    <n v="90"/>
    <x v="82"/>
  </r>
  <r>
    <n v="1183"/>
    <n v="1571"/>
    <n v="8"/>
    <n v="3"/>
    <n v="55"/>
    <n v="165"/>
    <s v="Delivered"/>
    <n v="165"/>
    <x v="82"/>
  </r>
  <r>
    <n v="1184"/>
    <n v="1572"/>
    <n v="4"/>
    <n v="2"/>
    <n v="25"/>
    <n v="50"/>
    <s v="Delivered"/>
    <n v="50"/>
    <x v="34"/>
  </r>
  <r>
    <n v="1185"/>
    <n v="1573"/>
    <n v="1"/>
    <n v="1"/>
    <n v="750"/>
    <n v="750"/>
    <s v="Delivered"/>
    <n v="750"/>
    <x v="0"/>
  </r>
  <r>
    <n v="1186"/>
    <n v="1573"/>
    <n v="4"/>
    <n v="1"/>
    <n v="25"/>
    <n v="25"/>
    <s v="Delivered"/>
    <n v="25"/>
    <x v="0"/>
  </r>
  <r>
    <n v="1187"/>
    <n v="1574"/>
    <n v="1"/>
    <n v="2"/>
    <n v="750"/>
    <n v="1500"/>
    <s v="Delivered"/>
    <n v="1500"/>
    <x v="79"/>
  </r>
  <r>
    <n v="1188"/>
    <n v="1574"/>
    <n v="2"/>
    <n v="2"/>
    <n v="220"/>
    <n v="440"/>
    <s v="Delivered"/>
    <n v="440"/>
    <x v="79"/>
  </r>
  <r>
    <n v="1189"/>
    <n v="1574"/>
    <n v="11"/>
    <n v="2"/>
    <n v="48"/>
    <n v="96"/>
    <s v="Delivered"/>
    <n v="96"/>
    <x v="79"/>
  </r>
  <r>
    <n v="1190"/>
    <n v="1575"/>
    <n v="3"/>
    <n v="2"/>
    <n v="45"/>
    <n v="90"/>
    <s v="Shipped"/>
    <n v="90"/>
    <x v="5"/>
  </r>
  <r>
    <n v="1191"/>
    <n v="1575"/>
    <n v="9"/>
    <n v="1"/>
    <n v="30"/>
    <n v="30"/>
    <s v="Shipped"/>
    <n v="30"/>
    <x v="5"/>
  </r>
  <r>
    <n v="1192"/>
    <n v="1576"/>
    <n v="3"/>
    <n v="1"/>
    <n v="45"/>
    <n v="45"/>
    <s v="Delivered"/>
    <n v="45"/>
    <x v="46"/>
  </r>
  <r>
    <n v="1193"/>
    <n v="1576"/>
    <n v="9"/>
    <n v="1"/>
    <n v="30"/>
    <n v="30"/>
    <s v="Delivered"/>
    <n v="30"/>
    <x v="46"/>
  </r>
  <r>
    <n v="1194"/>
    <n v="1577"/>
    <n v="11"/>
    <n v="2"/>
    <n v="48"/>
    <n v="96"/>
    <s v="Delivered"/>
    <n v="96"/>
    <x v="172"/>
  </r>
  <r>
    <n v="1195"/>
    <n v="1577"/>
    <n v="2"/>
    <n v="3"/>
    <n v="220"/>
    <n v="660"/>
    <s v="Delivered"/>
    <n v="660"/>
    <x v="172"/>
  </r>
  <r>
    <n v="1196"/>
    <n v="1578"/>
    <n v="8"/>
    <n v="1"/>
    <n v="55"/>
    <n v="55"/>
    <s v="Delivered"/>
    <n v="55"/>
    <x v="80"/>
  </r>
  <r>
    <n v="1197"/>
    <n v="1579"/>
    <n v="8"/>
    <n v="4"/>
    <n v="55"/>
    <n v="220"/>
    <s v="Delivered"/>
    <n v="220"/>
    <x v="75"/>
  </r>
  <r>
    <n v="1198"/>
    <n v="1579"/>
    <n v="2"/>
    <n v="3"/>
    <n v="220"/>
    <n v="660"/>
    <s v="Delivered"/>
    <n v="660"/>
    <x v="75"/>
  </r>
  <r>
    <n v="1199"/>
    <n v="1580"/>
    <n v="4"/>
    <n v="4"/>
    <n v="25"/>
    <n v="100"/>
    <s v="Delivered"/>
    <n v="100"/>
    <x v="153"/>
  </r>
  <r>
    <n v="1200"/>
    <n v="1580"/>
    <n v="2"/>
    <n v="3"/>
    <n v="220"/>
    <n v="660"/>
    <s v="Delivered"/>
    <n v="660"/>
    <x v="153"/>
  </r>
  <r>
    <n v="1201"/>
    <n v="1581"/>
    <n v="3"/>
    <n v="4"/>
    <n v="45"/>
    <n v="180"/>
    <s v="Delivered"/>
    <n v="180"/>
    <x v="145"/>
  </r>
  <r>
    <n v="1202"/>
    <n v="1582"/>
    <n v="4"/>
    <n v="4"/>
    <n v="25"/>
    <n v="100"/>
    <s v="Delivered"/>
    <n v="100"/>
    <x v="125"/>
  </r>
  <r>
    <n v="1203"/>
    <n v="1582"/>
    <n v="10"/>
    <n v="1"/>
    <n v="8"/>
    <n v="8"/>
    <s v="Delivered"/>
    <n v="8"/>
    <x v="125"/>
  </r>
  <r>
    <n v="1204"/>
    <n v="1583"/>
    <n v="8"/>
    <n v="4"/>
    <n v="55"/>
    <n v="220"/>
    <s v="Delivered"/>
    <n v="220"/>
    <x v="27"/>
  </r>
  <r>
    <n v="1205"/>
    <n v="1583"/>
    <n v="11"/>
    <n v="4"/>
    <n v="48"/>
    <n v="192"/>
    <s v="Delivered"/>
    <n v="192"/>
    <x v="27"/>
  </r>
  <r>
    <n v="1206"/>
    <n v="1584"/>
    <n v="3"/>
    <n v="1"/>
    <n v="45"/>
    <n v="45"/>
    <s v="Delivered"/>
    <n v="45"/>
    <x v="79"/>
  </r>
  <r>
    <n v="1207"/>
    <n v="1584"/>
    <n v="1"/>
    <n v="1"/>
    <n v="750"/>
    <n v="750"/>
    <s v="Delivered"/>
    <n v="750"/>
    <x v="79"/>
  </r>
  <r>
    <n v="1208"/>
    <n v="1584"/>
    <n v="2"/>
    <n v="4"/>
    <n v="220"/>
    <n v="880"/>
    <s v="Delivered"/>
    <n v="880"/>
    <x v="79"/>
  </r>
  <r>
    <n v="1209"/>
    <n v="1585"/>
    <n v="11"/>
    <n v="4"/>
    <n v="48"/>
    <n v="192"/>
    <s v="Delivered"/>
    <n v="192"/>
    <x v="19"/>
  </r>
  <r>
    <n v="1210"/>
    <n v="1586"/>
    <n v="9"/>
    <n v="4"/>
    <n v="30"/>
    <n v="120"/>
    <s v="Delivered"/>
    <n v="120"/>
    <x v="74"/>
  </r>
  <r>
    <n v="1211"/>
    <n v="1586"/>
    <n v="1"/>
    <n v="1"/>
    <n v="750"/>
    <n v="750"/>
    <s v="Delivered"/>
    <n v="750"/>
    <x v="74"/>
  </r>
  <r>
    <n v="1212"/>
    <n v="1586"/>
    <n v="11"/>
    <n v="4"/>
    <n v="48"/>
    <n v="192"/>
    <s v="Delivered"/>
    <n v="192"/>
    <x v="74"/>
  </r>
  <r>
    <n v="1213"/>
    <n v="1587"/>
    <n v="3"/>
    <n v="2"/>
    <n v="45"/>
    <n v="90"/>
    <s v="Delivered"/>
    <n v="90"/>
    <x v="33"/>
  </r>
  <r>
    <n v="1214"/>
    <n v="1587"/>
    <n v="8"/>
    <n v="3"/>
    <n v="55"/>
    <n v="165"/>
    <s v="Delivered"/>
    <n v="165"/>
    <x v="33"/>
  </r>
  <r>
    <n v="1215"/>
    <n v="1587"/>
    <n v="7"/>
    <n v="4"/>
    <n v="65"/>
    <n v="260"/>
    <s v="Delivered"/>
    <n v="260"/>
    <x v="33"/>
  </r>
  <r>
    <n v="1216"/>
    <n v="1588"/>
    <n v="8"/>
    <n v="2"/>
    <n v="55"/>
    <n v="110"/>
    <s v="Delivered"/>
    <n v="110"/>
    <x v="173"/>
  </r>
  <r>
    <n v="1217"/>
    <n v="1588"/>
    <n v="9"/>
    <n v="1"/>
    <n v="30"/>
    <n v="30"/>
    <s v="Delivered"/>
    <n v="30"/>
    <x v="173"/>
  </r>
  <r>
    <n v="1218"/>
    <n v="1589"/>
    <n v="1"/>
    <n v="1"/>
    <n v="750"/>
    <n v="750"/>
    <s v="Delivered"/>
    <n v="750"/>
    <x v="9"/>
  </r>
  <r>
    <n v="1219"/>
    <n v="1589"/>
    <n v="12"/>
    <n v="2"/>
    <n v="22"/>
    <n v="44"/>
    <s v="Delivered"/>
    <n v="44"/>
    <x v="9"/>
  </r>
  <r>
    <n v="1220"/>
    <n v="1590"/>
    <n v="6"/>
    <n v="4"/>
    <n v="140"/>
    <n v="560"/>
    <s v="Delivered"/>
    <n v="560"/>
    <x v="168"/>
  </r>
  <r>
    <n v="1221"/>
    <n v="1590"/>
    <n v="12"/>
    <n v="3"/>
    <n v="22"/>
    <n v="66"/>
    <s v="Delivered"/>
    <n v="66"/>
    <x v="168"/>
  </r>
  <r>
    <n v="1222"/>
    <n v="1591"/>
    <n v="2"/>
    <n v="2"/>
    <n v="220"/>
    <n v="440"/>
    <s v="Delivered"/>
    <n v="440"/>
    <x v="71"/>
  </r>
  <r>
    <n v="1223"/>
    <n v="1591"/>
    <n v="6"/>
    <n v="1"/>
    <n v="140"/>
    <n v="140"/>
    <s v="Delivered"/>
    <n v="140"/>
    <x v="71"/>
  </r>
  <r>
    <n v="1224"/>
    <n v="1592"/>
    <n v="1"/>
    <n v="1"/>
    <n v="750"/>
    <n v="750"/>
    <s v="Delivered"/>
    <n v="750"/>
    <x v="147"/>
  </r>
  <r>
    <n v="1225"/>
    <n v="1592"/>
    <n v="8"/>
    <n v="3"/>
    <n v="55"/>
    <n v="165"/>
    <s v="Delivered"/>
    <n v="165"/>
    <x v="147"/>
  </r>
  <r>
    <n v="1226"/>
    <n v="1593"/>
    <n v="8"/>
    <n v="3"/>
    <n v="55"/>
    <n v="165"/>
    <s v="Delivered"/>
    <n v="165"/>
    <x v="47"/>
  </r>
  <r>
    <n v="1227"/>
    <n v="1593"/>
    <n v="9"/>
    <n v="2"/>
    <n v="30"/>
    <n v="60"/>
    <s v="Delivered"/>
    <n v="60"/>
    <x v="47"/>
  </r>
  <r>
    <n v="1228"/>
    <n v="1594"/>
    <n v="4"/>
    <n v="1"/>
    <n v="25"/>
    <n v="25"/>
    <s v="Delivered"/>
    <n v="25"/>
    <x v="167"/>
  </r>
  <r>
    <n v="1229"/>
    <n v="1594"/>
    <n v="5"/>
    <n v="3"/>
    <n v="180"/>
    <n v="540"/>
    <s v="Delivered"/>
    <n v="540"/>
    <x v="167"/>
  </r>
  <r>
    <n v="1230"/>
    <n v="1594"/>
    <n v="11"/>
    <n v="4"/>
    <n v="48"/>
    <n v="192"/>
    <s v="Delivered"/>
    <n v="192"/>
    <x v="167"/>
  </r>
  <r>
    <n v="1231"/>
    <n v="1595"/>
    <n v="2"/>
    <n v="4"/>
    <n v="220"/>
    <n v="880"/>
    <s v="Delivered"/>
    <n v="880"/>
    <x v="27"/>
  </r>
  <r>
    <n v="1232"/>
    <n v="1595"/>
    <n v="10"/>
    <n v="4"/>
    <n v="8"/>
    <n v="32"/>
    <s v="Delivered"/>
    <n v="32"/>
    <x v="27"/>
  </r>
  <r>
    <n v="1233"/>
    <n v="1596"/>
    <n v="9"/>
    <n v="4"/>
    <n v="30"/>
    <n v="120"/>
    <s v="Delivered"/>
    <n v="120"/>
    <x v="74"/>
  </r>
  <r>
    <n v="1234"/>
    <n v="1596"/>
    <n v="6"/>
    <n v="4"/>
    <n v="140"/>
    <n v="560"/>
    <s v="Delivered"/>
    <n v="560"/>
    <x v="74"/>
  </r>
  <r>
    <n v="1235"/>
    <n v="1596"/>
    <n v="4"/>
    <n v="3"/>
    <n v="25"/>
    <n v="75"/>
    <s v="Delivered"/>
    <n v="75"/>
    <x v="74"/>
  </r>
  <r>
    <n v="1236"/>
    <n v="1597"/>
    <n v="10"/>
    <n v="4"/>
    <n v="8"/>
    <n v="32"/>
    <s v="Delivered"/>
    <n v="32"/>
    <x v="82"/>
  </r>
  <r>
    <n v="1237"/>
    <n v="1598"/>
    <n v="7"/>
    <n v="2"/>
    <n v="65"/>
    <n v="130"/>
    <s v="Shipped"/>
    <n v="130"/>
    <x v="115"/>
  </r>
  <r>
    <n v="1238"/>
    <n v="1598"/>
    <n v="10"/>
    <n v="3"/>
    <n v="8"/>
    <n v="24"/>
    <s v="Shipped"/>
    <n v="24"/>
    <x v="115"/>
  </r>
  <r>
    <n v="1239"/>
    <n v="1598"/>
    <n v="1"/>
    <n v="4"/>
    <n v="750"/>
    <n v="3000"/>
    <s v="Shipped"/>
    <n v="3000"/>
    <x v="115"/>
  </r>
  <r>
    <n v="1240"/>
    <n v="1599"/>
    <n v="6"/>
    <n v="2"/>
    <n v="140"/>
    <n v="280"/>
    <s v="Delivered"/>
    <n v="280"/>
    <x v="22"/>
  </r>
  <r>
    <n v="1241"/>
    <n v="1599"/>
    <n v="2"/>
    <n v="4"/>
    <n v="220"/>
    <n v="880"/>
    <s v="Delivered"/>
    <n v="880"/>
    <x v="22"/>
  </r>
  <r>
    <n v="1242"/>
    <n v="1600"/>
    <n v="3"/>
    <n v="2"/>
    <n v="45"/>
    <n v="90"/>
    <s v="Delivered"/>
    <n v="90"/>
    <x v="157"/>
  </r>
  <r>
    <n v="1243"/>
    <n v="1601"/>
    <n v="1"/>
    <n v="3"/>
    <n v="750"/>
    <n v="2250"/>
    <s v="Pending"/>
    <n v="2250"/>
    <x v="68"/>
  </r>
  <r>
    <n v="1244"/>
    <n v="1601"/>
    <n v="4"/>
    <n v="2"/>
    <n v="25"/>
    <n v="50"/>
    <s v="Pending"/>
    <n v="50"/>
    <x v="68"/>
  </r>
  <r>
    <n v="1245"/>
    <n v="1601"/>
    <n v="3"/>
    <n v="1"/>
    <n v="45"/>
    <n v="45"/>
    <s v="Pending"/>
    <n v="45"/>
    <x v="68"/>
  </r>
  <r>
    <n v="1246"/>
    <n v="1602"/>
    <n v="1"/>
    <n v="1"/>
    <n v="750"/>
    <n v="750"/>
    <s v="Delivered"/>
    <n v="750"/>
    <x v="5"/>
  </r>
  <r>
    <n v="1247"/>
    <n v="1602"/>
    <n v="8"/>
    <n v="1"/>
    <n v="55"/>
    <n v="55"/>
    <s v="Delivered"/>
    <n v="55"/>
    <x v="5"/>
  </r>
  <r>
    <n v="1248"/>
    <n v="1602"/>
    <n v="12"/>
    <n v="3"/>
    <n v="22"/>
    <n v="66"/>
    <s v="Delivered"/>
    <n v="66"/>
    <x v="5"/>
  </r>
  <r>
    <n v="1249"/>
    <n v="1603"/>
    <n v="12"/>
    <n v="2"/>
    <n v="22"/>
    <n v="44"/>
    <s v="Delivered"/>
    <n v="44"/>
    <x v="172"/>
  </r>
  <r>
    <n v="1250"/>
    <n v="1603"/>
    <n v="3"/>
    <n v="1"/>
    <n v="45"/>
    <n v="45"/>
    <s v="Delivered"/>
    <n v="45"/>
    <x v="172"/>
  </r>
  <r>
    <n v="1251"/>
    <n v="1604"/>
    <n v="8"/>
    <n v="2"/>
    <n v="55"/>
    <n v="110"/>
    <s v="Shipped"/>
    <n v="110"/>
    <x v="27"/>
  </r>
  <r>
    <n v="1252"/>
    <n v="1604"/>
    <n v="2"/>
    <n v="1"/>
    <n v="220"/>
    <n v="220"/>
    <s v="Shipped"/>
    <n v="220"/>
    <x v="27"/>
  </r>
  <r>
    <n v="1253"/>
    <n v="1605"/>
    <n v="12"/>
    <n v="2"/>
    <n v="22"/>
    <n v="44"/>
    <s v="Delivered"/>
    <n v="44"/>
    <x v="37"/>
  </r>
  <r>
    <n v="1254"/>
    <n v="1605"/>
    <n v="4"/>
    <n v="2"/>
    <n v="25"/>
    <n v="50"/>
    <s v="Delivered"/>
    <n v="50"/>
    <x v="37"/>
  </r>
  <r>
    <n v="1255"/>
    <n v="1605"/>
    <n v="7"/>
    <n v="1"/>
    <n v="65"/>
    <n v="65"/>
    <s v="Delivered"/>
    <n v="65"/>
    <x v="37"/>
  </r>
  <r>
    <n v="1256"/>
    <n v="1606"/>
    <n v="12"/>
    <n v="3"/>
    <n v="22"/>
    <n v="66"/>
    <s v="Delivered"/>
    <n v="66"/>
    <x v="95"/>
  </r>
  <r>
    <n v="1257"/>
    <n v="1606"/>
    <n v="2"/>
    <n v="4"/>
    <n v="220"/>
    <n v="880"/>
    <s v="Delivered"/>
    <n v="880"/>
    <x v="95"/>
  </r>
  <r>
    <n v="1258"/>
    <n v="1607"/>
    <n v="1"/>
    <n v="1"/>
    <n v="750"/>
    <n v="750"/>
    <s v="Delivered"/>
    <n v="750"/>
    <x v="116"/>
  </r>
  <r>
    <n v="1259"/>
    <n v="1607"/>
    <n v="11"/>
    <n v="1"/>
    <n v="48"/>
    <n v="48"/>
    <s v="Delivered"/>
    <n v="48"/>
    <x v="116"/>
  </r>
  <r>
    <n v="1260"/>
    <n v="1608"/>
    <n v="2"/>
    <n v="4"/>
    <n v="220"/>
    <n v="880"/>
    <s v="Delivered"/>
    <n v="880"/>
    <x v="159"/>
  </r>
  <r>
    <n v="1261"/>
    <n v="1608"/>
    <n v="9"/>
    <n v="4"/>
    <n v="30"/>
    <n v="120"/>
    <s v="Delivered"/>
    <n v="120"/>
    <x v="159"/>
  </r>
  <r>
    <n v="1262"/>
    <n v="1608"/>
    <n v="4"/>
    <n v="1"/>
    <n v="25"/>
    <n v="25"/>
    <s v="Delivered"/>
    <n v="25"/>
    <x v="159"/>
  </r>
  <r>
    <n v="1263"/>
    <n v="1609"/>
    <n v="4"/>
    <n v="4"/>
    <n v="25"/>
    <n v="100"/>
    <s v="Delivered"/>
    <n v="100"/>
    <x v="98"/>
  </r>
  <r>
    <n v="1264"/>
    <n v="1609"/>
    <n v="3"/>
    <n v="3"/>
    <n v="45"/>
    <n v="135"/>
    <s v="Delivered"/>
    <n v="135"/>
    <x v="98"/>
  </r>
  <r>
    <n v="1265"/>
    <n v="1610"/>
    <n v="12"/>
    <n v="3"/>
    <n v="22"/>
    <n v="66"/>
    <s v="Cancelled"/>
    <n v="0"/>
    <x v="148"/>
  </r>
  <r>
    <n v="1266"/>
    <n v="1610"/>
    <n v="7"/>
    <n v="4"/>
    <n v="65"/>
    <n v="260"/>
    <s v="Cancelled"/>
    <n v="0"/>
    <x v="148"/>
  </r>
  <r>
    <n v="1267"/>
    <n v="1611"/>
    <n v="2"/>
    <n v="3"/>
    <n v="220"/>
    <n v="660"/>
    <s v="Delivered"/>
    <n v="660"/>
    <x v="47"/>
  </r>
  <r>
    <n v="1268"/>
    <n v="1611"/>
    <n v="6"/>
    <n v="4"/>
    <n v="140"/>
    <n v="560"/>
    <s v="Delivered"/>
    <n v="560"/>
    <x v="47"/>
  </r>
  <r>
    <n v="1269"/>
    <n v="1611"/>
    <n v="7"/>
    <n v="1"/>
    <n v="65"/>
    <n v="65"/>
    <s v="Delivered"/>
    <n v="65"/>
    <x v="47"/>
  </r>
  <r>
    <n v="1270"/>
    <n v="1612"/>
    <n v="11"/>
    <n v="3"/>
    <n v="48"/>
    <n v="144"/>
    <s v="Delivered"/>
    <n v="144"/>
    <x v="91"/>
  </r>
  <r>
    <n v="1271"/>
    <n v="1613"/>
    <n v="8"/>
    <n v="2"/>
    <n v="55"/>
    <n v="110"/>
    <s v="Delivered"/>
    <n v="110"/>
    <x v="141"/>
  </r>
  <r>
    <n v="1272"/>
    <n v="1613"/>
    <n v="12"/>
    <n v="3"/>
    <n v="22"/>
    <n v="66"/>
    <s v="Delivered"/>
    <n v="66"/>
    <x v="141"/>
  </r>
  <r>
    <n v="1273"/>
    <n v="1614"/>
    <n v="7"/>
    <n v="4"/>
    <n v="65"/>
    <n v="260"/>
    <s v="Delivered"/>
    <n v="260"/>
    <x v="11"/>
  </r>
  <r>
    <n v="1274"/>
    <n v="1615"/>
    <n v="8"/>
    <n v="2"/>
    <n v="55"/>
    <n v="110"/>
    <s v="Delivered"/>
    <n v="110"/>
    <x v="75"/>
  </r>
  <r>
    <n v="1275"/>
    <n v="1616"/>
    <n v="6"/>
    <n v="2"/>
    <n v="140"/>
    <n v="280"/>
    <s v="Delivered"/>
    <n v="280"/>
    <x v="126"/>
  </r>
  <r>
    <n v="1276"/>
    <n v="1617"/>
    <n v="4"/>
    <n v="2"/>
    <n v="25"/>
    <n v="50"/>
    <s v="Delivered"/>
    <n v="50"/>
    <x v="94"/>
  </r>
  <r>
    <n v="1277"/>
    <n v="1618"/>
    <n v="10"/>
    <n v="2"/>
    <n v="8"/>
    <n v="16"/>
    <s v="Delivered"/>
    <n v="16"/>
    <x v="122"/>
  </r>
  <r>
    <n v="1278"/>
    <n v="1619"/>
    <n v="5"/>
    <n v="3"/>
    <n v="180"/>
    <n v="540"/>
    <s v="Delivered"/>
    <n v="540"/>
    <x v="169"/>
  </r>
  <r>
    <n v="1279"/>
    <n v="1620"/>
    <n v="8"/>
    <n v="2"/>
    <n v="55"/>
    <n v="110"/>
    <s v="Delivered"/>
    <n v="110"/>
    <x v="22"/>
  </r>
  <r>
    <n v="1280"/>
    <n v="1621"/>
    <n v="2"/>
    <n v="1"/>
    <n v="220"/>
    <n v="220"/>
    <s v="Delivered"/>
    <n v="220"/>
    <x v="159"/>
  </r>
  <r>
    <n v="1281"/>
    <n v="1622"/>
    <n v="5"/>
    <n v="4"/>
    <n v="180"/>
    <n v="720"/>
    <s v="Shipped"/>
    <n v="720"/>
    <x v="31"/>
  </r>
  <r>
    <n v="1282"/>
    <n v="1623"/>
    <n v="10"/>
    <n v="2"/>
    <n v="8"/>
    <n v="16"/>
    <s v="Delivered"/>
    <n v="16"/>
    <x v="3"/>
  </r>
  <r>
    <n v="1283"/>
    <n v="1624"/>
    <n v="3"/>
    <n v="1"/>
    <n v="45"/>
    <n v="45"/>
    <s v="Delivered"/>
    <n v="45"/>
    <x v="90"/>
  </r>
  <r>
    <n v="1284"/>
    <n v="1624"/>
    <n v="5"/>
    <n v="3"/>
    <n v="180"/>
    <n v="540"/>
    <s v="Delivered"/>
    <n v="540"/>
    <x v="90"/>
  </r>
  <r>
    <n v="1285"/>
    <n v="1625"/>
    <n v="10"/>
    <n v="3"/>
    <n v="8"/>
    <n v="24"/>
    <s v="Shipped"/>
    <n v="24"/>
    <x v="116"/>
  </r>
  <r>
    <n v="1286"/>
    <n v="1625"/>
    <n v="5"/>
    <n v="4"/>
    <n v="180"/>
    <n v="720"/>
    <s v="Shipped"/>
    <n v="720"/>
    <x v="116"/>
  </r>
  <r>
    <n v="1287"/>
    <n v="1626"/>
    <n v="11"/>
    <n v="1"/>
    <n v="48"/>
    <n v="48"/>
    <s v="Delivered"/>
    <n v="48"/>
    <x v="26"/>
  </r>
  <r>
    <n v="1288"/>
    <n v="1626"/>
    <n v="12"/>
    <n v="2"/>
    <n v="22"/>
    <n v="44"/>
    <s v="Delivered"/>
    <n v="44"/>
    <x v="26"/>
  </r>
  <r>
    <n v="1289"/>
    <n v="1626"/>
    <n v="8"/>
    <n v="2"/>
    <n v="55"/>
    <n v="110"/>
    <s v="Delivered"/>
    <n v="110"/>
    <x v="26"/>
  </r>
  <r>
    <n v="1290"/>
    <n v="1627"/>
    <n v="1"/>
    <n v="3"/>
    <n v="750"/>
    <n v="2250"/>
    <s v="Delivered"/>
    <n v="2250"/>
    <x v="139"/>
  </r>
  <r>
    <n v="1291"/>
    <n v="1627"/>
    <n v="8"/>
    <n v="4"/>
    <n v="55"/>
    <n v="220"/>
    <s v="Delivered"/>
    <n v="220"/>
    <x v="139"/>
  </r>
  <r>
    <n v="1292"/>
    <n v="1628"/>
    <n v="3"/>
    <n v="3"/>
    <n v="45"/>
    <n v="135"/>
    <s v="Delivered"/>
    <n v="135"/>
    <x v="8"/>
  </r>
  <r>
    <n v="1293"/>
    <n v="1628"/>
    <n v="12"/>
    <n v="2"/>
    <n v="22"/>
    <n v="44"/>
    <s v="Delivered"/>
    <n v="44"/>
    <x v="8"/>
  </r>
  <r>
    <n v="1294"/>
    <n v="1629"/>
    <n v="8"/>
    <n v="1"/>
    <n v="55"/>
    <n v="55"/>
    <s v="Delivered"/>
    <n v="55"/>
    <x v="169"/>
  </r>
  <r>
    <n v="1295"/>
    <n v="1630"/>
    <n v="3"/>
    <n v="1"/>
    <n v="45"/>
    <n v="45"/>
    <s v="Delivered"/>
    <n v="45"/>
    <x v="8"/>
  </r>
  <r>
    <n v="1296"/>
    <n v="1630"/>
    <n v="1"/>
    <n v="4"/>
    <n v="750"/>
    <n v="3000"/>
    <s v="Delivered"/>
    <n v="3000"/>
    <x v="8"/>
  </r>
  <r>
    <n v="1297"/>
    <n v="1631"/>
    <n v="11"/>
    <n v="4"/>
    <n v="48"/>
    <n v="192"/>
    <s v="Delivered"/>
    <n v="192"/>
    <x v="14"/>
  </r>
  <r>
    <n v="1298"/>
    <n v="1632"/>
    <n v="5"/>
    <n v="1"/>
    <n v="180"/>
    <n v="180"/>
    <s v="Delivered"/>
    <n v="180"/>
    <x v="90"/>
  </r>
  <r>
    <n v="1299"/>
    <n v="1632"/>
    <n v="6"/>
    <n v="4"/>
    <n v="140"/>
    <n v="560"/>
    <s v="Delivered"/>
    <n v="560"/>
    <x v="90"/>
  </r>
  <r>
    <n v="1300"/>
    <n v="1632"/>
    <n v="1"/>
    <n v="1"/>
    <n v="750"/>
    <n v="750"/>
    <s v="Delivered"/>
    <n v="750"/>
    <x v="90"/>
  </r>
  <r>
    <n v="1301"/>
    <n v="1633"/>
    <n v="7"/>
    <n v="4"/>
    <n v="65"/>
    <n v="260"/>
    <s v="Delivered"/>
    <n v="260"/>
    <x v="88"/>
  </r>
  <r>
    <n v="1302"/>
    <n v="1634"/>
    <n v="5"/>
    <n v="2"/>
    <n v="180"/>
    <n v="360"/>
    <s v="Delivered"/>
    <n v="360"/>
    <x v="174"/>
  </r>
  <r>
    <n v="1303"/>
    <n v="1634"/>
    <n v="11"/>
    <n v="3"/>
    <n v="48"/>
    <n v="144"/>
    <s v="Delivered"/>
    <n v="144"/>
    <x v="174"/>
  </r>
  <r>
    <n v="1304"/>
    <n v="1634"/>
    <n v="10"/>
    <n v="1"/>
    <n v="8"/>
    <n v="8"/>
    <s v="Delivered"/>
    <n v="8"/>
    <x v="174"/>
  </r>
  <r>
    <n v="1305"/>
    <n v="1635"/>
    <n v="7"/>
    <n v="3"/>
    <n v="65"/>
    <n v="195"/>
    <s v="Delivered"/>
    <n v="195"/>
    <x v="142"/>
  </r>
  <r>
    <n v="1306"/>
    <n v="1636"/>
    <n v="4"/>
    <n v="4"/>
    <n v="25"/>
    <n v="100"/>
    <s v="Delivered"/>
    <n v="100"/>
    <x v="38"/>
  </r>
  <r>
    <n v="1307"/>
    <n v="1636"/>
    <n v="11"/>
    <n v="1"/>
    <n v="48"/>
    <n v="48"/>
    <s v="Delivered"/>
    <n v="48"/>
    <x v="38"/>
  </r>
  <r>
    <n v="1308"/>
    <n v="1636"/>
    <n v="3"/>
    <n v="3"/>
    <n v="45"/>
    <n v="135"/>
    <s v="Delivered"/>
    <n v="135"/>
    <x v="38"/>
  </r>
  <r>
    <n v="1309"/>
    <n v="1637"/>
    <n v="9"/>
    <n v="4"/>
    <n v="30"/>
    <n v="120"/>
    <s v="Pending"/>
    <n v="120"/>
    <x v="16"/>
  </r>
  <r>
    <n v="1310"/>
    <n v="1638"/>
    <n v="9"/>
    <n v="1"/>
    <n v="30"/>
    <n v="30"/>
    <s v="Delivered"/>
    <n v="30"/>
    <x v="147"/>
  </r>
  <r>
    <n v="1311"/>
    <n v="1639"/>
    <n v="10"/>
    <n v="1"/>
    <n v="8"/>
    <n v="8"/>
    <s v="Delivered"/>
    <n v="8"/>
    <x v="147"/>
  </r>
  <r>
    <n v="1312"/>
    <n v="1639"/>
    <n v="2"/>
    <n v="1"/>
    <n v="220"/>
    <n v="220"/>
    <s v="Delivered"/>
    <n v="220"/>
    <x v="147"/>
  </r>
  <r>
    <n v="1313"/>
    <n v="1640"/>
    <n v="10"/>
    <n v="4"/>
    <n v="8"/>
    <n v="32"/>
    <s v="Delivered"/>
    <n v="32"/>
    <x v="112"/>
  </r>
  <r>
    <n v="1314"/>
    <n v="1640"/>
    <n v="8"/>
    <n v="3"/>
    <n v="55"/>
    <n v="165"/>
    <s v="Delivered"/>
    <n v="165"/>
    <x v="112"/>
  </r>
  <r>
    <n v="1315"/>
    <n v="1641"/>
    <n v="2"/>
    <n v="1"/>
    <n v="220"/>
    <n v="220"/>
    <s v="Delivered"/>
    <n v="220"/>
    <x v="81"/>
  </r>
  <r>
    <n v="1316"/>
    <n v="1641"/>
    <n v="7"/>
    <n v="1"/>
    <n v="65"/>
    <n v="65"/>
    <s v="Delivered"/>
    <n v="65"/>
    <x v="81"/>
  </r>
  <r>
    <n v="1317"/>
    <n v="1641"/>
    <n v="9"/>
    <n v="4"/>
    <n v="30"/>
    <n v="120"/>
    <s v="Delivered"/>
    <n v="120"/>
    <x v="81"/>
  </r>
  <r>
    <n v="1318"/>
    <n v="1642"/>
    <n v="10"/>
    <n v="3"/>
    <n v="8"/>
    <n v="24"/>
    <s v="Cancelled"/>
    <n v="0"/>
    <x v="124"/>
  </r>
  <r>
    <n v="1319"/>
    <n v="1642"/>
    <n v="12"/>
    <n v="4"/>
    <n v="22"/>
    <n v="88"/>
    <s v="Cancelled"/>
    <n v="0"/>
    <x v="124"/>
  </r>
  <r>
    <n v="1320"/>
    <n v="1643"/>
    <n v="4"/>
    <n v="1"/>
    <n v="25"/>
    <n v="25"/>
    <s v="Delivered"/>
    <n v="25"/>
    <x v="98"/>
  </r>
  <r>
    <n v="1321"/>
    <n v="1644"/>
    <n v="4"/>
    <n v="2"/>
    <n v="25"/>
    <n v="50"/>
    <s v="Delivered"/>
    <n v="50"/>
    <x v="32"/>
  </r>
  <r>
    <n v="1322"/>
    <n v="1644"/>
    <n v="7"/>
    <n v="1"/>
    <n v="65"/>
    <n v="65"/>
    <s v="Delivered"/>
    <n v="65"/>
    <x v="32"/>
  </r>
  <r>
    <n v="1323"/>
    <n v="1644"/>
    <n v="9"/>
    <n v="3"/>
    <n v="30"/>
    <n v="90"/>
    <s v="Delivered"/>
    <n v="90"/>
    <x v="32"/>
  </r>
  <r>
    <n v="1324"/>
    <n v="1645"/>
    <n v="8"/>
    <n v="4"/>
    <n v="55"/>
    <n v="220"/>
    <s v="Cancelled"/>
    <n v="0"/>
    <x v="18"/>
  </r>
  <r>
    <n v="1325"/>
    <n v="1645"/>
    <n v="1"/>
    <n v="2"/>
    <n v="750"/>
    <n v="1500"/>
    <s v="Cancelled"/>
    <n v="0"/>
    <x v="18"/>
  </r>
  <r>
    <n v="1326"/>
    <n v="1646"/>
    <n v="6"/>
    <n v="1"/>
    <n v="140"/>
    <n v="140"/>
    <s v="Delivered"/>
    <n v="140"/>
    <x v="171"/>
  </r>
  <r>
    <n v="1327"/>
    <n v="1647"/>
    <n v="1"/>
    <n v="4"/>
    <n v="750"/>
    <n v="3000"/>
    <s v="Delivered"/>
    <n v="3000"/>
    <x v="122"/>
  </r>
  <r>
    <n v="1328"/>
    <n v="1647"/>
    <n v="8"/>
    <n v="4"/>
    <n v="55"/>
    <n v="220"/>
    <s v="Delivered"/>
    <n v="220"/>
    <x v="122"/>
  </r>
  <r>
    <n v="1329"/>
    <n v="1648"/>
    <n v="7"/>
    <n v="3"/>
    <n v="65"/>
    <n v="195"/>
    <s v="Delivered"/>
    <n v="195"/>
    <x v="49"/>
  </r>
  <r>
    <n v="1330"/>
    <n v="1649"/>
    <n v="12"/>
    <n v="1"/>
    <n v="22"/>
    <n v="22"/>
    <s v="Delivered"/>
    <n v="22"/>
    <x v="87"/>
  </r>
  <r>
    <n v="1331"/>
    <n v="1649"/>
    <n v="7"/>
    <n v="2"/>
    <n v="65"/>
    <n v="130"/>
    <s v="Delivered"/>
    <n v="130"/>
    <x v="87"/>
  </r>
  <r>
    <n v="1332"/>
    <n v="1650"/>
    <n v="12"/>
    <n v="2"/>
    <n v="22"/>
    <n v="44"/>
    <s v="Delivered"/>
    <n v="44"/>
    <x v="74"/>
  </r>
  <r>
    <n v="1333"/>
    <n v="1650"/>
    <n v="11"/>
    <n v="3"/>
    <n v="48"/>
    <n v="144"/>
    <s v="Delivered"/>
    <n v="144"/>
    <x v="74"/>
  </r>
  <r>
    <n v="1334"/>
    <n v="1650"/>
    <n v="8"/>
    <n v="4"/>
    <n v="55"/>
    <n v="220"/>
    <s v="Delivered"/>
    <n v="220"/>
    <x v="74"/>
  </r>
  <r>
    <n v="1335"/>
    <n v="1651"/>
    <n v="4"/>
    <n v="4"/>
    <n v="25"/>
    <n v="100"/>
    <s v="Delivered"/>
    <n v="100"/>
    <x v="116"/>
  </r>
  <r>
    <n v="1336"/>
    <n v="1651"/>
    <n v="5"/>
    <n v="2"/>
    <n v="180"/>
    <n v="360"/>
    <s v="Delivered"/>
    <n v="360"/>
    <x v="116"/>
  </r>
  <r>
    <n v="1337"/>
    <n v="1651"/>
    <n v="2"/>
    <n v="2"/>
    <n v="220"/>
    <n v="440"/>
    <s v="Delivered"/>
    <n v="440"/>
    <x v="116"/>
  </r>
  <r>
    <n v="1338"/>
    <n v="1652"/>
    <n v="1"/>
    <n v="3"/>
    <n v="750"/>
    <n v="2250"/>
    <s v="Delivered"/>
    <n v="2250"/>
    <x v="122"/>
  </r>
  <r>
    <n v="1339"/>
    <n v="1652"/>
    <n v="12"/>
    <n v="3"/>
    <n v="22"/>
    <n v="66"/>
    <s v="Delivered"/>
    <n v="66"/>
    <x v="122"/>
  </r>
  <r>
    <n v="1340"/>
    <n v="1652"/>
    <n v="6"/>
    <n v="2"/>
    <n v="140"/>
    <n v="280"/>
    <s v="Delivered"/>
    <n v="280"/>
    <x v="122"/>
  </r>
  <r>
    <n v="1341"/>
    <n v="1653"/>
    <n v="9"/>
    <n v="2"/>
    <n v="30"/>
    <n v="60"/>
    <s v="Delivered"/>
    <n v="60"/>
    <x v="146"/>
  </r>
  <r>
    <n v="1342"/>
    <n v="1654"/>
    <n v="9"/>
    <n v="1"/>
    <n v="30"/>
    <n v="30"/>
    <s v="Delivered"/>
    <n v="30"/>
    <x v="75"/>
  </r>
  <r>
    <n v="1343"/>
    <n v="1654"/>
    <n v="10"/>
    <n v="4"/>
    <n v="8"/>
    <n v="32"/>
    <s v="Delivered"/>
    <n v="32"/>
    <x v="75"/>
  </r>
  <r>
    <n v="1344"/>
    <n v="1654"/>
    <n v="2"/>
    <n v="4"/>
    <n v="220"/>
    <n v="880"/>
    <s v="Delivered"/>
    <n v="880"/>
    <x v="75"/>
  </r>
  <r>
    <n v="1345"/>
    <n v="1655"/>
    <n v="1"/>
    <n v="2"/>
    <n v="750"/>
    <n v="1500"/>
    <s v="Delivered"/>
    <n v="1500"/>
    <x v="129"/>
  </r>
  <r>
    <n v="1346"/>
    <n v="1655"/>
    <n v="9"/>
    <n v="1"/>
    <n v="30"/>
    <n v="30"/>
    <s v="Delivered"/>
    <n v="30"/>
    <x v="129"/>
  </r>
  <r>
    <n v="1347"/>
    <n v="1655"/>
    <n v="2"/>
    <n v="2"/>
    <n v="220"/>
    <n v="440"/>
    <s v="Delivered"/>
    <n v="440"/>
    <x v="129"/>
  </r>
  <r>
    <n v="1348"/>
    <n v="1656"/>
    <n v="11"/>
    <n v="3"/>
    <n v="48"/>
    <n v="144"/>
    <s v="Delivered"/>
    <n v="144"/>
    <x v="74"/>
  </r>
  <r>
    <n v="1349"/>
    <n v="1657"/>
    <n v="8"/>
    <n v="3"/>
    <n v="55"/>
    <n v="165"/>
    <s v="Delivered"/>
    <n v="165"/>
    <x v="54"/>
  </r>
  <r>
    <n v="1350"/>
    <n v="1658"/>
    <n v="9"/>
    <n v="4"/>
    <n v="30"/>
    <n v="120"/>
    <s v="Delivered"/>
    <n v="120"/>
    <x v="54"/>
  </r>
  <r>
    <n v="1351"/>
    <n v="1659"/>
    <n v="6"/>
    <n v="2"/>
    <n v="140"/>
    <n v="280"/>
    <s v="Shipped"/>
    <n v="280"/>
    <x v="144"/>
  </r>
  <r>
    <n v="1352"/>
    <n v="1659"/>
    <n v="1"/>
    <n v="1"/>
    <n v="750"/>
    <n v="750"/>
    <s v="Shipped"/>
    <n v="750"/>
    <x v="144"/>
  </r>
  <r>
    <n v="1353"/>
    <n v="1659"/>
    <n v="8"/>
    <n v="1"/>
    <n v="55"/>
    <n v="55"/>
    <s v="Shipped"/>
    <n v="55"/>
    <x v="144"/>
  </r>
  <r>
    <n v="1354"/>
    <n v="1660"/>
    <n v="1"/>
    <n v="1"/>
    <n v="750"/>
    <n v="750"/>
    <s v="Pending"/>
    <n v="750"/>
    <x v="161"/>
  </r>
  <r>
    <n v="1355"/>
    <n v="1660"/>
    <n v="7"/>
    <n v="2"/>
    <n v="65"/>
    <n v="130"/>
    <s v="Pending"/>
    <n v="130"/>
    <x v="161"/>
  </r>
  <r>
    <n v="1356"/>
    <n v="1661"/>
    <n v="7"/>
    <n v="3"/>
    <n v="65"/>
    <n v="195"/>
    <s v="Pending"/>
    <n v="195"/>
    <x v="108"/>
  </r>
  <r>
    <n v="1357"/>
    <n v="1661"/>
    <n v="12"/>
    <n v="3"/>
    <n v="22"/>
    <n v="66"/>
    <s v="Pending"/>
    <n v="66"/>
    <x v="108"/>
  </r>
  <r>
    <n v="1358"/>
    <n v="1662"/>
    <n v="3"/>
    <n v="2"/>
    <n v="45"/>
    <n v="90"/>
    <s v="Delivered"/>
    <n v="90"/>
    <x v="127"/>
  </r>
  <r>
    <n v="1359"/>
    <n v="1662"/>
    <n v="7"/>
    <n v="4"/>
    <n v="65"/>
    <n v="260"/>
    <s v="Delivered"/>
    <n v="260"/>
    <x v="127"/>
  </r>
  <r>
    <n v="1360"/>
    <n v="1662"/>
    <n v="8"/>
    <n v="3"/>
    <n v="55"/>
    <n v="165"/>
    <s v="Delivered"/>
    <n v="165"/>
    <x v="127"/>
  </r>
  <r>
    <n v="1361"/>
    <n v="1663"/>
    <n v="7"/>
    <n v="3"/>
    <n v="65"/>
    <n v="195"/>
    <s v="Delivered"/>
    <n v="195"/>
    <x v="98"/>
  </r>
  <r>
    <n v="1362"/>
    <n v="1663"/>
    <n v="3"/>
    <n v="2"/>
    <n v="45"/>
    <n v="90"/>
    <s v="Delivered"/>
    <n v="90"/>
    <x v="98"/>
  </r>
  <r>
    <n v="1363"/>
    <n v="1664"/>
    <n v="5"/>
    <n v="4"/>
    <n v="180"/>
    <n v="720"/>
    <s v="Delivered"/>
    <n v="720"/>
    <x v="99"/>
  </r>
  <r>
    <n v="1364"/>
    <n v="1664"/>
    <n v="4"/>
    <n v="1"/>
    <n v="25"/>
    <n v="25"/>
    <s v="Delivered"/>
    <n v="25"/>
    <x v="99"/>
  </r>
  <r>
    <n v="1365"/>
    <n v="1664"/>
    <n v="12"/>
    <n v="1"/>
    <n v="22"/>
    <n v="22"/>
    <s v="Delivered"/>
    <n v="22"/>
    <x v="99"/>
  </r>
  <r>
    <n v="1366"/>
    <n v="1665"/>
    <n v="5"/>
    <n v="1"/>
    <n v="180"/>
    <n v="180"/>
    <s v="Delivered"/>
    <n v="180"/>
    <x v="106"/>
  </r>
  <r>
    <n v="1367"/>
    <n v="1665"/>
    <n v="10"/>
    <n v="4"/>
    <n v="8"/>
    <n v="32"/>
    <s v="Delivered"/>
    <n v="32"/>
    <x v="106"/>
  </r>
  <r>
    <n v="1368"/>
    <n v="1666"/>
    <n v="4"/>
    <n v="3"/>
    <n v="25"/>
    <n v="75"/>
    <s v="Delivered"/>
    <n v="75"/>
    <x v="63"/>
  </r>
  <r>
    <n v="1369"/>
    <n v="1666"/>
    <n v="6"/>
    <n v="2"/>
    <n v="140"/>
    <n v="280"/>
    <s v="Delivered"/>
    <n v="280"/>
    <x v="63"/>
  </r>
  <r>
    <n v="1370"/>
    <n v="1666"/>
    <n v="5"/>
    <n v="4"/>
    <n v="180"/>
    <n v="720"/>
    <s v="Delivered"/>
    <n v="720"/>
    <x v="63"/>
  </r>
  <r>
    <n v="1371"/>
    <n v="1667"/>
    <n v="2"/>
    <n v="4"/>
    <n v="220"/>
    <n v="880"/>
    <s v="Delivered"/>
    <n v="880"/>
    <x v="78"/>
  </r>
  <r>
    <n v="1372"/>
    <n v="1667"/>
    <n v="3"/>
    <n v="4"/>
    <n v="45"/>
    <n v="180"/>
    <s v="Delivered"/>
    <n v="180"/>
    <x v="78"/>
  </r>
  <r>
    <n v="1373"/>
    <n v="1668"/>
    <n v="9"/>
    <n v="4"/>
    <n v="30"/>
    <n v="120"/>
    <s v="Delivered"/>
    <n v="120"/>
    <x v="25"/>
  </r>
  <r>
    <n v="1374"/>
    <n v="1668"/>
    <n v="7"/>
    <n v="3"/>
    <n v="65"/>
    <n v="195"/>
    <s v="Delivered"/>
    <n v="195"/>
    <x v="25"/>
  </r>
  <r>
    <n v="1375"/>
    <n v="1668"/>
    <n v="10"/>
    <n v="4"/>
    <n v="8"/>
    <n v="32"/>
    <s v="Delivered"/>
    <n v="32"/>
    <x v="25"/>
  </r>
  <r>
    <n v="1376"/>
    <n v="1669"/>
    <n v="3"/>
    <n v="2"/>
    <n v="45"/>
    <n v="90"/>
    <s v="Delivered"/>
    <n v="90"/>
    <x v="54"/>
  </r>
  <r>
    <n v="1377"/>
    <n v="1669"/>
    <n v="8"/>
    <n v="1"/>
    <n v="55"/>
    <n v="55"/>
    <s v="Delivered"/>
    <n v="55"/>
    <x v="54"/>
  </r>
  <r>
    <n v="1378"/>
    <n v="1669"/>
    <n v="11"/>
    <n v="2"/>
    <n v="48"/>
    <n v="96"/>
    <s v="Delivered"/>
    <n v="96"/>
    <x v="54"/>
  </r>
  <r>
    <n v="1379"/>
    <n v="1670"/>
    <n v="7"/>
    <n v="3"/>
    <n v="65"/>
    <n v="195"/>
    <s v="Shipped"/>
    <n v="195"/>
    <x v="55"/>
  </r>
  <r>
    <n v="1380"/>
    <n v="1670"/>
    <n v="2"/>
    <n v="3"/>
    <n v="220"/>
    <n v="660"/>
    <s v="Shipped"/>
    <n v="660"/>
    <x v="55"/>
  </r>
  <r>
    <n v="1381"/>
    <n v="1670"/>
    <n v="11"/>
    <n v="1"/>
    <n v="48"/>
    <n v="48"/>
    <s v="Shipped"/>
    <n v="48"/>
    <x v="55"/>
  </r>
  <r>
    <n v="1382"/>
    <n v="1671"/>
    <n v="5"/>
    <n v="1"/>
    <n v="180"/>
    <n v="180"/>
    <s v="Delivered"/>
    <n v="180"/>
    <x v="61"/>
  </r>
  <r>
    <n v="1383"/>
    <n v="1671"/>
    <n v="8"/>
    <n v="2"/>
    <n v="55"/>
    <n v="110"/>
    <s v="Delivered"/>
    <n v="110"/>
    <x v="61"/>
  </r>
  <r>
    <n v="1384"/>
    <n v="1672"/>
    <n v="2"/>
    <n v="3"/>
    <n v="220"/>
    <n v="660"/>
    <s v="Delivered"/>
    <n v="660"/>
    <x v="43"/>
  </r>
  <r>
    <n v="1385"/>
    <n v="1673"/>
    <n v="8"/>
    <n v="2"/>
    <n v="55"/>
    <n v="110"/>
    <s v="Delivered"/>
    <n v="110"/>
    <x v="63"/>
  </r>
  <r>
    <n v="1386"/>
    <n v="1673"/>
    <n v="10"/>
    <n v="2"/>
    <n v="8"/>
    <n v="16"/>
    <s v="Delivered"/>
    <n v="16"/>
    <x v="63"/>
  </r>
  <r>
    <n v="1387"/>
    <n v="1674"/>
    <n v="10"/>
    <n v="4"/>
    <n v="8"/>
    <n v="32"/>
    <s v="Cancelled"/>
    <n v="0"/>
    <x v="16"/>
  </r>
  <r>
    <n v="1388"/>
    <n v="1675"/>
    <n v="9"/>
    <n v="4"/>
    <n v="30"/>
    <n v="120"/>
    <s v="Delivered"/>
    <n v="120"/>
    <x v="175"/>
  </r>
  <r>
    <n v="1389"/>
    <n v="1675"/>
    <n v="1"/>
    <n v="3"/>
    <n v="750"/>
    <n v="2250"/>
    <s v="Delivered"/>
    <n v="2250"/>
    <x v="175"/>
  </r>
  <r>
    <n v="1390"/>
    <n v="1676"/>
    <n v="11"/>
    <n v="1"/>
    <n v="48"/>
    <n v="48"/>
    <s v="Delivered"/>
    <n v="48"/>
    <x v="120"/>
  </r>
  <r>
    <n v="1391"/>
    <n v="1676"/>
    <n v="2"/>
    <n v="2"/>
    <n v="220"/>
    <n v="440"/>
    <s v="Delivered"/>
    <n v="440"/>
    <x v="120"/>
  </r>
  <r>
    <n v="1392"/>
    <n v="1676"/>
    <n v="9"/>
    <n v="1"/>
    <n v="30"/>
    <n v="30"/>
    <s v="Delivered"/>
    <n v="30"/>
    <x v="120"/>
  </r>
  <r>
    <n v="1393"/>
    <n v="1677"/>
    <n v="1"/>
    <n v="3"/>
    <n v="750"/>
    <n v="2250"/>
    <s v="Delivered"/>
    <n v="2250"/>
    <x v="82"/>
  </r>
  <r>
    <n v="1394"/>
    <n v="1678"/>
    <n v="6"/>
    <n v="1"/>
    <n v="140"/>
    <n v="140"/>
    <s v="Delivered"/>
    <n v="140"/>
    <x v="65"/>
  </r>
  <r>
    <n v="1395"/>
    <n v="1678"/>
    <n v="7"/>
    <n v="4"/>
    <n v="65"/>
    <n v="260"/>
    <s v="Delivered"/>
    <n v="260"/>
    <x v="65"/>
  </r>
  <r>
    <n v="1396"/>
    <n v="1678"/>
    <n v="10"/>
    <n v="1"/>
    <n v="8"/>
    <n v="8"/>
    <s v="Delivered"/>
    <n v="8"/>
    <x v="65"/>
  </r>
  <r>
    <n v="1397"/>
    <n v="1679"/>
    <n v="2"/>
    <n v="2"/>
    <n v="220"/>
    <n v="440"/>
    <s v="Delivered"/>
    <n v="440"/>
    <x v="176"/>
  </r>
  <r>
    <n v="1398"/>
    <n v="1680"/>
    <n v="10"/>
    <n v="3"/>
    <n v="8"/>
    <n v="24"/>
    <s v="Shipped"/>
    <n v="24"/>
    <x v="93"/>
  </r>
  <r>
    <n v="1399"/>
    <n v="1681"/>
    <n v="3"/>
    <n v="3"/>
    <n v="45"/>
    <n v="135"/>
    <s v="Delivered"/>
    <n v="135"/>
    <x v="108"/>
  </r>
  <r>
    <n v="1400"/>
    <n v="1681"/>
    <n v="7"/>
    <n v="3"/>
    <n v="65"/>
    <n v="195"/>
    <s v="Delivered"/>
    <n v="195"/>
    <x v="108"/>
  </r>
  <r>
    <n v="1401"/>
    <n v="1682"/>
    <n v="9"/>
    <n v="4"/>
    <n v="30"/>
    <n v="120"/>
    <s v="Delivered"/>
    <n v="120"/>
    <x v="177"/>
  </r>
  <r>
    <n v="1402"/>
    <n v="1682"/>
    <n v="12"/>
    <n v="1"/>
    <n v="22"/>
    <n v="22"/>
    <s v="Delivered"/>
    <n v="22"/>
    <x v="177"/>
  </r>
  <r>
    <n v="1403"/>
    <n v="1683"/>
    <n v="5"/>
    <n v="1"/>
    <n v="180"/>
    <n v="180"/>
    <s v="Delivered"/>
    <n v="180"/>
    <x v="52"/>
  </r>
  <r>
    <n v="1404"/>
    <n v="1684"/>
    <n v="9"/>
    <n v="3"/>
    <n v="30"/>
    <n v="90"/>
    <s v="Delivered"/>
    <n v="90"/>
    <x v="147"/>
  </r>
  <r>
    <n v="1405"/>
    <n v="1684"/>
    <n v="4"/>
    <n v="2"/>
    <n v="25"/>
    <n v="50"/>
    <s v="Delivered"/>
    <n v="50"/>
    <x v="147"/>
  </r>
  <r>
    <n v="1406"/>
    <n v="1684"/>
    <n v="3"/>
    <n v="2"/>
    <n v="45"/>
    <n v="90"/>
    <s v="Delivered"/>
    <n v="90"/>
    <x v="147"/>
  </r>
  <r>
    <n v="1407"/>
    <n v="1685"/>
    <n v="5"/>
    <n v="1"/>
    <n v="180"/>
    <n v="180"/>
    <s v="Delivered"/>
    <n v="180"/>
    <x v="1"/>
  </r>
  <r>
    <n v="1408"/>
    <n v="1685"/>
    <n v="11"/>
    <n v="1"/>
    <n v="48"/>
    <n v="48"/>
    <s v="Delivered"/>
    <n v="48"/>
    <x v="1"/>
  </r>
  <r>
    <n v="1409"/>
    <n v="1685"/>
    <n v="3"/>
    <n v="4"/>
    <n v="45"/>
    <n v="180"/>
    <s v="Delivered"/>
    <n v="180"/>
    <x v="1"/>
  </r>
  <r>
    <n v="1410"/>
    <n v="1686"/>
    <n v="1"/>
    <n v="1"/>
    <n v="750"/>
    <n v="750"/>
    <s v="Delivered"/>
    <n v="750"/>
    <x v="120"/>
  </r>
  <r>
    <n v="1411"/>
    <n v="1686"/>
    <n v="3"/>
    <n v="3"/>
    <n v="45"/>
    <n v="135"/>
    <s v="Delivered"/>
    <n v="135"/>
    <x v="120"/>
  </r>
  <r>
    <n v="1412"/>
    <n v="1687"/>
    <n v="10"/>
    <n v="3"/>
    <n v="8"/>
    <n v="24"/>
    <s v="Pending"/>
    <n v="24"/>
    <x v="75"/>
  </r>
  <r>
    <n v="1413"/>
    <n v="1688"/>
    <n v="4"/>
    <n v="3"/>
    <n v="25"/>
    <n v="75"/>
    <s v="Delivered"/>
    <n v="75"/>
    <x v="64"/>
  </r>
  <r>
    <n v="1414"/>
    <n v="1688"/>
    <n v="11"/>
    <n v="3"/>
    <n v="48"/>
    <n v="144"/>
    <s v="Delivered"/>
    <n v="144"/>
    <x v="64"/>
  </r>
  <r>
    <n v="1415"/>
    <n v="1689"/>
    <n v="8"/>
    <n v="2"/>
    <n v="55"/>
    <n v="110"/>
    <s v="Delivered"/>
    <n v="110"/>
    <x v="42"/>
  </r>
  <r>
    <n v="1416"/>
    <n v="1689"/>
    <n v="1"/>
    <n v="4"/>
    <n v="750"/>
    <n v="3000"/>
    <s v="Delivered"/>
    <n v="3000"/>
    <x v="42"/>
  </r>
  <r>
    <n v="1417"/>
    <n v="1689"/>
    <n v="11"/>
    <n v="4"/>
    <n v="48"/>
    <n v="192"/>
    <s v="Delivered"/>
    <n v="192"/>
    <x v="42"/>
  </r>
  <r>
    <n v="1418"/>
    <n v="1690"/>
    <n v="8"/>
    <n v="3"/>
    <n v="55"/>
    <n v="165"/>
    <s v="Delivered"/>
    <n v="165"/>
    <x v="141"/>
  </r>
  <r>
    <n v="1419"/>
    <n v="1690"/>
    <n v="11"/>
    <n v="4"/>
    <n v="48"/>
    <n v="192"/>
    <s v="Delivered"/>
    <n v="192"/>
    <x v="141"/>
  </r>
  <r>
    <n v="1420"/>
    <n v="1690"/>
    <n v="2"/>
    <n v="3"/>
    <n v="220"/>
    <n v="660"/>
    <s v="Delivered"/>
    <n v="660"/>
    <x v="141"/>
  </r>
  <r>
    <n v="1421"/>
    <n v="1691"/>
    <n v="1"/>
    <n v="1"/>
    <n v="750"/>
    <n v="750"/>
    <s v="Delivered"/>
    <n v="750"/>
    <x v="8"/>
  </r>
  <r>
    <n v="1422"/>
    <n v="1691"/>
    <n v="4"/>
    <n v="3"/>
    <n v="25"/>
    <n v="75"/>
    <s v="Delivered"/>
    <n v="75"/>
    <x v="8"/>
  </r>
  <r>
    <n v="1423"/>
    <n v="1692"/>
    <n v="8"/>
    <n v="3"/>
    <n v="55"/>
    <n v="165"/>
    <s v="Delivered"/>
    <n v="165"/>
    <x v="168"/>
  </r>
  <r>
    <n v="1424"/>
    <n v="1693"/>
    <n v="5"/>
    <n v="4"/>
    <n v="180"/>
    <n v="720"/>
    <s v="Delivered"/>
    <n v="720"/>
    <x v="32"/>
  </r>
  <r>
    <n v="1425"/>
    <n v="1694"/>
    <n v="10"/>
    <n v="2"/>
    <n v="8"/>
    <n v="16"/>
    <s v="Delivered"/>
    <n v="16"/>
    <x v="102"/>
  </r>
  <r>
    <n v="1426"/>
    <n v="1695"/>
    <n v="11"/>
    <n v="1"/>
    <n v="48"/>
    <n v="48"/>
    <s v="Delivered"/>
    <n v="48"/>
    <x v="15"/>
  </r>
  <r>
    <n v="1427"/>
    <n v="1696"/>
    <n v="7"/>
    <n v="1"/>
    <n v="65"/>
    <n v="65"/>
    <s v="Delivered"/>
    <n v="65"/>
    <x v="102"/>
  </r>
  <r>
    <n v="1428"/>
    <n v="1697"/>
    <n v="8"/>
    <n v="1"/>
    <n v="55"/>
    <n v="55"/>
    <s v="Delivered"/>
    <n v="55"/>
    <x v="148"/>
  </r>
  <r>
    <n v="1429"/>
    <n v="1697"/>
    <n v="6"/>
    <n v="2"/>
    <n v="140"/>
    <n v="280"/>
    <s v="Delivered"/>
    <n v="280"/>
    <x v="148"/>
  </r>
  <r>
    <n v="1430"/>
    <n v="1698"/>
    <n v="10"/>
    <n v="1"/>
    <n v="8"/>
    <n v="8"/>
    <s v="Delivered"/>
    <n v="8"/>
    <x v="96"/>
  </r>
  <r>
    <n v="1431"/>
    <n v="1699"/>
    <n v="2"/>
    <n v="1"/>
    <n v="220"/>
    <n v="220"/>
    <s v="Delivered"/>
    <n v="220"/>
    <x v="138"/>
  </r>
  <r>
    <n v="1432"/>
    <n v="1699"/>
    <n v="11"/>
    <n v="1"/>
    <n v="48"/>
    <n v="48"/>
    <s v="Delivered"/>
    <n v="48"/>
    <x v="138"/>
  </r>
  <r>
    <n v="1433"/>
    <n v="1700"/>
    <n v="8"/>
    <n v="2"/>
    <n v="55"/>
    <n v="110"/>
    <s v="Delivered"/>
    <n v="110"/>
    <x v="97"/>
  </r>
  <r>
    <n v="1434"/>
    <n v="1701"/>
    <n v="11"/>
    <n v="4"/>
    <n v="48"/>
    <n v="192"/>
    <s v="Shipped"/>
    <n v="192"/>
    <x v="2"/>
  </r>
  <r>
    <n v="1435"/>
    <n v="1702"/>
    <n v="12"/>
    <n v="2"/>
    <n v="22"/>
    <n v="44"/>
    <s v="Shipped"/>
    <n v="44"/>
    <x v="107"/>
  </r>
  <r>
    <n v="1436"/>
    <n v="1702"/>
    <n v="2"/>
    <n v="1"/>
    <n v="220"/>
    <n v="220"/>
    <s v="Shipped"/>
    <n v="220"/>
    <x v="107"/>
  </r>
  <r>
    <n v="1437"/>
    <n v="1703"/>
    <n v="2"/>
    <n v="1"/>
    <n v="220"/>
    <n v="220"/>
    <s v="Delivered"/>
    <n v="220"/>
    <x v="108"/>
  </r>
  <r>
    <n v="1438"/>
    <n v="1704"/>
    <n v="11"/>
    <n v="4"/>
    <n v="48"/>
    <n v="192"/>
    <s v="Delivered"/>
    <n v="192"/>
    <x v="121"/>
  </r>
  <r>
    <n v="1439"/>
    <n v="1704"/>
    <n v="10"/>
    <n v="4"/>
    <n v="8"/>
    <n v="32"/>
    <s v="Delivered"/>
    <n v="32"/>
    <x v="121"/>
  </r>
  <r>
    <n v="1440"/>
    <n v="1704"/>
    <n v="1"/>
    <n v="4"/>
    <n v="750"/>
    <n v="3000"/>
    <s v="Delivered"/>
    <n v="3000"/>
    <x v="121"/>
  </r>
  <r>
    <n v="1441"/>
    <n v="1705"/>
    <n v="9"/>
    <n v="2"/>
    <n v="30"/>
    <n v="60"/>
    <s v="Shipped"/>
    <n v="60"/>
    <x v="141"/>
  </r>
  <r>
    <n v="1442"/>
    <n v="1705"/>
    <n v="6"/>
    <n v="1"/>
    <n v="140"/>
    <n v="140"/>
    <s v="Shipped"/>
    <n v="140"/>
    <x v="141"/>
  </r>
  <r>
    <n v="1443"/>
    <n v="1706"/>
    <n v="3"/>
    <n v="3"/>
    <n v="45"/>
    <n v="135"/>
    <s v="Delivered"/>
    <n v="135"/>
    <x v="133"/>
  </r>
  <r>
    <n v="1444"/>
    <n v="1706"/>
    <n v="11"/>
    <n v="3"/>
    <n v="48"/>
    <n v="144"/>
    <s v="Delivered"/>
    <n v="144"/>
    <x v="133"/>
  </r>
  <r>
    <n v="1445"/>
    <n v="1706"/>
    <n v="9"/>
    <n v="4"/>
    <n v="30"/>
    <n v="120"/>
    <s v="Delivered"/>
    <n v="120"/>
    <x v="133"/>
  </r>
  <r>
    <n v="1446"/>
    <n v="1707"/>
    <n v="7"/>
    <n v="3"/>
    <n v="65"/>
    <n v="195"/>
    <s v="Delivered"/>
    <n v="195"/>
    <x v="112"/>
  </r>
  <r>
    <n v="1447"/>
    <n v="1707"/>
    <n v="9"/>
    <n v="2"/>
    <n v="30"/>
    <n v="60"/>
    <s v="Delivered"/>
    <n v="60"/>
    <x v="112"/>
  </r>
  <r>
    <n v="1448"/>
    <n v="1707"/>
    <n v="6"/>
    <n v="2"/>
    <n v="140"/>
    <n v="280"/>
    <s v="Delivered"/>
    <n v="280"/>
    <x v="112"/>
  </r>
  <r>
    <n v="1449"/>
    <n v="1708"/>
    <n v="4"/>
    <n v="1"/>
    <n v="25"/>
    <n v="25"/>
    <s v="Delivered"/>
    <n v="25"/>
    <x v="130"/>
  </r>
  <r>
    <n v="1450"/>
    <n v="1709"/>
    <n v="12"/>
    <n v="3"/>
    <n v="22"/>
    <n v="66"/>
    <s v="Delivered"/>
    <n v="66"/>
    <x v="133"/>
  </r>
  <r>
    <n v="1451"/>
    <n v="1709"/>
    <n v="8"/>
    <n v="3"/>
    <n v="55"/>
    <n v="165"/>
    <s v="Delivered"/>
    <n v="165"/>
    <x v="133"/>
  </r>
  <r>
    <n v="1452"/>
    <n v="1709"/>
    <n v="10"/>
    <n v="3"/>
    <n v="8"/>
    <n v="24"/>
    <s v="Delivered"/>
    <n v="24"/>
    <x v="133"/>
  </r>
  <r>
    <n v="1453"/>
    <n v="1710"/>
    <n v="4"/>
    <n v="2"/>
    <n v="25"/>
    <n v="50"/>
    <s v="Delivered"/>
    <n v="50"/>
    <x v="122"/>
  </r>
  <r>
    <n v="1454"/>
    <n v="1710"/>
    <n v="12"/>
    <n v="2"/>
    <n v="22"/>
    <n v="44"/>
    <s v="Delivered"/>
    <n v="44"/>
    <x v="122"/>
  </r>
  <r>
    <n v="1455"/>
    <n v="1710"/>
    <n v="8"/>
    <n v="4"/>
    <n v="55"/>
    <n v="220"/>
    <s v="Delivered"/>
    <n v="220"/>
    <x v="122"/>
  </r>
  <r>
    <n v="1456"/>
    <n v="1711"/>
    <n v="6"/>
    <n v="1"/>
    <n v="140"/>
    <n v="140"/>
    <s v="Delivered"/>
    <n v="140"/>
    <x v="113"/>
  </r>
  <r>
    <n v="1457"/>
    <n v="1712"/>
    <n v="1"/>
    <n v="2"/>
    <n v="750"/>
    <n v="1500"/>
    <s v="Delivered"/>
    <n v="1500"/>
    <x v="77"/>
  </r>
  <r>
    <n v="1458"/>
    <n v="1712"/>
    <n v="12"/>
    <n v="2"/>
    <n v="22"/>
    <n v="44"/>
    <s v="Delivered"/>
    <n v="44"/>
    <x v="77"/>
  </r>
  <r>
    <n v="1459"/>
    <n v="1713"/>
    <n v="4"/>
    <n v="1"/>
    <n v="25"/>
    <n v="25"/>
    <s v="Delivered"/>
    <n v="25"/>
    <x v="146"/>
  </r>
  <r>
    <n v="1460"/>
    <n v="1714"/>
    <n v="4"/>
    <n v="4"/>
    <n v="25"/>
    <n v="100"/>
    <s v="Delivered"/>
    <n v="100"/>
    <x v="123"/>
  </r>
  <r>
    <n v="1461"/>
    <n v="1714"/>
    <n v="5"/>
    <n v="2"/>
    <n v="180"/>
    <n v="360"/>
    <s v="Delivered"/>
    <n v="360"/>
    <x v="123"/>
  </r>
  <r>
    <n v="1462"/>
    <n v="1715"/>
    <n v="3"/>
    <n v="2"/>
    <n v="45"/>
    <n v="90"/>
    <s v="Cancelled"/>
    <n v="0"/>
    <x v="155"/>
  </r>
  <r>
    <n v="1463"/>
    <n v="1716"/>
    <n v="6"/>
    <n v="4"/>
    <n v="140"/>
    <n v="560"/>
    <s v="Delivered"/>
    <n v="560"/>
    <x v="44"/>
  </r>
  <r>
    <n v="1464"/>
    <n v="1716"/>
    <n v="12"/>
    <n v="2"/>
    <n v="22"/>
    <n v="44"/>
    <s v="Delivered"/>
    <n v="44"/>
    <x v="44"/>
  </r>
  <r>
    <n v="1465"/>
    <n v="1716"/>
    <n v="10"/>
    <n v="1"/>
    <n v="8"/>
    <n v="8"/>
    <s v="Delivered"/>
    <n v="8"/>
    <x v="44"/>
  </r>
  <r>
    <n v="1466"/>
    <n v="1717"/>
    <n v="5"/>
    <n v="4"/>
    <n v="180"/>
    <n v="720"/>
    <s v="Delivered"/>
    <n v="720"/>
    <x v="16"/>
  </r>
  <r>
    <n v="1467"/>
    <n v="1717"/>
    <n v="3"/>
    <n v="2"/>
    <n v="45"/>
    <n v="90"/>
    <s v="Delivered"/>
    <n v="90"/>
    <x v="16"/>
  </r>
  <r>
    <n v="1468"/>
    <n v="1717"/>
    <n v="9"/>
    <n v="1"/>
    <n v="30"/>
    <n v="30"/>
    <s v="Delivered"/>
    <n v="30"/>
    <x v="16"/>
  </r>
  <r>
    <n v="1469"/>
    <n v="1718"/>
    <n v="8"/>
    <n v="4"/>
    <n v="55"/>
    <n v="220"/>
    <s v="Delivered"/>
    <n v="220"/>
    <x v="89"/>
  </r>
  <r>
    <n v="1470"/>
    <n v="1718"/>
    <n v="9"/>
    <n v="2"/>
    <n v="30"/>
    <n v="60"/>
    <s v="Delivered"/>
    <n v="60"/>
    <x v="89"/>
  </r>
  <r>
    <n v="1471"/>
    <n v="1719"/>
    <n v="11"/>
    <n v="1"/>
    <n v="48"/>
    <n v="48"/>
    <s v="Delivered"/>
    <n v="48"/>
    <x v="122"/>
  </r>
  <r>
    <n v="1472"/>
    <n v="1719"/>
    <n v="10"/>
    <n v="2"/>
    <n v="8"/>
    <n v="16"/>
    <s v="Delivered"/>
    <n v="16"/>
    <x v="122"/>
  </r>
  <r>
    <n v="1473"/>
    <n v="1720"/>
    <n v="3"/>
    <n v="1"/>
    <n v="45"/>
    <n v="45"/>
    <s v="Delivered"/>
    <n v="45"/>
    <x v="178"/>
  </r>
  <r>
    <n v="1474"/>
    <n v="1720"/>
    <n v="6"/>
    <n v="2"/>
    <n v="140"/>
    <n v="280"/>
    <s v="Delivered"/>
    <n v="280"/>
    <x v="178"/>
  </r>
  <r>
    <n v="1475"/>
    <n v="1720"/>
    <n v="5"/>
    <n v="1"/>
    <n v="180"/>
    <n v="180"/>
    <s v="Delivered"/>
    <n v="180"/>
    <x v="178"/>
  </r>
  <r>
    <n v="1476"/>
    <n v="1721"/>
    <n v="8"/>
    <n v="4"/>
    <n v="55"/>
    <n v="220"/>
    <s v="Delivered"/>
    <n v="220"/>
    <x v="10"/>
  </r>
  <r>
    <n v="1477"/>
    <n v="1721"/>
    <n v="12"/>
    <n v="4"/>
    <n v="22"/>
    <n v="88"/>
    <s v="Delivered"/>
    <n v="88"/>
    <x v="10"/>
  </r>
  <r>
    <n v="1478"/>
    <n v="1722"/>
    <n v="2"/>
    <n v="3"/>
    <n v="220"/>
    <n v="660"/>
    <s v="Delivered"/>
    <n v="660"/>
    <x v="29"/>
  </r>
  <r>
    <n v="1479"/>
    <n v="1722"/>
    <n v="6"/>
    <n v="1"/>
    <n v="140"/>
    <n v="140"/>
    <s v="Delivered"/>
    <n v="140"/>
    <x v="29"/>
  </r>
  <r>
    <n v="1480"/>
    <n v="1722"/>
    <n v="12"/>
    <n v="3"/>
    <n v="22"/>
    <n v="66"/>
    <s v="Delivered"/>
    <n v="66"/>
    <x v="29"/>
  </r>
  <r>
    <n v="1481"/>
    <n v="1723"/>
    <n v="6"/>
    <n v="3"/>
    <n v="140"/>
    <n v="420"/>
    <s v="Delivered"/>
    <n v="420"/>
    <x v="134"/>
  </r>
  <r>
    <n v="1482"/>
    <n v="1723"/>
    <n v="5"/>
    <n v="2"/>
    <n v="180"/>
    <n v="360"/>
    <s v="Delivered"/>
    <n v="360"/>
    <x v="134"/>
  </r>
  <r>
    <n v="1483"/>
    <n v="1723"/>
    <n v="11"/>
    <n v="2"/>
    <n v="48"/>
    <n v="96"/>
    <s v="Delivered"/>
    <n v="96"/>
    <x v="134"/>
  </r>
  <r>
    <n v="1484"/>
    <n v="1724"/>
    <n v="7"/>
    <n v="1"/>
    <n v="65"/>
    <n v="65"/>
    <s v="Delivered"/>
    <n v="65"/>
    <x v="127"/>
  </r>
  <r>
    <n v="1485"/>
    <n v="1724"/>
    <n v="12"/>
    <n v="4"/>
    <n v="22"/>
    <n v="88"/>
    <s v="Delivered"/>
    <n v="88"/>
    <x v="127"/>
  </r>
  <r>
    <n v="1486"/>
    <n v="1725"/>
    <n v="4"/>
    <n v="4"/>
    <n v="25"/>
    <n v="100"/>
    <s v="Delivered"/>
    <n v="100"/>
    <x v="104"/>
  </r>
  <r>
    <n v="1487"/>
    <n v="1725"/>
    <n v="9"/>
    <n v="4"/>
    <n v="30"/>
    <n v="120"/>
    <s v="Delivered"/>
    <n v="120"/>
    <x v="104"/>
  </r>
  <r>
    <n v="1488"/>
    <n v="1726"/>
    <n v="9"/>
    <n v="3"/>
    <n v="30"/>
    <n v="90"/>
    <s v="Delivered"/>
    <n v="90"/>
    <x v="12"/>
  </r>
  <r>
    <n v="1489"/>
    <n v="1726"/>
    <n v="1"/>
    <n v="2"/>
    <n v="750"/>
    <n v="1500"/>
    <s v="Delivered"/>
    <n v="1500"/>
    <x v="12"/>
  </r>
  <r>
    <n v="1490"/>
    <n v="1727"/>
    <n v="4"/>
    <n v="4"/>
    <n v="25"/>
    <n v="100"/>
    <s v="Delivered"/>
    <n v="100"/>
    <x v="84"/>
  </r>
  <r>
    <n v="1491"/>
    <n v="1727"/>
    <n v="7"/>
    <n v="4"/>
    <n v="65"/>
    <n v="260"/>
    <s v="Delivered"/>
    <n v="260"/>
    <x v="84"/>
  </r>
  <r>
    <n v="1492"/>
    <n v="1728"/>
    <n v="3"/>
    <n v="3"/>
    <n v="45"/>
    <n v="135"/>
    <s v="Delivered"/>
    <n v="135"/>
    <x v="119"/>
  </r>
  <r>
    <n v="1493"/>
    <n v="1729"/>
    <n v="2"/>
    <n v="4"/>
    <n v="220"/>
    <n v="880"/>
    <s v="Pending"/>
    <n v="880"/>
    <x v="103"/>
  </r>
  <r>
    <n v="1494"/>
    <n v="1729"/>
    <n v="9"/>
    <n v="2"/>
    <n v="30"/>
    <n v="60"/>
    <s v="Pending"/>
    <n v="60"/>
    <x v="103"/>
  </r>
  <r>
    <n v="1495"/>
    <n v="1730"/>
    <n v="5"/>
    <n v="1"/>
    <n v="180"/>
    <n v="180"/>
    <s v="Delivered"/>
    <n v="180"/>
    <x v="23"/>
  </r>
  <r>
    <n v="1496"/>
    <n v="1730"/>
    <n v="2"/>
    <n v="2"/>
    <n v="220"/>
    <n v="440"/>
    <s v="Delivered"/>
    <n v="440"/>
    <x v="23"/>
  </r>
  <r>
    <n v="1497"/>
    <n v="1730"/>
    <n v="3"/>
    <n v="1"/>
    <n v="45"/>
    <n v="45"/>
    <s v="Delivered"/>
    <n v="45"/>
    <x v="23"/>
  </r>
  <r>
    <n v="1498"/>
    <n v="1731"/>
    <n v="4"/>
    <n v="3"/>
    <n v="25"/>
    <n v="75"/>
    <s v="Shipped"/>
    <n v="75"/>
    <x v="133"/>
  </r>
  <r>
    <n v="1499"/>
    <n v="1731"/>
    <n v="12"/>
    <n v="1"/>
    <n v="22"/>
    <n v="22"/>
    <s v="Shipped"/>
    <n v="22"/>
    <x v="133"/>
  </r>
  <r>
    <n v="1500"/>
    <n v="1732"/>
    <n v="7"/>
    <n v="1"/>
    <n v="65"/>
    <n v="65"/>
    <s v="Delivered"/>
    <n v="65"/>
    <x v="130"/>
  </r>
  <r>
    <n v="1501"/>
    <n v="1732"/>
    <n v="3"/>
    <n v="2"/>
    <n v="45"/>
    <n v="90"/>
    <s v="Delivered"/>
    <n v="90"/>
    <x v="130"/>
  </r>
  <r>
    <n v="1502"/>
    <n v="1733"/>
    <n v="12"/>
    <n v="4"/>
    <n v="22"/>
    <n v="88"/>
    <s v="Cancelled"/>
    <n v="0"/>
    <x v="90"/>
  </r>
  <r>
    <n v="1503"/>
    <n v="1733"/>
    <n v="11"/>
    <n v="2"/>
    <n v="48"/>
    <n v="96"/>
    <s v="Cancelled"/>
    <n v="0"/>
    <x v="90"/>
  </r>
  <r>
    <n v="1504"/>
    <n v="1734"/>
    <n v="4"/>
    <n v="3"/>
    <n v="25"/>
    <n v="75"/>
    <s v="Delivered"/>
    <n v="75"/>
    <x v="59"/>
  </r>
  <r>
    <n v="1505"/>
    <n v="1734"/>
    <n v="9"/>
    <n v="2"/>
    <n v="30"/>
    <n v="60"/>
    <s v="Delivered"/>
    <n v="60"/>
    <x v="59"/>
  </r>
  <r>
    <n v="1506"/>
    <n v="1734"/>
    <n v="8"/>
    <n v="1"/>
    <n v="55"/>
    <n v="55"/>
    <s v="Delivered"/>
    <n v="55"/>
    <x v="59"/>
  </r>
  <r>
    <n v="1507"/>
    <n v="1735"/>
    <n v="8"/>
    <n v="1"/>
    <n v="55"/>
    <n v="55"/>
    <s v="Delivered"/>
    <n v="55"/>
    <x v="138"/>
  </r>
  <r>
    <n v="1508"/>
    <n v="1735"/>
    <n v="12"/>
    <n v="1"/>
    <n v="22"/>
    <n v="22"/>
    <s v="Delivered"/>
    <n v="22"/>
    <x v="138"/>
  </r>
  <r>
    <n v="1509"/>
    <n v="1736"/>
    <n v="4"/>
    <n v="4"/>
    <n v="25"/>
    <n v="100"/>
    <s v="Delivered"/>
    <n v="100"/>
    <x v="174"/>
  </r>
  <r>
    <n v="1510"/>
    <n v="1736"/>
    <n v="3"/>
    <n v="4"/>
    <n v="45"/>
    <n v="180"/>
    <s v="Delivered"/>
    <n v="180"/>
    <x v="174"/>
  </r>
  <r>
    <n v="1511"/>
    <n v="1737"/>
    <n v="3"/>
    <n v="3"/>
    <n v="45"/>
    <n v="135"/>
    <s v="Delivered"/>
    <n v="135"/>
    <x v="103"/>
  </r>
  <r>
    <n v="1512"/>
    <n v="1738"/>
    <n v="7"/>
    <n v="1"/>
    <n v="65"/>
    <n v="65"/>
    <s v="Delivered"/>
    <n v="65"/>
    <x v="12"/>
  </r>
  <r>
    <n v="1513"/>
    <n v="1738"/>
    <n v="9"/>
    <n v="3"/>
    <n v="30"/>
    <n v="90"/>
    <s v="Delivered"/>
    <n v="90"/>
    <x v="12"/>
  </r>
  <r>
    <n v="1514"/>
    <n v="1739"/>
    <n v="9"/>
    <n v="1"/>
    <n v="30"/>
    <n v="30"/>
    <s v="Delivered"/>
    <n v="30"/>
    <x v="162"/>
  </r>
  <r>
    <n v="1515"/>
    <n v="1740"/>
    <n v="7"/>
    <n v="1"/>
    <n v="65"/>
    <n v="65"/>
    <s v="Delivered"/>
    <n v="65"/>
    <x v="137"/>
  </r>
  <r>
    <n v="1516"/>
    <n v="1741"/>
    <n v="2"/>
    <n v="2"/>
    <n v="220"/>
    <n v="440"/>
    <s v="Delivered"/>
    <n v="440"/>
    <x v="3"/>
  </r>
  <r>
    <n v="1517"/>
    <n v="1741"/>
    <n v="12"/>
    <n v="4"/>
    <n v="22"/>
    <n v="88"/>
    <s v="Delivered"/>
    <n v="88"/>
    <x v="3"/>
  </r>
  <r>
    <n v="1518"/>
    <n v="1742"/>
    <n v="2"/>
    <n v="4"/>
    <n v="220"/>
    <n v="880"/>
    <s v="Delivered"/>
    <n v="880"/>
    <x v="82"/>
  </r>
  <r>
    <n v="1519"/>
    <n v="1742"/>
    <n v="9"/>
    <n v="2"/>
    <n v="30"/>
    <n v="60"/>
    <s v="Delivered"/>
    <n v="60"/>
    <x v="82"/>
  </r>
  <r>
    <n v="1520"/>
    <n v="1743"/>
    <n v="1"/>
    <n v="2"/>
    <n v="750"/>
    <n v="1500"/>
    <s v="Delivered"/>
    <n v="1500"/>
    <x v="77"/>
  </r>
  <r>
    <n v="1521"/>
    <n v="1743"/>
    <n v="11"/>
    <n v="4"/>
    <n v="48"/>
    <n v="192"/>
    <s v="Delivered"/>
    <n v="192"/>
    <x v="77"/>
  </r>
  <r>
    <n v="1522"/>
    <n v="1743"/>
    <n v="9"/>
    <n v="1"/>
    <n v="30"/>
    <n v="30"/>
    <s v="Delivered"/>
    <n v="30"/>
    <x v="77"/>
  </r>
  <r>
    <n v="1523"/>
    <n v="1744"/>
    <n v="5"/>
    <n v="1"/>
    <n v="180"/>
    <n v="180"/>
    <s v="Cancelled"/>
    <n v="0"/>
    <x v="51"/>
  </r>
  <r>
    <n v="1524"/>
    <n v="1744"/>
    <n v="8"/>
    <n v="1"/>
    <n v="55"/>
    <n v="55"/>
    <s v="Cancelled"/>
    <n v="0"/>
    <x v="51"/>
  </r>
  <r>
    <n v="1525"/>
    <n v="1744"/>
    <n v="1"/>
    <n v="4"/>
    <n v="750"/>
    <n v="3000"/>
    <s v="Cancelled"/>
    <n v="0"/>
    <x v="51"/>
  </r>
  <r>
    <n v="1526"/>
    <n v="1745"/>
    <n v="4"/>
    <n v="1"/>
    <n v="25"/>
    <n v="25"/>
    <s v="Shipped"/>
    <n v="25"/>
    <x v="171"/>
  </r>
  <r>
    <n v="1527"/>
    <n v="1746"/>
    <n v="11"/>
    <n v="1"/>
    <n v="48"/>
    <n v="48"/>
    <s v="Delivered"/>
    <n v="48"/>
    <x v="46"/>
  </r>
  <r>
    <n v="1528"/>
    <n v="1746"/>
    <n v="2"/>
    <n v="2"/>
    <n v="220"/>
    <n v="440"/>
    <s v="Delivered"/>
    <n v="440"/>
    <x v="46"/>
  </r>
  <r>
    <n v="1529"/>
    <n v="1746"/>
    <n v="4"/>
    <n v="2"/>
    <n v="25"/>
    <n v="50"/>
    <s v="Delivered"/>
    <n v="50"/>
    <x v="46"/>
  </r>
  <r>
    <n v="1530"/>
    <n v="1747"/>
    <n v="7"/>
    <n v="2"/>
    <n v="65"/>
    <n v="130"/>
    <s v="Delivered"/>
    <n v="130"/>
    <x v="68"/>
  </r>
  <r>
    <n v="1531"/>
    <n v="1747"/>
    <n v="12"/>
    <n v="2"/>
    <n v="22"/>
    <n v="44"/>
    <s v="Delivered"/>
    <n v="44"/>
    <x v="68"/>
  </r>
  <r>
    <n v="1532"/>
    <n v="1747"/>
    <n v="2"/>
    <n v="1"/>
    <n v="220"/>
    <n v="220"/>
    <s v="Delivered"/>
    <n v="220"/>
    <x v="68"/>
  </r>
  <r>
    <n v="1533"/>
    <n v="1748"/>
    <n v="2"/>
    <n v="3"/>
    <n v="220"/>
    <n v="660"/>
    <s v="Delivered"/>
    <n v="660"/>
    <x v="46"/>
  </r>
  <r>
    <n v="1534"/>
    <n v="1749"/>
    <n v="12"/>
    <n v="2"/>
    <n v="22"/>
    <n v="44"/>
    <s v="Delivered"/>
    <n v="44"/>
    <x v="166"/>
  </r>
  <r>
    <n v="1535"/>
    <n v="1750"/>
    <n v="3"/>
    <n v="3"/>
    <n v="45"/>
    <n v="135"/>
    <s v="Delivered"/>
    <n v="135"/>
    <x v="12"/>
  </r>
  <r>
    <n v="1536"/>
    <n v="1750"/>
    <n v="11"/>
    <n v="4"/>
    <n v="48"/>
    <n v="192"/>
    <s v="Delivered"/>
    <n v="192"/>
    <x v="12"/>
  </r>
  <r>
    <n v="1537"/>
    <n v="1751"/>
    <n v="10"/>
    <n v="1"/>
    <n v="8"/>
    <n v="8"/>
    <s v="Delivered"/>
    <n v="8"/>
    <x v="45"/>
  </r>
  <r>
    <n v="1538"/>
    <n v="1751"/>
    <n v="1"/>
    <n v="1"/>
    <n v="750"/>
    <n v="750"/>
    <s v="Delivered"/>
    <n v="750"/>
    <x v="45"/>
  </r>
  <r>
    <n v="1539"/>
    <n v="1751"/>
    <n v="4"/>
    <n v="3"/>
    <n v="25"/>
    <n v="75"/>
    <s v="Delivered"/>
    <n v="75"/>
    <x v="45"/>
  </r>
  <r>
    <n v="1540"/>
    <n v="1752"/>
    <n v="4"/>
    <n v="4"/>
    <n v="25"/>
    <n v="100"/>
    <s v="Delivered"/>
    <n v="100"/>
    <x v="107"/>
  </r>
  <r>
    <n v="1541"/>
    <n v="1752"/>
    <n v="3"/>
    <n v="2"/>
    <n v="45"/>
    <n v="90"/>
    <s v="Delivered"/>
    <n v="90"/>
    <x v="107"/>
  </r>
  <r>
    <n v="1542"/>
    <n v="1753"/>
    <n v="1"/>
    <n v="3"/>
    <n v="750"/>
    <n v="2250"/>
    <s v="Delivered"/>
    <n v="2250"/>
    <x v="37"/>
  </r>
  <r>
    <n v="1543"/>
    <n v="1753"/>
    <n v="9"/>
    <n v="1"/>
    <n v="30"/>
    <n v="30"/>
    <s v="Delivered"/>
    <n v="30"/>
    <x v="37"/>
  </r>
  <r>
    <n v="1544"/>
    <n v="1753"/>
    <n v="7"/>
    <n v="2"/>
    <n v="65"/>
    <n v="130"/>
    <s v="Delivered"/>
    <n v="130"/>
    <x v="37"/>
  </r>
  <r>
    <n v="1545"/>
    <n v="1754"/>
    <n v="12"/>
    <n v="4"/>
    <n v="22"/>
    <n v="88"/>
    <s v="Cancelled"/>
    <n v="0"/>
    <x v="62"/>
  </r>
  <r>
    <n v="1546"/>
    <n v="1754"/>
    <n v="4"/>
    <n v="3"/>
    <n v="25"/>
    <n v="75"/>
    <s v="Cancelled"/>
    <n v="0"/>
    <x v="62"/>
  </r>
  <r>
    <n v="1547"/>
    <n v="1754"/>
    <n v="10"/>
    <n v="2"/>
    <n v="8"/>
    <n v="16"/>
    <s v="Cancelled"/>
    <n v="0"/>
    <x v="62"/>
  </r>
  <r>
    <n v="1548"/>
    <n v="1755"/>
    <n v="2"/>
    <n v="1"/>
    <n v="220"/>
    <n v="220"/>
    <s v="Delivered"/>
    <n v="220"/>
    <x v="65"/>
  </r>
  <r>
    <n v="1549"/>
    <n v="1755"/>
    <n v="4"/>
    <n v="2"/>
    <n v="25"/>
    <n v="50"/>
    <s v="Delivered"/>
    <n v="50"/>
    <x v="65"/>
  </r>
  <r>
    <n v="1550"/>
    <n v="1756"/>
    <n v="12"/>
    <n v="3"/>
    <n v="22"/>
    <n v="66"/>
    <s v="Delivered"/>
    <n v="66"/>
    <x v="39"/>
  </r>
  <r>
    <n v="1551"/>
    <n v="1756"/>
    <n v="8"/>
    <n v="2"/>
    <n v="55"/>
    <n v="110"/>
    <s v="Delivered"/>
    <n v="110"/>
    <x v="39"/>
  </r>
  <r>
    <n v="1552"/>
    <n v="1757"/>
    <n v="4"/>
    <n v="1"/>
    <n v="25"/>
    <n v="25"/>
    <s v="Delivered"/>
    <n v="25"/>
    <x v="98"/>
  </r>
  <r>
    <n v="1553"/>
    <n v="1757"/>
    <n v="5"/>
    <n v="3"/>
    <n v="180"/>
    <n v="540"/>
    <s v="Delivered"/>
    <n v="540"/>
    <x v="98"/>
  </r>
  <r>
    <n v="1554"/>
    <n v="1757"/>
    <n v="8"/>
    <n v="4"/>
    <n v="55"/>
    <n v="220"/>
    <s v="Delivered"/>
    <n v="220"/>
    <x v="98"/>
  </r>
  <r>
    <n v="1555"/>
    <n v="1758"/>
    <n v="7"/>
    <n v="4"/>
    <n v="65"/>
    <n v="260"/>
    <s v="Delivered"/>
    <n v="260"/>
    <x v="118"/>
  </r>
  <r>
    <n v="1556"/>
    <n v="1759"/>
    <n v="7"/>
    <n v="3"/>
    <n v="65"/>
    <n v="195"/>
    <s v="Delivered"/>
    <n v="195"/>
    <x v="17"/>
  </r>
  <r>
    <n v="1557"/>
    <n v="1759"/>
    <n v="8"/>
    <n v="4"/>
    <n v="55"/>
    <n v="220"/>
    <s v="Delivered"/>
    <n v="220"/>
    <x v="17"/>
  </r>
  <r>
    <n v="1558"/>
    <n v="1760"/>
    <n v="4"/>
    <n v="1"/>
    <n v="25"/>
    <n v="25"/>
    <s v="Delivered"/>
    <n v="25"/>
    <x v="42"/>
  </r>
  <r>
    <n v="1559"/>
    <n v="1761"/>
    <n v="6"/>
    <n v="3"/>
    <n v="140"/>
    <n v="420"/>
    <s v="Shipped"/>
    <n v="420"/>
    <x v="124"/>
  </r>
  <r>
    <n v="1560"/>
    <n v="1761"/>
    <n v="7"/>
    <n v="1"/>
    <n v="65"/>
    <n v="65"/>
    <s v="Shipped"/>
    <n v="65"/>
    <x v="124"/>
  </r>
  <r>
    <n v="1561"/>
    <n v="1761"/>
    <n v="8"/>
    <n v="4"/>
    <n v="55"/>
    <n v="220"/>
    <s v="Shipped"/>
    <n v="220"/>
    <x v="124"/>
  </r>
  <r>
    <n v="1562"/>
    <n v="1762"/>
    <n v="7"/>
    <n v="3"/>
    <n v="65"/>
    <n v="195"/>
    <s v="Shipped"/>
    <n v="195"/>
    <x v="159"/>
  </r>
  <r>
    <n v="1563"/>
    <n v="1763"/>
    <n v="12"/>
    <n v="4"/>
    <n v="22"/>
    <n v="88"/>
    <s v="Delivered"/>
    <n v="88"/>
    <x v="20"/>
  </r>
  <r>
    <n v="1564"/>
    <n v="1763"/>
    <n v="6"/>
    <n v="4"/>
    <n v="140"/>
    <n v="560"/>
    <s v="Delivered"/>
    <n v="560"/>
    <x v="20"/>
  </r>
  <r>
    <n v="1565"/>
    <n v="1763"/>
    <n v="1"/>
    <n v="2"/>
    <n v="750"/>
    <n v="1500"/>
    <s v="Delivered"/>
    <n v="1500"/>
    <x v="20"/>
  </r>
  <r>
    <n v="1566"/>
    <n v="1764"/>
    <n v="10"/>
    <n v="2"/>
    <n v="8"/>
    <n v="16"/>
    <s v="Delivered"/>
    <n v="16"/>
    <x v="139"/>
  </r>
  <r>
    <n v="1567"/>
    <n v="1764"/>
    <n v="8"/>
    <n v="3"/>
    <n v="55"/>
    <n v="165"/>
    <s v="Delivered"/>
    <n v="165"/>
    <x v="139"/>
  </r>
  <r>
    <n v="1568"/>
    <n v="1765"/>
    <n v="12"/>
    <n v="1"/>
    <n v="22"/>
    <n v="22"/>
    <s v="Delivered"/>
    <n v="22"/>
    <x v="46"/>
  </r>
  <r>
    <n v="1569"/>
    <n v="1765"/>
    <n v="7"/>
    <n v="2"/>
    <n v="65"/>
    <n v="130"/>
    <s v="Delivered"/>
    <n v="130"/>
    <x v="46"/>
  </r>
  <r>
    <n v="1570"/>
    <n v="1765"/>
    <n v="11"/>
    <n v="4"/>
    <n v="48"/>
    <n v="192"/>
    <s v="Delivered"/>
    <n v="192"/>
    <x v="46"/>
  </r>
  <r>
    <n v="1571"/>
    <n v="1766"/>
    <n v="5"/>
    <n v="1"/>
    <n v="180"/>
    <n v="180"/>
    <s v="Delivered"/>
    <n v="180"/>
    <x v="151"/>
  </r>
  <r>
    <n v="1572"/>
    <n v="1766"/>
    <n v="7"/>
    <n v="3"/>
    <n v="65"/>
    <n v="195"/>
    <s v="Delivered"/>
    <n v="195"/>
    <x v="151"/>
  </r>
  <r>
    <n v="1573"/>
    <n v="1766"/>
    <n v="2"/>
    <n v="2"/>
    <n v="220"/>
    <n v="440"/>
    <s v="Delivered"/>
    <n v="440"/>
    <x v="151"/>
  </r>
  <r>
    <n v="1574"/>
    <n v="1767"/>
    <n v="1"/>
    <n v="1"/>
    <n v="750"/>
    <n v="750"/>
    <s v="Delivered"/>
    <n v="750"/>
    <x v="93"/>
  </r>
  <r>
    <n v="1575"/>
    <n v="1767"/>
    <n v="2"/>
    <n v="4"/>
    <n v="220"/>
    <n v="880"/>
    <s v="Delivered"/>
    <n v="880"/>
    <x v="93"/>
  </r>
  <r>
    <n v="1576"/>
    <n v="1768"/>
    <n v="8"/>
    <n v="2"/>
    <n v="55"/>
    <n v="110"/>
    <s v="Delivered"/>
    <n v="110"/>
    <x v="29"/>
  </r>
  <r>
    <n v="1577"/>
    <n v="1769"/>
    <n v="5"/>
    <n v="4"/>
    <n v="180"/>
    <n v="720"/>
    <s v="Delivered"/>
    <n v="720"/>
    <x v="81"/>
  </r>
  <r>
    <n v="1578"/>
    <n v="1770"/>
    <n v="2"/>
    <n v="1"/>
    <n v="220"/>
    <n v="220"/>
    <s v="Delivered"/>
    <n v="220"/>
    <x v="18"/>
  </r>
  <r>
    <n v="1579"/>
    <n v="1770"/>
    <n v="5"/>
    <n v="3"/>
    <n v="180"/>
    <n v="540"/>
    <s v="Delivered"/>
    <n v="540"/>
    <x v="18"/>
  </r>
  <r>
    <n v="1580"/>
    <n v="1771"/>
    <n v="10"/>
    <n v="2"/>
    <n v="8"/>
    <n v="16"/>
    <s v="Delivered"/>
    <n v="16"/>
    <x v="127"/>
  </r>
  <r>
    <n v="1581"/>
    <n v="1771"/>
    <n v="1"/>
    <n v="1"/>
    <n v="750"/>
    <n v="750"/>
    <s v="Delivered"/>
    <n v="750"/>
    <x v="127"/>
  </r>
  <r>
    <n v="1582"/>
    <n v="1771"/>
    <n v="2"/>
    <n v="4"/>
    <n v="220"/>
    <n v="880"/>
    <s v="Delivered"/>
    <n v="880"/>
    <x v="127"/>
  </r>
  <r>
    <n v="1583"/>
    <n v="1772"/>
    <n v="6"/>
    <n v="3"/>
    <n v="140"/>
    <n v="420"/>
    <s v="Delivered"/>
    <n v="420"/>
    <x v="142"/>
  </r>
  <r>
    <n v="1584"/>
    <n v="1772"/>
    <n v="11"/>
    <n v="3"/>
    <n v="48"/>
    <n v="144"/>
    <s v="Delivered"/>
    <n v="144"/>
    <x v="142"/>
  </r>
  <r>
    <n v="1585"/>
    <n v="1773"/>
    <n v="2"/>
    <n v="4"/>
    <n v="220"/>
    <n v="880"/>
    <s v="Delivered"/>
    <n v="880"/>
    <x v="129"/>
  </r>
  <r>
    <n v="1586"/>
    <n v="1773"/>
    <n v="1"/>
    <n v="4"/>
    <n v="750"/>
    <n v="3000"/>
    <s v="Delivered"/>
    <n v="3000"/>
    <x v="129"/>
  </r>
  <r>
    <n v="1587"/>
    <n v="1774"/>
    <n v="4"/>
    <n v="4"/>
    <n v="25"/>
    <n v="100"/>
    <s v="Cancelled"/>
    <n v="0"/>
    <x v="8"/>
  </r>
  <r>
    <n v="1588"/>
    <n v="1774"/>
    <n v="6"/>
    <n v="4"/>
    <n v="140"/>
    <n v="560"/>
    <s v="Cancelled"/>
    <n v="0"/>
    <x v="8"/>
  </r>
  <r>
    <n v="1589"/>
    <n v="1774"/>
    <n v="8"/>
    <n v="2"/>
    <n v="55"/>
    <n v="110"/>
    <s v="Cancelled"/>
    <n v="0"/>
    <x v="8"/>
  </r>
  <r>
    <n v="1590"/>
    <n v="1775"/>
    <n v="11"/>
    <n v="3"/>
    <n v="48"/>
    <n v="144"/>
    <s v="Pending"/>
    <n v="144"/>
    <x v="140"/>
  </r>
  <r>
    <n v="1591"/>
    <n v="1776"/>
    <n v="8"/>
    <n v="1"/>
    <n v="55"/>
    <n v="55"/>
    <s v="Delivered"/>
    <n v="55"/>
    <x v="19"/>
  </r>
  <r>
    <n v="1592"/>
    <n v="1776"/>
    <n v="7"/>
    <n v="3"/>
    <n v="65"/>
    <n v="195"/>
    <s v="Delivered"/>
    <n v="195"/>
    <x v="19"/>
  </r>
  <r>
    <n v="1593"/>
    <n v="1776"/>
    <n v="10"/>
    <n v="4"/>
    <n v="8"/>
    <n v="32"/>
    <s v="Delivered"/>
    <n v="32"/>
    <x v="19"/>
  </r>
  <r>
    <n v="1594"/>
    <n v="1777"/>
    <n v="10"/>
    <n v="2"/>
    <n v="8"/>
    <n v="16"/>
    <s v="Cancelled"/>
    <n v="0"/>
    <x v="135"/>
  </r>
  <r>
    <n v="1595"/>
    <n v="1777"/>
    <n v="4"/>
    <n v="1"/>
    <n v="25"/>
    <n v="25"/>
    <s v="Cancelled"/>
    <n v="0"/>
    <x v="135"/>
  </r>
  <r>
    <n v="1596"/>
    <n v="1778"/>
    <n v="11"/>
    <n v="4"/>
    <n v="48"/>
    <n v="192"/>
    <s v="Delivered"/>
    <n v="192"/>
    <x v="165"/>
  </r>
  <r>
    <n v="1597"/>
    <n v="1778"/>
    <n v="9"/>
    <n v="2"/>
    <n v="30"/>
    <n v="60"/>
    <s v="Delivered"/>
    <n v="60"/>
    <x v="165"/>
  </r>
  <r>
    <n v="1598"/>
    <n v="1779"/>
    <n v="12"/>
    <n v="4"/>
    <n v="22"/>
    <n v="88"/>
    <s v="Delivered"/>
    <n v="88"/>
    <x v="177"/>
  </r>
  <r>
    <n v="1599"/>
    <n v="1779"/>
    <n v="2"/>
    <n v="1"/>
    <n v="220"/>
    <n v="220"/>
    <s v="Delivered"/>
    <n v="220"/>
    <x v="177"/>
  </r>
  <r>
    <n v="1600"/>
    <n v="1779"/>
    <n v="11"/>
    <n v="2"/>
    <n v="48"/>
    <n v="96"/>
    <s v="Delivered"/>
    <n v="96"/>
    <x v="177"/>
  </r>
  <r>
    <n v="1601"/>
    <n v="1780"/>
    <n v="2"/>
    <n v="4"/>
    <n v="220"/>
    <n v="880"/>
    <s v="Delivered"/>
    <n v="880"/>
    <x v="13"/>
  </r>
  <r>
    <n v="1602"/>
    <n v="1780"/>
    <n v="11"/>
    <n v="1"/>
    <n v="48"/>
    <n v="48"/>
    <s v="Delivered"/>
    <n v="48"/>
    <x v="13"/>
  </r>
  <r>
    <n v="1603"/>
    <n v="1780"/>
    <n v="3"/>
    <n v="3"/>
    <n v="45"/>
    <n v="135"/>
    <s v="Delivered"/>
    <n v="135"/>
    <x v="13"/>
  </r>
  <r>
    <n v="1604"/>
    <n v="1781"/>
    <n v="12"/>
    <n v="4"/>
    <n v="22"/>
    <n v="88"/>
    <s v="Delivered"/>
    <n v="88"/>
    <x v="125"/>
  </r>
  <r>
    <n v="1605"/>
    <n v="1781"/>
    <n v="7"/>
    <n v="2"/>
    <n v="65"/>
    <n v="130"/>
    <s v="Delivered"/>
    <n v="130"/>
    <x v="125"/>
  </r>
  <r>
    <n v="1606"/>
    <n v="1781"/>
    <n v="9"/>
    <n v="2"/>
    <n v="30"/>
    <n v="60"/>
    <s v="Delivered"/>
    <n v="60"/>
    <x v="125"/>
  </r>
  <r>
    <n v="1607"/>
    <n v="1782"/>
    <n v="6"/>
    <n v="4"/>
    <n v="140"/>
    <n v="560"/>
    <s v="Shipped"/>
    <n v="560"/>
    <x v="71"/>
  </r>
  <r>
    <n v="1608"/>
    <n v="1782"/>
    <n v="3"/>
    <n v="1"/>
    <n v="45"/>
    <n v="45"/>
    <s v="Shipped"/>
    <n v="45"/>
    <x v="71"/>
  </r>
  <r>
    <n v="1609"/>
    <n v="1782"/>
    <n v="12"/>
    <n v="3"/>
    <n v="22"/>
    <n v="66"/>
    <s v="Shipped"/>
    <n v="66"/>
    <x v="71"/>
  </r>
  <r>
    <n v="1610"/>
    <n v="1783"/>
    <n v="6"/>
    <n v="2"/>
    <n v="140"/>
    <n v="280"/>
    <s v="Delivered"/>
    <n v="280"/>
    <x v="44"/>
  </r>
  <r>
    <n v="1611"/>
    <n v="1783"/>
    <n v="11"/>
    <n v="2"/>
    <n v="48"/>
    <n v="96"/>
    <s v="Delivered"/>
    <n v="96"/>
    <x v="44"/>
  </r>
  <r>
    <n v="1612"/>
    <n v="1784"/>
    <n v="8"/>
    <n v="4"/>
    <n v="55"/>
    <n v="220"/>
    <s v="Delivered"/>
    <n v="220"/>
    <x v="48"/>
  </r>
  <r>
    <n v="1613"/>
    <n v="1785"/>
    <n v="12"/>
    <n v="4"/>
    <n v="22"/>
    <n v="88"/>
    <s v="Delivered"/>
    <n v="88"/>
    <x v="33"/>
  </r>
  <r>
    <n v="1614"/>
    <n v="1785"/>
    <n v="2"/>
    <n v="2"/>
    <n v="220"/>
    <n v="440"/>
    <s v="Delivered"/>
    <n v="440"/>
    <x v="33"/>
  </r>
  <r>
    <n v="1615"/>
    <n v="1785"/>
    <n v="5"/>
    <n v="4"/>
    <n v="180"/>
    <n v="720"/>
    <s v="Delivered"/>
    <n v="720"/>
    <x v="33"/>
  </r>
  <r>
    <n v="1616"/>
    <n v="1786"/>
    <n v="4"/>
    <n v="4"/>
    <n v="25"/>
    <n v="100"/>
    <s v="Delivered"/>
    <n v="100"/>
    <x v="114"/>
  </r>
  <r>
    <n v="1617"/>
    <n v="1786"/>
    <n v="1"/>
    <n v="4"/>
    <n v="750"/>
    <n v="3000"/>
    <s v="Delivered"/>
    <n v="3000"/>
    <x v="114"/>
  </r>
  <r>
    <n v="1618"/>
    <n v="1786"/>
    <n v="3"/>
    <n v="3"/>
    <n v="45"/>
    <n v="135"/>
    <s v="Delivered"/>
    <n v="135"/>
    <x v="114"/>
  </r>
  <r>
    <n v="1619"/>
    <n v="1787"/>
    <n v="8"/>
    <n v="4"/>
    <n v="55"/>
    <n v="220"/>
    <s v="Delivered"/>
    <n v="220"/>
    <x v="154"/>
  </r>
  <r>
    <n v="1620"/>
    <n v="1787"/>
    <n v="6"/>
    <n v="1"/>
    <n v="140"/>
    <n v="140"/>
    <s v="Delivered"/>
    <n v="140"/>
    <x v="154"/>
  </r>
  <r>
    <n v="1621"/>
    <n v="1787"/>
    <n v="7"/>
    <n v="3"/>
    <n v="65"/>
    <n v="195"/>
    <s v="Delivered"/>
    <n v="195"/>
    <x v="154"/>
  </r>
  <r>
    <n v="1622"/>
    <n v="1788"/>
    <n v="1"/>
    <n v="2"/>
    <n v="750"/>
    <n v="1500"/>
    <s v="Delivered"/>
    <n v="1500"/>
    <x v="103"/>
  </r>
  <r>
    <n v="1623"/>
    <n v="1788"/>
    <n v="5"/>
    <n v="2"/>
    <n v="180"/>
    <n v="360"/>
    <s v="Delivered"/>
    <n v="360"/>
    <x v="103"/>
  </r>
  <r>
    <n v="1624"/>
    <n v="1788"/>
    <n v="8"/>
    <n v="4"/>
    <n v="55"/>
    <n v="220"/>
    <s v="Delivered"/>
    <n v="220"/>
    <x v="103"/>
  </r>
  <r>
    <n v="1625"/>
    <n v="1789"/>
    <n v="12"/>
    <n v="1"/>
    <n v="22"/>
    <n v="22"/>
    <s v="Delivered"/>
    <n v="22"/>
    <x v="11"/>
  </r>
  <r>
    <n v="1626"/>
    <n v="1789"/>
    <n v="10"/>
    <n v="2"/>
    <n v="8"/>
    <n v="16"/>
    <s v="Delivered"/>
    <n v="16"/>
    <x v="11"/>
  </r>
  <r>
    <n v="1627"/>
    <n v="1790"/>
    <n v="1"/>
    <n v="1"/>
    <n v="750"/>
    <n v="750"/>
    <s v="Delivered"/>
    <n v="750"/>
    <x v="108"/>
  </r>
  <r>
    <n v="1628"/>
    <n v="1791"/>
    <n v="2"/>
    <n v="2"/>
    <n v="220"/>
    <n v="440"/>
    <s v="Delivered"/>
    <n v="440"/>
    <x v="168"/>
  </r>
  <r>
    <n v="1629"/>
    <n v="1792"/>
    <n v="11"/>
    <n v="3"/>
    <n v="48"/>
    <n v="144"/>
    <s v="Delivered"/>
    <n v="144"/>
    <x v="76"/>
  </r>
  <r>
    <n v="1630"/>
    <n v="1792"/>
    <n v="7"/>
    <n v="4"/>
    <n v="65"/>
    <n v="260"/>
    <s v="Delivered"/>
    <n v="260"/>
    <x v="76"/>
  </r>
  <r>
    <n v="1631"/>
    <n v="1793"/>
    <n v="1"/>
    <n v="4"/>
    <n v="750"/>
    <n v="3000"/>
    <s v="Delivered"/>
    <n v="3000"/>
    <x v="91"/>
  </r>
  <r>
    <n v="1632"/>
    <n v="1794"/>
    <n v="10"/>
    <n v="1"/>
    <n v="8"/>
    <n v="8"/>
    <s v="Delivered"/>
    <n v="8"/>
    <x v="159"/>
  </r>
  <r>
    <n v="1633"/>
    <n v="1794"/>
    <n v="3"/>
    <n v="3"/>
    <n v="45"/>
    <n v="135"/>
    <s v="Delivered"/>
    <n v="135"/>
    <x v="159"/>
  </r>
  <r>
    <n v="1634"/>
    <n v="1795"/>
    <n v="9"/>
    <n v="4"/>
    <n v="30"/>
    <n v="120"/>
    <s v="Delivered"/>
    <n v="120"/>
    <x v="124"/>
  </r>
  <r>
    <n v="1635"/>
    <n v="1795"/>
    <n v="12"/>
    <n v="1"/>
    <n v="22"/>
    <n v="22"/>
    <s v="Delivered"/>
    <n v="22"/>
    <x v="124"/>
  </r>
  <r>
    <n v="1636"/>
    <n v="1796"/>
    <n v="2"/>
    <n v="2"/>
    <n v="220"/>
    <n v="440"/>
    <s v="Delivered"/>
    <n v="440"/>
    <x v="8"/>
  </r>
  <r>
    <n v="1637"/>
    <n v="1796"/>
    <n v="3"/>
    <n v="1"/>
    <n v="45"/>
    <n v="45"/>
    <s v="Delivered"/>
    <n v="45"/>
    <x v="8"/>
  </r>
  <r>
    <n v="1638"/>
    <n v="1796"/>
    <n v="10"/>
    <n v="4"/>
    <n v="8"/>
    <n v="32"/>
    <s v="Delivered"/>
    <n v="32"/>
    <x v="8"/>
  </r>
  <r>
    <n v="1639"/>
    <n v="1797"/>
    <n v="1"/>
    <n v="1"/>
    <n v="750"/>
    <n v="750"/>
    <s v="Delivered"/>
    <n v="750"/>
    <x v="76"/>
  </r>
  <r>
    <n v="1640"/>
    <n v="1797"/>
    <n v="2"/>
    <n v="3"/>
    <n v="220"/>
    <n v="660"/>
    <s v="Delivered"/>
    <n v="660"/>
    <x v="76"/>
  </r>
  <r>
    <n v="1641"/>
    <n v="1798"/>
    <n v="5"/>
    <n v="4"/>
    <n v="180"/>
    <n v="720"/>
    <s v="Delivered"/>
    <n v="720"/>
    <x v="140"/>
  </r>
  <r>
    <n v="1642"/>
    <n v="1798"/>
    <n v="11"/>
    <n v="2"/>
    <n v="48"/>
    <n v="96"/>
    <s v="Delivered"/>
    <n v="96"/>
    <x v="140"/>
  </r>
  <r>
    <n v="1643"/>
    <n v="1798"/>
    <n v="9"/>
    <n v="4"/>
    <n v="30"/>
    <n v="120"/>
    <s v="Delivered"/>
    <n v="120"/>
    <x v="140"/>
  </r>
  <r>
    <n v="1644"/>
    <n v="1799"/>
    <n v="2"/>
    <n v="2"/>
    <n v="220"/>
    <n v="440"/>
    <s v="Delivered"/>
    <n v="440"/>
    <x v="31"/>
  </r>
  <r>
    <n v="1645"/>
    <n v="1799"/>
    <n v="11"/>
    <n v="1"/>
    <n v="48"/>
    <n v="48"/>
    <s v="Delivered"/>
    <n v="48"/>
    <x v="31"/>
  </r>
  <r>
    <n v="1646"/>
    <n v="1799"/>
    <n v="1"/>
    <n v="2"/>
    <n v="750"/>
    <n v="1500"/>
    <s v="Delivered"/>
    <n v="1500"/>
    <x v="31"/>
  </r>
  <r>
    <n v="1647"/>
    <n v="1800"/>
    <n v="3"/>
    <n v="4"/>
    <n v="45"/>
    <n v="180"/>
    <s v="Delivered"/>
    <n v="180"/>
    <x v="59"/>
  </r>
  <r>
    <n v="1648"/>
    <n v="1800"/>
    <n v="10"/>
    <n v="1"/>
    <n v="8"/>
    <n v="8"/>
    <s v="Delivered"/>
    <n v="8"/>
    <x v="59"/>
  </r>
  <r>
    <n v="1649"/>
    <n v="1801"/>
    <n v="7"/>
    <n v="2"/>
    <n v="65"/>
    <n v="130"/>
    <s v="Delivered"/>
    <n v="130"/>
    <x v="161"/>
  </r>
  <r>
    <n v="1650"/>
    <n v="1801"/>
    <n v="3"/>
    <n v="1"/>
    <n v="45"/>
    <n v="45"/>
    <s v="Delivered"/>
    <n v="45"/>
    <x v="161"/>
  </r>
  <r>
    <n v="1651"/>
    <n v="1801"/>
    <n v="9"/>
    <n v="3"/>
    <n v="30"/>
    <n v="90"/>
    <s v="Delivered"/>
    <n v="90"/>
    <x v="161"/>
  </r>
  <r>
    <n v="1652"/>
    <n v="1802"/>
    <n v="3"/>
    <n v="3"/>
    <n v="45"/>
    <n v="135"/>
    <s v="Delivered"/>
    <n v="135"/>
    <x v="63"/>
  </r>
  <r>
    <n v="1653"/>
    <n v="1802"/>
    <n v="7"/>
    <n v="4"/>
    <n v="65"/>
    <n v="260"/>
    <s v="Delivered"/>
    <n v="260"/>
    <x v="63"/>
  </r>
  <r>
    <n v="1654"/>
    <n v="1802"/>
    <n v="12"/>
    <n v="4"/>
    <n v="22"/>
    <n v="88"/>
    <s v="Delivered"/>
    <n v="88"/>
    <x v="63"/>
  </r>
  <r>
    <n v="1655"/>
    <n v="1803"/>
    <n v="2"/>
    <n v="1"/>
    <n v="220"/>
    <n v="220"/>
    <s v="Delivered"/>
    <n v="220"/>
    <x v="151"/>
  </r>
  <r>
    <n v="1656"/>
    <n v="1803"/>
    <n v="6"/>
    <n v="3"/>
    <n v="140"/>
    <n v="420"/>
    <s v="Delivered"/>
    <n v="420"/>
    <x v="151"/>
  </r>
  <r>
    <n v="1657"/>
    <n v="1804"/>
    <n v="7"/>
    <n v="1"/>
    <n v="65"/>
    <n v="65"/>
    <s v="Delivered"/>
    <n v="65"/>
    <x v="148"/>
  </r>
  <r>
    <n v="1658"/>
    <n v="1805"/>
    <n v="9"/>
    <n v="3"/>
    <n v="30"/>
    <n v="90"/>
    <s v="Delivered"/>
    <n v="90"/>
    <x v="95"/>
  </r>
  <r>
    <n v="1659"/>
    <n v="1806"/>
    <n v="7"/>
    <n v="3"/>
    <n v="65"/>
    <n v="195"/>
    <s v="Cancelled"/>
    <n v="0"/>
    <x v="47"/>
  </r>
  <r>
    <n v="1660"/>
    <n v="1806"/>
    <n v="3"/>
    <n v="4"/>
    <n v="45"/>
    <n v="180"/>
    <s v="Cancelled"/>
    <n v="0"/>
    <x v="47"/>
  </r>
  <r>
    <n v="1661"/>
    <n v="1807"/>
    <n v="11"/>
    <n v="2"/>
    <n v="48"/>
    <n v="96"/>
    <s v="Delivered"/>
    <n v="96"/>
    <x v="160"/>
  </r>
  <r>
    <n v="1662"/>
    <n v="1808"/>
    <n v="4"/>
    <n v="4"/>
    <n v="25"/>
    <n v="100"/>
    <s v="Shipped"/>
    <n v="100"/>
    <x v="62"/>
  </r>
  <r>
    <n v="1663"/>
    <n v="1808"/>
    <n v="11"/>
    <n v="4"/>
    <n v="48"/>
    <n v="192"/>
    <s v="Shipped"/>
    <n v="192"/>
    <x v="62"/>
  </r>
  <r>
    <n v="1664"/>
    <n v="1808"/>
    <n v="10"/>
    <n v="2"/>
    <n v="8"/>
    <n v="16"/>
    <s v="Shipped"/>
    <n v="16"/>
    <x v="62"/>
  </r>
  <r>
    <n v="1665"/>
    <n v="1809"/>
    <n v="9"/>
    <n v="3"/>
    <n v="30"/>
    <n v="90"/>
    <s v="Delivered"/>
    <n v="90"/>
    <x v="10"/>
  </r>
  <r>
    <n v="1666"/>
    <n v="1809"/>
    <n v="4"/>
    <n v="1"/>
    <n v="25"/>
    <n v="25"/>
    <s v="Delivered"/>
    <n v="25"/>
    <x v="10"/>
  </r>
  <r>
    <n v="1667"/>
    <n v="1810"/>
    <n v="3"/>
    <n v="1"/>
    <n v="45"/>
    <n v="45"/>
    <s v="Delivered"/>
    <n v="45"/>
    <x v="167"/>
  </r>
  <r>
    <n v="1668"/>
    <n v="1811"/>
    <n v="8"/>
    <n v="1"/>
    <n v="55"/>
    <n v="55"/>
    <s v="Delivered"/>
    <n v="55"/>
    <x v="179"/>
  </r>
  <r>
    <n v="1669"/>
    <n v="1811"/>
    <n v="9"/>
    <n v="4"/>
    <n v="30"/>
    <n v="120"/>
    <s v="Delivered"/>
    <n v="120"/>
    <x v="179"/>
  </r>
  <r>
    <n v="1670"/>
    <n v="1812"/>
    <n v="12"/>
    <n v="1"/>
    <n v="22"/>
    <n v="22"/>
    <s v="Delivered"/>
    <n v="22"/>
    <x v="179"/>
  </r>
  <r>
    <n v="1671"/>
    <n v="1813"/>
    <n v="9"/>
    <n v="3"/>
    <n v="30"/>
    <n v="90"/>
    <s v="Delivered"/>
    <n v="90"/>
    <x v="153"/>
  </r>
  <r>
    <n v="1672"/>
    <n v="1814"/>
    <n v="2"/>
    <n v="4"/>
    <n v="220"/>
    <n v="880"/>
    <s v="Delivered"/>
    <n v="880"/>
    <x v="80"/>
  </r>
  <r>
    <n v="1673"/>
    <n v="1814"/>
    <n v="5"/>
    <n v="3"/>
    <n v="180"/>
    <n v="540"/>
    <s v="Delivered"/>
    <n v="540"/>
    <x v="80"/>
  </r>
  <r>
    <n v="1674"/>
    <n v="1814"/>
    <n v="11"/>
    <n v="3"/>
    <n v="48"/>
    <n v="144"/>
    <s v="Delivered"/>
    <n v="144"/>
    <x v="80"/>
  </r>
  <r>
    <n v="1675"/>
    <n v="1815"/>
    <n v="8"/>
    <n v="4"/>
    <n v="55"/>
    <n v="220"/>
    <s v="Shipped"/>
    <n v="220"/>
    <x v="93"/>
  </r>
  <r>
    <n v="1676"/>
    <n v="1816"/>
    <n v="2"/>
    <n v="3"/>
    <n v="220"/>
    <n v="660"/>
    <s v="Delivered"/>
    <n v="660"/>
    <x v="86"/>
  </r>
  <r>
    <n v="1677"/>
    <n v="1816"/>
    <n v="1"/>
    <n v="2"/>
    <n v="750"/>
    <n v="1500"/>
    <s v="Delivered"/>
    <n v="1500"/>
    <x v="86"/>
  </r>
  <r>
    <n v="1678"/>
    <n v="1817"/>
    <n v="2"/>
    <n v="1"/>
    <n v="220"/>
    <n v="220"/>
    <s v="Delivered"/>
    <n v="220"/>
    <x v="111"/>
  </r>
  <r>
    <n v="1679"/>
    <n v="1817"/>
    <n v="8"/>
    <n v="2"/>
    <n v="55"/>
    <n v="110"/>
    <s v="Delivered"/>
    <n v="110"/>
    <x v="111"/>
  </r>
  <r>
    <n v="1680"/>
    <n v="1818"/>
    <n v="5"/>
    <n v="4"/>
    <n v="180"/>
    <n v="720"/>
    <s v="Delivered"/>
    <n v="720"/>
    <x v="174"/>
  </r>
  <r>
    <n v="1681"/>
    <n v="1818"/>
    <n v="2"/>
    <n v="2"/>
    <n v="220"/>
    <n v="440"/>
    <s v="Delivered"/>
    <n v="440"/>
    <x v="174"/>
  </r>
  <r>
    <n v="1682"/>
    <n v="1818"/>
    <n v="8"/>
    <n v="2"/>
    <n v="55"/>
    <n v="110"/>
    <s v="Delivered"/>
    <n v="110"/>
    <x v="174"/>
  </r>
  <r>
    <n v="1683"/>
    <n v="1819"/>
    <n v="3"/>
    <n v="4"/>
    <n v="45"/>
    <n v="180"/>
    <s v="Delivered"/>
    <n v="180"/>
    <x v="11"/>
  </r>
  <r>
    <n v="1684"/>
    <n v="1820"/>
    <n v="7"/>
    <n v="4"/>
    <n v="65"/>
    <n v="260"/>
    <s v="Shipped"/>
    <n v="260"/>
    <x v="11"/>
  </r>
  <r>
    <n v="1685"/>
    <n v="1821"/>
    <n v="12"/>
    <n v="1"/>
    <n v="22"/>
    <n v="22"/>
    <s v="Delivered"/>
    <n v="22"/>
    <x v="165"/>
  </r>
  <r>
    <n v="1686"/>
    <n v="1821"/>
    <n v="7"/>
    <n v="1"/>
    <n v="65"/>
    <n v="65"/>
    <s v="Delivered"/>
    <n v="65"/>
    <x v="165"/>
  </r>
  <r>
    <n v="1687"/>
    <n v="1821"/>
    <n v="3"/>
    <n v="1"/>
    <n v="45"/>
    <n v="45"/>
    <s v="Delivered"/>
    <n v="45"/>
    <x v="165"/>
  </r>
  <r>
    <n v="1688"/>
    <n v="1822"/>
    <n v="10"/>
    <n v="4"/>
    <n v="8"/>
    <n v="32"/>
    <s v="Delivered"/>
    <n v="32"/>
    <x v="2"/>
  </r>
  <r>
    <n v="1689"/>
    <n v="1822"/>
    <n v="1"/>
    <n v="4"/>
    <n v="750"/>
    <n v="3000"/>
    <s v="Delivered"/>
    <n v="3000"/>
    <x v="2"/>
  </r>
  <r>
    <n v="1690"/>
    <n v="1823"/>
    <n v="4"/>
    <n v="3"/>
    <n v="25"/>
    <n v="75"/>
    <s v="Delivered"/>
    <n v="75"/>
    <x v="121"/>
  </r>
  <r>
    <n v="1691"/>
    <n v="1824"/>
    <n v="12"/>
    <n v="2"/>
    <n v="22"/>
    <n v="44"/>
    <s v="Delivered"/>
    <n v="44"/>
    <x v="143"/>
  </r>
  <r>
    <n v="1692"/>
    <n v="1824"/>
    <n v="2"/>
    <n v="2"/>
    <n v="220"/>
    <n v="440"/>
    <s v="Delivered"/>
    <n v="440"/>
    <x v="143"/>
  </r>
  <r>
    <n v="1693"/>
    <n v="1825"/>
    <n v="4"/>
    <n v="4"/>
    <n v="25"/>
    <n v="100"/>
    <s v="Delivered"/>
    <n v="100"/>
    <x v="136"/>
  </r>
  <r>
    <n v="1694"/>
    <n v="1825"/>
    <n v="3"/>
    <n v="1"/>
    <n v="45"/>
    <n v="45"/>
    <s v="Delivered"/>
    <n v="45"/>
    <x v="136"/>
  </r>
  <r>
    <n v="1695"/>
    <n v="1826"/>
    <n v="6"/>
    <n v="4"/>
    <n v="140"/>
    <n v="560"/>
    <s v="Delivered"/>
    <n v="560"/>
    <x v="66"/>
  </r>
  <r>
    <n v="1696"/>
    <n v="1827"/>
    <n v="12"/>
    <n v="2"/>
    <n v="22"/>
    <n v="44"/>
    <s v="Delivered"/>
    <n v="44"/>
    <x v="80"/>
  </r>
  <r>
    <n v="1697"/>
    <n v="1827"/>
    <n v="7"/>
    <n v="3"/>
    <n v="65"/>
    <n v="195"/>
    <s v="Delivered"/>
    <n v="195"/>
    <x v="80"/>
  </r>
  <r>
    <n v="1698"/>
    <n v="1828"/>
    <n v="10"/>
    <n v="4"/>
    <n v="8"/>
    <n v="32"/>
    <s v="Delivered"/>
    <n v="32"/>
    <x v="58"/>
  </r>
  <r>
    <n v="1699"/>
    <n v="1828"/>
    <n v="2"/>
    <n v="2"/>
    <n v="220"/>
    <n v="440"/>
    <s v="Delivered"/>
    <n v="440"/>
    <x v="58"/>
  </r>
  <r>
    <n v="1700"/>
    <n v="1829"/>
    <n v="6"/>
    <n v="3"/>
    <n v="140"/>
    <n v="420"/>
    <s v="Delivered"/>
    <n v="420"/>
    <x v="60"/>
  </r>
  <r>
    <n v="1701"/>
    <n v="1830"/>
    <n v="10"/>
    <n v="4"/>
    <n v="8"/>
    <n v="32"/>
    <s v="Delivered"/>
    <n v="32"/>
    <x v="59"/>
  </r>
  <r>
    <n v="1702"/>
    <n v="1831"/>
    <n v="12"/>
    <n v="4"/>
    <n v="22"/>
    <n v="88"/>
    <s v="Delivered"/>
    <n v="88"/>
    <x v="136"/>
  </r>
  <r>
    <n v="1703"/>
    <n v="1832"/>
    <n v="12"/>
    <n v="2"/>
    <n v="22"/>
    <n v="44"/>
    <s v="Delivered"/>
    <n v="44"/>
    <x v="98"/>
  </r>
  <r>
    <n v="1704"/>
    <n v="1832"/>
    <n v="3"/>
    <n v="2"/>
    <n v="45"/>
    <n v="90"/>
    <s v="Delivered"/>
    <n v="90"/>
    <x v="98"/>
  </r>
  <r>
    <n v="1705"/>
    <n v="1832"/>
    <n v="1"/>
    <n v="4"/>
    <n v="750"/>
    <n v="3000"/>
    <s v="Delivered"/>
    <n v="3000"/>
    <x v="98"/>
  </r>
  <r>
    <n v="1706"/>
    <n v="1833"/>
    <n v="12"/>
    <n v="1"/>
    <n v="22"/>
    <n v="22"/>
    <s v="Cancelled"/>
    <n v="0"/>
    <x v="50"/>
  </r>
  <r>
    <n v="1707"/>
    <n v="1833"/>
    <n v="2"/>
    <n v="4"/>
    <n v="220"/>
    <n v="880"/>
    <s v="Cancelled"/>
    <n v="0"/>
    <x v="50"/>
  </r>
  <r>
    <n v="1708"/>
    <n v="1833"/>
    <n v="7"/>
    <n v="4"/>
    <n v="65"/>
    <n v="260"/>
    <s v="Cancelled"/>
    <n v="0"/>
    <x v="50"/>
  </r>
  <r>
    <n v="1709"/>
    <n v="1834"/>
    <n v="3"/>
    <n v="3"/>
    <n v="45"/>
    <n v="135"/>
    <s v="Shipped"/>
    <n v="135"/>
    <x v="66"/>
  </r>
  <r>
    <n v="1710"/>
    <n v="1835"/>
    <n v="12"/>
    <n v="2"/>
    <n v="22"/>
    <n v="44"/>
    <s v="Delivered"/>
    <n v="44"/>
    <x v="41"/>
  </r>
  <r>
    <n v="1711"/>
    <n v="1836"/>
    <n v="9"/>
    <n v="4"/>
    <n v="30"/>
    <n v="120"/>
    <s v="Delivered"/>
    <n v="120"/>
    <x v="0"/>
  </r>
  <r>
    <n v="1712"/>
    <n v="1836"/>
    <n v="7"/>
    <n v="3"/>
    <n v="65"/>
    <n v="195"/>
    <s v="Delivered"/>
    <n v="195"/>
    <x v="0"/>
  </r>
  <r>
    <n v="1713"/>
    <n v="1837"/>
    <n v="9"/>
    <n v="3"/>
    <n v="30"/>
    <n v="90"/>
    <s v="Delivered"/>
    <n v="90"/>
    <x v="12"/>
  </r>
  <r>
    <n v="1714"/>
    <n v="1837"/>
    <n v="12"/>
    <n v="3"/>
    <n v="22"/>
    <n v="66"/>
    <s v="Delivered"/>
    <n v="66"/>
    <x v="12"/>
  </r>
  <r>
    <n v="1715"/>
    <n v="1838"/>
    <n v="5"/>
    <n v="1"/>
    <n v="180"/>
    <n v="180"/>
    <s v="Delivered"/>
    <n v="180"/>
    <x v="109"/>
  </r>
  <r>
    <n v="1716"/>
    <n v="1839"/>
    <n v="4"/>
    <n v="1"/>
    <n v="25"/>
    <n v="25"/>
    <s v="Cancelled"/>
    <n v="0"/>
    <x v="132"/>
  </r>
  <r>
    <n v="1717"/>
    <n v="1839"/>
    <n v="12"/>
    <n v="1"/>
    <n v="22"/>
    <n v="22"/>
    <s v="Cancelled"/>
    <n v="0"/>
    <x v="132"/>
  </r>
  <r>
    <n v="1718"/>
    <n v="1839"/>
    <n v="9"/>
    <n v="3"/>
    <n v="30"/>
    <n v="90"/>
    <s v="Cancelled"/>
    <n v="0"/>
    <x v="132"/>
  </r>
  <r>
    <n v="1719"/>
    <n v="1840"/>
    <n v="2"/>
    <n v="3"/>
    <n v="220"/>
    <n v="660"/>
    <s v="Delivered"/>
    <n v="660"/>
    <x v="120"/>
  </r>
  <r>
    <n v="1720"/>
    <n v="1840"/>
    <n v="9"/>
    <n v="2"/>
    <n v="30"/>
    <n v="60"/>
    <s v="Delivered"/>
    <n v="60"/>
    <x v="120"/>
  </r>
  <r>
    <n v="1721"/>
    <n v="1841"/>
    <n v="12"/>
    <n v="3"/>
    <n v="22"/>
    <n v="66"/>
    <s v="Delivered"/>
    <n v="66"/>
    <x v="168"/>
  </r>
  <r>
    <n v="1722"/>
    <n v="1842"/>
    <n v="5"/>
    <n v="2"/>
    <n v="180"/>
    <n v="360"/>
    <s v="Delivered"/>
    <n v="360"/>
    <x v="23"/>
  </r>
  <r>
    <n v="1723"/>
    <n v="1842"/>
    <n v="11"/>
    <n v="4"/>
    <n v="48"/>
    <n v="192"/>
    <s v="Delivered"/>
    <n v="192"/>
    <x v="23"/>
  </r>
  <r>
    <n v="1724"/>
    <n v="1842"/>
    <n v="10"/>
    <n v="2"/>
    <n v="8"/>
    <n v="16"/>
    <s v="Delivered"/>
    <n v="16"/>
    <x v="23"/>
  </r>
  <r>
    <n v="1725"/>
    <n v="1843"/>
    <n v="3"/>
    <n v="1"/>
    <n v="45"/>
    <n v="45"/>
    <s v="Delivered"/>
    <n v="45"/>
    <x v="114"/>
  </r>
  <r>
    <n v="1726"/>
    <n v="1843"/>
    <n v="8"/>
    <n v="4"/>
    <n v="55"/>
    <n v="220"/>
    <s v="Delivered"/>
    <n v="220"/>
    <x v="114"/>
  </r>
  <r>
    <n v="1727"/>
    <n v="1844"/>
    <n v="5"/>
    <n v="2"/>
    <n v="180"/>
    <n v="360"/>
    <s v="Delivered"/>
    <n v="360"/>
    <x v="147"/>
  </r>
  <r>
    <n v="1728"/>
    <n v="1844"/>
    <n v="1"/>
    <n v="2"/>
    <n v="750"/>
    <n v="1500"/>
    <s v="Delivered"/>
    <n v="1500"/>
    <x v="147"/>
  </r>
  <r>
    <n v="1729"/>
    <n v="1844"/>
    <n v="12"/>
    <n v="4"/>
    <n v="22"/>
    <n v="88"/>
    <s v="Delivered"/>
    <n v="88"/>
    <x v="147"/>
  </r>
  <r>
    <n v="1730"/>
    <n v="1845"/>
    <n v="12"/>
    <n v="2"/>
    <n v="22"/>
    <n v="44"/>
    <s v="Delivered"/>
    <n v="44"/>
    <x v="24"/>
  </r>
  <r>
    <n v="1731"/>
    <n v="1846"/>
    <n v="1"/>
    <n v="1"/>
    <n v="750"/>
    <n v="750"/>
    <s v="Delivered"/>
    <n v="750"/>
    <x v="159"/>
  </r>
  <r>
    <n v="1732"/>
    <n v="1846"/>
    <n v="3"/>
    <n v="3"/>
    <n v="45"/>
    <n v="135"/>
    <s v="Delivered"/>
    <n v="135"/>
    <x v="159"/>
  </r>
  <r>
    <n v="1733"/>
    <n v="1846"/>
    <n v="4"/>
    <n v="2"/>
    <n v="25"/>
    <n v="50"/>
    <s v="Delivered"/>
    <n v="50"/>
    <x v="159"/>
  </r>
  <r>
    <n v="1734"/>
    <n v="1847"/>
    <n v="2"/>
    <n v="4"/>
    <n v="220"/>
    <n v="880"/>
    <s v="Delivered"/>
    <n v="880"/>
    <x v="23"/>
  </r>
  <r>
    <n v="1735"/>
    <n v="1847"/>
    <n v="4"/>
    <n v="4"/>
    <n v="25"/>
    <n v="100"/>
    <s v="Delivered"/>
    <n v="100"/>
    <x v="23"/>
  </r>
  <r>
    <n v="1736"/>
    <n v="1847"/>
    <n v="3"/>
    <n v="2"/>
    <n v="45"/>
    <n v="90"/>
    <s v="Delivered"/>
    <n v="90"/>
    <x v="23"/>
  </r>
  <r>
    <n v="1737"/>
    <n v="1848"/>
    <n v="1"/>
    <n v="1"/>
    <n v="750"/>
    <n v="750"/>
    <s v="Delivered"/>
    <n v="750"/>
    <x v="152"/>
  </r>
  <r>
    <n v="1738"/>
    <n v="1849"/>
    <n v="4"/>
    <n v="4"/>
    <n v="25"/>
    <n v="100"/>
    <s v="Delivered"/>
    <n v="100"/>
    <x v="34"/>
  </r>
  <r>
    <n v="1739"/>
    <n v="1850"/>
    <n v="3"/>
    <n v="2"/>
    <n v="45"/>
    <n v="90"/>
    <s v="Delivered"/>
    <n v="90"/>
    <x v="159"/>
  </r>
  <r>
    <n v="1740"/>
    <n v="1850"/>
    <n v="2"/>
    <n v="1"/>
    <n v="220"/>
    <n v="220"/>
    <s v="Delivered"/>
    <n v="220"/>
    <x v="159"/>
  </r>
  <r>
    <n v="1741"/>
    <n v="1851"/>
    <n v="10"/>
    <n v="2"/>
    <n v="8"/>
    <n v="16"/>
    <s v="Delivered"/>
    <n v="16"/>
    <x v="136"/>
  </r>
  <r>
    <n v="1742"/>
    <n v="1852"/>
    <n v="5"/>
    <n v="3"/>
    <n v="180"/>
    <n v="540"/>
    <s v="Delivered"/>
    <n v="540"/>
    <x v="179"/>
  </r>
  <r>
    <n v="1743"/>
    <n v="1852"/>
    <n v="6"/>
    <n v="4"/>
    <n v="140"/>
    <n v="560"/>
    <s v="Delivered"/>
    <n v="560"/>
    <x v="179"/>
  </r>
  <r>
    <n v="1744"/>
    <n v="1852"/>
    <n v="2"/>
    <n v="3"/>
    <n v="220"/>
    <n v="660"/>
    <s v="Delivered"/>
    <n v="660"/>
    <x v="179"/>
  </r>
  <r>
    <n v="1745"/>
    <n v="1853"/>
    <n v="3"/>
    <n v="4"/>
    <n v="45"/>
    <n v="180"/>
    <s v="Cancelled"/>
    <n v="0"/>
    <x v="140"/>
  </r>
  <r>
    <n v="1746"/>
    <n v="1853"/>
    <n v="6"/>
    <n v="4"/>
    <n v="140"/>
    <n v="560"/>
    <s v="Cancelled"/>
    <n v="0"/>
    <x v="140"/>
  </r>
  <r>
    <n v="1747"/>
    <n v="1853"/>
    <n v="12"/>
    <n v="4"/>
    <n v="22"/>
    <n v="88"/>
    <s v="Cancelled"/>
    <n v="0"/>
    <x v="140"/>
  </r>
  <r>
    <n v="1748"/>
    <n v="1854"/>
    <n v="5"/>
    <n v="3"/>
    <n v="180"/>
    <n v="540"/>
    <s v="Delivered"/>
    <n v="540"/>
    <x v="133"/>
  </r>
  <r>
    <n v="1749"/>
    <n v="1854"/>
    <n v="3"/>
    <n v="2"/>
    <n v="45"/>
    <n v="90"/>
    <s v="Delivered"/>
    <n v="90"/>
    <x v="133"/>
  </r>
  <r>
    <n v="1750"/>
    <n v="1854"/>
    <n v="2"/>
    <n v="2"/>
    <n v="220"/>
    <n v="440"/>
    <s v="Delivered"/>
    <n v="440"/>
    <x v="133"/>
  </r>
  <r>
    <n v="1751"/>
    <n v="1855"/>
    <n v="11"/>
    <n v="2"/>
    <n v="48"/>
    <n v="96"/>
    <s v="Pending"/>
    <n v="96"/>
    <x v="152"/>
  </r>
  <r>
    <n v="1752"/>
    <n v="1856"/>
    <n v="8"/>
    <n v="2"/>
    <n v="55"/>
    <n v="110"/>
    <s v="Delivered"/>
    <n v="110"/>
    <x v="105"/>
  </r>
  <r>
    <n v="1753"/>
    <n v="1856"/>
    <n v="9"/>
    <n v="4"/>
    <n v="30"/>
    <n v="120"/>
    <s v="Delivered"/>
    <n v="120"/>
    <x v="105"/>
  </r>
  <r>
    <n v="1754"/>
    <n v="1856"/>
    <n v="11"/>
    <n v="1"/>
    <n v="48"/>
    <n v="48"/>
    <s v="Delivered"/>
    <n v="48"/>
    <x v="105"/>
  </r>
  <r>
    <n v="1755"/>
    <n v="1857"/>
    <n v="1"/>
    <n v="1"/>
    <n v="750"/>
    <n v="750"/>
    <s v="Delivered"/>
    <n v="750"/>
    <x v="13"/>
  </r>
  <r>
    <n v="1756"/>
    <n v="1857"/>
    <n v="4"/>
    <n v="3"/>
    <n v="25"/>
    <n v="75"/>
    <s v="Delivered"/>
    <n v="75"/>
    <x v="13"/>
  </r>
  <r>
    <n v="1757"/>
    <n v="1858"/>
    <n v="8"/>
    <n v="4"/>
    <n v="55"/>
    <n v="220"/>
    <s v="Delivered"/>
    <n v="220"/>
    <x v="20"/>
  </r>
  <r>
    <n v="1758"/>
    <n v="1858"/>
    <n v="3"/>
    <n v="2"/>
    <n v="45"/>
    <n v="90"/>
    <s v="Delivered"/>
    <n v="90"/>
    <x v="20"/>
  </r>
  <r>
    <n v="1759"/>
    <n v="1859"/>
    <n v="1"/>
    <n v="1"/>
    <n v="750"/>
    <n v="750"/>
    <s v="Delivered"/>
    <n v="750"/>
    <x v="12"/>
  </r>
  <r>
    <n v="1760"/>
    <n v="1859"/>
    <n v="7"/>
    <n v="1"/>
    <n v="65"/>
    <n v="65"/>
    <s v="Delivered"/>
    <n v="65"/>
    <x v="12"/>
  </r>
  <r>
    <n v="1761"/>
    <n v="1859"/>
    <n v="6"/>
    <n v="1"/>
    <n v="140"/>
    <n v="140"/>
    <s v="Delivered"/>
    <n v="140"/>
    <x v="12"/>
  </r>
  <r>
    <n v="1762"/>
    <n v="1860"/>
    <n v="1"/>
    <n v="4"/>
    <n v="750"/>
    <n v="3000"/>
    <s v="Delivered"/>
    <n v="3000"/>
    <x v="172"/>
  </r>
  <r>
    <n v="1763"/>
    <n v="1861"/>
    <n v="7"/>
    <n v="4"/>
    <n v="65"/>
    <n v="260"/>
    <s v="Delivered"/>
    <n v="260"/>
    <x v="170"/>
  </r>
  <r>
    <n v="1764"/>
    <n v="1861"/>
    <n v="6"/>
    <n v="1"/>
    <n v="140"/>
    <n v="140"/>
    <s v="Delivered"/>
    <n v="140"/>
    <x v="170"/>
  </r>
  <r>
    <n v="1765"/>
    <n v="1862"/>
    <n v="1"/>
    <n v="4"/>
    <n v="750"/>
    <n v="3000"/>
    <s v="Delivered"/>
    <n v="3000"/>
    <x v="59"/>
  </r>
  <r>
    <n v="1766"/>
    <n v="1863"/>
    <n v="12"/>
    <n v="4"/>
    <n v="22"/>
    <n v="88"/>
    <s v="Shipped"/>
    <n v="88"/>
    <x v="149"/>
  </r>
  <r>
    <n v="1767"/>
    <n v="1863"/>
    <n v="4"/>
    <n v="2"/>
    <n v="25"/>
    <n v="50"/>
    <s v="Shipped"/>
    <n v="50"/>
    <x v="149"/>
  </r>
  <r>
    <n v="1768"/>
    <n v="1864"/>
    <n v="4"/>
    <n v="1"/>
    <n v="25"/>
    <n v="25"/>
    <s v="Delivered"/>
    <n v="25"/>
    <x v="15"/>
  </r>
  <r>
    <n v="1769"/>
    <n v="1864"/>
    <n v="7"/>
    <n v="2"/>
    <n v="65"/>
    <n v="130"/>
    <s v="Delivered"/>
    <n v="130"/>
    <x v="15"/>
  </r>
  <r>
    <n v="1770"/>
    <n v="1864"/>
    <n v="10"/>
    <n v="4"/>
    <n v="8"/>
    <n v="32"/>
    <s v="Delivered"/>
    <n v="32"/>
    <x v="15"/>
  </r>
  <r>
    <n v="1771"/>
    <n v="1865"/>
    <n v="11"/>
    <n v="2"/>
    <n v="48"/>
    <n v="96"/>
    <s v="Delivered"/>
    <n v="96"/>
    <x v="152"/>
  </r>
  <r>
    <n v="1772"/>
    <n v="1865"/>
    <n v="7"/>
    <n v="1"/>
    <n v="65"/>
    <n v="65"/>
    <s v="Delivered"/>
    <n v="65"/>
    <x v="152"/>
  </r>
  <r>
    <n v="1773"/>
    <n v="1865"/>
    <n v="12"/>
    <n v="3"/>
    <n v="22"/>
    <n v="66"/>
    <s v="Delivered"/>
    <n v="66"/>
    <x v="152"/>
  </r>
  <r>
    <n v="1774"/>
    <n v="1866"/>
    <n v="4"/>
    <n v="3"/>
    <n v="25"/>
    <n v="75"/>
    <s v="Delivered"/>
    <n v="75"/>
    <x v="116"/>
  </r>
  <r>
    <n v="1775"/>
    <n v="1867"/>
    <n v="1"/>
    <n v="1"/>
    <n v="750"/>
    <n v="750"/>
    <s v="Delivered"/>
    <n v="750"/>
    <x v="40"/>
  </r>
  <r>
    <n v="1776"/>
    <n v="1867"/>
    <n v="4"/>
    <n v="1"/>
    <n v="25"/>
    <n v="25"/>
    <s v="Delivered"/>
    <n v="25"/>
    <x v="40"/>
  </r>
  <r>
    <n v="1777"/>
    <n v="1867"/>
    <n v="5"/>
    <n v="4"/>
    <n v="180"/>
    <n v="720"/>
    <s v="Delivered"/>
    <n v="720"/>
    <x v="40"/>
  </r>
  <r>
    <n v="1778"/>
    <n v="1868"/>
    <n v="4"/>
    <n v="3"/>
    <n v="25"/>
    <n v="75"/>
    <s v="Delivered"/>
    <n v="75"/>
    <x v="180"/>
  </r>
  <r>
    <n v="1779"/>
    <n v="1868"/>
    <n v="6"/>
    <n v="2"/>
    <n v="140"/>
    <n v="280"/>
    <s v="Delivered"/>
    <n v="280"/>
    <x v="180"/>
  </r>
  <r>
    <n v="1780"/>
    <n v="1868"/>
    <n v="7"/>
    <n v="1"/>
    <n v="65"/>
    <n v="65"/>
    <s v="Delivered"/>
    <n v="65"/>
    <x v="180"/>
  </r>
  <r>
    <n v="1781"/>
    <n v="1869"/>
    <n v="10"/>
    <n v="3"/>
    <n v="8"/>
    <n v="24"/>
    <s v="Delivered"/>
    <n v="24"/>
    <x v="16"/>
  </r>
  <r>
    <n v="1782"/>
    <n v="1869"/>
    <n v="1"/>
    <n v="2"/>
    <n v="750"/>
    <n v="1500"/>
    <s v="Delivered"/>
    <n v="1500"/>
    <x v="16"/>
  </r>
  <r>
    <n v="1783"/>
    <n v="1870"/>
    <n v="3"/>
    <n v="3"/>
    <n v="45"/>
    <n v="135"/>
    <s v="Cancelled"/>
    <n v="0"/>
    <x v="49"/>
  </r>
  <r>
    <n v="1784"/>
    <n v="1870"/>
    <n v="9"/>
    <n v="4"/>
    <n v="30"/>
    <n v="120"/>
    <s v="Cancelled"/>
    <n v="0"/>
    <x v="49"/>
  </r>
  <r>
    <n v="1785"/>
    <n v="1870"/>
    <n v="11"/>
    <n v="2"/>
    <n v="48"/>
    <n v="96"/>
    <s v="Cancelled"/>
    <n v="0"/>
    <x v="49"/>
  </r>
  <r>
    <n v="1786"/>
    <n v="1871"/>
    <n v="12"/>
    <n v="4"/>
    <n v="22"/>
    <n v="88"/>
    <s v="Delivered"/>
    <n v="88"/>
    <x v="146"/>
  </r>
  <r>
    <n v="1787"/>
    <n v="1872"/>
    <n v="1"/>
    <n v="2"/>
    <n v="750"/>
    <n v="1500"/>
    <s v="Delivered"/>
    <n v="1500"/>
    <x v="147"/>
  </r>
  <r>
    <n v="1788"/>
    <n v="1873"/>
    <n v="5"/>
    <n v="2"/>
    <n v="180"/>
    <n v="360"/>
    <s v="Delivered"/>
    <n v="360"/>
    <x v="84"/>
  </r>
  <r>
    <n v="1789"/>
    <n v="1874"/>
    <n v="8"/>
    <n v="4"/>
    <n v="55"/>
    <n v="220"/>
    <s v="Delivered"/>
    <n v="220"/>
    <x v="29"/>
  </r>
  <r>
    <n v="1790"/>
    <n v="1874"/>
    <n v="5"/>
    <n v="2"/>
    <n v="180"/>
    <n v="360"/>
    <s v="Delivered"/>
    <n v="360"/>
    <x v="29"/>
  </r>
  <r>
    <n v="1791"/>
    <n v="1875"/>
    <n v="6"/>
    <n v="3"/>
    <n v="140"/>
    <n v="420"/>
    <s v="Delivered"/>
    <n v="420"/>
    <x v="83"/>
  </r>
  <r>
    <n v="1792"/>
    <n v="1875"/>
    <n v="9"/>
    <n v="3"/>
    <n v="30"/>
    <n v="90"/>
    <s v="Delivered"/>
    <n v="90"/>
    <x v="83"/>
  </r>
  <r>
    <n v="1793"/>
    <n v="1876"/>
    <n v="4"/>
    <n v="2"/>
    <n v="25"/>
    <n v="50"/>
    <s v="Delivered"/>
    <n v="50"/>
    <x v="1"/>
  </r>
  <r>
    <n v="1794"/>
    <n v="1876"/>
    <n v="9"/>
    <n v="1"/>
    <n v="30"/>
    <n v="30"/>
    <s v="Delivered"/>
    <n v="30"/>
    <x v="1"/>
  </r>
  <r>
    <n v="1795"/>
    <n v="1876"/>
    <n v="1"/>
    <n v="3"/>
    <n v="750"/>
    <n v="2250"/>
    <s v="Delivered"/>
    <n v="2250"/>
    <x v="1"/>
  </r>
  <r>
    <n v="1796"/>
    <n v="1877"/>
    <n v="8"/>
    <n v="4"/>
    <n v="55"/>
    <n v="220"/>
    <s v="Cancelled"/>
    <n v="0"/>
    <x v="175"/>
  </r>
  <r>
    <n v="1797"/>
    <n v="1877"/>
    <n v="12"/>
    <n v="1"/>
    <n v="22"/>
    <n v="22"/>
    <s v="Cancelled"/>
    <n v="0"/>
    <x v="175"/>
  </r>
  <r>
    <n v="1798"/>
    <n v="1878"/>
    <n v="7"/>
    <n v="4"/>
    <n v="65"/>
    <n v="260"/>
    <s v="Delivered"/>
    <n v="260"/>
    <x v="111"/>
  </r>
  <r>
    <n v="1799"/>
    <n v="1878"/>
    <n v="4"/>
    <n v="3"/>
    <n v="25"/>
    <n v="75"/>
    <s v="Delivered"/>
    <n v="75"/>
    <x v="111"/>
  </r>
  <r>
    <n v="1800"/>
    <n v="1879"/>
    <n v="8"/>
    <n v="2"/>
    <n v="55"/>
    <n v="110"/>
    <s v="Delivered"/>
    <n v="110"/>
    <x v="135"/>
  </r>
  <r>
    <n v="1801"/>
    <n v="1879"/>
    <n v="1"/>
    <n v="4"/>
    <n v="750"/>
    <n v="3000"/>
    <s v="Delivered"/>
    <n v="3000"/>
    <x v="135"/>
  </r>
  <r>
    <n v="1802"/>
    <n v="1880"/>
    <n v="8"/>
    <n v="1"/>
    <n v="55"/>
    <n v="55"/>
    <s v="Delivered"/>
    <n v="55"/>
    <x v="45"/>
  </r>
  <r>
    <n v="1803"/>
    <n v="1880"/>
    <n v="4"/>
    <n v="2"/>
    <n v="25"/>
    <n v="50"/>
    <s v="Delivered"/>
    <n v="50"/>
    <x v="45"/>
  </r>
  <r>
    <n v="1804"/>
    <n v="1881"/>
    <n v="2"/>
    <n v="3"/>
    <n v="220"/>
    <n v="660"/>
    <s v="Delivered"/>
    <n v="660"/>
    <x v="79"/>
  </r>
  <r>
    <n v="1805"/>
    <n v="1882"/>
    <n v="1"/>
    <n v="1"/>
    <n v="750"/>
    <n v="750"/>
    <s v="Delivered"/>
    <n v="750"/>
    <x v="66"/>
  </r>
  <r>
    <n v="1806"/>
    <n v="1883"/>
    <n v="8"/>
    <n v="2"/>
    <n v="55"/>
    <n v="110"/>
    <s v="Delivered"/>
    <n v="110"/>
    <x v="18"/>
  </r>
  <r>
    <n v="1807"/>
    <n v="1883"/>
    <n v="9"/>
    <n v="4"/>
    <n v="30"/>
    <n v="120"/>
    <s v="Delivered"/>
    <n v="120"/>
    <x v="18"/>
  </r>
  <r>
    <n v="1808"/>
    <n v="1884"/>
    <n v="12"/>
    <n v="2"/>
    <n v="22"/>
    <n v="44"/>
    <s v="Delivered"/>
    <n v="44"/>
    <x v="68"/>
  </r>
  <r>
    <n v="1809"/>
    <n v="1885"/>
    <n v="8"/>
    <n v="3"/>
    <n v="55"/>
    <n v="165"/>
    <s v="Delivered"/>
    <n v="165"/>
    <x v="176"/>
  </r>
  <r>
    <n v="1810"/>
    <n v="1886"/>
    <n v="8"/>
    <n v="1"/>
    <n v="55"/>
    <n v="55"/>
    <s v="Pending"/>
    <n v="55"/>
    <x v="140"/>
  </r>
  <r>
    <n v="1811"/>
    <n v="1886"/>
    <n v="11"/>
    <n v="1"/>
    <n v="48"/>
    <n v="48"/>
    <s v="Pending"/>
    <n v="48"/>
    <x v="140"/>
  </r>
  <r>
    <n v="1812"/>
    <n v="1886"/>
    <n v="10"/>
    <n v="2"/>
    <n v="8"/>
    <n v="16"/>
    <s v="Pending"/>
    <n v="16"/>
    <x v="140"/>
  </r>
  <r>
    <n v="1813"/>
    <n v="1887"/>
    <n v="10"/>
    <n v="4"/>
    <n v="8"/>
    <n v="32"/>
    <s v="Delivered"/>
    <n v="32"/>
    <x v="44"/>
  </r>
  <r>
    <n v="1814"/>
    <n v="1888"/>
    <n v="1"/>
    <n v="3"/>
    <n v="750"/>
    <n v="2250"/>
    <s v="Shipped"/>
    <n v="2250"/>
    <x v="69"/>
  </r>
  <r>
    <n v="1815"/>
    <n v="1888"/>
    <n v="5"/>
    <n v="1"/>
    <n v="180"/>
    <n v="180"/>
    <s v="Shipped"/>
    <n v="180"/>
    <x v="69"/>
  </r>
  <r>
    <n v="1816"/>
    <n v="1889"/>
    <n v="9"/>
    <n v="3"/>
    <n v="30"/>
    <n v="90"/>
    <s v="Delivered"/>
    <n v="90"/>
    <x v="94"/>
  </r>
  <r>
    <n v="1817"/>
    <n v="1889"/>
    <n v="7"/>
    <n v="1"/>
    <n v="65"/>
    <n v="65"/>
    <s v="Delivered"/>
    <n v="65"/>
    <x v="94"/>
  </r>
  <r>
    <n v="1818"/>
    <n v="1890"/>
    <n v="5"/>
    <n v="4"/>
    <n v="180"/>
    <n v="720"/>
    <s v="Delivered"/>
    <n v="720"/>
    <x v="14"/>
  </r>
  <r>
    <n v="1819"/>
    <n v="1890"/>
    <n v="11"/>
    <n v="3"/>
    <n v="48"/>
    <n v="144"/>
    <s v="Delivered"/>
    <n v="144"/>
    <x v="14"/>
  </r>
  <r>
    <n v="1820"/>
    <n v="1891"/>
    <n v="11"/>
    <n v="1"/>
    <n v="48"/>
    <n v="48"/>
    <s v="Delivered"/>
    <n v="48"/>
    <x v="88"/>
  </r>
  <r>
    <n v="1821"/>
    <n v="1892"/>
    <n v="10"/>
    <n v="4"/>
    <n v="8"/>
    <n v="32"/>
    <s v="Delivered"/>
    <n v="32"/>
    <x v="134"/>
  </r>
  <r>
    <n v="1822"/>
    <n v="1892"/>
    <n v="1"/>
    <n v="2"/>
    <n v="750"/>
    <n v="1500"/>
    <s v="Delivered"/>
    <n v="1500"/>
    <x v="134"/>
  </r>
  <r>
    <n v="1823"/>
    <n v="1892"/>
    <n v="5"/>
    <n v="2"/>
    <n v="180"/>
    <n v="360"/>
    <s v="Delivered"/>
    <n v="360"/>
    <x v="134"/>
  </r>
  <r>
    <n v="1824"/>
    <n v="1893"/>
    <n v="11"/>
    <n v="1"/>
    <n v="48"/>
    <n v="48"/>
    <s v="Delivered"/>
    <n v="48"/>
    <x v="8"/>
  </r>
  <r>
    <n v="1825"/>
    <n v="1893"/>
    <n v="7"/>
    <n v="3"/>
    <n v="65"/>
    <n v="195"/>
    <s v="Delivered"/>
    <n v="195"/>
    <x v="8"/>
  </r>
  <r>
    <n v="1826"/>
    <n v="1894"/>
    <n v="4"/>
    <n v="1"/>
    <n v="25"/>
    <n v="25"/>
    <s v="Delivered"/>
    <n v="25"/>
    <x v="57"/>
  </r>
  <r>
    <n v="1827"/>
    <n v="1894"/>
    <n v="1"/>
    <n v="1"/>
    <n v="750"/>
    <n v="750"/>
    <s v="Delivered"/>
    <n v="750"/>
    <x v="57"/>
  </r>
  <r>
    <n v="1828"/>
    <n v="1894"/>
    <n v="7"/>
    <n v="1"/>
    <n v="65"/>
    <n v="65"/>
    <s v="Delivered"/>
    <n v="65"/>
    <x v="57"/>
  </r>
  <r>
    <n v="1829"/>
    <n v="1895"/>
    <n v="7"/>
    <n v="4"/>
    <n v="65"/>
    <n v="260"/>
    <s v="Delivered"/>
    <n v="260"/>
    <x v="157"/>
  </r>
  <r>
    <n v="1830"/>
    <n v="1895"/>
    <n v="4"/>
    <n v="2"/>
    <n v="25"/>
    <n v="50"/>
    <s v="Delivered"/>
    <n v="50"/>
    <x v="157"/>
  </r>
  <r>
    <n v="1831"/>
    <n v="1895"/>
    <n v="9"/>
    <n v="4"/>
    <n v="30"/>
    <n v="120"/>
    <s v="Delivered"/>
    <n v="120"/>
    <x v="157"/>
  </r>
  <r>
    <n v="1832"/>
    <n v="1896"/>
    <n v="6"/>
    <n v="2"/>
    <n v="140"/>
    <n v="280"/>
    <s v="Delivered"/>
    <n v="280"/>
    <x v="167"/>
  </r>
  <r>
    <n v="1833"/>
    <n v="1896"/>
    <n v="9"/>
    <n v="4"/>
    <n v="30"/>
    <n v="120"/>
    <s v="Delivered"/>
    <n v="120"/>
    <x v="167"/>
  </r>
  <r>
    <n v="1834"/>
    <n v="1897"/>
    <n v="5"/>
    <n v="3"/>
    <n v="180"/>
    <n v="540"/>
    <s v="Delivered"/>
    <n v="540"/>
    <x v="120"/>
  </r>
  <r>
    <n v="1835"/>
    <n v="1897"/>
    <n v="9"/>
    <n v="2"/>
    <n v="30"/>
    <n v="60"/>
    <s v="Delivered"/>
    <n v="60"/>
    <x v="120"/>
  </r>
  <r>
    <n v="1836"/>
    <n v="1897"/>
    <n v="3"/>
    <n v="1"/>
    <n v="45"/>
    <n v="45"/>
    <s v="Delivered"/>
    <n v="45"/>
    <x v="120"/>
  </r>
  <r>
    <n v="1837"/>
    <n v="1898"/>
    <n v="10"/>
    <n v="4"/>
    <n v="8"/>
    <n v="32"/>
    <s v="Delivered"/>
    <n v="32"/>
    <x v="114"/>
  </r>
  <r>
    <n v="1838"/>
    <n v="1899"/>
    <n v="11"/>
    <n v="2"/>
    <n v="48"/>
    <n v="96"/>
    <s v="Delivered"/>
    <n v="96"/>
    <x v="120"/>
  </r>
  <r>
    <n v="1839"/>
    <n v="1900"/>
    <n v="3"/>
    <n v="1"/>
    <n v="45"/>
    <n v="45"/>
    <s v="Delivered"/>
    <n v="45"/>
    <x v="149"/>
  </r>
  <r>
    <n v="1840"/>
    <n v="1901"/>
    <n v="5"/>
    <n v="1"/>
    <n v="180"/>
    <n v="180"/>
    <s v="Delivered"/>
    <n v="180"/>
    <x v="14"/>
  </r>
  <r>
    <n v="1841"/>
    <n v="1901"/>
    <n v="3"/>
    <n v="1"/>
    <n v="45"/>
    <n v="45"/>
    <s v="Delivered"/>
    <n v="45"/>
    <x v="14"/>
  </r>
  <r>
    <n v="1842"/>
    <n v="1902"/>
    <n v="2"/>
    <n v="1"/>
    <n v="220"/>
    <n v="220"/>
    <s v="Delivered"/>
    <n v="220"/>
    <x v="47"/>
  </r>
  <r>
    <n v="1843"/>
    <n v="1902"/>
    <n v="8"/>
    <n v="2"/>
    <n v="55"/>
    <n v="110"/>
    <s v="Delivered"/>
    <n v="110"/>
    <x v="47"/>
  </r>
  <r>
    <n v="1844"/>
    <n v="1903"/>
    <n v="11"/>
    <n v="1"/>
    <n v="48"/>
    <n v="48"/>
    <s v="Delivered"/>
    <n v="48"/>
    <x v="163"/>
  </r>
  <r>
    <n v="1845"/>
    <n v="1904"/>
    <n v="12"/>
    <n v="2"/>
    <n v="22"/>
    <n v="44"/>
    <s v="Delivered"/>
    <n v="44"/>
    <x v="157"/>
  </r>
  <r>
    <n v="1846"/>
    <n v="1904"/>
    <n v="5"/>
    <n v="1"/>
    <n v="180"/>
    <n v="180"/>
    <s v="Delivered"/>
    <n v="180"/>
    <x v="157"/>
  </r>
  <r>
    <n v="1847"/>
    <n v="1904"/>
    <n v="2"/>
    <n v="1"/>
    <n v="220"/>
    <n v="220"/>
    <s v="Delivered"/>
    <n v="220"/>
    <x v="157"/>
  </r>
  <r>
    <n v="1848"/>
    <n v="1905"/>
    <n v="3"/>
    <n v="1"/>
    <n v="45"/>
    <n v="45"/>
    <s v="Cancelled"/>
    <n v="0"/>
    <x v="87"/>
  </r>
  <r>
    <n v="1849"/>
    <n v="1905"/>
    <n v="4"/>
    <n v="2"/>
    <n v="25"/>
    <n v="50"/>
    <s v="Cancelled"/>
    <n v="0"/>
    <x v="87"/>
  </r>
  <r>
    <n v="1850"/>
    <n v="1906"/>
    <n v="6"/>
    <n v="3"/>
    <n v="140"/>
    <n v="420"/>
    <s v="Delivered"/>
    <n v="420"/>
    <x v="115"/>
  </r>
  <r>
    <n v="1851"/>
    <n v="1907"/>
    <n v="12"/>
    <n v="1"/>
    <n v="22"/>
    <n v="22"/>
    <s v="Delivered"/>
    <n v="22"/>
    <x v="78"/>
  </r>
  <r>
    <n v="1852"/>
    <n v="1907"/>
    <n v="5"/>
    <n v="3"/>
    <n v="180"/>
    <n v="540"/>
    <s v="Delivered"/>
    <n v="540"/>
    <x v="78"/>
  </r>
  <r>
    <n v="1853"/>
    <n v="1907"/>
    <n v="7"/>
    <n v="2"/>
    <n v="65"/>
    <n v="130"/>
    <s v="Delivered"/>
    <n v="130"/>
    <x v="78"/>
  </r>
  <r>
    <n v="1854"/>
    <n v="1908"/>
    <n v="10"/>
    <n v="4"/>
    <n v="8"/>
    <n v="32"/>
    <s v="Delivered"/>
    <n v="32"/>
    <x v="179"/>
  </r>
  <r>
    <n v="1855"/>
    <n v="1908"/>
    <n v="2"/>
    <n v="4"/>
    <n v="220"/>
    <n v="880"/>
    <s v="Delivered"/>
    <n v="880"/>
    <x v="179"/>
  </r>
  <r>
    <n v="1856"/>
    <n v="1909"/>
    <n v="5"/>
    <n v="3"/>
    <n v="180"/>
    <n v="540"/>
    <s v="Delivered"/>
    <n v="540"/>
    <x v="150"/>
  </r>
  <r>
    <n v="1857"/>
    <n v="1909"/>
    <n v="10"/>
    <n v="3"/>
    <n v="8"/>
    <n v="24"/>
    <s v="Delivered"/>
    <n v="24"/>
    <x v="150"/>
  </r>
  <r>
    <n v="1858"/>
    <n v="1909"/>
    <n v="7"/>
    <n v="4"/>
    <n v="65"/>
    <n v="260"/>
    <s v="Delivered"/>
    <n v="260"/>
    <x v="150"/>
  </r>
  <r>
    <n v="1859"/>
    <n v="1910"/>
    <n v="6"/>
    <n v="3"/>
    <n v="140"/>
    <n v="420"/>
    <s v="Delivered"/>
    <n v="420"/>
    <x v="180"/>
  </r>
  <r>
    <n v="1860"/>
    <n v="1910"/>
    <n v="12"/>
    <n v="1"/>
    <n v="22"/>
    <n v="22"/>
    <s v="Delivered"/>
    <n v="22"/>
    <x v="180"/>
  </r>
  <r>
    <n v="1861"/>
    <n v="1910"/>
    <n v="3"/>
    <n v="1"/>
    <n v="45"/>
    <n v="45"/>
    <s v="Delivered"/>
    <n v="45"/>
    <x v="180"/>
  </r>
  <r>
    <n v="1862"/>
    <n v="1911"/>
    <n v="2"/>
    <n v="2"/>
    <n v="220"/>
    <n v="440"/>
    <s v="Delivered"/>
    <n v="440"/>
    <x v="147"/>
  </r>
  <r>
    <n v="1863"/>
    <n v="1911"/>
    <n v="7"/>
    <n v="2"/>
    <n v="65"/>
    <n v="130"/>
    <s v="Delivered"/>
    <n v="130"/>
    <x v="147"/>
  </r>
  <r>
    <n v="1864"/>
    <n v="1911"/>
    <n v="5"/>
    <n v="1"/>
    <n v="180"/>
    <n v="180"/>
    <s v="Delivered"/>
    <n v="180"/>
    <x v="147"/>
  </r>
  <r>
    <n v="1865"/>
    <n v="1912"/>
    <n v="7"/>
    <n v="2"/>
    <n v="65"/>
    <n v="130"/>
    <s v="Delivered"/>
    <n v="130"/>
    <x v="0"/>
  </r>
  <r>
    <n v="1866"/>
    <n v="1912"/>
    <n v="6"/>
    <n v="2"/>
    <n v="140"/>
    <n v="280"/>
    <s v="Delivered"/>
    <n v="280"/>
    <x v="0"/>
  </r>
  <r>
    <n v="1867"/>
    <n v="1912"/>
    <n v="11"/>
    <n v="1"/>
    <n v="48"/>
    <n v="48"/>
    <s v="Delivered"/>
    <n v="48"/>
    <x v="0"/>
  </r>
  <r>
    <n v="1868"/>
    <n v="1913"/>
    <n v="6"/>
    <n v="2"/>
    <n v="140"/>
    <n v="280"/>
    <s v="Delivered"/>
    <n v="280"/>
    <x v="136"/>
  </r>
  <r>
    <n v="1869"/>
    <n v="1913"/>
    <n v="10"/>
    <n v="1"/>
    <n v="8"/>
    <n v="8"/>
    <s v="Delivered"/>
    <n v="8"/>
    <x v="136"/>
  </r>
  <r>
    <n v="1870"/>
    <n v="1913"/>
    <n v="7"/>
    <n v="3"/>
    <n v="65"/>
    <n v="195"/>
    <s v="Delivered"/>
    <n v="195"/>
    <x v="136"/>
  </r>
  <r>
    <n v="1871"/>
    <n v="1914"/>
    <n v="9"/>
    <n v="1"/>
    <n v="30"/>
    <n v="30"/>
    <s v="Delivered"/>
    <n v="30"/>
    <x v="137"/>
  </r>
  <r>
    <n v="1872"/>
    <n v="1915"/>
    <n v="2"/>
    <n v="3"/>
    <n v="220"/>
    <n v="660"/>
    <s v="Delivered"/>
    <n v="660"/>
    <x v="98"/>
  </r>
  <r>
    <n v="1873"/>
    <n v="1915"/>
    <n v="9"/>
    <n v="4"/>
    <n v="30"/>
    <n v="120"/>
    <s v="Delivered"/>
    <n v="120"/>
    <x v="98"/>
  </r>
  <r>
    <n v="1874"/>
    <n v="1916"/>
    <n v="10"/>
    <n v="1"/>
    <n v="8"/>
    <n v="8"/>
    <s v="Delivered"/>
    <n v="8"/>
    <x v="122"/>
  </r>
  <r>
    <n v="1875"/>
    <n v="1916"/>
    <n v="2"/>
    <n v="2"/>
    <n v="220"/>
    <n v="440"/>
    <s v="Delivered"/>
    <n v="440"/>
    <x v="122"/>
  </r>
  <r>
    <n v="1876"/>
    <n v="1917"/>
    <n v="2"/>
    <n v="2"/>
    <n v="220"/>
    <n v="440"/>
    <s v="Delivered"/>
    <n v="440"/>
    <x v="70"/>
  </r>
  <r>
    <n v="1877"/>
    <n v="1918"/>
    <n v="1"/>
    <n v="1"/>
    <n v="750"/>
    <n v="750"/>
    <s v="Shipped"/>
    <n v="750"/>
    <x v="96"/>
  </r>
  <r>
    <n v="1878"/>
    <n v="1918"/>
    <n v="2"/>
    <n v="3"/>
    <n v="220"/>
    <n v="660"/>
    <s v="Shipped"/>
    <n v="660"/>
    <x v="96"/>
  </r>
  <r>
    <n v="1879"/>
    <n v="1919"/>
    <n v="12"/>
    <n v="2"/>
    <n v="22"/>
    <n v="44"/>
    <s v="Delivered"/>
    <n v="44"/>
    <x v="70"/>
  </r>
  <r>
    <n v="1880"/>
    <n v="1919"/>
    <n v="3"/>
    <n v="4"/>
    <n v="45"/>
    <n v="180"/>
    <s v="Delivered"/>
    <n v="180"/>
    <x v="70"/>
  </r>
  <r>
    <n v="1881"/>
    <n v="1920"/>
    <n v="9"/>
    <n v="4"/>
    <n v="30"/>
    <n v="120"/>
    <s v="Delivered"/>
    <n v="120"/>
    <x v="166"/>
  </r>
  <r>
    <n v="1882"/>
    <n v="1920"/>
    <n v="4"/>
    <n v="4"/>
    <n v="25"/>
    <n v="100"/>
    <s v="Delivered"/>
    <n v="100"/>
    <x v="166"/>
  </r>
  <r>
    <n v="1883"/>
    <n v="1920"/>
    <n v="10"/>
    <n v="3"/>
    <n v="8"/>
    <n v="24"/>
    <s v="Delivered"/>
    <n v="24"/>
    <x v="166"/>
  </r>
  <r>
    <n v="1884"/>
    <n v="1921"/>
    <n v="4"/>
    <n v="1"/>
    <n v="25"/>
    <n v="25"/>
    <s v="Delivered"/>
    <n v="25"/>
    <x v="85"/>
  </r>
  <r>
    <n v="1885"/>
    <n v="1921"/>
    <n v="11"/>
    <n v="1"/>
    <n v="48"/>
    <n v="48"/>
    <s v="Delivered"/>
    <n v="48"/>
    <x v="85"/>
  </r>
  <r>
    <n v="1886"/>
    <n v="1921"/>
    <n v="12"/>
    <n v="4"/>
    <n v="22"/>
    <n v="88"/>
    <s v="Delivered"/>
    <n v="88"/>
    <x v="85"/>
  </r>
  <r>
    <n v="1887"/>
    <n v="1922"/>
    <n v="10"/>
    <n v="3"/>
    <n v="8"/>
    <n v="24"/>
    <s v="Delivered"/>
    <n v="24"/>
    <x v="44"/>
  </r>
  <r>
    <n v="1888"/>
    <n v="1923"/>
    <n v="6"/>
    <n v="4"/>
    <n v="140"/>
    <n v="560"/>
    <s v="Delivered"/>
    <n v="560"/>
    <x v="74"/>
  </r>
  <r>
    <n v="1889"/>
    <n v="1924"/>
    <n v="11"/>
    <n v="3"/>
    <n v="48"/>
    <n v="144"/>
    <s v="Delivered"/>
    <n v="144"/>
    <x v="44"/>
  </r>
  <r>
    <n v="1890"/>
    <n v="1925"/>
    <n v="8"/>
    <n v="2"/>
    <n v="55"/>
    <n v="110"/>
    <s v="Delivered"/>
    <n v="110"/>
    <x v="23"/>
  </r>
  <r>
    <n v="1891"/>
    <n v="1926"/>
    <n v="6"/>
    <n v="4"/>
    <n v="140"/>
    <n v="560"/>
    <s v="Delivered"/>
    <n v="560"/>
    <x v="57"/>
  </r>
  <r>
    <n v="1892"/>
    <n v="1927"/>
    <n v="1"/>
    <n v="4"/>
    <n v="750"/>
    <n v="3000"/>
    <s v="Delivered"/>
    <n v="3000"/>
    <x v="62"/>
  </r>
  <r>
    <n v="1893"/>
    <n v="1928"/>
    <n v="8"/>
    <n v="1"/>
    <n v="55"/>
    <n v="55"/>
    <s v="Delivered"/>
    <n v="55"/>
    <x v="29"/>
  </r>
  <r>
    <n v="1894"/>
    <n v="1928"/>
    <n v="9"/>
    <n v="1"/>
    <n v="30"/>
    <n v="30"/>
    <s v="Delivered"/>
    <n v="30"/>
    <x v="29"/>
  </r>
  <r>
    <n v="1895"/>
    <n v="1928"/>
    <n v="7"/>
    <n v="2"/>
    <n v="65"/>
    <n v="130"/>
    <s v="Delivered"/>
    <n v="130"/>
    <x v="29"/>
  </r>
  <r>
    <n v="1896"/>
    <n v="1929"/>
    <n v="2"/>
    <n v="4"/>
    <n v="220"/>
    <n v="880"/>
    <s v="Delivered"/>
    <n v="880"/>
    <x v="69"/>
  </r>
  <r>
    <n v="1897"/>
    <n v="1929"/>
    <n v="5"/>
    <n v="4"/>
    <n v="180"/>
    <n v="720"/>
    <s v="Delivered"/>
    <n v="720"/>
    <x v="69"/>
  </r>
  <r>
    <n v="1898"/>
    <n v="1929"/>
    <n v="4"/>
    <n v="4"/>
    <n v="25"/>
    <n v="100"/>
    <s v="Delivered"/>
    <n v="100"/>
    <x v="69"/>
  </r>
  <r>
    <n v="1899"/>
    <n v="1930"/>
    <n v="11"/>
    <n v="3"/>
    <n v="48"/>
    <n v="144"/>
    <s v="Delivered"/>
    <n v="144"/>
    <x v="122"/>
  </r>
  <r>
    <n v="1900"/>
    <n v="1930"/>
    <n v="5"/>
    <n v="1"/>
    <n v="180"/>
    <n v="180"/>
    <s v="Delivered"/>
    <n v="180"/>
    <x v="122"/>
  </r>
  <r>
    <n v="1901"/>
    <n v="1931"/>
    <n v="6"/>
    <n v="1"/>
    <n v="140"/>
    <n v="140"/>
    <s v="Cancelled"/>
    <n v="0"/>
    <x v="93"/>
  </r>
  <r>
    <n v="1902"/>
    <n v="1932"/>
    <n v="1"/>
    <n v="4"/>
    <n v="750"/>
    <n v="3000"/>
    <s v="Delivered"/>
    <n v="3000"/>
    <x v="18"/>
  </r>
  <r>
    <n v="1903"/>
    <n v="1933"/>
    <n v="6"/>
    <n v="1"/>
    <n v="140"/>
    <n v="140"/>
    <s v="Delivered"/>
    <n v="140"/>
    <x v="109"/>
  </r>
  <r>
    <n v="1904"/>
    <n v="1933"/>
    <n v="8"/>
    <n v="4"/>
    <n v="55"/>
    <n v="220"/>
    <s v="Delivered"/>
    <n v="220"/>
    <x v="109"/>
  </r>
  <r>
    <n v="1905"/>
    <n v="1933"/>
    <n v="10"/>
    <n v="2"/>
    <n v="8"/>
    <n v="16"/>
    <s v="Delivered"/>
    <n v="16"/>
    <x v="109"/>
  </r>
  <r>
    <n v="1906"/>
    <n v="1934"/>
    <n v="3"/>
    <n v="1"/>
    <n v="45"/>
    <n v="45"/>
    <s v="Delivered"/>
    <n v="45"/>
    <x v="41"/>
  </r>
  <r>
    <n v="1907"/>
    <n v="1934"/>
    <n v="12"/>
    <n v="3"/>
    <n v="22"/>
    <n v="66"/>
    <s v="Delivered"/>
    <n v="66"/>
    <x v="41"/>
  </r>
  <r>
    <n v="1908"/>
    <n v="1934"/>
    <n v="2"/>
    <n v="3"/>
    <n v="220"/>
    <n v="660"/>
    <s v="Delivered"/>
    <n v="660"/>
    <x v="41"/>
  </r>
  <r>
    <n v="1909"/>
    <n v="1935"/>
    <n v="1"/>
    <n v="3"/>
    <n v="750"/>
    <n v="2250"/>
    <s v="Delivered"/>
    <n v="2250"/>
    <x v="156"/>
  </r>
  <r>
    <n v="1910"/>
    <n v="1935"/>
    <n v="6"/>
    <n v="3"/>
    <n v="140"/>
    <n v="420"/>
    <s v="Delivered"/>
    <n v="420"/>
    <x v="156"/>
  </r>
  <r>
    <n v="1911"/>
    <n v="1936"/>
    <n v="11"/>
    <n v="4"/>
    <n v="48"/>
    <n v="192"/>
    <s v="Delivered"/>
    <n v="192"/>
    <x v="52"/>
  </r>
  <r>
    <n v="1912"/>
    <n v="1936"/>
    <n v="1"/>
    <n v="2"/>
    <n v="750"/>
    <n v="1500"/>
    <s v="Delivered"/>
    <n v="1500"/>
    <x v="52"/>
  </r>
  <r>
    <n v="1913"/>
    <n v="1936"/>
    <n v="3"/>
    <n v="2"/>
    <n v="45"/>
    <n v="90"/>
    <s v="Delivered"/>
    <n v="90"/>
    <x v="52"/>
  </r>
  <r>
    <n v="1914"/>
    <n v="1937"/>
    <n v="7"/>
    <n v="1"/>
    <n v="65"/>
    <n v="65"/>
    <s v="Delivered"/>
    <n v="65"/>
    <x v="118"/>
  </r>
  <r>
    <n v="1915"/>
    <n v="1938"/>
    <n v="7"/>
    <n v="4"/>
    <n v="65"/>
    <n v="260"/>
    <s v="Delivered"/>
    <n v="260"/>
    <x v="66"/>
  </r>
  <r>
    <n v="1916"/>
    <n v="1938"/>
    <n v="10"/>
    <n v="3"/>
    <n v="8"/>
    <n v="24"/>
    <s v="Delivered"/>
    <n v="24"/>
    <x v="66"/>
  </r>
  <r>
    <n v="1917"/>
    <n v="1939"/>
    <n v="6"/>
    <n v="1"/>
    <n v="140"/>
    <n v="140"/>
    <s v="Delivered"/>
    <n v="140"/>
    <x v="129"/>
  </r>
  <r>
    <n v="1918"/>
    <n v="1939"/>
    <n v="5"/>
    <n v="4"/>
    <n v="180"/>
    <n v="720"/>
    <s v="Delivered"/>
    <n v="720"/>
    <x v="129"/>
  </r>
  <r>
    <n v="1919"/>
    <n v="1939"/>
    <n v="2"/>
    <n v="2"/>
    <n v="220"/>
    <n v="440"/>
    <s v="Delivered"/>
    <n v="440"/>
    <x v="129"/>
  </r>
  <r>
    <n v="1920"/>
    <n v="1940"/>
    <n v="5"/>
    <n v="3"/>
    <n v="180"/>
    <n v="540"/>
    <s v="Delivered"/>
    <n v="540"/>
    <x v="75"/>
  </r>
  <r>
    <n v="1921"/>
    <n v="1940"/>
    <n v="2"/>
    <n v="1"/>
    <n v="220"/>
    <n v="220"/>
    <s v="Delivered"/>
    <n v="220"/>
    <x v="75"/>
  </r>
  <r>
    <n v="1922"/>
    <n v="1941"/>
    <n v="6"/>
    <n v="1"/>
    <n v="140"/>
    <n v="140"/>
    <s v="Delivered"/>
    <n v="140"/>
    <x v="62"/>
  </r>
  <r>
    <n v="1923"/>
    <n v="1941"/>
    <n v="11"/>
    <n v="1"/>
    <n v="48"/>
    <n v="48"/>
    <s v="Delivered"/>
    <n v="48"/>
    <x v="62"/>
  </r>
  <r>
    <n v="1924"/>
    <n v="1942"/>
    <n v="2"/>
    <n v="3"/>
    <n v="220"/>
    <n v="660"/>
    <s v="Shipped"/>
    <n v="660"/>
    <x v="143"/>
  </r>
  <r>
    <n v="1925"/>
    <n v="1943"/>
    <n v="4"/>
    <n v="4"/>
    <n v="25"/>
    <n v="100"/>
    <s v="Delivered"/>
    <n v="100"/>
    <x v="11"/>
  </r>
  <r>
    <n v="1926"/>
    <n v="1943"/>
    <n v="1"/>
    <n v="3"/>
    <n v="750"/>
    <n v="2250"/>
    <s v="Delivered"/>
    <n v="2250"/>
    <x v="11"/>
  </r>
  <r>
    <n v="1927"/>
    <n v="1944"/>
    <n v="5"/>
    <n v="4"/>
    <n v="180"/>
    <n v="720"/>
    <s v="Cancelled"/>
    <n v="0"/>
    <x v="47"/>
  </r>
  <r>
    <n v="1928"/>
    <n v="1944"/>
    <n v="3"/>
    <n v="3"/>
    <n v="45"/>
    <n v="135"/>
    <s v="Cancelled"/>
    <n v="0"/>
    <x v="47"/>
  </r>
  <r>
    <n v="1929"/>
    <n v="1944"/>
    <n v="10"/>
    <n v="2"/>
    <n v="8"/>
    <n v="16"/>
    <s v="Cancelled"/>
    <n v="0"/>
    <x v="47"/>
  </r>
  <r>
    <n v="1930"/>
    <n v="1945"/>
    <n v="7"/>
    <n v="2"/>
    <n v="65"/>
    <n v="130"/>
    <s v="Delivered"/>
    <n v="130"/>
    <x v="102"/>
  </r>
  <r>
    <n v="1931"/>
    <n v="1946"/>
    <n v="2"/>
    <n v="4"/>
    <n v="220"/>
    <n v="880"/>
    <s v="Delivered"/>
    <n v="880"/>
    <x v="137"/>
  </r>
  <r>
    <n v="1932"/>
    <n v="1946"/>
    <n v="3"/>
    <n v="3"/>
    <n v="45"/>
    <n v="135"/>
    <s v="Delivered"/>
    <n v="135"/>
    <x v="137"/>
  </r>
  <r>
    <n v="1933"/>
    <n v="1947"/>
    <n v="1"/>
    <n v="1"/>
    <n v="750"/>
    <n v="750"/>
    <s v="Delivered"/>
    <n v="750"/>
    <x v="126"/>
  </r>
  <r>
    <n v="1934"/>
    <n v="1947"/>
    <n v="9"/>
    <n v="4"/>
    <n v="30"/>
    <n v="120"/>
    <s v="Delivered"/>
    <n v="120"/>
    <x v="126"/>
  </r>
  <r>
    <n v="1935"/>
    <n v="1948"/>
    <n v="9"/>
    <n v="1"/>
    <n v="30"/>
    <n v="30"/>
    <s v="Delivered"/>
    <n v="30"/>
    <x v="27"/>
  </r>
  <r>
    <n v="1936"/>
    <n v="1948"/>
    <n v="10"/>
    <n v="4"/>
    <n v="8"/>
    <n v="32"/>
    <s v="Delivered"/>
    <n v="32"/>
    <x v="27"/>
  </r>
  <r>
    <n v="1937"/>
    <n v="1948"/>
    <n v="5"/>
    <n v="2"/>
    <n v="180"/>
    <n v="360"/>
    <s v="Delivered"/>
    <n v="360"/>
    <x v="27"/>
  </r>
  <r>
    <n v="1938"/>
    <n v="1949"/>
    <n v="5"/>
    <n v="1"/>
    <n v="180"/>
    <n v="180"/>
    <s v="Delivered"/>
    <n v="180"/>
    <x v="144"/>
  </r>
  <r>
    <n v="1939"/>
    <n v="1950"/>
    <n v="12"/>
    <n v="1"/>
    <n v="22"/>
    <n v="22"/>
    <s v="Delivered"/>
    <n v="22"/>
    <x v="70"/>
  </r>
  <r>
    <n v="1940"/>
    <n v="1951"/>
    <n v="11"/>
    <n v="1"/>
    <n v="48"/>
    <n v="48"/>
    <s v="Delivered"/>
    <n v="48"/>
    <x v="42"/>
  </r>
  <r>
    <n v="1941"/>
    <n v="1951"/>
    <n v="5"/>
    <n v="4"/>
    <n v="180"/>
    <n v="720"/>
    <s v="Delivered"/>
    <n v="720"/>
    <x v="42"/>
  </r>
  <r>
    <n v="1942"/>
    <n v="1952"/>
    <n v="4"/>
    <n v="2"/>
    <n v="25"/>
    <n v="50"/>
    <s v="Cancelled"/>
    <n v="0"/>
    <x v="59"/>
  </r>
  <r>
    <n v="1943"/>
    <n v="1953"/>
    <n v="7"/>
    <n v="1"/>
    <n v="65"/>
    <n v="65"/>
    <s v="Delivered"/>
    <n v="65"/>
    <x v="128"/>
  </r>
  <r>
    <n v="1944"/>
    <n v="1953"/>
    <n v="1"/>
    <n v="3"/>
    <n v="750"/>
    <n v="2250"/>
    <s v="Delivered"/>
    <n v="2250"/>
    <x v="128"/>
  </r>
  <r>
    <n v="1945"/>
    <n v="1954"/>
    <n v="10"/>
    <n v="2"/>
    <n v="8"/>
    <n v="16"/>
    <s v="Delivered"/>
    <n v="16"/>
    <x v="149"/>
  </r>
  <r>
    <n v="1946"/>
    <n v="1954"/>
    <n v="2"/>
    <n v="1"/>
    <n v="220"/>
    <n v="220"/>
    <s v="Delivered"/>
    <n v="220"/>
    <x v="149"/>
  </r>
  <r>
    <n v="1947"/>
    <n v="1954"/>
    <n v="7"/>
    <n v="2"/>
    <n v="65"/>
    <n v="130"/>
    <s v="Delivered"/>
    <n v="130"/>
    <x v="149"/>
  </r>
  <r>
    <n v="1948"/>
    <n v="1955"/>
    <n v="5"/>
    <n v="1"/>
    <n v="180"/>
    <n v="180"/>
    <s v="Delivered"/>
    <n v="180"/>
    <x v="135"/>
  </r>
  <r>
    <n v="1949"/>
    <n v="1955"/>
    <n v="12"/>
    <n v="4"/>
    <n v="22"/>
    <n v="88"/>
    <s v="Delivered"/>
    <n v="88"/>
    <x v="135"/>
  </r>
  <r>
    <n v="1950"/>
    <n v="1956"/>
    <n v="1"/>
    <n v="3"/>
    <n v="750"/>
    <n v="2250"/>
    <s v="Delivered"/>
    <n v="2250"/>
    <x v="137"/>
  </r>
  <r>
    <n v="1951"/>
    <n v="1957"/>
    <n v="6"/>
    <n v="2"/>
    <n v="140"/>
    <n v="280"/>
    <s v="Delivered"/>
    <n v="280"/>
    <x v="33"/>
  </r>
  <r>
    <n v="1952"/>
    <n v="1958"/>
    <n v="6"/>
    <n v="4"/>
    <n v="140"/>
    <n v="560"/>
    <s v="Delivered"/>
    <n v="560"/>
    <x v="180"/>
  </r>
  <r>
    <n v="1953"/>
    <n v="1959"/>
    <n v="11"/>
    <n v="4"/>
    <n v="48"/>
    <n v="192"/>
    <s v="Delivered"/>
    <n v="192"/>
    <x v="63"/>
  </r>
  <r>
    <n v="1954"/>
    <n v="1959"/>
    <n v="5"/>
    <n v="1"/>
    <n v="180"/>
    <n v="180"/>
    <s v="Delivered"/>
    <n v="180"/>
    <x v="63"/>
  </r>
  <r>
    <n v="1955"/>
    <n v="1960"/>
    <n v="9"/>
    <n v="3"/>
    <n v="30"/>
    <n v="90"/>
    <s v="Delivered"/>
    <n v="90"/>
    <x v="31"/>
  </r>
  <r>
    <n v="1956"/>
    <n v="1960"/>
    <n v="11"/>
    <n v="2"/>
    <n v="48"/>
    <n v="96"/>
    <s v="Delivered"/>
    <n v="96"/>
    <x v="31"/>
  </r>
  <r>
    <n v="1957"/>
    <n v="1960"/>
    <n v="12"/>
    <n v="3"/>
    <n v="22"/>
    <n v="66"/>
    <s v="Delivered"/>
    <n v="66"/>
    <x v="31"/>
  </r>
  <r>
    <n v="1958"/>
    <n v="1961"/>
    <n v="2"/>
    <n v="1"/>
    <n v="220"/>
    <n v="220"/>
    <s v="Delivered"/>
    <n v="220"/>
    <x v="133"/>
  </r>
  <r>
    <n v="1959"/>
    <n v="1962"/>
    <n v="7"/>
    <n v="1"/>
    <n v="65"/>
    <n v="65"/>
    <s v="Delivered"/>
    <n v="65"/>
    <x v="2"/>
  </r>
  <r>
    <n v="1960"/>
    <n v="1962"/>
    <n v="12"/>
    <n v="3"/>
    <n v="22"/>
    <n v="66"/>
    <s v="Delivered"/>
    <n v="66"/>
    <x v="2"/>
  </r>
  <r>
    <n v="1961"/>
    <n v="1962"/>
    <n v="2"/>
    <n v="1"/>
    <n v="220"/>
    <n v="220"/>
    <s v="Delivered"/>
    <n v="220"/>
    <x v="2"/>
  </r>
  <r>
    <n v="1962"/>
    <n v="1963"/>
    <n v="6"/>
    <n v="1"/>
    <n v="140"/>
    <n v="140"/>
    <s v="Delivered"/>
    <n v="140"/>
    <x v="31"/>
  </r>
  <r>
    <n v="1963"/>
    <n v="1964"/>
    <n v="8"/>
    <n v="3"/>
    <n v="55"/>
    <n v="165"/>
    <s v="Delivered"/>
    <n v="165"/>
    <x v="75"/>
  </r>
  <r>
    <n v="1964"/>
    <n v="1964"/>
    <n v="11"/>
    <n v="2"/>
    <n v="48"/>
    <n v="96"/>
    <s v="Delivered"/>
    <n v="96"/>
    <x v="75"/>
  </r>
  <r>
    <n v="1965"/>
    <n v="1965"/>
    <n v="1"/>
    <n v="2"/>
    <n v="750"/>
    <n v="1500"/>
    <s v="Delivered"/>
    <n v="1500"/>
    <x v="88"/>
  </r>
  <r>
    <n v="1966"/>
    <n v="1966"/>
    <n v="4"/>
    <n v="4"/>
    <n v="25"/>
    <n v="100"/>
    <s v="Delivered"/>
    <n v="100"/>
    <x v="117"/>
  </r>
  <r>
    <n v="1967"/>
    <n v="1966"/>
    <n v="12"/>
    <n v="3"/>
    <n v="22"/>
    <n v="66"/>
    <s v="Delivered"/>
    <n v="66"/>
    <x v="117"/>
  </r>
  <r>
    <n v="1968"/>
    <n v="1967"/>
    <n v="10"/>
    <n v="1"/>
    <n v="8"/>
    <n v="8"/>
    <s v="Delivered"/>
    <n v="8"/>
    <x v="77"/>
  </r>
  <r>
    <n v="1969"/>
    <n v="1968"/>
    <n v="1"/>
    <n v="3"/>
    <n v="750"/>
    <n v="2250"/>
    <s v="Delivered"/>
    <n v="2250"/>
    <x v="49"/>
  </r>
  <r>
    <n v="1970"/>
    <n v="1968"/>
    <n v="4"/>
    <n v="3"/>
    <n v="25"/>
    <n v="75"/>
    <s v="Delivered"/>
    <n v="75"/>
    <x v="49"/>
  </r>
  <r>
    <n v="1971"/>
    <n v="1969"/>
    <n v="9"/>
    <n v="3"/>
    <n v="30"/>
    <n v="90"/>
    <s v="Delivered"/>
    <n v="90"/>
    <x v="83"/>
  </r>
  <r>
    <n v="1972"/>
    <n v="1970"/>
    <n v="1"/>
    <n v="4"/>
    <n v="750"/>
    <n v="3000"/>
    <s v="Delivered"/>
    <n v="3000"/>
    <x v="158"/>
  </r>
  <r>
    <n v="1973"/>
    <n v="1970"/>
    <n v="12"/>
    <n v="3"/>
    <n v="22"/>
    <n v="66"/>
    <s v="Delivered"/>
    <n v="66"/>
    <x v="158"/>
  </r>
  <r>
    <n v="1974"/>
    <n v="1970"/>
    <n v="6"/>
    <n v="2"/>
    <n v="140"/>
    <n v="280"/>
    <s v="Delivered"/>
    <n v="280"/>
    <x v="158"/>
  </r>
  <r>
    <n v="1975"/>
    <n v="1971"/>
    <n v="8"/>
    <n v="1"/>
    <n v="55"/>
    <n v="55"/>
    <s v="Shipped"/>
    <n v="55"/>
    <x v="37"/>
  </r>
  <r>
    <n v="1976"/>
    <n v="1972"/>
    <n v="2"/>
    <n v="1"/>
    <n v="220"/>
    <n v="220"/>
    <s v="Delivered"/>
    <n v="220"/>
    <x v="129"/>
  </r>
  <r>
    <n v="1977"/>
    <n v="1972"/>
    <n v="7"/>
    <n v="4"/>
    <n v="65"/>
    <n v="260"/>
    <s v="Delivered"/>
    <n v="260"/>
    <x v="129"/>
  </r>
  <r>
    <n v="1978"/>
    <n v="1973"/>
    <n v="8"/>
    <n v="2"/>
    <n v="55"/>
    <n v="110"/>
    <s v="Delivered"/>
    <n v="110"/>
    <x v="84"/>
  </r>
  <r>
    <n v="1979"/>
    <n v="1973"/>
    <n v="5"/>
    <n v="1"/>
    <n v="180"/>
    <n v="180"/>
    <s v="Delivered"/>
    <n v="180"/>
    <x v="84"/>
  </r>
  <r>
    <n v="1980"/>
    <n v="1974"/>
    <n v="11"/>
    <n v="4"/>
    <n v="48"/>
    <n v="192"/>
    <s v="Delivered"/>
    <n v="192"/>
    <x v="151"/>
  </r>
  <r>
    <n v="1981"/>
    <n v="1974"/>
    <n v="1"/>
    <n v="1"/>
    <n v="750"/>
    <n v="750"/>
    <s v="Delivered"/>
    <n v="750"/>
    <x v="151"/>
  </r>
  <r>
    <n v="1982"/>
    <n v="1974"/>
    <n v="9"/>
    <n v="4"/>
    <n v="30"/>
    <n v="120"/>
    <s v="Delivered"/>
    <n v="120"/>
    <x v="151"/>
  </r>
  <r>
    <n v="1983"/>
    <n v="1975"/>
    <n v="10"/>
    <n v="3"/>
    <n v="8"/>
    <n v="24"/>
    <s v="Delivered"/>
    <n v="24"/>
    <x v="154"/>
  </r>
  <r>
    <n v="1984"/>
    <n v="1976"/>
    <n v="7"/>
    <n v="1"/>
    <n v="65"/>
    <n v="65"/>
    <s v="Delivered"/>
    <n v="65"/>
    <x v="49"/>
  </r>
  <r>
    <n v="1985"/>
    <n v="1977"/>
    <n v="5"/>
    <n v="1"/>
    <n v="180"/>
    <n v="180"/>
    <s v="Delivered"/>
    <n v="180"/>
    <x v="0"/>
  </r>
  <r>
    <n v="1986"/>
    <n v="1978"/>
    <n v="2"/>
    <n v="1"/>
    <n v="220"/>
    <n v="220"/>
    <s v="Delivered"/>
    <n v="220"/>
    <x v="90"/>
  </r>
  <r>
    <n v="1987"/>
    <n v="1978"/>
    <n v="11"/>
    <n v="3"/>
    <n v="48"/>
    <n v="144"/>
    <s v="Delivered"/>
    <n v="144"/>
    <x v="90"/>
  </r>
  <r>
    <n v="1988"/>
    <n v="1978"/>
    <n v="12"/>
    <n v="2"/>
    <n v="22"/>
    <n v="44"/>
    <s v="Delivered"/>
    <n v="44"/>
    <x v="90"/>
  </r>
  <r>
    <n v="1989"/>
    <n v="1979"/>
    <n v="5"/>
    <n v="3"/>
    <n v="180"/>
    <n v="540"/>
    <s v="Delivered"/>
    <n v="540"/>
    <x v="65"/>
  </r>
  <r>
    <n v="1990"/>
    <n v="1979"/>
    <n v="11"/>
    <n v="3"/>
    <n v="48"/>
    <n v="144"/>
    <s v="Delivered"/>
    <n v="144"/>
    <x v="65"/>
  </r>
  <r>
    <n v="1991"/>
    <n v="1979"/>
    <n v="4"/>
    <n v="1"/>
    <n v="25"/>
    <n v="25"/>
    <s v="Delivered"/>
    <n v="25"/>
    <x v="65"/>
  </r>
  <r>
    <n v="1992"/>
    <n v="1980"/>
    <n v="9"/>
    <n v="2"/>
    <n v="30"/>
    <n v="60"/>
    <s v="Delivered"/>
    <n v="60"/>
    <x v="164"/>
  </r>
  <r>
    <n v="1993"/>
    <n v="1981"/>
    <n v="8"/>
    <n v="1"/>
    <n v="55"/>
    <n v="55"/>
    <s v="Delivered"/>
    <n v="55"/>
    <x v="34"/>
  </r>
  <r>
    <n v="1994"/>
    <n v="1981"/>
    <n v="11"/>
    <n v="1"/>
    <n v="48"/>
    <n v="48"/>
    <s v="Delivered"/>
    <n v="48"/>
    <x v="34"/>
  </r>
  <r>
    <n v="1995"/>
    <n v="1981"/>
    <n v="12"/>
    <n v="4"/>
    <n v="22"/>
    <n v="88"/>
    <s v="Delivered"/>
    <n v="88"/>
    <x v="34"/>
  </r>
  <r>
    <n v="1996"/>
    <n v="1982"/>
    <n v="1"/>
    <n v="4"/>
    <n v="750"/>
    <n v="3000"/>
    <s v="Delivered"/>
    <n v="3000"/>
    <x v="111"/>
  </r>
  <r>
    <n v="1997"/>
    <n v="1982"/>
    <n v="7"/>
    <n v="4"/>
    <n v="65"/>
    <n v="260"/>
    <s v="Delivered"/>
    <n v="260"/>
    <x v="111"/>
  </r>
  <r>
    <n v="1998"/>
    <n v="1983"/>
    <n v="9"/>
    <n v="3"/>
    <n v="30"/>
    <n v="90"/>
    <s v="Delivered"/>
    <n v="90"/>
    <x v="151"/>
  </r>
  <r>
    <n v="1999"/>
    <n v="1984"/>
    <n v="6"/>
    <n v="4"/>
    <n v="140"/>
    <n v="560"/>
    <s v="Delivered"/>
    <n v="560"/>
    <x v="57"/>
  </r>
  <r>
    <n v="2000"/>
    <n v="1985"/>
    <n v="8"/>
    <n v="3"/>
    <n v="55"/>
    <n v="165"/>
    <s v="Delivered"/>
    <n v="165"/>
    <x v="23"/>
  </r>
  <r>
    <n v="2001"/>
    <n v="1985"/>
    <n v="7"/>
    <n v="2"/>
    <n v="65"/>
    <n v="130"/>
    <s v="Delivered"/>
    <n v="130"/>
    <x v="23"/>
  </r>
  <r>
    <n v="2002"/>
    <n v="1985"/>
    <n v="10"/>
    <n v="4"/>
    <n v="8"/>
    <n v="32"/>
    <s v="Delivered"/>
    <n v="32"/>
    <x v="23"/>
  </r>
  <r>
    <n v="2003"/>
    <n v="1986"/>
    <n v="4"/>
    <n v="3"/>
    <n v="25"/>
    <n v="75"/>
    <s v="Delivered"/>
    <n v="75"/>
    <x v="5"/>
  </r>
  <r>
    <n v="2004"/>
    <n v="1987"/>
    <n v="5"/>
    <n v="3"/>
    <n v="180"/>
    <n v="540"/>
    <s v="Delivered"/>
    <n v="540"/>
    <x v="115"/>
  </r>
  <r>
    <n v="2005"/>
    <n v="1988"/>
    <n v="8"/>
    <n v="2"/>
    <n v="55"/>
    <n v="110"/>
    <s v="Delivered"/>
    <n v="110"/>
    <x v="77"/>
  </r>
  <r>
    <n v="2006"/>
    <n v="1988"/>
    <n v="11"/>
    <n v="4"/>
    <n v="48"/>
    <n v="192"/>
    <s v="Delivered"/>
    <n v="192"/>
    <x v="77"/>
  </r>
  <r>
    <n v="2007"/>
    <n v="1989"/>
    <n v="3"/>
    <n v="3"/>
    <n v="45"/>
    <n v="135"/>
    <s v="Delivered"/>
    <n v="135"/>
    <x v="173"/>
  </r>
  <r>
    <n v="2008"/>
    <n v="1989"/>
    <n v="5"/>
    <n v="3"/>
    <n v="180"/>
    <n v="540"/>
    <s v="Delivered"/>
    <n v="540"/>
    <x v="173"/>
  </r>
  <r>
    <n v="2009"/>
    <n v="1990"/>
    <n v="11"/>
    <n v="1"/>
    <n v="48"/>
    <n v="48"/>
    <s v="Delivered"/>
    <n v="48"/>
    <x v="121"/>
  </r>
  <r>
    <n v="2010"/>
    <n v="1991"/>
    <n v="12"/>
    <n v="3"/>
    <n v="22"/>
    <n v="66"/>
    <s v="Delivered"/>
    <n v="66"/>
    <x v="1"/>
  </r>
  <r>
    <n v="2011"/>
    <n v="1992"/>
    <n v="2"/>
    <n v="4"/>
    <n v="220"/>
    <n v="880"/>
    <s v="Delivered"/>
    <n v="880"/>
    <x v="101"/>
  </r>
  <r>
    <n v="2012"/>
    <n v="1992"/>
    <n v="12"/>
    <n v="1"/>
    <n v="22"/>
    <n v="22"/>
    <s v="Delivered"/>
    <n v="22"/>
    <x v="101"/>
  </r>
  <r>
    <n v="2013"/>
    <n v="1993"/>
    <n v="3"/>
    <n v="3"/>
    <n v="45"/>
    <n v="135"/>
    <s v="Delivered"/>
    <n v="135"/>
    <x v="102"/>
  </r>
  <r>
    <n v="2014"/>
    <n v="1993"/>
    <n v="1"/>
    <n v="3"/>
    <n v="750"/>
    <n v="2250"/>
    <s v="Delivered"/>
    <n v="2250"/>
    <x v="102"/>
  </r>
  <r>
    <n v="2015"/>
    <n v="1994"/>
    <n v="1"/>
    <n v="2"/>
    <n v="750"/>
    <n v="1500"/>
    <s v="Delivered"/>
    <n v="1500"/>
    <x v="85"/>
  </r>
  <r>
    <n v="2016"/>
    <n v="1994"/>
    <n v="5"/>
    <n v="1"/>
    <n v="180"/>
    <n v="180"/>
    <s v="Delivered"/>
    <n v="180"/>
    <x v="85"/>
  </r>
  <r>
    <n v="2017"/>
    <n v="1995"/>
    <n v="7"/>
    <n v="1"/>
    <n v="65"/>
    <n v="65"/>
    <s v="Delivered"/>
    <n v="65"/>
    <x v="89"/>
  </r>
  <r>
    <n v="2018"/>
    <n v="1996"/>
    <n v="9"/>
    <n v="4"/>
    <n v="30"/>
    <n v="120"/>
    <s v="Shipped"/>
    <n v="120"/>
    <x v="92"/>
  </r>
  <r>
    <n v="2019"/>
    <n v="1996"/>
    <n v="10"/>
    <n v="1"/>
    <n v="8"/>
    <n v="8"/>
    <s v="Shipped"/>
    <n v="8"/>
    <x v="92"/>
  </r>
  <r>
    <n v="2020"/>
    <n v="1996"/>
    <n v="12"/>
    <n v="1"/>
    <n v="22"/>
    <n v="22"/>
    <s v="Shipped"/>
    <n v="22"/>
    <x v="92"/>
  </r>
  <r>
    <n v="2021"/>
    <n v="1997"/>
    <n v="4"/>
    <n v="3"/>
    <n v="25"/>
    <n v="75"/>
    <s v="Delivered"/>
    <n v="75"/>
    <x v="66"/>
  </r>
  <r>
    <n v="2022"/>
    <n v="1997"/>
    <n v="10"/>
    <n v="2"/>
    <n v="8"/>
    <n v="16"/>
    <s v="Delivered"/>
    <n v="16"/>
    <x v="66"/>
  </r>
  <r>
    <n v="2023"/>
    <n v="1998"/>
    <n v="4"/>
    <n v="3"/>
    <n v="25"/>
    <n v="75"/>
    <s v="Delivered"/>
    <n v="75"/>
    <x v="94"/>
  </r>
  <r>
    <n v="2024"/>
    <n v="1998"/>
    <n v="8"/>
    <n v="1"/>
    <n v="55"/>
    <n v="55"/>
    <s v="Delivered"/>
    <n v="55"/>
    <x v="94"/>
  </r>
  <r>
    <n v="2025"/>
    <n v="1998"/>
    <n v="7"/>
    <n v="3"/>
    <n v="65"/>
    <n v="195"/>
    <s v="Delivered"/>
    <n v="195"/>
    <x v="94"/>
  </r>
  <r>
    <n v="2026"/>
    <n v="1999"/>
    <n v="10"/>
    <n v="2"/>
    <n v="8"/>
    <n v="16"/>
    <s v="Delivered"/>
    <n v="16"/>
    <x v="59"/>
  </r>
  <r>
    <n v="2027"/>
    <n v="2000"/>
    <n v="6"/>
    <n v="1"/>
    <n v="140"/>
    <n v="140"/>
    <s v="Delivered"/>
    <n v="140"/>
    <x v="158"/>
  </r>
  <r>
    <n v="2028"/>
    <n v="2000"/>
    <n v="12"/>
    <n v="1"/>
    <n v="22"/>
    <n v="22"/>
    <s v="Delivered"/>
    <n v="22"/>
    <x v="158"/>
  </r>
  <r>
    <n v="2029"/>
    <n v="2001"/>
    <n v="8"/>
    <n v="1"/>
    <n v="55"/>
    <n v="55"/>
    <s v="Cancelled"/>
    <n v="0"/>
    <x v="120"/>
  </r>
  <r>
    <n v="2030"/>
    <n v="2002"/>
    <n v="12"/>
    <n v="2"/>
    <n v="22"/>
    <n v="44"/>
    <s v="Delivered"/>
    <n v="44"/>
    <x v="18"/>
  </r>
  <r>
    <n v="2031"/>
    <n v="2002"/>
    <n v="8"/>
    <n v="1"/>
    <n v="55"/>
    <n v="55"/>
    <s v="Delivered"/>
    <n v="55"/>
    <x v="18"/>
  </r>
  <r>
    <n v="2032"/>
    <n v="2002"/>
    <n v="2"/>
    <n v="4"/>
    <n v="220"/>
    <n v="880"/>
    <s v="Delivered"/>
    <n v="880"/>
    <x v="18"/>
  </r>
  <r>
    <n v="2033"/>
    <n v="2003"/>
    <n v="3"/>
    <n v="2"/>
    <n v="45"/>
    <n v="90"/>
    <s v="Shipped"/>
    <n v="90"/>
    <x v="170"/>
  </r>
  <r>
    <n v="2034"/>
    <n v="2003"/>
    <n v="7"/>
    <n v="3"/>
    <n v="65"/>
    <n v="195"/>
    <s v="Shipped"/>
    <n v="195"/>
    <x v="170"/>
  </r>
  <r>
    <n v="2035"/>
    <n v="2004"/>
    <n v="1"/>
    <n v="4"/>
    <n v="750"/>
    <n v="3000"/>
    <s v="Delivered"/>
    <n v="3000"/>
    <x v="71"/>
  </r>
  <r>
    <n v="2036"/>
    <n v="2004"/>
    <n v="2"/>
    <n v="4"/>
    <n v="220"/>
    <n v="880"/>
    <s v="Delivered"/>
    <n v="880"/>
    <x v="71"/>
  </r>
  <r>
    <n v="2037"/>
    <n v="2004"/>
    <n v="6"/>
    <n v="4"/>
    <n v="140"/>
    <n v="560"/>
    <s v="Delivered"/>
    <n v="560"/>
    <x v="71"/>
  </r>
  <r>
    <n v="2038"/>
    <n v="2005"/>
    <n v="3"/>
    <n v="1"/>
    <n v="45"/>
    <n v="45"/>
    <s v="Delivered"/>
    <n v="45"/>
    <x v="42"/>
  </r>
  <r>
    <n v="2039"/>
    <n v="2006"/>
    <n v="10"/>
    <n v="2"/>
    <n v="8"/>
    <n v="16"/>
    <s v="Delivered"/>
    <n v="16"/>
    <x v="58"/>
  </r>
  <r>
    <n v="2040"/>
    <n v="2006"/>
    <n v="5"/>
    <n v="3"/>
    <n v="180"/>
    <n v="540"/>
    <s v="Delivered"/>
    <n v="540"/>
    <x v="58"/>
  </r>
  <r>
    <n v="2041"/>
    <n v="2006"/>
    <n v="2"/>
    <n v="4"/>
    <n v="220"/>
    <n v="880"/>
    <s v="Delivered"/>
    <n v="880"/>
    <x v="58"/>
  </r>
  <r>
    <n v="2042"/>
    <n v="2007"/>
    <n v="6"/>
    <n v="3"/>
    <n v="140"/>
    <n v="420"/>
    <s v="Delivered"/>
    <n v="420"/>
    <x v="89"/>
  </r>
  <r>
    <n v="2043"/>
    <n v="2007"/>
    <n v="7"/>
    <n v="2"/>
    <n v="65"/>
    <n v="130"/>
    <s v="Delivered"/>
    <n v="130"/>
    <x v="89"/>
  </r>
  <r>
    <n v="2044"/>
    <n v="2008"/>
    <n v="10"/>
    <n v="3"/>
    <n v="8"/>
    <n v="24"/>
    <s v="Delivered"/>
    <n v="24"/>
    <x v="32"/>
  </r>
  <r>
    <n v="2045"/>
    <n v="2008"/>
    <n v="6"/>
    <n v="3"/>
    <n v="140"/>
    <n v="420"/>
    <s v="Delivered"/>
    <n v="420"/>
    <x v="32"/>
  </r>
  <r>
    <n v="2046"/>
    <n v="2008"/>
    <n v="2"/>
    <n v="2"/>
    <n v="220"/>
    <n v="440"/>
    <s v="Delivered"/>
    <n v="440"/>
    <x v="32"/>
  </r>
  <r>
    <n v="2047"/>
    <n v="2009"/>
    <n v="2"/>
    <n v="2"/>
    <n v="220"/>
    <n v="440"/>
    <s v="Shipped"/>
    <n v="440"/>
    <x v="83"/>
  </r>
  <r>
    <n v="2048"/>
    <n v="2009"/>
    <n v="4"/>
    <n v="1"/>
    <n v="25"/>
    <n v="25"/>
    <s v="Shipped"/>
    <n v="25"/>
    <x v="83"/>
  </r>
  <r>
    <n v="2049"/>
    <n v="2009"/>
    <n v="5"/>
    <n v="2"/>
    <n v="180"/>
    <n v="360"/>
    <s v="Shipped"/>
    <n v="360"/>
    <x v="83"/>
  </r>
  <r>
    <n v="2050"/>
    <n v="2010"/>
    <n v="9"/>
    <n v="4"/>
    <n v="30"/>
    <n v="120"/>
    <s v="Delivered"/>
    <n v="120"/>
    <x v="109"/>
  </r>
  <r>
    <n v="2051"/>
    <n v="2010"/>
    <n v="4"/>
    <n v="1"/>
    <n v="25"/>
    <n v="25"/>
    <s v="Delivered"/>
    <n v="25"/>
    <x v="109"/>
  </r>
  <r>
    <n v="2052"/>
    <n v="2010"/>
    <n v="1"/>
    <n v="3"/>
    <n v="750"/>
    <n v="2250"/>
    <s v="Delivered"/>
    <n v="2250"/>
    <x v="109"/>
  </r>
  <r>
    <n v="2053"/>
    <n v="2011"/>
    <n v="2"/>
    <n v="4"/>
    <n v="220"/>
    <n v="880"/>
    <s v="Delivered"/>
    <n v="880"/>
    <x v="65"/>
  </r>
  <r>
    <n v="2054"/>
    <n v="2011"/>
    <n v="12"/>
    <n v="4"/>
    <n v="22"/>
    <n v="88"/>
    <s v="Delivered"/>
    <n v="88"/>
    <x v="65"/>
  </r>
  <r>
    <n v="2055"/>
    <n v="2012"/>
    <n v="12"/>
    <n v="2"/>
    <n v="22"/>
    <n v="44"/>
    <s v="Delivered"/>
    <n v="44"/>
    <x v="3"/>
  </r>
  <r>
    <n v="2056"/>
    <n v="2013"/>
    <n v="2"/>
    <n v="4"/>
    <n v="220"/>
    <n v="880"/>
    <s v="Delivered"/>
    <n v="880"/>
    <x v="94"/>
  </r>
  <r>
    <n v="2057"/>
    <n v="2013"/>
    <n v="6"/>
    <n v="1"/>
    <n v="140"/>
    <n v="140"/>
    <s v="Delivered"/>
    <n v="140"/>
    <x v="94"/>
  </r>
  <r>
    <n v="2058"/>
    <n v="2013"/>
    <n v="1"/>
    <n v="3"/>
    <n v="750"/>
    <n v="2250"/>
    <s v="Delivered"/>
    <n v="2250"/>
    <x v="94"/>
  </r>
  <r>
    <n v="2059"/>
    <n v="2014"/>
    <n v="3"/>
    <n v="4"/>
    <n v="45"/>
    <n v="180"/>
    <s v="Shipped"/>
    <n v="180"/>
    <x v="6"/>
  </r>
  <r>
    <n v="2060"/>
    <n v="2015"/>
    <n v="8"/>
    <n v="2"/>
    <n v="55"/>
    <n v="110"/>
    <s v="Delivered"/>
    <n v="110"/>
    <x v="53"/>
  </r>
  <r>
    <n v="2061"/>
    <n v="2016"/>
    <n v="7"/>
    <n v="1"/>
    <n v="65"/>
    <n v="65"/>
    <s v="Cancelled"/>
    <n v="0"/>
    <x v="130"/>
  </r>
  <r>
    <n v="2062"/>
    <n v="2017"/>
    <n v="3"/>
    <n v="3"/>
    <n v="45"/>
    <n v="135"/>
    <s v="Delivered"/>
    <n v="135"/>
    <x v="26"/>
  </r>
  <r>
    <n v="2063"/>
    <n v="2017"/>
    <n v="1"/>
    <n v="4"/>
    <n v="750"/>
    <n v="3000"/>
    <s v="Delivered"/>
    <n v="3000"/>
    <x v="26"/>
  </r>
  <r>
    <n v="2064"/>
    <n v="2017"/>
    <n v="7"/>
    <n v="2"/>
    <n v="65"/>
    <n v="130"/>
    <s v="Delivered"/>
    <n v="130"/>
    <x v="26"/>
  </r>
  <r>
    <n v="2065"/>
    <n v="2018"/>
    <n v="8"/>
    <n v="3"/>
    <n v="55"/>
    <n v="165"/>
    <s v="Delivered"/>
    <n v="165"/>
    <x v="174"/>
  </r>
  <r>
    <n v="2066"/>
    <n v="2018"/>
    <n v="12"/>
    <n v="4"/>
    <n v="22"/>
    <n v="88"/>
    <s v="Delivered"/>
    <n v="88"/>
    <x v="174"/>
  </r>
  <r>
    <n v="2067"/>
    <n v="2018"/>
    <n v="7"/>
    <n v="3"/>
    <n v="65"/>
    <n v="195"/>
    <s v="Delivered"/>
    <n v="195"/>
    <x v="174"/>
  </r>
  <r>
    <n v="2068"/>
    <n v="2019"/>
    <n v="11"/>
    <n v="4"/>
    <n v="48"/>
    <n v="192"/>
    <s v="Shipped"/>
    <n v="192"/>
    <x v="105"/>
  </r>
  <r>
    <n v="2069"/>
    <n v="2020"/>
    <n v="7"/>
    <n v="4"/>
    <n v="65"/>
    <n v="260"/>
    <s v="Delivered"/>
    <n v="260"/>
    <x v="176"/>
  </r>
  <r>
    <n v="2070"/>
    <n v="2020"/>
    <n v="3"/>
    <n v="4"/>
    <n v="45"/>
    <n v="180"/>
    <s v="Delivered"/>
    <n v="180"/>
    <x v="176"/>
  </r>
  <r>
    <n v="2071"/>
    <n v="2020"/>
    <n v="8"/>
    <n v="2"/>
    <n v="55"/>
    <n v="110"/>
    <s v="Delivered"/>
    <n v="110"/>
    <x v="176"/>
  </r>
  <r>
    <n v="2072"/>
    <n v="2021"/>
    <n v="11"/>
    <n v="4"/>
    <n v="48"/>
    <n v="192"/>
    <s v="Delivered"/>
    <n v="192"/>
    <x v="107"/>
  </r>
  <r>
    <n v="2073"/>
    <n v="2021"/>
    <n v="6"/>
    <n v="4"/>
    <n v="140"/>
    <n v="560"/>
    <s v="Delivered"/>
    <n v="560"/>
    <x v="107"/>
  </r>
  <r>
    <n v="2074"/>
    <n v="2022"/>
    <n v="11"/>
    <n v="3"/>
    <n v="48"/>
    <n v="144"/>
    <s v="Delivered"/>
    <n v="144"/>
    <x v="115"/>
  </r>
  <r>
    <n v="2075"/>
    <n v="2022"/>
    <n v="1"/>
    <n v="4"/>
    <n v="750"/>
    <n v="3000"/>
    <s v="Delivered"/>
    <n v="3000"/>
    <x v="115"/>
  </r>
  <r>
    <n v="2076"/>
    <n v="2023"/>
    <n v="10"/>
    <n v="1"/>
    <n v="8"/>
    <n v="8"/>
    <s v="Delivered"/>
    <n v="8"/>
    <x v="168"/>
  </r>
  <r>
    <n v="2077"/>
    <n v="2024"/>
    <n v="11"/>
    <n v="1"/>
    <n v="48"/>
    <n v="48"/>
    <s v="Shipped"/>
    <n v="48"/>
    <x v="97"/>
  </r>
  <r>
    <n v="2078"/>
    <n v="2025"/>
    <n v="7"/>
    <n v="2"/>
    <n v="65"/>
    <n v="130"/>
    <s v="Delivered"/>
    <n v="130"/>
    <x v="17"/>
  </r>
  <r>
    <n v="2079"/>
    <n v="2025"/>
    <n v="4"/>
    <n v="3"/>
    <n v="25"/>
    <n v="75"/>
    <s v="Delivered"/>
    <n v="75"/>
    <x v="17"/>
  </r>
  <r>
    <n v="2080"/>
    <n v="2025"/>
    <n v="5"/>
    <n v="3"/>
    <n v="180"/>
    <n v="540"/>
    <s v="Delivered"/>
    <n v="540"/>
    <x v="17"/>
  </r>
  <r>
    <n v="2081"/>
    <n v="2026"/>
    <n v="9"/>
    <n v="4"/>
    <n v="30"/>
    <n v="120"/>
    <s v="Delivered"/>
    <n v="120"/>
    <x v="6"/>
  </r>
  <r>
    <n v="2082"/>
    <n v="2027"/>
    <n v="5"/>
    <n v="1"/>
    <n v="180"/>
    <n v="180"/>
    <s v="Delivered"/>
    <n v="180"/>
    <x v="104"/>
  </r>
  <r>
    <n v="2083"/>
    <n v="2028"/>
    <n v="9"/>
    <n v="4"/>
    <n v="30"/>
    <n v="120"/>
    <s v="Cancelled"/>
    <n v="0"/>
    <x v="132"/>
  </r>
  <r>
    <n v="2084"/>
    <n v="2029"/>
    <n v="3"/>
    <n v="4"/>
    <n v="45"/>
    <n v="180"/>
    <s v="Delivered"/>
    <n v="180"/>
    <x v="119"/>
  </r>
  <r>
    <n v="2085"/>
    <n v="2029"/>
    <n v="2"/>
    <n v="2"/>
    <n v="220"/>
    <n v="440"/>
    <s v="Delivered"/>
    <n v="440"/>
    <x v="119"/>
  </r>
  <r>
    <n v="2086"/>
    <n v="2029"/>
    <n v="10"/>
    <n v="3"/>
    <n v="8"/>
    <n v="24"/>
    <s v="Delivered"/>
    <n v="24"/>
    <x v="119"/>
  </r>
  <r>
    <n v="2087"/>
    <n v="2030"/>
    <n v="11"/>
    <n v="4"/>
    <n v="48"/>
    <n v="192"/>
    <s v="Delivered"/>
    <n v="192"/>
    <x v="148"/>
  </r>
  <r>
    <n v="2088"/>
    <n v="2030"/>
    <n v="10"/>
    <n v="4"/>
    <n v="8"/>
    <n v="32"/>
    <s v="Delivered"/>
    <n v="32"/>
    <x v="148"/>
  </r>
  <r>
    <n v="2089"/>
    <n v="2031"/>
    <n v="4"/>
    <n v="4"/>
    <n v="25"/>
    <n v="100"/>
    <s v="Delivered"/>
    <n v="100"/>
    <x v="5"/>
  </r>
  <r>
    <n v="2090"/>
    <n v="2031"/>
    <n v="7"/>
    <n v="4"/>
    <n v="65"/>
    <n v="260"/>
    <s v="Delivered"/>
    <n v="260"/>
    <x v="5"/>
  </r>
  <r>
    <n v="2091"/>
    <n v="2031"/>
    <n v="1"/>
    <n v="3"/>
    <n v="750"/>
    <n v="2250"/>
    <s v="Delivered"/>
    <n v="2250"/>
    <x v="5"/>
  </r>
  <r>
    <n v="2092"/>
    <n v="2032"/>
    <n v="6"/>
    <n v="1"/>
    <n v="140"/>
    <n v="140"/>
    <s v="Delivered"/>
    <n v="140"/>
    <x v="21"/>
  </r>
  <r>
    <n v="2093"/>
    <n v="2032"/>
    <n v="8"/>
    <n v="3"/>
    <n v="55"/>
    <n v="165"/>
    <s v="Delivered"/>
    <n v="165"/>
    <x v="21"/>
  </r>
  <r>
    <n v="2094"/>
    <n v="2033"/>
    <n v="4"/>
    <n v="4"/>
    <n v="25"/>
    <n v="100"/>
    <s v="Delivered"/>
    <n v="100"/>
    <x v="68"/>
  </r>
  <r>
    <n v="2095"/>
    <n v="2033"/>
    <n v="2"/>
    <n v="4"/>
    <n v="220"/>
    <n v="880"/>
    <s v="Delivered"/>
    <n v="880"/>
    <x v="68"/>
  </r>
  <r>
    <n v="2096"/>
    <n v="2033"/>
    <n v="3"/>
    <n v="2"/>
    <n v="45"/>
    <n v="90"/>
    <s v="Delivered"/>
    <n v="90"/>
    <x v="68"/>
  </r>
  <r>
    <n v="2097"/>
    <n v="2034"/>
    <n v="12"/>
    <n v="4"/>
    <n v="22"/>
    <n v="88"/>
    <s v="Delivered"/>
    <n v="88"/>
    <x v="146"/>
  </r>
  <r>
    <n v="2098"/>
    <n v="2034"/>
    <n v="10"/>
    <n v="1"/>
    <n v="8"/>
    <n v="8"/>
    <s v="Delivered"/>
    <n v="8"/>
    <x v="146"/>
  </r>
  <r>
    <n v="2099"/>
    <n v="2035"/>
    <n v="8"/>
    <n v="1"/>
    <n v="55"/>
    <n v="55"/>
    <s v="Delivered"/>
    <n v="55"/>
    <x v="134"/>
  </r>
  <r>
    <n v="2100"/>
    <n v="2035"/>
    <n v="12"/>
    <n v="1"/>
    <n v="22"/>
    <n v="22"/>
    <s v="Delivered"/>
    <n v="22"/>
    <x v="134"/>
  </r>
  <r>
    <n v="2101"/>
    <n v="2036"/>
    <n v="4"/>
    <n v="4"/>
    <n v="25"/>
    <n v="100"/>
    <s v="Delivered"/>
    <n v="100"/>
    <x v="163"/>
  </r>
  <r>
    <n v="2102"/>
    <n v="2037"/>
    <n v="3"/>
    <n v="4"/>
    <n v="45"/>
    <n v="180"/>
    <s v="Delivered"/>
    <n v="180"/>
    <x v="109"/>
  </r>
  <r>
    <n v="2103"/>
    <n v="2037"/>
    <n v="9"/>
    <n v="4"/>
    <n v="30"/>
    <n v="120"/>
    <s v="Delivered"/>
    <n v="120"/>
    <x v="109"/>
  </r>
  <r>
    <n v="2104"/>
    <n v="2038"/>
    <n v="6"/>
    <n v="2"/>
    <n v="140"/>
    <n v="280"/>
    <s v="Delivered"/>
    <n v="280"/>
    <x v="9"/>
  </r>
  <r>
    <n v="2105"/>
    <n v="2038"/>
    <n v="10"/>
    <n v="3"/>
    <n v="8"/>
    <n v="24"/>
    <s v="Delivered"/>
    <n v="24"/>
    <x v="9"/>
  </r>
  <r>
    <n v="2106"/>
    <n v="2038"/>
    <n v="3"/>
    <n v="2"/>
    <n v="45"/>
    <n v="90"/>
    <s v="Delivered"/>
    <n v="90"/>
    <x v="9"/>
  </r>
  <r>
    <n v="2107"/>
    <n v="2039"/>
    <n v="12"/>
    <n v="2"/>
    <n v="22"/>
    <n v="44"/>
    <s v="Delivered"/>
    <n v="44"/>
    <x v="79"/>
  </r>
  <r>
    <n v="2108"/>
    <n v="2039"/>
    <n v="3"/>
    <n v="4"/>
    <n v="45"/>
    <n v="180"/>
    <s v="Delivered"/>
    <n v="180"/>
    <x v="79"/>
  </r>
  <r>
    <n v="2109"/>
    <n v="2040"/>
    <n v="12"/>
    <n v="1"/>
    <n v="22"/>
    <n v="22"/>
    <s v="Delivered"/>
    <n v="22"/>
    <x v="96"/>
  </r>
  <r>
    <n v="2110"/>
    <n v="2041"/>
    <n v="9"/>
    <n v="1"/>
    <n v="30"/>
    <n v="30"/>
    <s v="Delivered"/>
    <n v="30"/>
    <x v="14"/>
  </r>
  <r>
    <n v="2111"/>
    <n v="2041"/>
    <n v="4"/>
    <n v="2"/>
    <n v="25"/>
    <n v="50"/>
    <s v="Delivered"/>
    <n v="50"/>
    <x v="14"/>
  </r>
  <r>
    <n v="2112"/>
    <n v="2041"/>
    <n v="6"/>
    <n v="3"/>
    <n v="140"/>
    <n v="420"/>
    <s v="Delivered"/>
    <n v="420"/>
    <x v="14"/>
  </r>
  <r>
    <n v="2113"/>
    <n v="2042"/>
    <n v="9"/>
    <n v="2"/>
    <n v="30"/>
    <n v="60"/>
    <s v="Delivered"/>
    <n v="60"/>
    <x v="93"/>
  </r>
  <r>
    <n v="2114"/>
    <n v="2042"/>
    <n v="12"/>
    <n v="1"/>
    <n v="22"/>
    <n v="22"/>
    <s v="Delivered"/>
    <n v="22"/>
    <x v="93"/>
  </r>
  <r>
    <n v="2115"/>
    <n v="2043"/>
    <n v="10"/>
    <n v="3"/>
    <n v="8"/>
    <n v="24"/>
    <s v="Delivered"/>
    <n v="24"/>
    <x v="57"/>
  </r>
  <r>
    <n v="2116"/>
    <n v="2043"/>
    <n v="11"/>
    <n v="3"/>
    <n v="48"/>
    <n v="144"/>
    <s v="Delivered"/>
    <n v="144"/>
    <x v="57"/>
  </r>
  <r>
    <n v="2117"/>
    <n v="2043"/>
    <n v="7"/>
    <n v="4"/>
    <n v="65"/>
    <n v="260"/>
    <s v="Delivered"/>
    <n v="260"/>
    <x v="57"/>
  </r>
  <r>
    <n v="2118"/>
    <n v="2044"/>
    <n v="3"/>
    <n v="4"/>
    <n v="45"/>
    <n v="180"/>
    <s v="Shipped"/>
    <n v="180"/>
    <x v="36"/>
  </r>
  <r>
    <n v="2119"/>
    <n v="2045"/>
    <n v="9"/>
    <n v="4"/>
    <n v="30"/>
    <n v="120"/>
    <s v="Cancelled"/>
    <n v="0"/>
    <x v="0"/>
  </r>
  <r>
    <n v="2120"/>
    <n v="2046"/>
    <n v="9"/>
    <n v="2"/>
    <n v="30"/>
    <n v="60"/>
    <s v="Delivered"/>
    <n v="60"/>
    <x v="179"/>
  </r>
  <r>
    <n v="2121"/>
    <n v="2046"/>
    <n v="2"/>
    <n v="4"/>
    <n v="220"/>
    <n v="880"/>
    <s v="Delivered"/>
    <n v="880"/>
    <x v="179"/>
  </r>
  <r>
    <n v="2122"/>
    <n v="2047"/>
    <n v="4"/>
    <n v="2"/>
    <n v="25"/>
    <n v="50"/>
    <s v="Delivered"/>
    <n v="50"/>
    <x v="15"/>
  </r>
  <r>
    <n v="2123"/>
    <n v="2047"/>
    <n v="3"/>
    <n v="4"/>
    <n v="45"/>
    <n v="180"/>
    <s v="Delivered"/>
    <n v="180"/>
    <x v="15"/>
  </r>
  <r>
    <n v="2124"/>
    <n v="2047"/>
    <n v="5"/>
    <n v="4"/>
    <n v="180"/>
    <n v="720"/>
    <s v="Delivered"/>
    <n v="720"/>
    <x v="15"/>
  </r>
  <r>
    <n v="2125"/>
    <n v="2048"/>
    <n v="6"/>
    <n v="4"/>
    <n v="140"/>
    <n v="560"/>
    <s v="Delivered"/>
    <n v="560"/>
    <x v="7"/>
  </r>
  <r>
    <n v="2126"/>
    <n v="2049"/>
    <n v="6"/>
    <n v="1"/>
    <n v="140"/>
    <n v="140"/>
    <s v="Cancelled"/>
    <n v="0"/>
    <x v="68"/>
  </r>
  <r>
    <n v="2127"/>
    <n v="2049"/>
    <n v="3"/>
    <n v="2"/>
    <n v="45"/>
    <n v="90"/>
    <s v="Cancelled"/>
    <n v="0"/>
    <x v="68"/>
  </r>
  <r>
    <n v="2128"/>
    <n v="2050"/>
    <n v="10"/>
    <n v="3"/>
    <n v="8"/>
    <n v="24"/>
    <s v="Delivered"/>
    <n v="24"/>
    <x v="65"/>
  </r>
  <r>
    <n v="2129"/>
    <n v="2051"/>
    <n v="5"/>
    <n v="4"/>
    <n v="180"/>
    <n v="720"/>
    <s v="Delivered"/>
    <n v="720"/>
    <x v="46"/>
  </r>
  <r>
    <n v="2130"/>
    <n v="2051"/>
    <n v="11"/>
    <n v="1"/>
    <n v="48"/>
    <n v="48"/>
    <s v="Delivered"/>
    <n v="48"/>
    <x v="46"/>
  </r>
  <r>
    <n v="2131"/>
    <n v="2051"/>
    <n v="8"/>
    <n v="3"/>
    <n v="55"/>
    <n v="165"/>
    <s v="Delivered"/>
    <n v="165"/>
    <x v="46"/>
  </r>
  <r>
    <n v="2132"/>
    <n v="2052"/>
    <n v="3"/>
    <n v="1"/>
    <n v="45"/>
    <n v="45"/>
    <s v="Pending"/>
    <n v="45"/>
    <x v="4"/>
  </r>
  <r>
    <n v="2133"/>
    <n v="2052"/>
    <n v="8"/>
    <n v="1"/>
    <n v="55"/>
    <n v="55"/>
    <s v="Pending"/>
    <n v="55"/>
    <x v="4"/>
  </r>
  <r>
    <n v="2134"/>
    <n v="2053"/>
    <n v="12"/>
    <n v="1"/>
    <n v="22"/>
    <n v="22"/>
    <s v="Delivered"/>
    <n v="22"/>
    <x v="131"/>
  </r>
  <r>
    <n v="2135"/>
    <n v="2053"/>
    <n v="3"/>
    <n v="4"/>
    <n v="45"/>
    <n v="180"/>
    <s v="Delivered"/>
    <n v="180"/>
    <x v="131"/>
  </r>
  <r>
    <n v="2136"/>
    <n v="2053"/>
    <n v="11"/>
    <n v="1"/>
    <n v="48"/>
    <n v="48"/>
    <s v="Delivered"/>
    <n v="48"/>
    <x v="131"/>
  </r>
  <r>
    <n v="2137"/>
    <n v="2054"/>
    <n v="10"/>
    <n v="3"/>
    <n v="8"/>
    <n v="24"/>
    <s v="Delivered"/>
    <n v="24"/>
    <x v="134"/>
  </r>
  <r>
    <n v="2138"/>
    <n v="2054"/>
    <n v="1"/>
    <n v="2"/>
    <n v="750"/>
    <n v="1500"/>
    <s v="Delivered"/>
    <n v="1500"/>
    <x v="134"/>
  </r>
  <r>
    <n v="2139"/>
    <n v="2054"/>
    <n v="6"/>
    <n v="3"/>
    <n v="140"/>
    <n v="420"/>
    <s v="Delivered"/>
    <n v="420"/>
    <x v="134"/>
  </r>
  <r>
    <n v="2140"/>
    <n v="2055"/>
    <n v="3"/>
    <n v="2"/>
    <n v="45"/>
    <n v="90"/>
    <s v="Delivered"/>
    <n v="90"/>
    <x v="3"/>
  </r>
  <r>
    <n v="2141"/>
    <n v="2055"/>
    <n v="5"/>
    <n v="4"/>
    <n v="180"/>
    <n v="720"/>
    <s v="Delivered"/>
    <n v="720"/>
    <x v="3"/>
  </r>
  <r>
    <n v="2142"/>
    <n v="2055"/>
    <n v="2"/>
    <n v="1"/>
    <n v="220"/>
    <n v="220"/>
    <s v="Delivered"/>
    <n v="220"/>
    <x v="3"/>
  </r>
  <r>
    <n v="2143"/>
    <n v="2056"/>
    <n v="5"/>
    <n v="3"/>
    <n v="180"/>
    <n v="540"/>
    <s v="Delivered"/>
    <n v="540"/>
    <x v="167"/>
  </r>
  <r>
    <n v="2144"/>
    <n v="2056"/>
    <n v="9"/>
    <n v="1"/>
    <n v="30"/>
    <n v="30"/>
    <s v="Delivered"/>
    <n v="30"/>
    <x v="167"/>
  </r>
  <r>
    <n v="2145"/>
    <n v="2057"/>
    <n v="12"/>
    <n v="1"/>
    <n v="22"/>
    <n v="22"/>
    <s v="Delivered"/>
    <n v="22"/>
    <x v="137"/>
  </r>
  <r>
    <n v="2146"/>
    <n v="2058"/>
    <n v="2"/>
    <n v="3"/>
    <n v="220"/>
    <n v="660"/>
    <s v="Delivered"/>
    <n v="660"/>
    <x v="127"/>
  </r>
  <r>
    <n v="2147"/>
    <n v="2058"/>
    <n v="4"/>
    <n v="2"/>
    <n v="25"/>
    <n v="50"/>
    <s v="Delivered"/>
    <n v="50"/>
    <x v="127"/>
  </r>
  <r>
    <n v="2148"/>
    <n v="2059"/>
    <n v="10"/>
    <n v="3"/>
    <n v="8"/>
    <n v="24"/>
    <s v="Delivered"/>
    <n v="24"/>
    <x v="139"/>
  </r>
  <r>
    <n v="2149"/>
    <n v="2060"/>
    <n v="8"/>
    <n v="4"/>
    <n v="55"/>
    <n v="220"/>
    <s v="Pending"/>
    <n v="220"/>
    <x v="29"/>
  </r>
  <r>
    <n v="2150"/>
    <n v="2060"/>
    <n v="5"/>
    <n v="3"/>
    <n v="180"/>
    <n v="540"/>
    <s v="Pending"/>
    <n v="540"/>
    <x v="29"/>
  </r>
  <r>
    <n v="2151"/>
    <n v="2060"/>
    <n v="2"/>
    <n v="3"/>
    <n v="220"/>
    <n v="660"/>
    <s v="Pending"/>
    <n v="660"/>
    <x v="29"/>
  </r>
  <r>
    <n v="2152"/>
    <n v="2061"/>
    <n v="10"/>
    <n v="4"/>
    <n v="8"/>
    <n v="32"/>
    <s v="Delivered"/>
    <n v="32"/>
    <x v="91"/>
  </r>
  <r>
    <n v="2153"/>
    <n v="2062"/>
    <n v="6"/>
    <n v="3"/>
    <n v="140"/>
    <n v="420"/>
    <s v="Delivered"/>
    <n v="420"/>
    <x v="50"/>
  </r>
  <r>
    <n v="2154"/>
    <n v="2063"/>
    <n v="11"/>
    <n v="4"/>
    <n v="48"/>
    <n v="192"/>
    <s v="Delivered"/>
    <n v="192"/>
    <x v="149"/>
  </r>
  <r>
    <n v="2155"/>
    <n v="2063"/>
    <n v="12"/>
    <n v="2"/>
    <n v="22"/>
    <n v="44"/>
    <s v="Delivered"/>
    <n v="44"/>
    <x v="149"/>
  </r>
  <r>
    <n v="2156"/>
    <n v="2063"/>
    <n v="3"/>
    <n v="4"/>
    <n v="45"/>
    <n v="180"/>
    <s v="Delivered"/>
    <n v="180"/>
    <x v="149"/>
  </r>
  <r>
    <n v="2157"/>
    <n v="2064"/>
    <n v="6"/>
    <n v="4"/>
    <n v="140"/>
    <n v="560"/>
    <s v="Delivered"/>
    <n v="560"/>
    <x v="33"/>
  </r>
  <r>
    <n v="2158"/>
    <n v="2064"/>
    <n v="1"/>
    <n v="4"/>
    <n v="750"/>
    <n v="3000"/>
    <s v="Delivered"/>
    <n v="3000"/>
    <x v="33"/>
  </r>
  <r>
    <n v="2159"/>
    <n v="2064"/>
    <n v="3"/>
    <n v="3"/>
    <n v="45"/>
    <n v="135"/>
    <s v="Delivered"/>
    <n v="135"/>
    <x v="33"/>
  </r>
  <r>
    <n v="2160"/>
    <n v="2065"/>
    <n v="1"/>
    <n v="4"/>
    <n v="750"/>
    <n v="3000"/>
    <s v="Delivered"/>
    <n v="3000"/>
    <x v="93"/>
  </r>
  <r>
    <n v="2161"/>
    <n v="2066"/>
    <n v="12"/>
    <n v="3"/>
    <n v="22"/>
    <n v="66"/>
    <s v="Delivered"/>
    <n v="66"/>
    <x v="161"/>
  </r>
  <r>
    <n v="2162"/>
    <n v="2066"/>
    <n v="6"/>
    <n v="4"/>
    <n v="140"/>
    <n v="560"/>
    <s v="Delivered"/>
    <n v="560"/>
    <x v="161"/>
  </r>
  <r>
    <n v="2163"/>
    <n v="2067"/>
    <n v="10"/>
    <n v="1"/>
    <n v="8"/>
    <n v="8"/>
    <s v="Delivered"/>
    <n v="8"/>
    <x v="74"/>
  </r>
  <r>
    <n v="2164"/>
    <n v="2067"/>
    <n v="7"/>
    <n v="2"/>
    <n v="65"/>
    <n v="130"/>
    <s v="Delivered"/>
    <n v="130"/>
    <x v="74"/>
  </r>
  <r>
    <n v="2165"/>
    <n v="2068"/>
    <n v="3"/>
    <n v="3"/>
    <n v="45"/>
    <n v="135"/>
    <s v="Delivered"/>
    <n v="135"/>
    <x v="66"/>
  </r>
  <r>
    <n v="2166"/>
    <n v="2069"/>
    <n v="1"/>
    <n v="2"/>
    <n v="750"/>
    <n v="1500"/>
    <s v="Delivered"/>
    <n v="1500"/>
    <x v="50"/>
  </r>
  <r>
    <n v="2167"/>
    <n v="2069"/>
    <n v="11"/>
    <n v="2"/>
    <n v="48"/>
    <n v="96"/>
    <s v="Delivered"/>
    <n v="96"/>
    <x v="50"/>
  </r>
  <r>
    <n v="2168"/>
    <n v="2070"/>
    <n v="11"/>
    <n v="3"/>
    <n v="48"/>
    <n v="144"/>
    <s v="Delivered"/>
    <n v="144"/>
    <x v="39"/>
  </r>
  <r>
    <n v="2169"/>
    <n v="2071"/>
    <n v="11"/>
    <n v="4"/>
    <n v="48"/>
    <n v="192"/>
    <s v="Delivered"/>
    <n v="192"/>
    <x v="22"/>
  </r>
  <r>
    <n v="2170"/>
    <n v="2071"/>
    <n v="7"/>
    <n v="2"/>
    <n v="65"/>
    <n v="130"/>
    <s v="Delivered"/>
    <n v="130"/>
    <x v="22"/>
  </r>
  <r>
    <n v="2171"/>
    <n v="2072"/>
    <n v="12"/>
    <n v="4"/>
    <n v="22"/>
    <n v="88"/>
    <s v="Delivered"/>
    <n v="88"/>
    <x v="161"/>
  </r>
  <r>
    <n v="2172"/>
    <n v="2072"/>
    <n v="7"/>
    <n v="1"/>
    <n v="65"/>
    <n v="65"/>
    <s v="Delivered"/>
    <n v="65"/>
    <x v="161"/>
  </r>
  <r>
    <n v="2173"/>
    <n v="2072"/>
    <n v="10"/>
    <n v="3"/>
    <n v="8"/>
    <n v="24"/>
    <s v="Delivered"/>
    <n v="24"/>
    <x v="161"/>
  </r>
  <r>
    <n v="2174"/>
    <n v="2073"/>
    <n v="6"/>
    <n v="1"/>
    <n v="140"/>
    <n v="140"/>
    <s v="Delivered"/>
    <n v="140"/>
    <x v="31"/>
  </r>
  <r>
    <n v="2175"/>
    <n v="2073"/>
    <n v="12"/>
    <n v="4"/>
    <n v="22"/>
    <n v="88"/>
    <s v="Delivered"/>
    <n v="88"/>
    <x v="31"/>
  </r>
  <r>
    <n v="2176"/>
    <n v="2074"/>
    <n v="6"/>
    <n v="4"/>
    <n v="140"/>
    <n v="560"/>
    <s v="Delivered"/>
    <n v="560"/>
    <x v="112"/>
  </r>
  <r>
    <n v="2177"/>
    <n v="2075"/>
    <n v="7"/>
    <n v="2"/>
    <n v="65"/>
    <n v="130"/>
    <s v="Delivered"/>
    <n v="130"/>
    <x v="53"/>
  </r>
  <r>
    <n v="2178"/>
    <n v="2075"/>
    <n v="3"/>
    <n v="4"/>
    <n v="45"/>
    <n v="180"/>
    <s v="Delivered"/>
    <n v="180"/>
    <x v="53"/>
  </r>
  <r>
    <n v="2179"/>
    <n v="2076"/>
    <n v="7"/>
    <n v="3"/>
    <n v="65"/>
    <n v="195"/>
    <s v="Delivered"/>
    <n v="195"/>
    <x v="50"/>
  </r>
  <r>
    <n v="2180"/>
    <n v="2076"/>
    <n v="1"/>
    <n v="2"/>
    <n v="750"/>
    <n v="1500"/>
    <s v="Delivered"/>
    <n v="1500"/>
    <x v="50"/>
  </r>
  <r>
    <n v="2181"/>
    <n v="2076"/>
    <n v="3"/>
    <n v="4"/>
    <n v="45"/>
    <n v="180"/>
    <s v="Delivered"/>
    <n v="180"/>
    <x v="50"/>
  </r>
  <r>
    <n v="2182"/>
    <n v="2077"/>
    <n v="7"/>
    <n v="1"/>
    <n v="65"/>
    <n v="65"/>
    <s v="Delivered"/>
    <n v="65"/>
    <x v="161"/>
  </r>
  <r>
    <n v="2183"/>
    <n v="2077"/>
    <n v="5"/>
    <n v="4"/>
    <n v="180"/>
    <n v="720"/>
    <s v="Delivered"/>
    <n v="720"/>
    <x v="161"/>
  </r>
  <r>
    <n v="2184"/>
    <n v="2078"/>
    <n v="9"/>
    <n v="1"/>
    <n v="30"/>
    <n v="30"/>
    <s v="Delivered"/>
    <n v="30"/>
    <x v="172"/>
  </r>
  <r>
    <n v="2185"/>
    <n v="2078"/>
    <n v="7"/>
    <n v="2"/>
    <n v="65"/>
    <n v="130"/>
    <s v="Delivered"/>
    <n v="130"/>
    <x v="172"/>
  </r>
  <r>
    <n v="2186"/>
    <n v="2079"/>
    <n v="1"/>
    <n v="3"/>
    <n v="750"/>
    <n v="2250"/>
    <s v="Delivered"/>
    <n v="2250"/>
    <x v="11"/>
  </r>
  <r>
    <n v="2187"/>
    <n v="2079"/>
    <n v="8"/>
    <n v="1"/>
    <n v="55"/>
    <n v="55"/>
    <s v="Delivered"/>
    <n v="55"/>
    <x v="11"/>
  </r>
  <r>
    <n v="2188"/>
    <n v="2080"/>
    <n v="11"/>
    <n v="1"/>
    <n v="48"/>
    <n v="48"/>
    <s v="Delivered"/>
    <n v="48"/>
    <x v="22"/>
  </r>
  <r>
    <n v="2189"/>
    <n v="2080"/>
    <n v="5"/>
    <n v="3"/>
    <n v="180"/>
    <n v="540"/>
    <s v="Delivered"/>
    <n v="540"/>
    <x v="22"/>
  </r>
  <r>
    <n v="2190"/>
    <n v="2081"/>
    <n v="12"/>
    <n v="4"/>
    <n v="22"/>
    <n v="88"/>
    <s v="Delivered"/>
    <n v="88"/>
    <x v="174"/>
  </r>
  <r>
    <n v="2191"/>
    <n v="2081"/>
    <n v="1"/>
    <n v="2"/>
    <n v="750"/>
    <n v="1500"/>
    <s v="Delivered"/>
    <n v="1500"/>
    <x v="174"/>
  </r>
  <r>
    <n v="2192"/>
    <n v="2082"/>
    <n v="8"/>
    <n v="2"/>
    <n v="55"/>
    <n v="110"/>
    <s v="Delivered"/>
    <n v="110"/>
    <x v="167"/>
  </r>
  <r>
    <n v="2193"/>
    <n v="2082"/>
    <n v="10"/>
    <n v="4"/>
    <n v="8"/>
    <n v="32"/>
    <s v="Delivered"/>
    <n v="32"/>
    <x v="167"/>
  </r>
  <r>
    <n v="2194"/>
    <n v="2083"/>
    <n v="9"/>
    <n v="3"/>
    <n v="30"/>
    <n v="90"/>
    <s v="Delivered"/>
    <n v="90"/>
    <x v="30"/>
  </r>
  <r>
    <n v="2195"/>
    <n v="2083"/>
    <n v="2"/>
    <n v="3"/>
    <n v="220"/>
    <n v="660"/>
    <s v="Delivered"/>
    <n v="660"/>
    <x v="30"/>
  </r>
  <r>
    <n v="2196"/>
    <n v="2084"/>
    <n v="2"/>
    <n v="3"/>
    <n v="220"/>
    <n v="660"/>
    <s v="Delivered"/>
    <n v="660"/>
    <x v="76"/>
  </r>
  <r>
    <n v="2197"/>
    <n v="2084"/>
    <n v="4"/>
    <n v="3"/>
    <n v="25"/>
    <n v="75"/>
    <s v="Delivered"/>
    <n v="75"/>
    <x v="76"/>
  </r>
  <r>
    <n v="2198"/>
    <n v="2085"/>
    <n v="7"/>
    <n v="3"/>
    <n v="65"/>
    <n v="195"/>
    <s v="Delivered"/>
    <n v="195"/>
    <x v="106"/>
  </r>
  <r>
    <n v="2199"/>
    <n v="2086"/>
    <n v="5"/>
    <n v="4"/>
    <n v="180"/>
    <n v="720"/>
    <s v="Delivered"/>
    <n v="720"/>
    <x v="112"/>
  </r>
  <r>
    <n v="2200"/>
    <n v="2086"/>
    <n v="12"/>
    <n v="2"/>
    <n v="22"/>
    <n v="44"/>
    <s v="Delivered"/>
    <n v="44"/>
    <x v="112"/>
  </r>
  <r>
    <n v="2201"/>
    <n v="2086"/>
    <n v="1"/>
    <n v="1"/>
    <n v="750"/>
    <n v="750"/>
    <s v="Delivered"/>
    <n v="750"/>
    <x v="112"/>
  </r>
  <r>
    <n v="2202"/>
    <n v="2087"/>
    <n v="4"/>
    <n v="2"/>
    <n v="25"/>
    <n v="50"/>
    <s v="Delivered"/>
    <n v="50"/>
    <x v="157"/>
  </r>
  <r>
    <n v="2203"/>
    <n v="2088"/>
    <n v="10"/>
    <n v="4"/>
    <n v="8"/>
    <n v="32"/>
    <s v="Delivered"/>
    <n v="32"/>
    <x v="31"/>
  </r>
  <r>
    <n v="2204"/>
    <n v="2088"/>
    <n v="6"/>
    <n v="4"/>
    <n v="140"/>
    <n v="560"/>
    <s v="Delivered"/>
    <n v="560"/>
    <x v="31"/>
  </r>
  <r>
    <n v="2205"/>
    <n v="2088"/>
    <n v="9"/>
    <n v="1"/>
    <n v="30"/>
    <n v="30"/>
    <s v="Delivered"/>
    <n v="30"/>
    <x v="31"/>
  </r>
  <r>
    <n v="2206"/>
    <n v="2089"/>
    <n v="9"/>
    <n v="2"/>
    <n v="30"/>
    <n v="60"/>
    <s v="Cancelled"/>
    <n v="0"/>
    <x v="137"/>
  </r>
  <r>
    <n v="2207"/>
    <n v="2090"/>
    <n v="11"/>
    <n v="1"/>
    <n v="48"/>
    <n v="48"/>
    <s v="Delivered"/>
    <n v="48"/>
    <x v="53"/>
  </r>
  <r>
    <n v="2208"/>
    <n v="2091"/>
    <n v="8"/>
    <n v="4"/>
    <n v="55"/>
    <n v="220"/>
    <s v="Delivered"/>
    <n v="220"/>
    <x v="170"/>
  </r>
  <r>
    <n v="2209"/>
    <n v="2091"/>
    <n v="11"/>
    <n v="1"/>
    <n v="48"/>
    <n v="48"/>
    <s v="Delivered"/>
    <n v="48"/>
    <x v="170"/>
  </r>
  <r>
    <n v="2210"/>
    <n v="2092"/>
    <n v="9"/>
    <n v="2"/>
    <n v="30"/>
    <n v="60"/>
    <s v="Delivered"/>
    <n v="60"/>
    <x v="118"/>
  </r>
  <r>
    <n v="2211"/>
    <n v="2092"/>
    <n v="8"/>
    <n v="4"/>
    <n v="55"/>
    <n v="220"/>
    <s v="Delivered"/>
    <n v="220"/>
    <x v="118"/>
  </r>
  <r>
    <n v="2212"/>
    <n v="2093"/>
    <n v="10"/>
    <n v="3"/>
    <n v="8"/>
    <n v="24"/>
    <s v="Delivered"/>
    <n v="24"/>
    <x v="60"/>
  </r>
  <r>
    <n v="2213"/>
    <n v="2094"/>
    <n v="7"/>
    <n v="3"/>
    <n v="65"/>
    <n v="195"/>
    <s v="Delivered"/>
    <n v="195"/>
    <x v="161"/>
  </r>
  <r>
    <n v="2214"/>
    <n v="2095"/>
    <n v="9"/>
    <n v="2"/>
    <n v="30"/>
    <n v="60"/>
    <s v="Delivered"/>
    <n v="60"/>
    <x v="167"/>
  </r>
  <r>
    <n v="2215"/>
    <n v="2095"/>
    <n v="12"/>
    <n v="4"/>
    <n v="22"/>
    <n v="88"/>
    <s v="Delivered"/>
    <n v="88"/>
    <x v="167"/>
  </r>
  <r>
    <n v="2216"/>
    <n v="2095"/>
    <n v="7"/>
    <n v="4"/>
    <n v="65"/>
    <n v="260"/>
    <s v="Delivered"/>
    <n v="260"/>
    <x v="167"/>
  </r>
  <r>
    <n v="2217"/>
    <n v="2096"/>
    <n v="6"/>
    <n v="1"/>
    <n v="140"/>
    <n v="140"/>
    <s v="Delivered"/>
    <n v="140"/>
    <x v="29"/>
  </r>
  <r>
    <n v="2218"/>
    <n v="2096"/>
    <n v="8"/>
    <n v="4"/>
    <n v="55"/>
    <n v="220"/>
    <s v="Delivered"/>
    <n v="220"/>
    <x v="29"/>
  </r>
  <r>
    <n v="2219"/>
    <n v="2096"/>
    <n v="3"/>
    <n v="4"/>
    <n v="45"/>
    <n v="180"/>
    <s v="Delivered"/>
    <n v="180"/>
    <x v="29"/>
  </r>
  <r>
    <n v="2220"/>
    <n v="2097"/>
    <n v="10"/>
    <n v="4"/>
    <n v="8"/>
    <n v="32"/>
    <s v="Delivered"/>
    <n v="32"/>
    <x v="153"/>
  </r>
  <r>
    <n v="2221"/>
    <n v="2098"/>
    <n v="1"/>
    <n v="4"/>
    <n v="750"/>
    <n v="3000"/>
    <s v="Delivered"/>
    <n v="3000"/>
    <x v="168"/>
  </r>
  <r>
    <n v="2222"/>
    <n v="2098"/>
    <n v="10"/>
    <n v="2"/>
    <n v="8"/>
    <n v="16"/>
    <s v="Delivered"/>
    <n v="16"/>
    <x v="168"/>
  </r>
  <r>
    <n v="2223"/>
    <n v="2099"/>
    <n v="3"/>
    <n v="1"/>
    <n v="45"/>
    <n v="45"/>
    <s v="Delivered"/>
    <n v="45"/>
    <x v="56"/>
  </r>
  <r>
    <n v="2224"/>
    <n v="2099"/>
    <n v="5"/>
    <n v="1"/>
    <n v="180"/>
    <n v="180"/>
    <s v="Delivered"/>
    <n v="180"/>
    <x v="56"/>
  </r>
  <r>
    <n v="2225"/>
    <n v="2100"/>
    <n v="9"/>
    <n v="1"/>
    <n v="30"/>
    <n v="30"/>
    <s v="Pending"/>
    <n v="30"/>
    <x v="65"/>
  </r>
  <r>
    <n v="2226"/>
    <n v="2100"/>
    <n v="11"/>
    <n v="3"/>
    <n v="48"/>
    <n v="144"/>
    <s v="Pending"/>
    <n v="144"/>
    <x v="65"/>
  </r>
  <r>
    <n v="2227"/>
    <n v="2101"/>
    <n v="12"/>
    <n v="1"/>
    <n v="22"/>
    <n v="22"/>
    <s v="Delivered"/>
    <n v="22"/>
    <x v="24"/>
  </r>
  <r>
    <n v="2228"/>
    <n v="2102"/>
    <n v="12"/>
    <n v="1"/>
    <n v="22"/>
    <n v="22"/>
    <s v="Delivered"/>
    <n v="22"/>
    <x v="159"/>
  </r>
  <r>
    <n v="2229"/>
    <n v="2102"/>
    <n v="9"/>
    <n v="1"/>
    <n v="30"/>
    <n v="30"/>
    <s v="Delivered"/>
    <n v="30"/>
    <x v="159"/>
  </r>
  <r>
    <n v="2230"/>
    <n v="2103"/>
    <n v="11"/>
    <n v="1"/>
    <n v="48"/>
    <n v="48"/>
    <s v="Delivered"/>
    <n v="48"/>
    <x v="1"/>
  </r>
  <r>
    <n v="2231"/>
    <n v="2103"/>
    <n v="8"/>
    <n v="1"/>
    <n v="55"/>
    <n v="55"/>
    <s v="Delivered"/>
    <n v="55"/>
    <x v="1"/>
  </r>
  <r>
    <n v="2232"/>
    <n v="2103"/>
    <n v="7"/>
    <n v="2"/>
    <n v="65"/>
    <n v="130"/>
    <s v="Delivered"/>
    <n v="130"/>
    <x v="1"/>
  </r>
  <r>
    <n v="2233"/>
    <n v="2104"/>
    <n v="4"/>
    <n v="4"/>
    <n v="25"/>
    <n v="100"/>
    <s v="Delivered"/>
    <n v="100"/>
    <x v="109"/>
  </r>
  <r>
    <n v="2234"/>
    <n v="2105"/>
    <n v="5"/>
    <n v="3"/>
    <n v="180"/>
    <n v="540"/>
    <s v="Cancelled"/>
    <n v="0"/>
    <x v="144"/>
  </r>
  <r>
    <n v="2235"/>
    <n v="2106"/>
    <n v="12"/>
    <n v="3"/>
    <n v="22"/>
    <n v="66"/>
    <s v="Delivered"/>
    <n v="66"/>
    <x v="85"/>
  </r>
  <r>
    <n v="2236"/>
    <n v="2106"/>
    <n v="5"/>
    <n v="1"/>
    <n v="180"/>
    <n v="180"/>
    <s v="Delivered"/>
    <n v="180"/>
    <x v="85"/>
  </r>
  <r>
    <n v="2237"/>
    <n v="2107"/>
    <n v="12"/>
    <n v="3"/>
    <n v="22"/>
    <n v="66"/>
    <s v="Delivered"/>
    <n v="66"/>
    <x v="55"/>
  </r>
  <r>
    <n v="2238"/>
    <n v="2107"/>
    <n v="3"/>
    <n v="4"/>
    <n v="45"/>
    <n v="180"/>
    <s v="Delivered"/>
    <n v="180"/>
    <x v="55"/>
  </r>
  <r>
    <n v="2239"/>
    <n v="2108"/>
    <n v="5"/>
    <n v="2"/>
    <n v="180"/>
    <n v="360"/>
    <s v="Delivered"/>
    <n v="360"/>
    <x v="165"/>
  </r>
  <r>
    <n v="2240"/>
    <n v="2108"/>
    <n v="11"/>
    <n v="1"/>
    <n v="48"/>
    <n v="48"/>
    <s v="Delivered"/>
    <n v="48"/>
    <x v="165"/>
  </r>
  <r>
    <n v="2241"/>
    <n v="2109"/>
    <n v="9"/>
    <n v="2"/>
    <n v="30"/>
    <n v="60"/>
    <s v="Delivered"/>
    <n v="60"/>
    <x v="149"/>
  </r>
  <r>
    <n v="2242"/>
    <n v="2109"/>
    <n v="7"/>
    <n v="3"/>
    <n v="65"/>
    <n v="195"/>
    <s v="Delivered"/>
    <n v="195"/>
    <x v="149"/>
  </r>
  <r>
    <n v="2243"/>
    <n v="2109"/>
    <n v="8"/>
    <n v="2"/>
    <n v="55"/>
    <n v="110"/>
    <s v="Delivered"/>
    <n v="110"/>
    <x v="149"/>
  </r>
  <r>
    <n v="2244"/>
    <n v="2110"/>
    <n v="3"/>
    <n v="4"/>
    <n v="45"/>
    <n v="180"/>
    <s v="Delivered"/>
    <n v="180"/>
    <x v="164"/>
  </r>
  <r>
    <n v="2245"/>
    <n v="2110"/>
    <n v="8"/>
    <n v="1"/>
    <n v="55"/>
    <n v="55"/>
    <s v="Delivered"/>
    <n v="55"/>
    <x v="164"/>
  </r>
  <r>
    <n v="2246"/>
    <n v="2111"/>
    <n v="4"/>
    <n v="4"/>
    <n v="25"/>
    <n v="100"/>
    <s v="Delivered"/>
    <n v="100"/>
    <x v="153"/>
  </r>
  <r>
    <n v="2247"/>
    <n v="2111"/>
    <n v="6"/>
    <n v="1"/>
    <n v="140"/>
    <n v="140"/>
    <s v="Delivered"/>
    <n v="140"/>
    <x v="153"/>
  </r>
  <r>
    <n v="2248"/>
    <n v="2111"/>
    <n v="8"/>
    <n v="2"/>
    <n v="55"/>
    <n v="110"/>
    <s v="Delivered"/>
    <n v="110"/>
    <x v="153"/>
  </r>
  <r>
    <n v="2249"/>
    <n v="2112"/>
    <n v="5"/>
    <n v="1"/>
    <n v="180"/>
    <n v="180"/>
    <s v="Shipped"/>
    <n v="180"/>
    <x v="47"/>
  </r>
  <r>
    <n v="2250"/>
    <n v="2113"/>
    <n v="5"/>
    <n v="2"/>
    <n v="180"/>
    <n v="360"/>
    <s v="Delivered"/>
    <n v="360"/>
    <x v="100"/>
  </r>
  <r>
    <n v="2251"/>
    <n v="2114"/>
    <n v="5"/>
    <n v="1"/>
    <n v="180"/>
    <n v="180"/>
    <s v="Delivered"/>
    <n v="180"/>
    <x v="94"/>
  </r>
  <r>
    <n v="2252"/>
    <n v="2114"/>
    <n v="2"/>
    <n v="2"/>
    <n v="220"/>
    <n v="440"/>
    <s v="Delivered"/>
    <n v="440"/>
    <x v="94"/>
  </r>
  <r>
    <n v="2253"/>
    <n v="2114"/>
    <n v="4"/>
    <n v="3"/>
    <n v="25"/>
    <n v="75"/>
    <s v="Delivered"/>
    <n v="75"/>
    <x v="94"/>
  </r>
  <r>
    <n v="2254"/>
    <n v="2115"/>
    <n v="6"/>
    <n v="1"/>
    <n v="140"/>
    <n v="140"/>
    <s v="Delivered"/>
    <n v="140"/>
    <x v="160"/>
  </r>
  <r>
    <n v="2255"/>
    <n v="2116"/>
    <n v="8"/>
    <n v="1"/>
    <n v="55"/>
    <n v="55"/>
    <s v="Delivered"/>
    <n v="55"/>
    <x v="47"/>
  </r>
  <r>
    <n v="2256"/>
    <n v="2116"/>
    <n v="5"/>
    <n v="4"/>
    <n v="180"/>
    <n v="720"/>
    <s v="Delivered"/>
    <n v="720"/>
    <x v="47"/>
  </r>
  <r>
    <n v="2257"/>
    <n v="2116"/>
    <n v="10"/>
    <n v="1"/>
    <n v="8"/>
    <n v="8"/>
    <s v="Delivered"/>
    <n v="8"/>
    <x v="47"/>
  </r>
  <r>
    <n v="2258"/>
    <n v="2117"/>
    <n v="5"/>
    <n v="4"/>
    <n v="180"/>
    <n v="720"/>
    <s v="Delivered"/>
    <n v="720"/>
    <x v="167"/>
  </r>
  <r>
    <n v="2259"/>
    <n v="2118"/>
    <n v="9"/>
    <n v="3"/>
    <n v="30"/>
    <n v="90"/>
    <s v="Delivered"/>
    <n v="90"/>
    <x v="52"/>
  </r>
  <r>
    <n v="2260"/>
    <n v="2118"/>
    <n v="4"/>
    <n v="3"/>
    <n v="25"/>
    <n v="75"/>
    <s v="Delivered"/>
    <n v="75"/>
    <x v="52"/>
  </r>
  <r>
    <n v="2261"/>
    <n v="2119"/>
    <n v="8"/>
    <n v="2"/>
    <n v="55"/>
    <n v="110"/>
    <s v="Delivered"/>
    <n v="110"/>
    <x v="169"/>
  </r>
  <r>
    <n v="2262"/>
    <n v="2119"/>
    <n v="12"/>
    <n v="1"/>
    <n v="22"/>
    <n v="22"/>
    <s v="Delivered"/>
    <n v="22"/>
    <x v="169"/>
  </r>
  <r>
    <n v="2263"/>
    <n v="2119"/>
    <n v="3"/>
    <n v="4"/>
    <n v="45"/>
    <n v="180"/>
    <s v="Delivered"/>
    <n v="180"/>
    <x v="169"/>
  </r>
  <r>
    <n v="2264"/>
    <n v="2120"/>
    <n v="2"/>
    <n v="2"/>
    <n v="220"/>
    <n v="440"/>
    <s v="Delivered"/>
    <n v="440"/>
    <x v="30"/>
  </r>
  <r>
    <n v="2265"/>
    <n v="2121"/>
    <n v="4"/>
    <n v="3"/>
    <n v="25"/>
    <n v="75"/>
    <s v="Delivered"/>
    <n v="75"/>
    <x v="4"/>
  </r>
  <r>
    <n v="2266"/>
    <n v="2121"/>
    <n v="10"/>
    <n v="2"/>
    <n v="8"/>
    <n v="16"/>
    <s v="Delivered"/>
    <n v="16"/>
    <x v="4"/>
  </r>
  <r>
    <n v="2267"/>
    <n v="2121"/>
    <n v="3"/>
    <n v="2"/>
    <n v="45"/>
    <n v="90"/>
    <s v="Delivered"/>
    <n v="90"/>
    <x v="4"/>
  </r>
  <r>
    <n v="2268"/>
    <n v="2122"/>
    <n v="11"/>
    <n v="4"/>
    <n v="48"/>
    <n v="192"/>
    <s v="Delivered"/>
    <n v="192"/>
    <x v="156"/>
  </r>
  <r>
    <n v="2269"/>
    <n v="2122"/>
    <n v="10"/>
    <n v="3"/>
    <n v="8"/>
    <n v="24"/>
    <s v="Delivered"/>
    <n v="24"/>
    <x v="156"/>
  </r>
  <r>
    <n v="2270"/>
    <n v="2123"/>
    <n v="6"/>
    <n v="3"/>
    <n v="140"/>
    <n v="420"/>
    <s v="Delivered"/>
    <n v="420"/>
    <x v="55"/>
  </r>
  <r>
    <n v="2271"/>
    <n v="2123"/>
    <n v="12"/>
    <n v="4"/>
    <n v="22"/>
    <n v="88"/>
    <s v="Delivered"/>
    <n v="88"/>
    <x v="55"/>
  </r>
  <r>
    <n v="2272"/>
    <n v="2123"/>
    <n v="8"/>
    <n v="4"/>
    <n v="55"/>
    <n v="220"/>
    <s v="Delivered"/>
    <n v="220"/>
    <x v="55"/>
  </r>
  <r>
    <n v="2273"/>
    <n v="2124"/>
    <n v="5"/>
    <n v="2"/>
    <n v="180"/>
    <n v="360"/>
    <s v="Delivered"/>
    <n v="360"/>
    <x v="162"/>
  </r>
  <r>
    <n v="2274"/>
    <n v="2124"/>
    <n v="1"/>
    <n v="2"/>
    <n v="750"/>
    <n v="1500"/>
    <s v="Delivered"/>
    <n v="1500"/>
    <x v="162"/>
  </r>
  <r>
    <n v="2275"/>
    <n v="2125"/>
    <n v="9"/>
    <n v="2"/>
    <n v="30"/>
    <n v="60"/>
    <s v="Delivered"/>
    <n v="60"/>
    <x v="58"/>
  </r>
  <r>
    <n v="2276"/>
    <n v="2125"/>
    <n v="12"/>
    <n v="2"/>
    <n v="22"/>
    <n v="44"/>
    <s v="Delivered"/>
    <n v="44"/>
    <x v="58"/>
  </r>
  <r>
    <n v="2277"/>
    <n v="2126"/>
    <n v="10"/>
    <n v="4"/>
    <n v="8"/>
    <n v="32"/>
    <s v="Delivered"/>
    <n v="32"/>
    <x v="24"/>
  </r>
  <r>
    <n v="2278"/>
    <n v="2126"/>
    <n v="8"/>
    <n v="4"/>
    <n v="55"/>
    <n v="220"/>
    <s v="Delivered"/>
    <n v="220"/>
    <x v="24"/>
  </r>
  <r>
    <n v="2279"/>
    <n v="2126"/>
    <n v="1"/>
    <n v="2"/>
    <n v="750"/>
    <n v="1500"/>
    <s v="Delivered"/>
    <n v="1500"/>
    <x v="24"/>
  </r>
  <r>
    <n v="2280"/>
    <n v="2127"/>
    <n v="6"/>
    <n v="1"/>
    <n v="140"/>
    <n v="140"/>
    <s v="Delivered"/>
    <n v="140"/>
    <x v="108"/>
  </r>
  <r>
    <n v="2281"/>
    <n v="2127"/>
    <n v="8"/>
    <n v="4"/>
    <n v="55"/>
    <n v="220"/>
    <s v="Delivered"/>
    <n v="220"/>
    <x v="108"/>
  </r>
  <r>
    <n v="2282"/>
    <n v="2127"/>
    <n v="5"/>
    <n v="2"/>
    <n v="180"/>
    <n v="360"/>
    <s v="Delivered"/>
    <n v="360"/>
    <x v="108"/>
  </r>
  <r>
    <n v="2283"/>
    <n v="2128"/>
    <n v="5"/>
    <n v="1"/>
    <n v="180"/>
    <n v="180"/>
    <s v="Delivered"/>
    <n v="180"/>
    <x v="166"/>
  </r>
  <r>
    <n v="2284"/>
    <n v="2128"/>
    <n v="10"/>
    <n v="4"/>
    <n v="8"/>
    <n v="32"/>
    <s v="Delivered"/>
    <n v="32"/>
    <x v="166"/>
  </r>
  <r>
    <n v="2285"/>
    <n v="2128"/>
    <n v="4"/>
    <n v="2"/>
    <n v="25"/>
    <n v="50"/>
    <s v="Delivered"/>
    <n v="50"/>
    <x v="166"/>
  </r>
  <r>
    <n v="2286"/>
    <n v="2129"/>
    <n v="2"/>
    <n v="3"/>
    <n v="220"/>
    <n v="660"/>
    <s v="Delivered"/>
    <n v="660"/>
    <x v="170"/>
  </r>
  <r>
    <n v="2287"/>
    <n v="2130"/>
    <n v="8"/>
    <n v="3"/>
    <n v="55"/>
    <n v="165"/>
    <s v="Delivered"/>
    <n v="165"/>
    <x v="25"/>
  </r>
  <r>
    <n v="2288"/>
    <n v="2131"/>
    <n v="2"/>
    <n v="4"/>
    <n v="220"/>
    <n v="880"/>
    <s v="Delivered"/>
    <n v="880"/>
    <x v="59"/>
  </r>
  <r>
    <n v="2289"/>
    <n v="2132"/>
    <n v="1"/>
    <n v="4"/>
    <n v="750"/>
    <n v="3000"/>
    <s v="Shipped"/>
    <n v="3000"/>
    <x v="107"/>
  </r>
  <r>
    <n v="2290"/>
    <n v="2132"/>
    <n v="10"/>
    <n v="1"/>
    <n v="8"/>
    <n v="8"/>
    <s v="Shipped"/>
    <n v="8"/>
    <x v="107"/>
  </r>
  <r>
    <n v="2291"/>
    <n v="2133"/>
    <n v="11"/>
    <n v="1"/>
    <n v="48"/>
    <n v="48"/>
    <s v="Delivered"/>
    <n v="48"/>
    <x v="17"/>
  </r>
  <r>
    <n v="2292"/>
    <n v="2133"/>
    <n v="2"/>
    <n v="1"/>
    <n v="220"/>
    <n v="220"/>
    <s v="Delivered"/>
    <n v="220"/>
    <x v="17"/>
  </r>
  <r>
    <n v="2293"/>
    <n v="2134"/>
    <n v="11"/>
    <n v="4"/>
    <n v="48"/>
    <n v="192"/>
    <s v="Delivered"/>
    <n v="192"/>
    <x v="88"/>
  </r>
  <r>
    <n v="2294"/>
    <n v="2134"/>
    <n v="4"/>
    <n v="3"/>
    <n v="25"/>
    <n v="75"/>
    <s v="Delivered"/>
    <n v="75"/>
    <x v="88"/>
  </r>
  <r>
    <n v="2295"/>
    <n v="2134"/>
    <n v="2"/>
    <n v="4"/>
    <n v="220"/>
    <n v="880"/>
    <s v="Delivered"/>
    <n v="880"/>
    <x v="88"/>
  </r>
  <r>
    <n v="2296"/>
    <n v="2135"/>
    <n v="8"/>
    <n v="4"/>
    <n v="55"/>
    <n v="220"/>
    <s v="Delivered"/>
    <n v="220"/>
    <x v="37"/>
  </r>
  <r>
    <n v="2297"/>
    <n v="2135"/>
    <n v="9"/>
    <n v="1"/>
    <n v="30"/>
    <n v="30"/>
    <s v="Delivered"/>
    <n v="30"/>
    <x v="37"/>
  </r>
  <r>
    <n v="2298"/>
    <n v="2136"/>
    <n v="3"/>
    <n v="2"/>
    <n v="45"/>
    <n v="90"/>
    <s v="Delivered"/>
    <n v="90"/>
    <x v="82"/>
  </r>
  <r>
    <n v="2299"/>
    <n v="2136"/>
    <n v="5"/>
    <n v="3"/>
    <n v="180"/>
    <n v="540"/>
    <s v="Delivered"/>
    <n v="540"/>
    <x v="82"/>
  </r>
  <r>
    <n v="2300"/>
    <n v="2137"/>
    <n v="4"/>
    <n v="2"/>
    <n v="25"/>
    <n v="50"/>
    <s v="Cancelled"/>
    <n v="0"/>
    <x v="110"/>
  </r>
  <r>
    <n v="2301"/>
    <n v="2138"/>
    <n v="9"/>
    <n v="1"/>
    <n v="30"/>
    <n v="30"/>
    <s v="Delivered"/>
    <n v="30"/>
    <x v="39"/>
  </r>
  <r>
    <n v="2302"/>
    <n v="2139"/>
    <n v="5"/>
    <n v="2"/>
    <n v="180"/>
    <n v="360"/>
    <s v="Shipped"/>
    <n v="360"/>
    <x v="28"/>
  </r>
  <r>
    <n v="2303"/>
    <n v="2140"/>
    <n v="1"/>
    <n v="4"/>
    <n v="750"/>
    <n v="3000"/>
    <s v="Shipped"/>
    <n v="3000"/>
    <x v="49"/>
  </r>
  <r>
    <n v="2304"/>
    <n v="2140"/>
    <n v="3"/>
    <n v="1"/>
    <n v="45"/>
    <n v="45"/>
    <s v="Shipped"/>
    <n v="45"/>
    <x v="49"/>
  </r>
  <r>
    <n v="2305"/>
    <n v="2141"/>
    <n v="1"/>
    <n v="4"/>
    <n v="750"/>
    <n v="3000"/>
    <s v="Delivered"/>
    <n v="3000"/>
    <x v="21"/>
  </r>
  <r>
    <n v="2306"/>
    <n v="2141"/>
    <n v="8"/>
    <n v="4"/>
    <n v="55"/>
    <n v="220"/>
    <s v="Delivered"/>
    <n v="220"/>
    <x v="21"/>
  </r>
  <r>
    <n v="2307"/>
    <n v="2142"/>
    <n v="12"/>
    <n v="2"/>
    <n v="22"/>
    <n v="44"/>
    <s v="Shipped"/>
    <n v="44"/>
    <x v="36"/>
  </r>
  <r>
    <n v="2308"/>
    <n v="2142"/>
    <n v="9"/>
    <n v="2"/>
    <n v="30"/>
    <n v="60"/>
    <s v="Shipped"/>
    <n v="60"/>
    <x v="36"/>
  </r>
  <r>
    <n v="2309"/>
    <n v="2142"/>
    <n v="2"/>
    <n v="1"/>
    <n v="220"/>
    <n v="220"/>
    <s v="Shipped"/>
    <n v="220"/>
    <x v="36"/>
  </r>
  <r>
    <n v="2310"/>
    <n v="2143"/>
    <n v="4"/>
    <n v="1"/>
    <n v="25"/>
    <n v="25"/>
    <s v="Delivered"/>
    <n v="25"/>
    <x v="59"/>
  </r>
  <r>
    <n v="2311"/>
    <n v="2143"/>
    <n v="12"/>
    <n v="3"/>
    <n v="22"/>
    <n v="66"/>
    <s v="Delivered"/>
    <n v="66"/>
    <x v="59"/>
  </r>
  <r>
    <n v="2312"/>
    <n v="2144"/>
    <n v="2"/>
    <n v="3"/>
    <n v="220"/>
    <n v="660"/>
    <s v="Delivered"/>
    <n v="660"/>
    <x v="96"/>
  </r>
  <r>
    <n v="2313"/>
    <n v="2144"/>
    <n v="6"/>
    <n v="3"/>
    <n v="140"/>
    <n v="420"/>
    <s v="Delivered"/>
    <n v="420"/>
    <x v="96"/>
  </r>
  <r>
    <n v="2314"/>
    <n v="2145"/>
    <n v="11"/>
    <n v="1"/>
    <n v="48"/>
    <n v="48"/>
    <s v="Pending"/>
    <n v="48"/>
    <x v="104"/>
  </r>
  <r>
    <n v="2315"/>
    <n v="2145"/>
    <n v="7"/>
    <n v="3"/>
    <n v="65"/>
    <n v="195"/>
    <s v="Pending"/>
    <n v="195"/>
    <x v="104"/>
  </r>
  <r>
    <n v="2316"/>
    <n v="2145"/>
    <n v="8"/>
    <n v="3"/>
    <n v="55"/>
    <n v="165"/>
    <s v="Pending"/>
    <n v="165"/>
    <x v="104"/>
  </r>
  <r>
    <n v="2317"/>
    <n v="2146"/>
    <n v="1"/>
    <n v="2"/>
    <n v="750"/>
    <n v="1500"/>
    <s v="Delivered"/>
    <n v="1500"/>
    <x v="34"/>
  </r>
  <r>
    <n v="2318"/>
    <n v="2146"/>
    <n v="3"/>
    <n v="2"/>
    <n v="45"/>
    <n v="90"/>
    <s v="Delivered"/>
    <n v="90"/>
    <x v="34"/>
  </r>
  <r>
    <n v="2319"/>
    <n v="2146"/>
    <n v="9"/>
    <n v="4"/>
    <n v="30"/>
    <n v="120"/>
    <s v="Delivered"/>
    <n v="120"/>
    <x v="34"/>
  </r>
  <r>
    <n v="2320"/>
    <n v="2147"/>
    <n v="7"/>
    <n v="2"/>
    <n v="65"/>
    <n v="130"/>
    <s v="Delivered"/>
    <n v="130"/>
    <x v="156"/>
  </r>
  <r>
    <n v="2321"/>
    <n v="2148"/>
    <n v="1"/>
    <n v="4"/>
    <n v="750"/>
    <n v="3000"/>
    <s v="Delivered"/>
    <n v="3000"/>
    <x v="169"/>
  </r>
  <r>
    <n v="2322"/>
    <n v="2149"/>
    <n v="1"/>
    <n v="1"/>
    <n v="750"/>
    <n v="750"/>
    <s v="Delivered"/>
    <n v="750"/>
    <x v="155"/>
  </r>
  <r>
    <n v="2323"/>
    <n v="2149"/>
    <n v="8"/>
    <n v="2"/>
    <n v="55"/>
    <n v="110"/>
    <s v="Delivered"/>
    <n v="110"/>
    <x v="155"/>
  </r>
  <r>
    <n v="2324"/>
    <n v="2150"/>
    <n v="6"/>
    <n v="2"/>
    <n v="140"/>
    <n v="280"/>
    <s v="Delivered"/>
    <n v="280"/>
    <x v="66"/>
  </r>
  <r>
    <n v="2325"/>
    <n v="2151"/>
    <n v="3"/>
    <n v="1"/>
    <n v="45"/>
    <n v="45"/>
    <s v="Pending"/>
    <n v="45"/>
    <x v="137"/>
  </r>
  <r>
    <n v="2326"/>
    <n v="2151"/>
    <n v="10"/>
    <n v="3"/>
    <n v="8"/>
    <n v="24"/>
    <s v="Pending"/>
    <n v="24"/>
    <x v="137"/>
  </r>
  <r>
    <n v="2327"/>
    <n v="2152"/>
    <n v="6"/>
    <n v="3"/>
    <n v="140"/>
    <n v="420"/>
    <s v="Cancelled"/>
    <n v="0"/>
    <x v="4"/>
  </r>
  <r>
    <n v="2328"/>
    <n v="2153"/>
    <n v="8"/>
    <n v="2"/>
    <n v="55"/>
    <n v="110"/>
    <s v="Delivered"/>
    <n v="110"/>
    <x v="86"/>
  </r>
  <r>
    <n v="2329"/>
    <n v="2153"/>
    <n v="10"/>
    <n v="2"/>
    <n v="8"/>
    <n v="16"/>
    <s v="Delivered"/>
    <n v="16"/>
    <x v="86"/>
  </r>
  <r>
    <n v="2330"/>
    <n v="2154"/>
    <n v="7"/>
    <n v="1"/>
    <n v="65"/>
    <n v="65"/>
    <s v="Delivered"/>
    <n v="65"/>
    <x v="51"/>
  </r>
  <r>
    <n v="2331"/>
    <n v="2154"/>
    <n v="5"/>
    <n v="2"/>
    <n v="180"/>
    <n v="360"/>
    <s v="Delivered"/>
    <n v="360"/>
    <x v="51"/>
  </r>
  <r>
    <n v="2332"/>
    <n v="2154"/>
    <n v="10"/>
    <n v="2"/>
    <n v="8"/>
    <n v="16"/>
    <s v="Delivered"/>
    <n v="16"/>
    <x v="51"/>
  </r>
  <r>
    <n v="2333"/>
    <n v="2155"/>
    <n v="10"/>
    <n v="3"/>
    <n v="8"/>
    <n v="24"/>
    <s v="Delivered"/>
    <n v="24"/>
    <x v="137"/>
  </r>
  <r>
    <n v="2334"/>
    <n v="2155"/>
    <n v="5"/>
    <n v="4"/>
    <n v="180"/>
    <n v="720"/>
    <s v="Delivered"/>
    <n v="720"/>
    <x v="137"/>
  </r>
  <r>
    <n v="2335"/>
    <n v="2155"/>
    <n v="3"/>
    <n v="3"/>
    <n v="45"/>
    <n v="135"/>
    <s v="Delivered"/>
    <n v="135"/>
    <x v="137"/>
  </r>
  <r>
    <n v="2336"/>
    <n v="2156"/>
    <n v="1"/>
    <n v="2"/>
    <n v="750"/>
    <n v="1500"/>
    <s v="Delivered"/>
    <n v="1500"/>
    <x v="159"/>
  </r>
  <r>
    <n v="2337"/>
    <n v="2157"/>
    <n v="6"/>
    <n v="4"/>
    <n v="140"/>
    <n v="560"/>
    <s v="Delivered"/>
    <n v="560"/>
    <x v="58"/>
  </r>
  <r>
    <n v="2338"/>
    <n v="2157"/>
    <n v="4"/>
    <n v="4"/>
    <n v="25"/>
    <n v="100"/>
    <s v="Delivered"/>
    <n v="100"/>
    <x v="58"/>
  </r>
  <r>
    <n v="2339"/>
    <n v="2158"/>
    <n v="6"/>
    <n v="3"/>
    <n v="140"/>
    <n v="420"/>
    <s v="Delivered"/>
    <n v="420"/>
    <x v="136"/>
  </r>
  <r>
    <n v="2340"/>
    <n v="2158"/>
    <n v="3"/>
    <n v="3"/>
    <n v="45"/>
    <n v="135"/>
    <s v="Delivered"/>
    <n v="135"/>
    <x v="136"/>
  </r>
  <r>
    <n v="2341"/>
    <n v="2159"/>
    <n v="5"/>
    <n v="4"/>
    <n v="180"/>
    <n v="720"/>
    <s v="Delivered"/>
    <n v="720"/>
    <x v="60"/>
  </r>
  <r>
    <n v="2342"/>
    <n v="2159"/>
    <n v="2"/>
    <n v="1"/>
    <n v="220"/>
    <n v="220"/>
    <s v="Delivered"/>
    <n v="220"/>
    <x v="60"/>
  </r>
  <r>
    <n v="2343"/>
    <n v="2159"/>
    <n v="6"/>
    <n v="2"/>
    <n v="140"/>
    <n v="280"/>
    <s v="Delivered"/>
    <n v="280"/>
    <x v="60"/>
  </r>
  <r>
    <n v="2344"/>
    <n v="2160"/>
    <n v="5"/>
    <n v="4"/>
    <n v="180"/>
    <n v="720"/>
    <s v="Delivered"/>
    <n v="720"/>
    <x v="154"/>
  </r>
  <r>
    <n v="2345"/>
    <n v="2160"/>
    <n v="8"/>
    <n v="1"/>
    <n v="55"/>
    <n v="55"/>
    <s v="Delivered"/>
    <n v="55"/>
    <x v="154"/>
  </r>
  <r>
    <n v="2346"/>
    <n v="2161"/>
    <n v="4"/>
    <n v="3"/>
    <n v="25"/>
    <n v="75"/>
    <s v="Delivered"/>
    <n v="75"/>
    <x v="78"/>
  </r>
  <r>
    <n v="2347"/>
    <n v="2162"/>
    <n v="9"/>
    <n v="2"/>
    <n v="30"/>
    <n v="60"/>
    <s v="Delivered"/>
    <n v="60"/>
    <x v="66"/>
  </r>
  <r>
    <n v="2348"/>
    <n v="2162"/>
    <n v="4"/>
    <n v="3"/>
    <n v="25"/>
    <n v="75"/>
    <s v="Delivered"/>
    <n v="75"/>
    <x v="66"/>
  </r>
  <r>
    <n v="2349"/>
    <n v="2163"/>
    <n v="10"/>
    <n v="3"/>
    <n v="8"/>
    <n v="24"/>
    <s v="Delivered"/>
    <n v="24"/>
    <x v="153"/>
  </r>
  <r>
    <n v="2350"/>
    <n v="2163"/>
    <n v="7"/>
    <n v="1"/>
    <n v="65"/>
    <n v="65"/>
    <s v="Delivered"/>
    <n v="65"/>
    <x v="153"/>
  </r>
  <r>
    <n v="2351"/>
    <n v="2163"/>
    <n v="4"/>
    <n v="4"/>
    <n v="25"/>
    <n v="100"/>
    <s v="Delivered"/>
    <n v="100"/>
    <x v="153"/>
  </r>
  <r>
    <n v="2352"/>
    <n v="2164"/>
    <n v="2"/>
    <n v="3"/>
    <n v="220"/>
    <n v="660"/>
    <s v="Delivered"/>
    <n v="660"/>
    <x v="10"/>
  </r>
  <r>
    <n v="2353"/>
    <n v="2165"/>
    <n v="7"/>
    <n v="2"/>
    <n v="65"/>
    <n v="130"/>
    <s v="Delivered"/>
    <n v="130"/>
    <x v="129"/>
  </r>
  <r>
    <n v="2354"/>
    <n v="2166"/>
    <n v="10"/>
    <n v="2"/>
    <n v="8"/>
    <n v="16"/>
    <s v="Delivered"/>
    <n v="16"/>
    <x v="103"/>
  </r>
  <r>
    <n v="2355"/>
    <n v="2166"/>
    <n v="4"/>
    <n v="3"/>
    <n v="25"/>
    <n v="75"/>
    <s v="Delivered"/>
    <n v="75"/>
    <x v="103"/>
  </r>
  <r>
    <n v="2356"/>
    <n v="2167"/>
    <n v="3"/>
    <n v="2"/>
    <n v="45"/>
    <n v="90"/>
    <s v="Delivered"/>
    <n v="90"/>
    <x v="8"/>
  </r>
  <r>
    <n v="2357"/>
    <n v="2167"/>
    <n v="4"/>
    <n v="3"/>
    <n v="25"/>
    <n v="75"/>
    <s v="Delivered"/>
    <n v="75"/>
    <x v="8"/>
  </r>
  <r>
    <n v="2358"/>
    <n v="2167"/>
    <n v="8"/>
    <n v="3"/>
    <n v="55"/>
    <n v="165"/>
    <s v="Delivered"/>
    <n v="165"/>
    <x v="8"/>
  </r>
  <r>
    <n v="2359"/>
    <n v="2168"/>
    <n v="8"/>
    <n v="4"/>
    <n v="55"/>
    <n v="220"/>
    <s v="Delivered"/>
    <n v="220"/>
    <x v="168"/>
  </r>
  <r>
    <n v="2360"/>
    <n v="2168"/>
    <n v="5"/>
    <n v="2"/>
    <n v="180"/>
    <n v="360"/>
    <s v="Delivered"/>
    <n v="360"/>
    <x v="168"/>
  </r>
  <r>
    <n v="2361"/>
    <n v="2168"/>
    <n v="2"/>
    <n v="1"/>
    <n v="220"/>
    <n v="220"/>
    <s v="Delivered"/>
    <n v="220"/>
    <x v="168"/>
  </r>
  <r>
    <n v="2362"/>
    <n v="2169"/>
    <n v="11"/>
    <n v="4"/>
    <n v="48"/>
    <n v="192"/>
    <s v="Delivered"/>
    <n v="192"/>
    <x v="1"/>
  </r>
  <r>
    <n v="2363"/>
    <n v="2170"/>
    <n v="12"/>
    <n v="3"/>
    <n v="22"/>
    <n v="66"/>
    <s v="Delivered"/>
    <n v="66"/>
    <x v="41"/>
  </r>
  <r>
    <n v="2364"/>
    <n v="2171"/>
    <n v="12"/>
    <n v="3"/>
    <n v="22"/>
    <n v="66"/>
    <s v="Delivered"/>
    <n v="66"/>
    <x v="118"/>
  </r>
  <r>
    <n v="2365"/>
    <n v="2171"/>
    <n v="5"/>
    <n v="3"/>
    <n v="180"/>
    <n v="540"/>
    <s v="Delivered"/>
    <n v="540"/>
    <x v="118"/>
  </r>
  <r>
    <n v="2366"/>
    <n v="2172"/>
    <n v="10"/>
    <n v="4"/>
    <n v="8"/>
    <n v="32"/>
    <s v="Delivered"/>
    <n v="32"/>
    <x v="46"/>
  </r>
  <r>
    <n v="2367"/>
    <n v="2173"/>
    <n v="10"/>
    <n v="4"/>
    <n v="8"/>
    <n v="32"/>
    <s v="Delivered"/>
    <n v="32"/>
    <x v="164"/>
  </r>
  <r>
    <n v="2368"/>
    <n v="2173"/>
    <n v="9"/>
    <n v="1"/>
    <n v="30"/>
    <n v="30"/>
    <s v="Delivered"/>
    <n v="30"/>
    <x v="164"/>
  </r>
  <r>
    <n v="2369"/>
    <n v="2174"/>
    <n v="10"/>
    <n v="4"/>
    <n v="8"/>
    <n v="32"/>
    <s v="Delivered"/>
    <n v="32"/>
    <x v="69"/>
  </r>
  <r>
    <n v="2370"/>
    <n v="2174"/>
    <n v="11"/>
    <n v="4"/>
    <n v="48"/>
    <n v="192"/>
    <s v="Delivered"/>
    <n v="192"/>
    <x v="69"/>
  </r>
  <r>
    <n v="2371"/>
    <n v="2175"/>
    <n v="7"/>
    <n v="4"/>
    <n v="65"/>
    <n v="260"/>
    <s v="Delivered"/>
    <n v="260"/>
    <x v="144"/>
  </r>
  <r>
    <n v="2372"/>
    <n v="2176"/>
    <n v="7"/>
    <n v="4"/>
    <n v="65"/>
    <n v="260"/>
    <s v="Shipped"/>
    <n v="260"/>
    <x v="120"/>
  </r>
  <r>
    <n v="2373"/>
    <n v="2176"/>
    <n v="1"/>
    <n v="3"/>
    <n v="750"/>
    <n v="2250"/>
    <s v="Shipped"/>
    <n v="2250"/>
    <x v="120"/>
  </r>
  <r>
    <n v="2374"/>
    <n v="2177"/>
    <n v="8"/>
    <n v="3"/>
    <n v="55"/>
    <n v="165"/>
    <s v="Delivered"/>
    <n v="165"/>
    <x v="50"/>
  </r>
  <r>
    <n v="2375"/>
    <n v="2177"/>
    <n v="1"/>
    <n v="4"/>
    <n v="750"/>
    <n v="3000"/>
    <s v="Delivered"/>
    <n v="3000"/>
    <x v="50"/>
  </r>
  <r>
    <n v="2376"/>
    <n v="2178"/>
    <n v="6"/>
    <n v="2"/>
    <n v="140"/>
    <n v="280"/>
    <s v="Delivered"/>
    <n v="280"/>
    <x v="32"/>
  </r>
  <r>
    <n v="2377"/>
    <n v="2178"/>
    <n v="7"/>
    <n v="4"/>
    <n v="65"/>
    <n v="260"/>
    <s v="Delivered"/>
    <n v="260"/>
    <x v="32"/>
  </r>
  <r>
    <n v="2378"/>
    <n v="2178"/>
    <n v="12"/>
    <n v="1"/>
    <n v="22"/>
    <n v="22"/>
    <s v="Delivered"/>
    <n v="22"/>
    <x v="32"/>
  </r>
  <r>
    <n v="2379"/>
    <n v="2179"/>
    <n v="2"/>
    <n v="3"/>
    <n v="220"/>
    <n v="660"/>
    <s v="Delivered"/>
    <n v="660"/>
    <x v="176"/>
  </r>
  <r>
    <n v="2380"/>
    <n v="2179"/>
    <n v="11"/>
    <n v="4"/>
    <n v="48"/>
    <n v="192"/>
    <s v="Delivered"/>
    <n v="192"/>
    <x v="176"/>
  </r>
  <r>
    <n v="2381"/>
    <n v="2179"/>
    <n v="7"/>
    <n v="2"/>
    <n v="65"/>
    <n v="130"/>
    <s v="Delivered"/>
    <n v="130"/>
    <x v="176"/>
  </r>
  <r>
    <n v="2382"/>
    <n v="2180"/>
    <n v="3"/>
    <n v="3"/>
    <n v="45"/>
    <n v="135"/>
    <s v="Delivered"/>
    <n v="135"/>
    <x v="20"/>
  </r>
  <r>
    <n v="2383"/>
    <n v="2180"/>
    <n v="12"/>
    <n v="1"/>
    <n v="22"/>
    <n v="22"/>
    <s v="Delivered"/>
    <n v="22"/>
    <x v="20"/>
  </r>
  <r>
    <n v="2384"/>
    <n v="2181"/>
    <n v="3"/>
    <n v="1"/>
    <n v="45"/>
    <n v="45"/>
    <s v="Delivered"/>
    <n v="45"/>
    <x v="91"/>
  </r>
  <r>
    <n v="2385"/>
    <n v="2181"/>
    <n v="7"/>
    <n v="2"/>
    <n v="65"/>
    <n v="130"/>
    <s v="Delivered"/>
    <n v="130"/>
    <x v="91"/>
  </r>
  <r>
    <n v="2386"/>
    <n v="2181"/>
    <n v="10"/>
    <n v="1"/>
    <n v="8"/>
    <n v="8"/>
    <s v="Delivered"/>
    <n v="8"/>
    <x v="91"/>
  </r>
  <r>
    <n v="2387"/>
    <n v="2182"/>
    <n v="6"/>
    <n v="4"/>
    <n v="140"/>
    <n v="560"/>
    <s v="Delivered"/>
    <n v="560"/>
    <x v="57"/>
  </r>
  <r>
    <n v="2388"/>
    <n v="2182"/>
    <n v="7"/>
    <n v="1"/>
    <n v="65"/>
    <n v="65"/>
    <s v="Delivered"/>
    <n v="65"/>
    <x v="57"/>
  </r>
  <r>
    <n v="2389"/>
    <n v="2182"/>
    <n v="3"/>
    <n v="3"/>
    <n v="45"/>
    <n v="135"/>
    <s v="Delivered"/>
    <n v="135"/>
    <x v="57"/>
  </r>
  <r>
    <n v="2390"/>
    <n v="2183"/>
    <n v="3"/>
    <n v="1"/>
    <n v="45"/>
    <n v="45"/>
    <s v="Delivered"/>
    <n v="45"/>
    <x v="65"/>
  </r>
  <r>
    <n v="2391"/>
    <n v="2183"/>
    <n v="11"/>
    <n v="4"/>
    <n v="48"/>
    <n v="192"/>
    <s v="Delivered"/>
    <n v="192"/>
    <x v="65"/>
  </r>
  <r>
    <n v="2392"/>
    <n v="2183"/>
    <n v="5"/>
    <n v="2"/>
    <n v="180"/>
    <n v="360"/>
    <s v="Delivered"/>
    <n v="360"/>
    <x v="65"/>
  </r>
  <r>
    <n v="2393"/>
    <n v="2184"/>
    <n v="1"/>
    <n v="3"/>
    <n v="750"/>
    <n v="2250"/>
    <s v="Delivered"/>
    <n v="2250"/>
    <x v="77"/>
  </r>
  <r>
    <n v="2394"/>
    <n v="2185"/>
    <n v="7"/>
    <n v="2"/>
    <n v="65"/>
    <n v="130"/>
    <s v="Delivered"/>
    <n v="130"/>
    <x v="54"/>
  </r>
  <r>
    <n v="2395"/>
    <n v="2186"/>
    <n v="7"/>
    <n v="3"/>
    <n v="65"/>
    <n v="195"/>
    <s v="Delivered"/>
    <n v="195"/>
    <x v="149"/>
  </r>
  <r>
    <n v="2396"/>
    <n v="2186"/>
    <n v="6"/>
    <n v="2"/>
    <n v="140"/>
    <n v="280"/>
    <s v="Delivered"/>
    <n v="280"/>
    <x v="149"/>
  </r>
  <r>
    <n v="2397"/>
    <n v="2187"/>
    <n v="10"/>
    <n v="4"/>
    <n v="8"/>
    <n v="32"/>
    <s v="Cancelled"/>
    <n v="0"/>
    <x v="58"/>
  </r>
  <r>
    <n v="2398"/>
    <n v="2187"/>
    <n v="3"/>
    <n v="3"/>
    <n v="45"/>
    <n v="135"/>
    <s v="Cancelled"/>
    <n v="0"/>
    <x v="58"/>
  </r>
  <r>
    <n v="2399"/>
    <n v="2187"/>
    <n v="2"/>
    <n v="1"/>
    <n v="220"/>
    <n v="220"/>
    <s v="Cancelled"/>
    <n v="0"/>
    <x v="58"/>
  </r>
  <r>
    <n v="2400"/>
    <n v="2188"/>
    <n v="12"/>
    <n v="2"/>
    <n v="22"/>
    <n v="44"/>
    <s v="Delivered"/>
    <n v="44"/>
    <x v="59"/>
  </r>
  <r>
    <n v="2401"/>
    <n v="2188"/>
    <n v="11"/>
    <n v="4"/>
    <n v="48"/>
    <n v="192"/>
    <s v="Delivered"/>
    <n v="192"/>
    <x v="59"/>
  </r>
  <r>
    <n v="2402"/>
    <n v="2188"/>
    <n v="9"/>
    <n v="3"/>
    <n v="30"/>
    <n v="90"/>
    <s v="Delivered"/>
    <n v="90"/>
    <x v="59"/>
  </r>
  <r>
    <n v="2403"/>
    <n v="2189"/>
    <n v="9"/>
    <n v="4"/>
    <n v="30"/>
    <n v="120"/>
    <s v="Delivered"/>
    <n v="120"/>
    <x v="71"/>
  </r>
  <r>
    <n v="2404"/>
    <n v="2190"/>
    <n v="12"/>
    <n v="3"/>
    <n v="22"/>
    <n v="66"/>
    <s v="Delivered"/>
    <n v="66"/>
    <x v="48"/>
  </r>
  <r>
    <n v="2405"/>
    <n v="2191"/>
    <n v="4"/>
    <n v="4"/>
    <n v="25"/>
    <n v="100"/>
    <s v="Delivered"/>
    <n v="100"/>
    <x v="157"/>
  </r>
  <r>
    <n v="2406"/>
    <n v="2191"/>
    <n v="11"/>
    <n v="3"/>
    <n v="48"/>
    <n v="144"/>
    <s v="Delivered"/>
    <n v="144"/>
    <x v="157"/>
  </r>
  <r>
    <n v="2407"/>
    <n v="2192"/>
    <n v="11"/>
    <n v="1"/>
    <n v="48"/>
    <n v="48"/>
    <s v="Shipped"/>
    <n v="48"/>
    <x v="89"/>
  </r>
  <r>
    <n v="2408"/>
    <n v="2192"/>
    <n v="10"/>
    <n v="1"/>
    <n v="8"/>
    <n v="8"/>
    <s v="Shipped"/>
    <n v="8"/>
    <x v="89"/>
  </r>
  <r>
    <n v="2409"/>
    <n v="2192"/>
    <n v="6"/>
    <n v="3"/>
    <n v="140"/>
    <n v="420"/>
    <s v="Shipped"/>
    <n v="420"/>
    <x v="89"/>
  </r>
  <r>
    <n v="2410"/>
    <n v="2193"/>
    <n v="3"/>
    <n v="2"/>
    <n v="45"/>
    <n v="90"/>
    <s v="Delivered"/>
    <n v="90"/>
    <x v="86"/>
  </r>
  <r>
    <n v="2411"/>
    <n v="2193"/>
    <n v="4"/>
    <n v="2"/>
    <n v="25"/>
    <n v="50"/>
    <s v="Delivered"/>
    <n v="50"/>
    <x v="86"/>
  </r>
  <r>
    <n v="2412"/>
    <n v="2193"/>
    <n v="11"/>
    <n v="1"/>
    <n v="48"/>
    <n v="48"/>
    <s v="Delivered"/>
    <n v="48"/>
    <x v="86"/>
  </r>
  <r>
    <n v="2413"/>
    <n v="2194"/>
    <n v="11"/>
    <n v="4"/>
    <n v="48"/>
    <n v="192"/>
    <s v="Shipped"/>
    <n v="192"/>
    <x v="60"/>
  </r>
  <r>
    <n v="2414"/>
    <n v="2194"/>
    <n v="7"/>
    <n v="4"/>
    <n v="65"/>
    <n v="260"/>
    <s v="Shipped"/>
    <n v="260"/>
    <x v="60"/>
  </r>
  <r>
    <n v="2415"/>
    <n v="2194"/>
    <n v="12"/>
    <n v="2"/>
    <n v="22"/>
    <n v="44"/>
    <s v="Shipped"/>
    <n v="44"/>
    <x v="60"/>
  </r>
  <r>
    <n v="2416"/>
    <n v="2195"/>
    <n v="7"/>
    <n v="1"/>
    <n v="65"/>
    <n v="65"/>
    <s v="Delivered"/>
    <n v="65"/>
    <x v="60"/>
  </r>
  <r>
    <n v="2417"/>
    <n v="2195"/>
    <n v="5"/>
    <n v="2"/>
    <n v="180"/>
    <n v="360"/>
    <s v="Delivered"/>
    <n v="360"/>
    <x v="60"/>
  </r>
  <r>
    <n v="2418"/>
    <n v="2195"/>
    <n v="8"/>
    <n v="3"/>
    <n v="55"/>
    <n v="165"/>
    <s v="Delivered"/>
    <n v="165"/>
    <x v="60"/>
  </r>
  <r>
    <n v="2419"/>
    <n v="2196"/>
    <n v="5"/>
    <n v="1"/>
    <n v="180"/>
    <n v="180"/>
    <s v="Delivered"/>
    <n v="180"/>
    <x v="92"/>
  </r>
  <r>
    <n v="2420"/>
    <n v="2196"/>
    <n v="1"/>
    <n v="1"/>
    <n v="750"/>
    <n v="750"/>
    <s v="Delivered"/>
    <n v="750"/>
    <x v="92"/>
  </r>
  <r>
    <n v="2421"/>
    <n v="2196"/>
    <n v="10"/>
    <n v="3"/>
    <n v="8"/>
    <n v="24"/>
    <s v="Delivered"/>
    <n v="24"/>
    <x v="92"/>
  </r>
  <r>
    <n v="2422"/>
    <n v="2197"/>
    <n v="10"/>
    <n v="3"/>
    <n v="8"/>
    <n v="24"/>
    <s v="Delivered"/>
    <n v="24"/>
    <x v="96"/>
  </r>
  <r>
    <n v="2423"/>
    <n v="2198"/>
    <n v="2"/>
    <n v="2"/>
    <n v="220"/>
    <n v="440"/>
    <s v="Delivered"/>
    <n v="440"/>
    <x v="84"/>
  </r>
  <r>
    <n v="2424"/>
    <n v="2198"/>
    <n v="11"/>
    <n v="3"/>
    <n v="48"/>
    <n v="144"/>
    <s v="Delivered"/>
    <n v="144"/>
    <x v="84"/>
  </r>
  <r>
    <n v="2425"/>
    <n v="2199"/>
    <n v="10"/>
    <n v="1"/>
    <n v="8"/>
    <n v="8"/>
    <s v="Delivered"/>
    <n v="8"/>
    <x v="74"/>
  </r>
  <r>
    <n v="2426"/>
    <n v="2200"/>
    <n v="11"/>
    <n v="2"/>
    <n v="48"/>
    <n v="96"/>
    <s v="Shipped"/>
    <n v="96"/>
    <x v="40"/>
  </r>
  <r>
    <n v="2427"/>
    <n v="2200"/>
    <n v="3"/>
    <n v="1"/>
    <n v="45"/>
    <n v="45"/>
    <s v="Shipped"/>
    <n v="45"/>
    <x v="4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001"/>
    <n v="77"/>
    <x v="0"/>
    <x v="0"/>
  </r>
  <r>
    <n v="1002"/>
    <n v="108"/>
    <x v="1"/>
    <x v="1"/>
  </r>
  <r>
    <n v="1003"/>
    <n v="91"/>
    <x v="2"/>
    <x v="1"/>
  </r>
  <r>
    <n v="1004"/>
    <n v="128"/>
    <x v="3"/>
    <x v="1"/>
  </r>
  <r>
    <n v="1005"/>
    <n v="236"/>
    <x v="4"/>
    <x v="2"/>
  </r>
  <r>
    <n v="1006"/>
    <n v="261"/>
    <x v="5"/>
    <x v="2"/>
  </r>
  <r>
    <n v="1007"/>
    <n v="223"/>
    <x v="6"/>
    <x v="2"/>
  </r>
  <r>
    <n v="1008"/>
    <n v="276"/>
    <x v="7"/>
    <x v="2"/>
  </r>
  <r>
    <n v="1009"/>
    <n v="154"/>
    <x v="8"/>
    <x v="2"/>
  </r>
  <r>
    <n v="1010"/>
    <n v="90"/>
    <x v="9"/>
    <x v="2"/>
  </r>
  <r>
    <n v="1011"/>
    <n v="110"/>
    <x v="10"/>
    <x v="2"/>
  </r>
  <r>
    <n v="1012"/>
    <n v="24"/>
    <x v="11"/>
    <x v="2"/>
  </r>
  <r>
    <n v="1013"/>
    <n v="205"/>
    <x v="12"/>
    <x v="2"/>
  </r>
  <r>
    <n v="1014"/>
    <n v="266"/>
    <x v="13"/>
    <x v="2"/>
  </r>
  <r>
    <n v="1015"/>
    <n v="227"/>
    <x v="14"/>
    <x v="2"/>
  </r>
  <r>
    <n v="1016"/>
    <n v="123"/>
    <x v="15"/>
    <x v="2"/>
  </r>
  <r>
    <n v="1017"/>
    <n v="79"/>
    <x v="16"/>
    <x v="2"/>
  </r>
  <r>
    <n v="1018"/>
    <n v="295"/>
    <x v="12"/>
    <x v="2"/>
  </r>
  <r>
    <n v="1019"/>
    <n v="280"/>
    <x v="17"/>
    <x v="2"/>
  </r>
  <r>
    <n v="1020"/>
    <n v="66"/>
    <x v="18"/>
    <x v="2"/>
  </r>
  <r>
    <n v="1021"/>
    <n v="168"/>
    <x v="19"/>
    <x v="2"/>
  </r>
  <r>
    <n v="1022"/>
    <n v="36"/>
    <x v="20"/>
    <x v="2"/>
  </r>
  <r>
    <n v="1023"/>
    <n v="189"/>
    <x v="10"/>
    <x v="2"/>
  </r>
  <r>
    <n v="1024"/>
    <n v="295"/>
    <x v="21"/>
    <x v="0"/>
  </r>
  <r>
    <n v="1025"/>
    <n v="62"/>
    <x v="22"/>
    <x v="2"/>
  </r>
  <r>
    <n v="1026"/>
    <n v="186"/>
    <x v="23"/>
    <x v="2"/>
  </r>
  <r>
    <n v="1027"/>
    <n v="45"/>
    <x v="24"/>
    <x v="2"/>
  </r>
  <r>
    <n v="1028"/>
    <n v="133"/>
    <x v="25"/>
    <x v="2"/>
  </r>
  <r>
    <n v="1029"/>
    <n v="124"/>
    <x v="26"/>
    <x v="2"/>
  </r>
  <r>
    <n v="1030"/>
    <n v="284"/>
    <x v="27"/>
    <x v="2"/>
  </r>
  <r>
    <n v="1031"/>
    <n v="275"/>
    <x v="28"/>
    <x v="2"/>
  </r>
  <r>
    <n v="1032"/>
    <n v="274"/>
    <x v="29"/>
    <x v="2"/>
  </r>
  <r>
    <n v="1033"/>
    <n v="252"/>
    <x v="30"/>
    <x v="1"/>
  </r>
  <r>
    <n v="1034"/>
    <n v="175"/>
    <x v="4"/>
    <x v="2"/>
  </r>
  <r>
    <n v="1035"/>
    <n v="28"/>
    <x v="26"/>
    <x v="2"/>
  </r>
  <r>
    <n v="1036"/>
    <n v="116"/>
    <x v="31"/>
    <x v="2"/>
  </r>
  <r>
    <n v="1037"/>
    <n v="136"/>
    <x v="32"/>
    <x v="2"/>
  </r>
  <r>
    <n v="1038"/>
    <n v="145"/>
    <x v="33"/>
    <x v="2"/>
  </r>
  <r>
    <n v="1039"/>
    <n v="85"/>
    <x v="34"/>
    <x v="2"/>
  </r>
  <r>
    <n v="1040"/>
    <n v="225"/>
    <x v="35"/>
    <x v="2"/>
  </r>
  <r>
    <n v="1041"/>
    <n v="295"/>
    <x v="36"/>
    <x v="2"/>
  </r>
  <r>
    <n v="1042"/>
    <n v="252"/>
    <x v="7"/>
    <x v="2"/>
  </r>
  <r>
    <n v="1043"/>
    <n v="254"/>
    <x v="37"/>
    <x v="2"/>
  </r>
  <r>
    <n v="1044"/>
    <n v="1"/>
    <x v="38"/>
    <x v="2"/>
  </r>
  <r>
    <n v="1045"/>
    <n v="68"/>
    <x v="39"/>
    <x v="2"/>
  </r>
  <r>
    <n v="1046"/>
    <n v="283"/>
    <x v="40"/>
    <x v="2"/>
  </r>
  <r>
    <n v="1047"/>
    <n v="140"/>
    <x v="41"/>
    <x v="2"/>
  </r>
  <r>
    <n v="1048"/>
    <n v="142"/>
    <x v="42"/>
    <x v="1"/>
  </r>
  <r>
    <n v="1049"/>
    <n v="297"/>
    <x v="43"/>
    <x v="2"/>
  </r>
  <r>
    <n v="1050"/>
    <n v="123"/>
    <x v="44"/>
    <x v="3"/>
  </r>
  <r>
    <n v="1051"/>
    <n v="78"/>
    <x v="45"/>
    <x v="2"/>
  </r>
  <r>
    <n v="1052"/>
    <n v="210"/>
    <x v="46"/>
    <x v="2"/>
  </r>
  <r>
    <n v="1053"/>
    <n v="250"/>
    <x v="45"/>
    <x v="0"/>
  </r>
  <r>
    <n v="1054"/>
    <n v="52"/>
    <x v="47"/>
    <x v="2"/>
  </r>
  <r>
    <n v="1055"/>
    <n v="211"/>
    <x v="48"/>
    <x v="2"/>
  </r>
  <r>
    <n v="1056"/>
    <n v="131"/>
    <x v="49"/>
    <x v="2"/>
  </r>
  <r>
    <n v="1057"/>
    <n v="154"/>
    <x v="50"/>
    <x v="3"/>
  </r>
  <r>
    <n v="1058"/>
    <n v="293"/>
    <x v="23"/>
    <x v="2"/>
  </r>
  <r>
    <n v="1059"/>
    <n v="26"/>
    <x v="22"/>
    <x v="2"/>
  </r>
  <r>
    <n v="1060"/>
    <n v="71"/>
    <x v="51"/>
    <x v="2"/>
  </r>
  <r>
    <n v="1061"/>
    <n v="90"/>
    <x v="19"/>
    <x v="2"/>
  </r>
  <r>
    <n v="1062"/>
    <n v="152"/>
    <x v="52"/>
    <x v="0"/>
  </r>
  <r>
    <n v="1063"/>
    <n v="286"/>
    <x v="53"/>
    <x v="3"/>
  </r>
  <r>
    <n v="1064"/>
    <n v="135"/>
    <x v="8"/>
    <x v="2"/>
  </r>
  <r>
    <n v="1065"/>
    <n v="238"/>
    <x v="13"/>
    <x v="2"/>
  </r>
  <r>
    <n v="1066"/>
    <n v="70"/>
    <x v="2"/>
    <x v="1"/>
  </r>
  <r>
    <n v="1067"/>
    <n v="251"/>
    <x v="54"/>
    <x v="2"/>
  </r>
  <r>
    <n v="1068"/>
    <n v="184"/>
    <x v="55"/>
    <x v="2"/>
  </r>
  <r>
    <n v="1069"/>
    <n v="11"/>
    <x v="36"/>
    <x v="2"/>
  </r>
  <r>
    <n v="1070"/>
    <n v="120"/>
    <x v="32"/>
    <x v="2"/>
  </r>
  <r>
    <n v="1071"/>
    <n v="14"/>
    <x v="56"/>
    <x v="2"/>
  </r>
  <r>
    <n v="1072"/>
    <n v="216"/>
    <x v="57"/>
    <x v="2"/>
  </r>
  <r>
    <n v="1073"/>
    <n v="235"/>
    <x v="51"/>
    <x v="2"/>
  </r>
  <r>
    <n v="1074"/>
    <n v="34"/>
    <x v="58"/>
    <x v="2"/>
  </r>
  <r>
    <n v="1075"/>
    <n v="59"/>
    <x v="59"/>
    <x v="2"/>
  </r>
  <r>
    <n v="1076"/>
    <n v="161"/>
    <x v="60"/>
    <x v="2"/>
  </r>
  <r>
    <n v="1077"/>
    <n v="285"/>
    <x v="61"/>
    <x v="2"/>
  </r>
  <r>
    <n v="1078"/>
    <n v="160"/>
    <x v="62"/>
    <x v="0"/>
  </r>
  <r>
    <n v="1079"/>
    <n v="285"/>
    <x v="23"/>
    <x v="2"/>
  </r>
  <r>
    <n v="1080"/>
    <n v="14"/>
    <x v="53"/>
    <x v="2"/>
  </r>
  <r>
    <n v="1081"/>
    <n v="36"/>
    <x v="63"/>
    <x v="2"/>
  </r>
  <r>
    <n v="1082"/>
    <n v="160"/>
    <x v="64"/>
    <x v="2"/>
  </r>
  <r>
    <n v="1083"/>
    <n v="249"/>
    <x v="65"/>
    <x v="2"/>
  </r>
  <r>
    <n v="1084"/>
    <n v="24"/>
    <x v="66"/>
    <x v="2"/>
  </r>
  <r>
    <n v="1085"/>
    <n v="62"/>
    <x v="67"/>
    <x v="2"/>
  </r>
  <r>
    <n v="1086"/>
    <n v="182"/>
    <x v="68"/>
    <x v="2"/>
  </r>
  <r>
    <n v="1087"/>
    <n v="208"/>
    <x v="69"/>
    <x v="2"/>
  </r>
  <r>
    <n v="1088"/>
    <n v="46"/>
    <x v="70"/>
    <x v="0"/>
  </r>
  <r>
    <n v="1089"/>
    <n v="114"/>
    <x v="40"/>
    <x v="2"/>
  </r>
  <r>
    <n v="1090"/>
    <n v="75"/>
    <x v="48"/>
    <x v="2"/>
  </r>
  <r>
    <n v="1091"/>
    <n v="290"/>
    <x v="27"/>
    <x v="2"/>
  </r>
  <r>
    <n v="1092"/>
    <n v="260"/>
    <x v="71"/>
    <x v="2"/>
  </r>
  <r>
    <n v="1093"/>
    <n v="47"/>
    <x v="72"/>
    <x v="1"/>
  </r>
  <r>
    <n v="1094"/>
    <n v="165"/>
    <x v="73"/>
    <x v="2"/>
  </r>
  <r>
    <n v="1095"/>
    <n v="21"/>
    <x v="74"/>
    <x v="2"/>
  </r>
  <r>
    <n v="1096"/>
    <n v="199"/>
    <x v="61"/>
    <x v="0"/>
  </r>
  <r>
    <n v="1097"/>
    <n v="146"/>
    <x v="75"/>
    <x v="2"/>
  </r>
  <r>
    <n v="1098"/>
    <n v="201"/>
    <x v="76"/>
    <x v="2"/>
  </r>
  <r>
    <n v="1099"/>
    <n v="270"/>
    <x v="3"/>
    <x v="2"/>
  </r>
  <r>
    <n v="1100"/>
    <n v="249"/>
    <x v="64"/>
    <x v="0"/>
  </r>
  <r>
    <n v="1101"/>
    <n v="277"/>
    <x v="47"/>
    <x v="2"/>
  </r>
  <r>
    <n v="1102"/>
    <n v="187"/>
    <x v="77"/>
    <x v="2"/>
  </r>
  <r>
    <n v="1103"/>
    <n v="293"/>
    <x v="78"/>
    <x v="2"/>
  </r>
  <r>
    <n v="1104"/>
    <n v="247"/>
    <x v="79"/>
    <x v="2"/>
  </r>
  <r>
    <n v="1105"/>
    <n v="47"/>
    <x v="48"/>
    <x v="2"/>
  </r>
  <r>
    <n v="1106"/>
    <n v="42"/>
    <x v="2"/>
    <x v="2"/>
  </r>
  <r>
    <n v="1107"/>
    <n v="242"/>
    <x v="6"/>
    <x v="2"/>
  </r>
  <r>
    <n v="1108"/>
    <n v="57"/>
    <x v="31"/>
    <x v="2"/>
  </r>
  <r>
    <n v="1109"/>
    <n v="256"/>
    <x v="80"/>
    <x v="2"/>
  </r>
  <r>
    <n v="1110"/>
    <n v="44"/>
    <x v="81"/>
    <x v="2"/>
  </r>
  <r>
    <n v="1111"/>
    <n v="35"/>
    <x v="82"/>
    <x v="2"/>
  </r>
  <r>
    <n v="1112"/>
    <n v="238"/>
    <x v="56"/>
    <x v="2"/>
  </r>
  <r>
    <n v="1113"/>
    <n v="264"/>
    <x v="28"/>
    <x v="0"/>
  </r>
  <r>
    <n v="1114"/>
    <n v="25"/>
    <x v="83"/>
    <x v="2"/>
  </r>
  <r>
    <n v="1115"/>
    <n v="189"/>
    <x v="84"/>
    <x v="2"/>
  </r>
  <r>
    <n v="1116"/>
    <n v="219"/>
    <x v="85"/>
    <x v="2"/>
  </r>
  <r>
    <n v="1117"/>
    <n v="141"/>
    <x v="86"/>
    <x v="3"/>
  </r>
  <r>
    <n v="1118"/>
    <n v="225"/>
    <x v="31"/>
    <x v="2"/>
  </r>
  <r>
    <n v="1119"/>
    <n v="231"/>
    <x v="33"/>
    <x v="2"/>
  </r>
  <r>
    <n v="1120"/>
    <n v="96"/>
    <x v="87"/>
    <x v="2"/>
  </r>
  <r>
    <n v="1121"/>
    <n v="252"/>
    <x v="83"/>
    <x v="2"/>
  </r>
  <r>
    <n v="1122"/>
    <n v="164"/>
    <x v="88"/>
    <x v="2"/>
  </r>
  <r>
    <n v="1123"/>
    <n v="103"/>
    <x v="89"/>
    <x v="2"/>
  </r>
  <r>
    <n v="1124"/>
    <n v="45"/>
    <x v="90"/>
    <x v="2"/>
  </r>
  <r>
    <n v="1125"/>
    <n v="163"/>
    <x v="69"/>
    <x v="2"/>
  </r>
  <r>
    <n v="1126"/>
    <n v="156"/>
    <x v="8"/>
    <x v="2"/>
  </r>
  <r>
    <n v="1127"/>
    <n v="129"/>
    <x v="43"/>
    <x v="2"/>
  </r>
  <r>
    <n v="1128"/>
    <n v="298"/>
    <x v="91"/>
    <x v="2"/>
  </r>
  <r>
    <n v="1129"/>
    <n v="296"/>
    <x v="92"/>
    <x v="2"/>
  </r>
  <r>
    <n v="1130"/>
    <n v="208"/>
    <x v="52"/>
    <x v="2"/>
  </r>
  <r>
    <n v="1131"/>
    <n v="164"/>
    <x v="34"/>
    <x v="2"/>
  </r>
  <r>
    <n v="1132"/>
    <n v="197"/>
    <x v="60"/>
    <x v="2"/>
  </r>
  <r>
    <n v="1133"/>
    <n v="47"/>
    <x v="93"/>
    <x v="2"/>
  </r>
  <r>
    <n v="1134"/>
    <n v="147"/>
    <x v="76"/>
    <x v="2"/>
  </r>
  <r>
    <n v="1135"/>
    <n v="284"/>
    <x v="68"/>
    <x v="2"/>
  </r>
  <r>
    <n v="1136"/>
    <n v="174"/>
    <x v="60"/>
    <x v="2"/>
  </r>
  <r>
    <n v="1137"/>
    <n v="264"/>
    <x v="94"/>
    <x v="2"/>
  </r>
  <r>
    <n v="1138"/>
    <n v="261"/>
    <x v="71"/>
    <x v="2"/>
  </r>
  <r>
    <n v="1139"/>
    <n v="243"/>
    <x v="70"/>
    <x v="2"/>
  </r>
  <r>
    <n v="1140"/>
    <n v="125"/>
    <x v="45"/>
    <x v="2"/>
  </r>
  <r>
    <n v="1141"/>
    <n v="257"/>
    <x v="70"/>
    <x v="2"/>
  </r>
  <r>
    <n v="1142"/>
    <n v="136"/>
    <x v="64"/>
    <x v="2"/>
  </r>
  <r>
    <n v="1143"/>
    <n v="251"/>
    <x v="32"/>
    <x v="2"/>
  </r>
  <r>
    <n v="1144"/>
    <n v="75"/>
    <x v="50"/>
    <x v="0"/>
  </r>
  <r>
    <n v="1145"/>
    <n v="110"/>
    <x v="67"/>
    <x v="2"/>
  </r>
  <r>
    <n v="1146"/>
    <n v="26"/>
    <x v="95"/>
    <x v="2"/>
  </r>
  <r>
    <n v="1147"/>
    <n v="81"/>
    <x v="96"/>
    <x v="0"/>
  </r>
  <r>
    <n v="1148"/>
    <n v="31"/>
    <x v="58"/>
    <x v="2"/>
  </r>
  <r>
    <n v="1149"/>
    <n v="91"/>
    <x v="54"/>
    <x v="1"/>
  </r>
  <r>
    <n v="1150"/>
    <n v="149"/>
    <x v="81"/>
    <x v="0"/>
  </r>
  <r>
    <n v="1151"/>
    <n v="279"/>
    <x v="97"/>
    <x v="2"/>
  </r>
  <r>
    <n v="1152"/>
    <n v="8"/>
    <x v="67"/>
    <x v="2"/>
  </r>
  <r>
    <n v="1153"/>
    <n v="72"/>
    <x v="60"/>
    <x v="2"/>
  </r>
  <r>
    <n v="1154"/>
    <n v="294"/>
    <x v="98"/>
    <x v="2"/>
  </r>
  <r>
    <n v="1155"/>
    <n v="258"/>
    <x v="99"/>
    <x v="2"/>
  </r>
  <r>
    <n v="1156"/>
    <n v="282"/>
    <x v="61"/>
    <x v="2"/>
  </r>
  <r>
    <n v="1157"/>
    <n v="186"/>
    <x v="100"/>
    <x v="2"/>
  </r>
  <r>
    <n v="1158"/>
    <n v="168"/>
    <x v="17"/>
    <x v="2"/>
  </r>
  <r>
    <n v="1159"/>
    <n v="237"/>
    <x v="63"/>
    <x v="2"/>
  </r>
  <r>
    <n v="1160"/>
    <n v="36"/>
    <x v="101"/>
    <x v="3"/>
  </r>
  <r>
    <n v="1161"/>
    <n v="216"/>
    <x v="91"/>
    <x v="3"/>
  </r>
  <r>
    <n v="1162"/>
    <n v="277"/>
    <x v="102"/>
    <x v="0"/>
  </r>
  <r>
    <n v="1163"/>
    <n v="115"/>
    <x v="103"/>
    <x v="2"/>
  </r>
  <r>
    <n v="1164"/>
    <n v="178"/>
    <x v="104"/>
    <x v="2"/>
  </r>
  <r>
    <n v="1165"/>
    <n v="9"/>
    <x v="105"/>
    <x v="2"/>
  </r>
  <r>
    <n v="1166"/>
    <n v="23"/>
    <x v="106"/>
    <x v="2"/>
  </r>
  <r>
    <n v="1167"/>
    <n v="165"/>
    <x v="69"/>
    <x v="2"/>
  </r>
  <r>
    <n v="1168"/>
    <n v="90"/>
    <x v="107"/>
    <x v="2"/>
  </r>
  <r>
    <n v="1169"/>
    <n v="77"/>
    <x v="12"/>
    <x v="2"/>
  </r>
  <r>
    <n v="1170"/>
    <n v="214"/>
    <x v="108"/>
    <x v="2"/>
  </r>
  <r>
    <n v="1171"/>
    <n v="98"/>
    <x v="36"/>
    <x v="2"/>
  </r>
  <r>
    <n v="1172"/>
    <n v="287"/>
    <x v="95"/>
    <x v="2"/>
  </r>
  <r>
    <n v="1173"/>
    <n v="61"/>
    <x v="25"/>
    <x v="0"/>
  </r>
  <r>
    <n v="1174"/>
    <n v="184"/>
    <x v="45"/>
    <x v="2"/>
  </r>
  <r>
    <n v="1175"/>
    <n v="212"/>
    <x v="39"/>
    <x v="2"/>
  </r>
  <r>
    <n v="1176"/>
    <n v="152"/>
    <x v="27"/>
    <x v="2"/>
  </r>
  <r>
    <n v="1177"/>
    <n v="173"/>
    <x v="76"/>
    <x v="0"/>
  </r>
  <r>
    <n v="1178"/>
    <n v="280"/>
    <x v="109"/>
    <x v="2"/>
  </r>
  <r>
    <n v="1179"/>
    <n v="119"/>
    <x v="96"/>
    <x v="2"/>
  </r>
  <r>
    <n v="1180"/>
    <n v="248"/>
    <x v="30"/>
    <x v="2"/>
  </r>
  <r>
    <n v="1181"/>
    <n v="221"/>
    <x v="35"/>
    <x v="2"/>
  </r>
  <r>
    <n v="1182"/>
    <n v="204"/>
    <x v="110"/>
    <x v="2"/>
  </r>
  <r>
    <n v="1183"/>
    <n v="42"/>
    <x v="22"/>
    <x v="2"/>
  </r>
  <r>
    <n v="1184"/>
    <n v="223"/>
    <x v="111"/>
    <x v="2"/>
  </r>
  <r>
    <n v="1185"/>
    <n v="144"/>
    <x v="112"/>
    <x v="0"/>
  </r>
  <r>
    <n v="1186"/>
    <n v="204"/>
    <x v="34"/>
    <x v="2"/>
  </r>
  <r>
    <n v="1187"/>
    <n v="72"/>
    <x v="101"/>
    <x v="2"/>
  </r>
  <r>
    <n v="1188"/>
    <n v="168"/>
    <x v="14"/>
    <x v="2"/>
  </r>
  <r>
    <n v="1189"/>
    <n v="300"/>
    <x v="113"/>
    <x v="2"/>
  </r>
  <r>
    <n v="1190"/>
    <n v="163"/>
    <x v="114"/>
    <x v="2"/>
  </r>
  <r>
    <n v="1191"/>
    <n v="286"/>
    <x v="81"/>
    <x v="2"/>
  </r>
  <r>
    <n v="1192"/>
    <n v="199"/>
    <x v="46"/>
    <x v="2"/>
  </r>
  <r>
    <n v="1193"/>
    <n v="253"/>
    <x v="115"/>
    <x v="2"/>
  </r>
  <r>
    <n v="1194"/>
    <n v="127"/>
    <x v="116"/>
    <x v="2"/>
  </r>
  <r>
    <n v="1195"/>
    <n v="169"/>
    <x v="45"/>
    <x v="2"/>
  </r>
  <r>
    <n v="1196"/>
    <n v="164"/>
    <x v="29"/>
    <x v="0"/>
  </r>
  <r>
    <n v="1197"/>
    <n v="289"/>
    <x v="103"/>
    <x v="2"/>
  </r>
  <r>
    <n v="1198"/>
    <n v="150"/>
    <x v="32"/>
    <x v="2"/>
  </r>
  <r>
    <n v="1199"/>
    <n v="246"/>
    <x v="117"/>
    <x v="2"/>
  </r>
  <r>
    <n v="1200"/>
    <n v="182"/>
    <x v="23"/>
    <x v="2"/>
  </r>
  <r>
    <n v="1201"/>
    <n v="51"/>
    <x v="118"/>
    <x v="2"/>
  </r>
  <r>
    <n v="1202"/>
    <n v="13"/>
    <x v="35"/>
    <x v="2"/>
  </r>
  <r>
    <n v="1203"/>
    <n v="106"/>
    <x v="64"/>
    <x v="2"/>
  </r>
  <r>
    <n v="1204"/>
    <n v="56"/>
    <x v="119"/>
    <x v="2"/>
  </r>
  <r>
    <n v="1205"/>
    <n v="222"/>
    <x v="120"/>
    <x v="2"/>
  </r>
  <r>
    <n v="1206"/>
    <n v="33"/>
    <x v="5"/>
    <x v="2"/>
  </r>
  <r>
    <n v="1207"/>
    <n v="199"/>
    <x v="30"/>
    <x v="2"/>
  </r>
  <r>
    <n v="1208"/>
    <n v="69"/>
    <x v="86"/>
    <x v="2"/>
  </r>
  <r>
    <n v="1209"/>
    <n v="197"/>
    <x v="14"/>
    <x v="2"/>
  </r>
  <r>
    <n v="1210"/>
    <n v="184"/>
    <x v="121"/>
    <x v="2"/>
  </r>
  <r>
    <n v="1211"/>
    <n v="252"/>
    <x v="122"/>
    <x v="2"/>
  </r>
  <r>
    <n v="1212"/>
    <n v="276"/>
    <x v="33"/>
    <x v="2"/>
  </r>
  <r>
    <n v="1213"/>
    <n v="22"/>
    <x v="101"/>
    <x v="2"/>
  </r>
  <r>
    <n v="1214"/>
    <n v="61"/>
    <x v="88"/>
    <x v="2"/>
  </r>
  <r>
    <n v="1215"/>
    <n v="106"/>
    <x v="123"/>
    <x v="2"/>
  </r>
  <r>
    <n v="1216"/>
    <n v="137"/>
    <x v="41"/>
    <x v="2"/>
  </r>
  <r>
    <n v="1217"/>
    <n v="127"/>
    <x v="48"/>
    <x v="2"/>
  </r>
  <r>
    <n v="1218"/>
    <n v="143"/>
    <x v="124"/>
    <x v="2"/>
  </r>
  <r>
    <n v="1219"/>
    <n v="204"/>
    <x v="125"/>
    <x v="2"/>
  </r>
  <r>
    <n v="1220"/>
    <n v="249"/>
    <x v="69"/>
    <x v="2"/>
  </r>
  <r>
    <n v="1221"/>
    <n v="220"/>
    <x v="77"/>
    <x v="2"/>
  </r>
  <r>
    <n v="1222"/>
    <n v="129"/>
    <x v="36"/>
    <x v="2"/>
  </r>
  <r>
    <n v="1223"/>
    <n v="49"/>
    <x v="126"/>
    <x v="2"/>
  </r>
  <r>
    <n v="1224"/>
    <n v="176"/>
    <x v="127"/>
    <x v="2"/>
  </r>
  <r>
    <n v="1225"/>
    <n v="154"/>
    <x v="128"/>
    <x v="2"/>
  </r>
  <r>
    <n v="1226"/>
    <n v="85"/>
    <x v="127"/>
    <x v="2"/>
  </r>
  <r>
    <n v="1227"/>
    <n v="197"/>
    <x v="123"/>
    <x v="2"/>
  </r>
  <r>
    <n v="1228"/>
    <n v="14"/>
    <x v="31"/>
    <x v="2"/>
  </r>
  <r>
    <n v="1229"/>
    <n v="124"/>
    <x v="122"/>
    <x v="2"/>
  </r>
  <r>
    <n v="1230"/>
    <n v="89"/>
    <x v="105"/>
    <x v="2"/>
  </r>
  <r>
    <n v="1231"/>
    <n v="257"/>
    <x v="74"/>
    <x v="2"/>
  </r>
  <r>
    <n v="1232"/>
    <n v="201"/>
    <x v="114"/>
    <x v="2"/>
  </r>
  <r>
    <n v="1233"/>
    <n v="159"/>
    <x v="129"/>
    <x v="2"/>
  </r>
  <r>
    <n v="1234"/>
    <n v="133"/>
    <x v="130"/>
    <x v="2"/>
  </r>
  <r>
    <n v="1235"/>
    <n v="220"/>
    <x v="131"/>
    <x v="2"/>
  </r>
  <r>
    <n v="1236"/>
    <n v="131"/>
    <x v="18"/>
    <x v="2"/>
  </r>
  <r>
    <n v="1237"/>
    <n v="187"/>
    <x v="24"/>
    <x v="2"/>
  </r>
  <r>
    <n v="1238"/>
    <n v="293"/>
    <x v="132"/>
    <x v="2"/>
  </r>
  <r>
    <n v="1239"/>
    <n v="145"/>
    <x v="133"/>
    <x v="1"/>
  </r>
  <r>
    <n v="1240"/>
    <n v="289"/>
    <x v="55"/>
    <x v="2"/>
  </r>
  <r>
    <n v="1241"/>
    <n v="126"/>
    <x v="134"/>
    <x v="2"/>
  </r>
  <r>
    <n v="1242"/>
    <n v="1"/>
    <x v="127"/>
    <x v="0"/>
  </r>
  <r>
    <n v="1243"/>
    <n v="48"/>
    <x v="34"/>
    <x v="2"/>
  </r>
  <r>
    <n v="1244"/>
    <n v="69"/>
    <x v="27"/>
    <x v="2"/>
  </r>
  <r>
    <n v="1245"/>
    <n v="168"/>
    <x v="135"/>
    <x v="2"/>
  </r>
  <r>
    <n v="1246"/>
    <n v="231"/>
    <x v="114"/>
    <x v="2"/>
  </r>
  <r>
    <n v="1247"/>
    <n v="156"/>
    <x v="136"/>
    <x v="2"/>
  </r>
  <r>
    <n v="1248"/>
    <n v="134"/>
    <x v="106"/>
    <x v="2"/>
  </r>
  <r>
    <n v="1249"/>
    <n v="72"/>
    <x v="137"/>
    <x v="2"/>
  </r>
  <r>
    <n v="1250"/>
    <n v="44"/>
    <x v="61"/>
    <x v="2"/>
  </r>
  <r>
    <n v="1251"/>
    <n v="237"/>
    <x v="8"/>
    <x v="2"/>
  </r>
  <r>
    <n v="1252"/>
    <n v="110"/>
    <x v="126"/>
    <x v="2"/>
  </r>
  <r>
    <n v="1253"/>
    <n v="256"/>
    <x v="24"/>
    <x v="2"/>
  </r>
  <r>
    <n v="1254"/>
    <n v="279"/>
    <x v="138"/>
    <x v="2"/>
  </r>
  <r>
    <n v="1255"/>
    <n v="139"/>
    <x v="35"/>
    <x v="2"/>
  </r>
  <r>
    <n v="1256"/>
    <n v="242"/>
    <x v="108"/>
    <x v="2"/>
  </r>
  <r>
    <n v="1257"/>
    <n v="113"/>
    <x v="108"/>
    <x v="2"/>
  </r>
  <r>
    <n v="1258"/>
    <n v="291"/>
    <x v="139"/>
    <x v="2"/>
  </r>
  <r>
    <n v="1259"/>
    <n v="1"/>
    <x v="119"/>
    <x v="2"/>
  </r>
  <r>
    <n v="1260"/>
    <n v="73"/>
    <x v="107"/>
    <x v="2"/>
  </r>
  <r>
    <n v="1261"/>
    <n v="155"/>
    <x v="95"/>
    <x v="2"/>
  </r>
  <r>
    <n v="1262"/>
    <n v="115"/>
    <x v="86"/>
    <x v="2"/>
  </r>
  <r>
    <n v="1263"/>
    <n v="291"/>
    <x v="103"/>
    <x v="1"/>
  </r>
  <r>
    <n v="1264"/>
    <n v="290"/>
    <x v="129"/>
    <x v="2"/>
  </r>
  <r>
    <n v="1265"/>
    <n v="46"/>
    <x v="18"/>
    <x v="2"/>
  </r>
  <r>
    <n v="1266"/>
    <n v="225"/>
    <x v="140"/>
    <x v="2"/>
  </r>
  <r>
    <n v="1267"/>
    <n v="116"/>
    <x v="141"/>
    <x v="2"/>
  </r>
  <r>
    <n v="1268"/>
    <n v="88"/>
    <x v="128"/>
    <x v="2"/>
  </r>
  <r>
    <n v="1269"/>
    <n v="85"/>
    <x v="118"/>
    <x v="0"/>
  </r>
  <r>
    <n v="1270"/>
    <n v="277"/>
    <x v="12"/>
    <x v="2"/>
  </r>
  <r>
    <n v="1271"/>
    <n v="2"/>
    <x v="114"/>
    <x v="2"/>
  </r>
  <r>
    <n v="1272"/>
    <n v="158"/>
    <x v="142"/>
    <x v="2"/>
  </r>
  <r>
    <n v="1273"/>
    <n v="23"/>
    <x v="55"/>
    <x v="2"/>
  </r>
  <r>
    <n v="1274"/>
    <n v="177"/>
    <x v="143"/>
    <x v="2"/>
  </r>
  <r>
    <n v="1275"/>
    <n v="41"/>
    <x v="2"/>
    <x v="2"/>
  </r>
  <r>
    <n v="1276"/>
    <n v="65"/>
    <x v="25"/>
    <x v="2"/>
  </r>
  <r>
    <n v="1277"/>
    <n v="133"/>
    <x v="48"/>
    <x v="2"/>
  </r>
  <r>
    <n v="1278"/>
    <n v="7"/>
    <x v="144"/>
    <x v="0"/>
  </r>
  <r>
    <n v="1279"/>
    <n v="52"/>
    <x v="95"/>
    <x v="2"/>
  </r>
  <r>
    <n v="1280"/>
    <n v="249"/>
    <x v="57"/>
    <x v="2"/>
  </r>
  <r>
    <n v="1281"/>
    <n v="170"/>
    <x v="145"/>
    <x v="1"/>
  </r>
  <r>
    <n v="1282"/>
    <n v="156"/>
    <x v="146"/>
    <x v="2"/>
  </r>
  <r>
    <n v="1283"/>
    <n v="46"/>
    <x v="115"/>
    <x v="2"/>
  </r>
  <r>
    <n v="1284"/>
    <n v="264"/>
    <x v="61"/>
    <x v="2"/>
  </r>
  <r>
    <n v="1285"/>
    <n v="99"/>
    <x v="147"/>
    <x v="2"/>
  </r>
  <r>
    <n v="1286"/>
    <n v="238"/>
    <x v="148"/>
    <x v="2"/>
  </r>
  <r>
    <n v="1287"/>
    <n v="177"/>
    <x v="95"/>
    <x v="2"/>
  </r>
  <r>
    <n v="1288"/>
    <n v="116"/>
    <x v="25"/>
    <x v="1"/>
  </r>
  <r>
    <n v="1289"/>
    <n v="5"/>
    <x v="90"/>
    <x v="2"/>
  </r>
  <r>
    <n v="1290"/>
    <n v="112"/>
    <x v="20"/>
    <x v="2"/>
  </r>
  <r>
    <n v="1291"/>
    <n v="145"/>
    <x v="68"/>
    <x v="2"/>
  </r>
  <r>
    <n v="1292"/>
    <n v="153"/>
    <x v="149"/>
    <x v="2"/>
  </r>
  <r>
    <n v="1293"/>
    <n v="72"/>
    <x v="124"/>
    <x v="2"/>
  </r>
  <r>
    <n v="1294"/>
    <n v="114"/>
    <x v="44"/>
    <x v="2"/>
  </r>
  <r>
    <n v="1295"/>
    <n v="133"/>
    <x v="4"/>
    <x v="2"/>
  </r>
  <r>
    <n v="1296"/>
    <n v="151"/>
    <x v="61"/>
    <x v="2"/>
  </r>
  <r>
    <n v="1297"/>
    <n v="212"/>
    <x v="45"/>
    <x v="2"/>
  </r>
  <r>
    <n v="1298"/>
    <n v="93"/>
    <x v="34"/>
    <x v="2"/>
  </r>
  <r>
    <n v="1299"/>
    <n v="87"/>
    <x v="150"/>
    <x v="2"/>
  </r>
  <r>
    <n v="1300"/>
    <n v="192"/>
    <x v="151"/>
    <x v="2"/>
  </r>
  <r>
    <n v="1301"/>
    <n v="160"/>
    <x v="152"/>
    <x v="1"/>
  </r>
  <r>
    <n v="1302"/>
    <n v="86"/>
    <x v="35"/>
    <x v="2"/>
  </r>
  <r>
    <n v="1303"/>
    <n v="69"/>
    <x v="146"/>
    <x v="2"/>
  </r>
  <r>
    <n v="1304"/>
    <n v="68"/>
    <x v="153"/>
    <x v="2"/>
  </r>
  <r>
    <n v="1305"/>
    <n v="131"/>
    <x v="6"/>
    <x v="2"/>
  </r>
  <r>
    <n v="1306"/>
    <n v="79"/>
    <x v="154"/>
    <x v="2"/>
  </r>
  <r>
    <n v="1307"/>
    <n v="71"/>
    <x v="155"/>
    <x v="2"/>
  </r>
  <r>
    <n v="1308"/>
    <n v="104"/>
    <x v="57"/>
    <x v="2"/>
  </r>
  <r>
    <n v="1309"/>
    <n v="7"/>
    <x v="37"/>
    <x v="2"/>
  </r>
  <r>
    <n v="1310"/>
    <n v="152"/>
    <x v="91"/>
    <x v="2"/>
  </r>
  <r>
    <n v="1311"/>
    <n v="60"/>
    <x v="28"/>
    <x v="2"/>
  </r>
  <r>
    <n v="1312"/>
    <n v="138"/>
    <x v="77"/>
    <x v="0"/>
  </r>
  <r>
    <n v="1313"/>
    <n v="245"/>
    <x v="132"/>
    <x v="2"/>
  </r>
  <r>
    <n v="1314"/>
    <n v="248"/>
    <x v="128"/>
    <x v="2"/>
  </r>
  <r>
    <n v="1315"/>
    <n v="58"/>
    <x v="52"/>
    <x v="0"/>
  </r>
  <r>
    <n v="1316"/>
    <n v="269"/>
    <x v="139"/>
    <x v="1"/>
  </r>
  <r>
    <n v="1317"/>
    <n v="247"/>
    <x v="156"/>
    <x v="2"/>
  </r>
  <r>
    <n v="1318"/>
    <n v="81"/>
    <x v="127"/>
    <x v="2"/>
  </r>
  <r>
    <n v="1319"/>
    <n v="207"/>
    <x v="154"/>
    <x v="2"/>
  </r>
  <r>
    <n v="1320"/>
    <n v="255"/>
    <x v="100"/>
    <x v="2"/>
  </r>
  <r>
    <n v="1321"/>
    <n v="261"/>
    <x v="121"/>
    <x v="2"/>
  </r>
  <r>
    <n v="1322"/>
    <n v="187"/>
    <x v="157"/>
    <x v="2"/>
  </r>
  <r>
    <n v="1323"/>
    <n v="55"/>
    <x v="15"/>
    <x v="2"/>
  </r>
  <r>
    <n v="1324"/>
    <n v="97"/>
    <x v="67"/>
    <x v="2"/>
  </r>
  <r>
    <n v="1325"/>
    <n v="64"/>
    <x v="54"/>
    <x v="2"/>
  </r>
  <r>
    <n v="1326"/>
    <n v="261"/>
    <x v="158"/>
    <x v="2"/>
  </r>
  <r>
    <n v="1327"/>
    <n v="259"/>
    <x v="31"/>
    <x v="1"/>
  </r>
  <r>
    <n v="1328"/>
    <n v="151"/>
    <x v="145"/>
    <x v="0"/>
  </r>
  <r>
    <n v="1329"/>
    <n v="284"/>
    <x v="28"/>
    <x v="2"/>
  </r>
  <r>
    <n v="1330"/>
    <n v="166"/>
    <x v="101"/>
    <x v="2"/>
  </r>
  <r>
    <n v="1331"/>
    <n v="28"/>
    <x v="21"/>
    <x v="2"/>
  </r>
  <r>
    <n v="1332"/>
    <n v="232"/>
    <x v="101"/>
    <x v="2"/>
  </r>
  <r>
    <n v="1333"/>
    <n v="25"/>
    <x v="83"/>
    <x v="2"/>
  </r>
  <r>
    <n v="1334"/>
    <n v="189"/>
    <x v="153"/>
    <x v="0"/>
  </r>
  <r>
    <n v="1335"/>
    <n v="89"/>
    <x v="0"/>
    <x v="2"/>
  </r>
  <r>
    <n v="1336"/>
    <n v="80"/>
    <x v="96"/>
    <x v="2"/>
  </r>
  <r>
    <n v="1337"/>
    <n v="294"/>
    <x v="98"/>
    <x v="2"/>
  </r>
  <r>
    <n v="1338"/>
    <n v="110"/>
    <x v="36"/>
    <x v="2"/>
  </r>
  <r>
    <n v="1339"/>
    <n v="229"/>
    <x v="87"/>
    <x v="2"/>
  </r>
  <r>
    <n v="1340"/>
    <n v="145"/>
    <x v="159"/>
    <x v="2"/>
  </r>
  <r>
    <n v="1341"/>
    <n v="264"/>
    <x v="141"/>
    <x v="2"/>
  </r>
  <r>
    <n v="1342"/>
    <n v="110"/>
    <x v="125"/>
    <x v="2"/>
  </r>
  <r>
    <n v="1343"/>
    <n v="129"/>
    <x v="62"/>
    <x v="2"/>
  </r>
  <r>
    <n v="1344"/>
    <n v="4"/>
    <x v="53"/>
    <x v="2"/>
  </r>
  <r>
    <n v="1345"/>
    <n v="225"/>
    <x v="31"/>
    <x v="2"/>
  </r>
  <r>
    <n v="1346"/>
    <n v="74"/>
    <x v="85"/>
    <x v="0"/>
  </r>
  <r>
    <n v="1347"/>
    <n v="3"/>
    <x v="34"/>
    <x v="2"/>
  </r>
  <r>
    <n v="1348"/>
    <n v="73"/>
    <x v="72"/>
    <x v="1"/>
  </r>
  <r>
    <n v="1349"/>
    <n v="100"/>
    <x v="86"/>
    <x v="2"/>
  </r>
  <r>
    <n v="1350"/>
    <n v="149"/>
    <x v="72"/>
    <x v="2"/>
  </r>
  <r>
    <n v="1351"/>
    <n v="100"/>
    <x v="121"/>
    <x v="2"/>
  </r>
  <r>
    <n v="1352"/>
    <n v="161"/>
    <x v="126"/>
    <x v="2"/>
  </r>
  <r>
    <n v="1353"/>
    <n v="184"/>
    <x v="160"/>
    <x v="2"/>
  </r>
  <r>
    <n v="1354"/>
    <n v="40"/>
    <x v="17"/>
    <x v="2"/>
  </r>
  <r>
    <n v="1355"/>
    <n v="77"/>
    <x v="4"/>
    <x v="2"/>
  </r>
  <r>
    <n v="1356"/>
    <n v="85"/>
    <x v="127"/>
    <x v="2"/>
  </r>
  <r>
    <n v="1357"/>
    <n v="120"/>
    <x v="125"/>
    <x v="2"/>
  </r>
  <r>
    <n v="1358"/>
    <n v="166"/>
    <x v="112"/>
    <x v="2"/>
  </r>
  <r>
    <n v="1359"/>
    <n v="188"/>
    <x v="113"/>
    <x v="2"/>
  </r>
  <r>
    <n v="1360"/>
    <n v="4"/>
    <x v="52"/>
    <x v="1"/>
  </r>
  <r>
    <n v="1361"/>
    <n v="81"/>
    <x v="25"/>
    <x v="2"/>
  </r>
  <r>
    <n v="1362"/>
    <n v="83"/>
    <x v="160"/>
    <x v="2"/>
  </r>
  <r>
    <n v="1363"/>
    <n v="93"/>
    <x v="108"/>
    <x v="2"/>
  </r>
  <r>
    <n v="1364"/>
    <n v="211"/>
    <x v="109"/>
    <x v="2"/>
  </r>
  <r>
    <n v="1365"/>
    <n v="9"/>
    <x v="159"/>
    <x v="2"/>
  </r>
  <r>
    <n v="1366"/>
    <n v="273"/>
    <x v="157"/>
    <x v="2"/>
  </r>
  <r>
    <n v="1367"/>
    <n v="247"/>
    <x v="126"/>
    <x v="2"/>
  </r>
  <r>
    <n v="1368"/>
    <n v="279"/>
    <x v="43"/>
    <x v="2"/>
  </r>
  <r>
    <n v="1369"/>
    <n v="162"/>
    <x v="39"/>
    <x v="2"/>
  </r>
  <r>
    <n v="1370"/>
    <n v="142"/>
    <x v="63"/>
    <x v="2"/>
  </r>
  <r>
    <n v="1371"/>
    <n v="204"/>
    <x v="50"/>
    <x v="2"/>
  </r>
  <r>
    <n v="1372"/>
    <n v="27"/>
    <x v="86"/>
    <x v="2"/>
  </r>
  <r>
    <n v="1373"/>
    <n v="135"/>
    <x v="7"/>
    <x v="2"/>
  </r>
  <r>
    <n v="1374"/>
    <n v="147"/>
    <x v="86"/>
    <x v="2"/>
  </r>
  <r>
    <n v="1375"/>
    <n v="262"/>
    <x v="78"/>
    <x v="2"/>
  </r>
  <r>
    <n v="1376"/>
    <n v="203"/>
    <x v="161"/>
    <x v="2"/>
  </r>
  <r>
    <n v="1377"/>
    <n v="142"/>
    <x v="158"/>
    <x v="2"/>
  </r>
  <r>
    <n v="1378"/>
    <n v="287"/>
    <x v="162"/>
    <x v="2"/>
  </r>
  <r>
    <n v="1379"/>
    <n v="295"/>
    <x v="17"/>
    <x v="2"/>
  </r>
  <r>
    <n v="1380"/>
    <n v="15"/>
    <x v="102"/>
    <x v="2"/>
  </r>
  <r>
    <n v="1381"/>
    <n v="181"/>
    <x v="28"/>
    <x v="2"/>
  </r>
  <r>
    <n v="1382"/>
    <n v="182"/>
    <x v="29"/>
    <x v="2"/>
  </r>
  <r>
    <n v="1383"/>
    <n v="121"/>
    <x v="84"/>
    <x v="2"/>
  </r>
  <r>
    <n v="1384"/>
    <n v="253"/>
    <x v="92"/>
    <x v="2"/>
  </r>
  <r>
    <n v="1385"/>
    <n v="262"/>
    <x v="26"/>
    <x v="2"/>
  </r>
  <r>
    <n v="1386"/>
    <n v="90"/>
    <x v="35"/>
    <x v="2"/>
  </r>
  <r>
    <n v="1387"/>
    <n v="133"/>
    <x v="47"/>
    <x v="2"/>
  </r>
  <r>
    <n v="1388"/>
    <n v="108"/>
    <x v="81"/>
    <x v="2"/>
  </r>
  <r>
    <n v="1389"/>
    <n v="52"/>
    <x v="22"/>
    <x v="2"/>
  </r>
  <r>
    <n v="1390"/>
    <n v="69"/>
    <x v="29"/>
    <x v="2"/>
  </r>
  <r>
    <n v="1391"/>
    <n v="131"/>
    <x v="163"/>
    <x v="2"/>
  </r>
  <r>
    <n v="1392"/>
    <n v="63"/>
    <x v="50"/>
    <x v="2"/>
  </r>
  <r>
    <n v="1393"/>
    <n v="229"/>
    <x v="164"/>
    <x v="2"/>
  </r>
  <r>
    <n v="1394"/>
    <n v="293"/>
    <x v="146"/>
    <x v="2"/>
  </r>
  <r>
    <n v="1395"/>
    <n v="139"/>
    <x v="59"/>
    <x v="2"/>
  </r>
  <r>
    <n v="1396"/>
    <n v="41"/>
    <x v="156"/>
    <x v="2"/>
  </r>
  <r>
    <n v="1397"/>
    <n v="204"/>
    <x v="62"/>
    <x v="2"/>
  </r>
  <r>
    <n v="1398"/>
    <n v="88"/>
    <x v="165"/>
    <x v="2"/>
  </r>
  <r>
    <n v="1399"/>
    <n v="70"/>
    <x v="132"/>
    <x v="2"/>
  </r>
  <r>
    <n v="1400"/>
    <n v="212"/>
    <x v="65"/>
    <x v="2"/>
  </r>
  <r>
    <n v="1401"/>
    <n v="252"/>
    <x v="4"/>
    <x v="2"/>
  </r>
  <r>
    <n v="1402"/>
    <n v="224"/>
    <x v="166"/>
    <x v="1"/>
  </r>
  <r>
    <n v="1403"/>
    <n v="217"/>
    <x v="13"/>
    <x v="2"/>
  </r>
  <r>
    <n v="1404"/>
    <n v="232"/>
    <x v="80"/>
    <x v="2"/>
  </r>
  <r>
    <n v="1405"/>
    <n v="145"/>
    <x v="81"/>
    <x v="3"/>
  </r>
  <r>
    <n v="1406"/>
    <n v="112"/>
    <x v="16"/>
    <x v="2"/>
  </r>
  <r>
    <n v="1407"/>
    <n v="201"/>
    <x v="108"/>
    <x v="2"/>
  </r>
  <r>
    <n v="1408"/>
    <n v="128"/>
    <x v="46"/>
    <x v="2"/>
  </r>
  <r>
    <n v="1409"/>
    <n v="160"/>
    <x v="142"/>
    <x v="2"/>
  </r>
  <r>
    <n v="1410"/>
    <n v="58"/>
    <x v="143"/>
    <x v="2"/>
  </r>
  <r>
    <n v="1411"/>
    <n v="5"/>
    <x v="145"/>
    <x v="2"/>
  </r>
  <r>
    <n v="1412"/>
    <n v="174"/>
    <x v="99"/>
    <x v="2"/>
  </r>
  <r>
    <n v="1413"/>
    <n v="225"/>
    <x v="50"/>
    <x v="2"/>
  </r>
  <r>
    <n v="1414"/>
    <n v="98"/>
    <x v="101"/>
    <x v="2"/>
  </r>
  <r>
    <n v="1415"/>
    <n v="231"/>
    <x v="133"/>
    <x v="2"/>
  </r>
  <r>
    <n v="1416"/>
    <n v="187"/>
    <x v="82"/>
    <x v="2"/>
  </r>
  <r>
    <n v="1417"/>
    <n v="50"/>
    <x v="91"/>
    <x v="2"/>
  </r>
  <r>
    <n v="1418"/>
    <n v="251"/>
    <x v="91"/>
    <x v="2"/>
  </r>
  <r>
    <n v="1419"/>
    <n v="41"/>
    <x v="76"/>
    <x v="2"/>
  </r>
  <r>
    <n v="1420"/>
    <n v="37"/>
    <x v="115"/>
    <x v="2"/>
  </r>
  <r>
    <n v="1421"/>
    <n v="92"/>
    <x v="51"/>
    <x v="2"/>
  </r>
  <r>
    <n v="1422"/>
    <n v="173"/>
    <x v="154"/>
    <x v="2"/>
  </r>
  <r>
    <n v="1423"/>
    <n v="166"/>
    <x v="167"/>
    <x v="2"/>
  </r>
  <r>
    <n v="1424"/>
    <n v="9"/>
    <x v="33"/>
    <x v="3"/>
  </r>
  <r>
    <n v="1425"/>
    <n v="142"/>
    <x v="119"/>
    <x v="2"/>
  </r>
  <r>
    <n v="1426"/>
    <n v="154"/>
    <x v="138"/>
    <x v="2"/>
  </r>
  <r>
    <n v="1427"/>
    <n v="296"/>
    <x v="52"/>
    <x v="2"/>
  </r>
  <r>
    <n v="1428"/>
    <n v="223"/>
    <x v="97"/>
    <x v="2"/>
  </r>
  <r>
    <n v="1429"/>
    <n v="114"/>
    <x v="16"/>
    <x v="2"/>
  </r>
  <r>
    <n v="1430"/>
    <n v="202"/>
    <x v="13"/>
    <x v="2"/>
  </r>
  <r>
    <n v="1431"/>
    <n v="257"/>
    <x v="57"/>
    <x v="2"/>
  </r>
  <r>
    <n v="1432"/>
    <n v="269"/>
    <x v="68"/>
    <x v="2"/>
  </r>
  <r>
    <n v="1433"/>
    <n v="212"/>
    <x v="88"/>
    <x v="2"/>
  </r>
  <r>
    <n v="1434"/>
    <n v="227"/>
    <x v="20"/>
    <x v="2"/>
  </r>
  <r>
    <n v="1435"/>
    <n v="76"/>
    <x v="62"/>
    <x v="2"/>
  </r>
  <r>
    <n v="1436"/>
    <n v="268"/>
    <x v="25"/>
    <x v="2"/>
  </r>
  <r>
    <n v="1437"/>
    <n v="103"/>
    <x v="109"/>
    <x v="2"/>
  </r>
  <r>
    <n v="1438"/>
    <n v="10"/>
    <x v="116"/>
    <x v="1"/>
  </r>
  <r>
    <n v="1439"/>
    <n v="51"/>
    <x v="89"/>
    <x v="3"/>
  </r>
  <r>
    <n v="1440"/>
    <n v="288"/>
    <x v="35"/>
    <x v="0"/>
  </r>
  <r>
    <n v="1441"/>
    <n v="181"/>
    <x v="82"/>
    <x v="2"/>
  </r>
  <r>
    <n v="1442"/>
    <n v="116"/>
    <x v="75"/>
    <x v="0"/>
  </r>
  <r>
    <n v="1443"/>
    <n v="117"/>
    <x v="45"/>
    <x v="2"/>
  </r>
  <r>
    <n v="1444"/>
    <n v="71"/>
    <x v="90"/>
    <x v="2"/>
  </r>
  <r>
    <n v="1445"/>
    <n v="163"/>
    <x v="63"/>
    <x v="0"/>
  </r>
  <r>
    <n v="1446"/>
    <n v="212"/>
    <x v="131"/>
    <x v="2"/>
  </r>
  <r>
    <n v="1447"/>
    <n v="291"/>
    <x v="86"/>
    <x v="2"/>
  </r>
  <r>
    <n v="1448"/>
    <n v="192"/>
    <x v="4"/>
    <x v="2"/>
  </r>
  <r>
    <n v="1449"/>
    <n v="212"/>
    <x v="46"/>
    <x v="0"/>
  </r>
  <r>
    <n v="1450"/>
    <n v="225"/>
    <x v="29"/>
    <x v="0"/>
  </r>
  <r>
    <n v="1451"/>
    <n v="202"/>
    <x v="45"/>
    <x v="2"/>
  </r>
  <r>
    <n v="1452"/>
    <n v="21"/>
    <x v="130"/>
    <x v="2"/>
  </r>
  <r>
    <n v="1453"/>
    <n v="28"/>
    <x v="18"/>
    <x v="2"/>
  </r>
  <r>
    <n v="1454"/>
    <n v="166"/>
    <x v="42"/>
    <x v="2"/>
  </r>
  <r>
    <n v="1455"/>
    <n v="64"/>
    <x v="163"/>
    <x v="2"/>
  </r>
  <r>
    <n v="1456"/>
    <n v="82"/>
    <x v="89"/>
    <x v="2"/>
  </r>
  <r>
    <n v="1457"/>
    <n v="92"/>
    <x v="163"/>
    <x v="1"/>
  </r>
  <r>
    <n v="1458"/>
    <n v="68"/>
    <x v="168"/>
    <x v="2"/>
  </r>
  <r>
    <n v="1459"/>
    <n v="122"/>
    <x v="31"/>
    <x v="1"/>
  </r>
  <r>
    <n v="1460"/>
    <n v="41"/>
    <x v="94"/>
    <x v="2"/>
  </r>
  <r>
    <n v="1461"/>
    <n v="153"/>
    <x v="33"/>
    <x v="2"/>
  </r>
  <r>
    <n v="1462"/>
    <n v="294"/>
    <x v="152"/>
    <x v="2"/>
  </r>
  <r>
    <n v="1463"/>
    <n v="34"/>
    <x v="126"/>
    <x v="2"/>
  </r>
  <r>
    <n v="1464"/>
    <n v="293"/>
    <x v="129"/>
    <x v="2"/>
  </r>
  <r>
    <n v="1465"/>
    <n v="289"/>
    <x v="110"/>
    <x v="0"/>
  </r>
  <r>
    <n v="1466"/>
    <n v="100"/>
    <x v="49"/>
    <x v="2"/>
  </r>
  <r>
    <n v="1467"/>
    <n v="212"/>
    <x v="86"/>
    <x v="3"/>
  </r>
  <r>
    <n v="1468"/>
    <n v="104"/>
    <x v="30"/>
    <x v="2"/>
  </r>
  <r>
    <n v="1469"/>
    <n v="15"/>
    <x v="147"/>
    <x v="2"/>
  </r>
  <r>
    <n v="1470"/>
    <n v="247"/>
    <x v="6"/>
    <x v="2"/>
  </r>
  <r>
    <n v="1471"/>
    <n v="154"/>
    <x v="108"/>
    <x v="2"/>
  </r>
  <r>
    <n v="1472"/>
    <n v="174"/>
    <x v="5"/>
    <x v="2"/>
  </r>
  <r>
    <n v="1473"/>
    <n v="17"/>
    <x v="139"/>
    <x v="1"/>
  </r>
  <r>
    <n v="1474"/>
    <n v="155"/>
    <x v="61"/>
    <x v="2"/>
  </r>
  <r>
    <n v="1475"/>
    <n v="13"/>
    <x v="36"/>
    <x v="2"/>
  </r>
  <r>
    <n v="1476"/>
    <n v="51"/>
    <x v="34"/>
    <x v="2"/>
  </r>
  <r>
    <n v="1477"/>
    <n v="45"/>
    <x v="22"/>
    <x v="2"/>
  </r>
  <r>
    <n v="1478"/>
    <n v="147"/>
    <x v="58"/>
    <x v="2"/>
  </r>
  <r>
    <n v="1479"/>
    <n v="106"/>
    <x v="68"/>
    <x v="2"/>
  </r>
  <r>
    <n v="1480"/>
    <n v="67"/>
    <x v="101"/>
    <x v="2"/>
  </r>
  <r>
    <n v="1481"/>
    <n v="229"/>
    <x v="139"/>
    <x v="2"/>
  </r>
  <r>
    <n v="1482"/>
    <n v="159"/>
    <x v="10"/>
    <x v="2"/>
  </r>
  <r>
    <n v="1483"/>
    <n v="170"/>
    <x v="169"/>
    <x v="2"/>
  </r>
  <r>
    <n v="1484"/>
    <n v="295"/>
    <x v="43"/>
    <x v="2"/>
  </r>
  <r>
    <n v="1485"/>
    <n v="155"/>
    <x v="141"/>
    <x v="2"/>
  </r>
  <r>
    <n v="1486"/>
    <n v="221"/>
    <x v="32"/>
    <x v="2"/>
  </r>
  <r>
    <n v="1487"/>
    <n v="238"/>
    <x v="164"/>
    <x v="2"/>
  </r>
  <r>
    <n v="1488"/>
    <n v="195"/>
    <x v="14"/>
    <x v="2"/>
  </r>
  <r>
    <n v="1489"/>
    <n v="77"/>
    <x v="140"/>
    <x v="2"/>
  </r>
  <r>
    <n v="1490"/>
    <n v="223"/>
    <x v="9"/>
    <x v="2"/>
  </r>
  <r>
    <n v="1491"/>
    <n v="184"/>
    <x v="140"/>
    <x v="2"/>
  </r>
  <r>
    <n v="1492"/>
    <n v="223"/>
    <x v="45"/>
    <x v="2"/>
  </r>
  <r>
    <n v="1493"/>
    <n v="65"/>
    <x v="114"/>
    <x v="2"/>
  </r>
  <r>
    <n v="1494"/>
    <n v="70"/>
    <x v="7"/>
    <x v="3"/>
  </r>
  <r>
    <n v="1495"/>
    <n v="218"/>
    <x v="12"/>
    <x v="2"/>
  </r>
  <r>
    <n v="1496"/>
    <n v="122"/>
    <x v="84"/>
    <x v="2"/>
  </r>
  <r>
    <n v="1497"/>
    <n v="270"/>
    <x v="70"/>
    <x v="2"/>
  </r>
  <r>
    <n v="1498"/>
    <n v="277"/>
    <x v="0"/>
    <x v="2"/>
  </r>
  <r>
    <n v="1499"/>
    <n v="151"/>
    <x v="105"/>
    <x v="2"/>
  </r>
  <r>
    <n v="1500"/>
    <n v="14"/>
    <x v="51"/>
    <x v="3"/>
  </r>
  <r>
    <n v="1501"/>
    <n v="144"/>
    <x v="79"/>
    <x v="2"/>
  </r>
  <r>
    <n v="1502"/>
    <n v="121"/>
    <x v="56"/>
    <x v="2"/>
  </r>
  <r>
    <n v="1503"/>
    <n v="212"/>
    <x v="122"/>
    <x v="2"/>
  </r>
  <r>
    <n v="1504"/>
    <n v="60"/>
    <x v="57"/>
    <x v="2"/>
  </r>
  <r>
    <n v="1505"/>
    <n v="200"/>
    <x v="49"/>
    <x v="2"/>
  </r>
  <r>
    <n v="1506"/>
    <n v="22"/>
    <x v="170"/>
    <x v="2"/>
  </r>
  <r>
    <n v="1507"/>
    <n v="51"/>
    <x v="97"/>
    <x v="2"/>
  </r>
  <r>
    <n v="1508"/>
    <n v="93"/>
    <x v="78"/>
    <x v="2"/>
  </r>
  <r>
    <n v="1509"/>
    <n v="146"/>
    <x v="20"/>
    <x v="2"/>
  </r>
  <r>
    <n v="1510"/>
    <n v="62"/>
    <x v="157"/>
    <x v="2"/>
  </r>
  <r>
    <n v="1511"/>
    <n v="130"/>
    <x v="80"/>
    <x v="2"/>
  </r>
  <r>
    <n v="1512"/>
    <n v="38"/>
    <x v="58"/>
    <x v="2"/>
  </r>
  <r>
    <n v="1513"/>
    <n v="103"/>
    <x v="77"/>
    <x v="2"/>
  </r>
  <r>
    <n v="1514"/>
    <n v="38"/>
    <x v="149"/>
    <x v="2"/>
  </r>
  <r>
    <n v="1515"/>
    <n v="20"/>
    <x v="30"/>
    <x v="2"/>
  </r>
  <r>
    <n v="1516"/>
    <n v="36"/>
    <x v="124"/>
    <x v="2"/>
  </r>
  <r>
    <n v="1517"/>
    <n v="175"/>
    <x v="36"/>
    <x v="2"/>
  </r>
  <r>
    <n v="1518"/>
    <n v="200"/>
    <x v="156"/>
    <x v="2"/>
  </r>
  <r>
    <n v="1519"/>
    <n v="13"/>
    <x v="123"/>
    <x v="2"/>
  </r>
  <r>
    <n v="1520"/>
    <n v="173"/>
    <x v="6"/>
    <x v="2"/>
  </r>
  <r>
    <n v="1521"/>
    <n v="10"/>
    <x v="34"/>
    <x v="2"/>
  </r>
  <r>
    <n v="1522"/>
    <n v="33"/>
    <x v="94"/>
    <x v="2"/>
  </r>
  <r>
    <n v="1523"/>
    <n v="206"/>
    <x v="126"/>
    <x v="2"/>
  </r>
  <r>
    <n v="1524"/>
    <n v="62"/>
    <x v="56"/>
    <x v="2"/>
  </r>
  <r>
    <n v="1525"/>
    <n v="193"/>
    <x v="42"/>
    <x v="2"/>
  </r>
  <r>
    <n v="1526"/>
    <n v="146"/>
    <x v="141"/>
    <x v="2"/>
  </r>
  <r>
    <n v="1527"/>
    <n v="20"/>
    <x v="56"/>
    <x v="2"/>
  </r>
  <r>
    <n v="1528"/>
    <n v="277"/>
    <x v="60"/>
    <x v="2"/>
  </r>
  <r>
    <n v="1529"/>
    <n v="23"/>
    <x v="84"/>
    <x v="2"/>
  </r>
  <r>
    <n v="1530"/>
    <n v="27"/>
    <x v="112"/>
    <x v="2"/>
  </r>
  <r>
    <n v="1531"/>
    <n v="167"/>
    <x v="105"/>
    <x v="2"/>
  </r>
  <r>
    <n v="1532"/>
    <n v="38"/>
    <x v="113"/>
    <x v="1"/>
  </r>
  <r>
    <n v="1533"/>
    <n v="233"/>
    <x v="48"/>
    <x v="2"/>
  </r>
  <r>
    <n v="1534"/>
    <n v="17"/>
    <x v="171"/>
    <x v="2"/>
  </r>
  <r>
    <n v="1535"/>
    <n v="88"/>
    <x v="59"/>
    <x v="2"/>
  </r>
  <r>
    <n v="1536"/>
    <n v="127"/>
    <x v="126"/>
    <x v="2"/>
  </r>
  <r>
    <n v="1537"/>
    <n v="214"/>
    <x v="73"/>
    <x v="1"/>
  </r>
  <r>
    <n v="1538"/>
    <n v="272"/>
    <x v="74"/>
    <x v="2"/>
  </r>
  <r>
    <n v="1539"/>
    <n v="68"/>
    <x v="162"/>
    <x v="0"/>
  </r>
  <r>
    <n v="1540"/>
    <n v="293"/>
    <x v="163"/>
    <x v="2"/>
  </r>
  <r>
    <n v="1541"/>
    <n v="37"/>
    <x v="167"/>
    <x v="2"/>
  </r>
  <r>
    <n v="1542"/>
    <n v="42"/>
    <x v="69"/>
    <x v="2"/>
  </r>
  <r>
    <n v="1543"/>
    <n v="35"/>
    <x v="56"/>
    <x v="2"/>
  </r>
  <r>
    <n v="1544"/>
    <n v="116"/>
    <x v="32"/>
    <x v="2"/>
  </r>
  <r>
    <n v="1545"/>
    <n v="241"/>
    <x v="66"/>
    <x v="2"/>
  </r>
  <r>
    <n v="1546"/>
    <n v="235"/>
    <x v="44"/>
    <x v="1"/>
  </r>
  <r>
    <n v="1547"/>
    <n v="40"/>
    <x v="29"/>
    <x v="2"/>
  </r>
  <r>
    <n v="1548"/>
    <n v="12"/>
    <x v="15"/>
    <x v="0"/>
  </r>
  <r>
    <n v="1549"/>
    <n v="97"/>
    <x v="72"/>
    <x v="2"/>
  </r>
  <r>
    <n v="1550"/>
    <n v="168"/>
    <x v="64"/>
    <x v="2"/>
  </r>
  <r>
    <n v="1551"/>
    <n v="191"/>
    <x v="149"/>
    <x v="2"/>
  </r>
  <r>
    <n v="1552"/>
    <n v="90"/>
    <x v="17"/>
    <x v="2"/>
  </r>
  <r>
    <n v="1553"/>
    <n v="288"/>
    <x v="55"/>
    <x v="2"/>
  </r>
  <r>
    <n v="1554"/>
    <n v="256"/>
    <x v="21"/>
    <x v="2"/>
  </r>
  <r>
    <n v="1555"/>
    <n v="152"/>
    <x v="37"/>
    <x v="2"/>
  </r>
  <r>
    <n v="1556"/>
    <n v="60"/>
    <x v="123"/>
    <x v="2"/>
  </r>
  <r>
    <n v="1557"/>
    <n v="143"/>
    <x v="158"/>
    <x v="2"/>
  </r>
  <r>
    <n v="1558"/>
    <n v="252"/>
    <x v="38"/>
    <x v="2"/>
  </r>
  <r>
    <n v="1559"/>
    <n v="177"/>
    <x v="61"/>
    <x v="2"/>
  </r>
  <r>
    <n v="1560"/>
    <n v="218"/>
    <x v="83"/>
    <x v="2"/>
  </r>
  <r>
    <n v="1561"/>
    <n v="193"/>
    <x v="125"/>
    <x v="0"/>
  </r>
  <r>
    <n v="1562"/>
    <n v="237"/>
    <x v="54"/>
    <x v="2"/>
  </r>
  <r>
    <n v="1563"/>
    <n v="238"/>
    <x v="98"/>
    <x v="2"/>
  </r>
  <r>
    <n v="1564"/>
    <n v="148"/>
    <x v="4"/>
    <x v="2"/>
  </r>
  <r>
    <n v="1565"/>
    <n v="298"/>
    <x v="157"/>
    <x v="2"/>
  </r>
  <r>
    <n v="1566"/>
    <n v="133"/>
    <x v="69"/>
    <x v="2"/>
  </r>
  <r>
    <n v="1567"/>
    <n v="185"/>
    <x v="163"/>
    <x v="2"/>
  </r>
  <r>
    <n v="1568"/>
    <n v="49"/>
    <x v="168"/>
    <x v="2"/>
  </r>
  <r>
    <n v="1569"/>
    <n v="7"/>
    <x v="110"/>
    <x v="2"/>
  </r>
  <r>
    <n v="1570"/>
    <n v="258"/>
    <x v="128"/>
    <x v="2"/>
  </r>
  <r>
    <n v="1571"/>
    <n v="160"/>
    <x v="82"/>
    <x v="2"/>
  </r>
  <r>
    <n v="1572"/>
    <n v="158"/>
    <x v="34"/>
    <x v="2"/>
  </r>
  <r>
    <n v="1573"/>
    <n v="248"/>
    <x v="0"/>
    <x v="2"/>
  </r>
  <r>
    <n v="1574"/>
    <n v="155"/>
    <x v="79"/>
    <x v="2"/>
  </r>
  <r>
    <n v="1575"/>
    <n v="179"/>
    <x v="5"/>
    <x v="0"/>
  </r>
  <r>
    <n v="1576"/>
    <n v="99"/>
    <x v="46"/>
    <x v="2"/>
  </r>
  <r>
    <n v="1577"/>
    <n v="95"/>
    <x v="172"/>
    <x v="2"/>
  </r>
  <r>
    <n v="1578"/>
    <n v="161"/>
    <x v="80"/>
    <x v="2"/>
  </r>
  <r>
    <n v="1579"/>
    <n v="43"/>
    <x v="75"/>
    <x v="2"/>
  </r>
  <r>
    <n v="1580"/>
    <n v="149"/>
    <x v="153"/>
    <x v="2"/>
  </r>
  <r>
    <n v="1581"/>
    <n v="44"/>
    <x v="145"/>
    <x v="2"/>
  </r>
  <r>
    <n v="1582"/>
    <n v="102"/>
    <x v="125"/>
    <x v="2"/>
  </r>
  <r>
    <n v="1583"/>
    <n v="205"/>
    <x v="27"/>
    <x v="2"/>
  </r>
  <r>
    <n v="1584"/>
    <n v="119"/>
    <x v="79"/>
    <x v="2"/>
  </r>
  <r>
    <n v="1585"/>
    <n v="50"/>
    <x v="19"/>
    <x v="2"/>
  </r>
  <r>
    <n v="1586"/>
    <n v="176"/>
    <x v="74"/>
    <x v="2"/>
  </r>
  <r>
    <n v="1587"/>
    <n v="156"/>
    <x v="33"/>
    <x v="2"/>
  </r>
  <r>
    <n v="1588"/>
    <n v="293"/>
    <x v="173"/>
    <x v="2"/>
  </r>
  <r>
    <n v="1589"/>
    <n v="146"/>
    <x v="9"/>
    <x v="2"/>
  </r>
  <r>
    <n v="1590"/>
    <n v="50"/>
    <x v="168"/>
    <x v="2"/>
  </r>
  <r>
    <n v="1591"/>
    <n v="34"/>
    <x v="71"/>
    <x v="2"/>
  </r>
  <r>
    <n v="1592"/>
    <n v="216"/>
    <x v="147"/>
    <x v="2"/>
  </r>
  <r>
    <n v="1593"/>
    <n v="106"/>
    <x v="47"/>
    <x v="2"/>
  </r>
  <r>
    <n v="1594"/>
    <n v="39"/>
    <x v="167"/>
    <x v="2"/>
  </r>
  <r>
    <n v="1595"/>
    <n v="173"/>
    <x v="27"/>
    <x v="2"/>
  </r>
  <r>
    <n v="1596"/>
    <n v="222"/>
    <x v="74"/>
    <x v="2"/>
  </r>
  <r>
    <n v="1597"/>
    <n v="265"/>
    <x v="82"/>
    <x v="2"/>
  </r>
  <r>
    <n v="1598"/>
    <n v="273"/>
    <x v="115"/>
    <x v="0"/>
  </r>
  <r>
    <n v="1599"/>
    <n v="223"/>
    <x v="22"/>
    <x v="2"/>
  </r>
  <r>
    <n v="1600"/>
    <n v="123"/>
    <x v="157"/>
    <x v="2"/>
  </r>
  <r>
    <n v="1601"/>
    <n v="217"/>
    <x v="68"/>
    <x v="3"/>
  </r>
  <r>
    <n v="1602"/>
    <n v="91"/>
    <x v="5"/>
    <x v="2"/>
  </r>
  <r>
    <n v="1603"/>
    <n v="47"/>
    <x v="172"/>
    <x v="2"/>
  </r>
  <r>
    <n v="1604"/>
    <n v="269"/>
    <x v="27"/>
    <x v="0"/>
  </r>
  <r>
    <n v="1605"/>
    <n v="200"/>
    <x v="37"/>
    <x v="2"/>
  </r>
  <r>
    <n v="1606"/>
    <n v="274"/>
    <x v="95"/>
    <x v="2"/>
  </r>
  <r>
    <n v="1607"/>
    <n v="189"/>
    <x v="116"/>
    <x v="2"/>
  </r>
  <r>
    <n v="1608"/>
    <n v="186"/>
    <x v="159"/>
    <x v="2"/>
  </r>
  <r>
    <n v="1609"/>
    <n v="121"/>
    <x v="98"/>
    <x v="2"/>
  </r>
  <r>
    <n v="1610"/>
    <n v="252"/>
    <x v="148"/>
    <x v="1"/>
  </r>
  <r>
    <n v="1611"/>
    <n v="134"/>
    <x v="47"/>
    <x v="2"/>
  </r>
  <r>
    <n v="1612"/>
    <n v="206"/>
    <x v="91"/>
    <x v="2"/>
  </r>
  <r>
    <n v="1613"/>
    <n v="211"/>
    <x v="141"/>
    <x v="2"/>
  </r>
  <r>
    <n v="1614"/>
    <n v="189"/>
    <x v="11"/>
    <x v="2"/>
  </r>
  <r>
    <n v="1615"/>
    <n v="118"/>
    <x v="75"/>
    <x v="2"/>
  </r>
  <r>
    <n v="1616"/>
    <n v="77"/>
    <x v="126"/>
    <x v="2"/>
  </r>
  <r>
    <n v="1617"/>
    <n v="254"/>
    <x v="94"/>
    <x v="2"/>
  </r>
  <r>
    <n v="1618"/>
    <n v="221"/>
    <x v="122"/>
    <x v="2"/>
  </r>
  <r>
    <n v="1619"/>
    <n v="75"/>
    <x v="169"/>
    <x v="2"/>
  </r>
  <r>
    <n v="1620"/>
    <n v="44"/>
    <x v="22"/>
    <x v="2"/>
  </r>
  <r>
    <n v="1621"/>
    <n v="132"/>
    <x v="159"/>
    <x v="2"/>
  </r>
  <r>
    <n v="1622"/>
    <n v="24"/>
    <x v="31"/>
    <x v="0"/>
  </r>
  <r>
    <n v="1623"/>
    <n v="287"/>
    <x v="3"/>
    <x v="2"/>
  </r>
  <r>
    <n v="1624"/>
    <n v="272"/>
    <x v="90"/>
    <x v="2"/>
  </r>
  <r>
    <n v="1625"/>
    <n v="145"/>
    <x v="116"/>
    <x v="0"/>
  </r>
  <r>
    <n v="1626"/>
    <n v="78"/>
    <x v="26"/>
    <x v="2"/>
  </r>
  <r>
    <n v="1627"/>
    <n v="60"/>
    <x v="139"/>
    <x v="2"/>
  </r>
  <r>
    <n v="1628"/>
    <n v="105"/>
    <x v="8"/>
    <x v="2"/>
  </r>
  <r>
    <n v="1629"/>
    <n v="40"/>
    <x v="169"/>
    <x v="2"/>
  </r>
  <r>
    <n v="1630"/>
    <n v="55"/>
    <x v="8"/>
    <x v="2"/>
  </r>
  <r>
    <n v="1631"/>
    <n v="169"/>
    <x v="14"/>
    <x v="2"/>
  </r>
  <r>
    <n v="1632"/>
    <n v="25"/>
    <x v="90"/>
    <x v="2"/>
  </r>
  <r>
    <n v="1633"/>
    <n v="107"/>
    <x v="88"/>
    <x v="2"/>
  </r>
  <r>
    <n v="1634"/>
    <n v="222"/>
    <x v="174"/>
    <x v="2"/>
  </r>
  <r>
    <n v="1635"/>
    <n v="217"/>
    <x v="142"/>
    <x v="2"/>
  </r>
  <r>
    <n v="1636"/>
    <n v="238"/>
    <x v="38"/>
    <x v="2"/>
  </r>
  <r>
    <n v="1637"/>
    <n v="154"/>
    <x v="16"/>
    <x v="3"/>
  </r>
  <r>
    <n v="1638"/>
    <n v="40"/>
    <x v="147"/>
    <x v="2"/>
  </r>
  <r>
    <n v="1639"/>
    <n v="182"/>
    <x v="147"/>
    <x v="2"/>
  </r>
  <r>
    <n v="1640"/>
    <n v="153"/>
    <x v="112"/>
    <x v="2"/>
  </r>
  <r>
    <n v="1641"/>
    <n v="133"/>
    <x v="81"/>
    <x v="2"/>
  </r>
  <r>
    <n v="1642"/>
    <n v="250"/>
    <x v="124"/>
    <x v="1"/>
  </r>
  <r>
    <n v="1643"/>
    <n v="70"/>
    <x v="98"/>
    <x v="2"/>
  </r>
  <r>
    <n v="1644"/>
    <n v="75"/>
    <x v="32"/>
    <x v="2"/>
  </r>
  <r>
    <n v="1645"/>
    <n v="228"/>
    <x v="18"/>
    <x v="1"/>
  </r>
  <r>
    <n v="1646"/>
    <n v="201"/>
    <x v="171"/>
    <x v="2"/>
  </r>
  <r>
    <n v="1647"/>
    <n v="284"/>
    <x v="122"/>
    <x v="2"/>
  </r>
  <r>
    <n v="1648"/>
    <n v="271"/>
    <x v="49"/>
    <x v="2"/>
  </r>
  <r>
    <n v="1649"/>
    <n v="178"/>
    <x v="87"/>
    <x v="2"/>
  </r>
  <r>
    <n v="1650"/>
    <n v="174"/>
    <x v="74"/>
    <x v="2"/>
  </r>
  <r>
    <n v="1651"/>
    <n v="83"/>
    <x v="116"/>
    <x v="2"/>
  </r>
  <r>
    <n v="1652"/>
    <n v="108"/>
    <x v="122"/>
    <x v="2"/>
  </r>
  <r>
    <n v="1653"/>
    <n v="117"/>
    <x v="146"/>
    <x v="2"/>
  </r>
  <r>
    <n v="1654"/>
    <n v="78"/>
    <x v="75"/>
    <x v="2"/>
  </r>
  <r>
    <n v="1655"/>
    <n v="53"/>
    <x v="129"/>
    <x v="2"/>
  </r>
  <r>
    <n v="1656"/>
    <n v="51"/>
    <x v="74"/>
    <x v="2"/>
  </r>
  <r>
    <n v="1657"/>
    <n v="4"/>
    <x v="54"/>
    <x v="2"/>
  </r>
  <r>
    <n v="1658"/>
    <n v="126"/>
    <x v="54"/>
    <x v="2"/>
  </r>
  <r>
    <n v="1659"/>
    <n v="265"/>
    <x v="144"/>
    <x v="0"/>
  </r>
  <r>
    <n v="1660"/>
    <n v="85"/>
    <x v="161"/>
    <x v="3"/>
  </r>
  <r>
    <n v="1661"/>
    <n v="267"/>
    <x v="108"/>
    <x v="3"/>
  </r>
  <r>
    <n v="1662"/>
    <n v="271"/>
    <x v="127"/>
    <x v="2"/>
  </r>
  <r>
    <n v="1663"/>
    <n v="276"/>
    <x v="98"/>
    <x v="2"/>
  </r>
  <r>
    <n v="1664"/>
    <n v="277"/>
    <x v="99"/>
    <x v="2"/>
  </r>
  <r>
    <n v="1665"/>
    <n v="64"/>
    <x v="106"/>
    <x v="2"/>
  </r>
  <r>
    <n v="1666"/>
    <n v="274"/>
    <x v="63"/>
    <x v="2"/>
  </r>
  <r>
    <n v="1667"/>
    <n v="185"/>
    <x v="78"/>
    <x v="2"/>
  </r>
  <r>
    <n v="1668"/>
    <n v="190"/>
    <x v="25"/>
    <x v="2"/>
  </r>
  <r>
    <n v="1669"/>
    <n v="74"/>
    <x v="54"/>
    <x v="2"/>
  </r>
  <r>
    <n v="1670"/>
    <n v="61"/>
    <x v="55"/>
    <x v="0"/>
  </r>
  <r>
    <n v="1671"/>
    <n v="192"/>
    <x v="61"/>
    <x v="2"/>
  </r>
  <r>
    <n v="1672"/>
    <n v="251"/>
    <x v="43"/>
    <x v="2"/>
  </r>
  <r>
    <n v="1673"/>
    <n v="173"/>
    <x v="63"/>
    <x v="2"/>
  </r>
  <r>
    <n v="1674"/>
    <n v="167"/>
    <x v="16"/>
    <x v="1"/>
  </r>
  <r>
    <n v="1675"/>
    <n v="203"/>
    <x v="175"/>
    <x v="2"/>
  </r>
  <r>
    <n v="1676"/>
    <n v="159"/>
    <x v="120"/>
    <x v="2"/>
  </r>
  <r>
    <n v="1677"/>
    <n v="273"/>
    <x v="82"/>
    <x v="2"/>
  </r>
  <r>
    <n v="1678"/>
    <n v="274"/>
    <x v="65"/>
    <x v="2"/>
  </r>
  <r>
    <n v="1679"/>
    <n v="47"/>
    <x v="176"/>
    <x v="2"/>
  </r>
  <r>
    <n v="1680"/>
    <n v="87"/>
    <x v="93"/>
    <x v="0"/>
  </r>
  <r>
    <n v="1681"/>
    <n v="51"/>
    <x v="108"/>
    <x v="2"/>
  </r>
  <r>
    <n v="1682"/>
    <n v="122"/>
    <x v="177"/>
    <x v="2"/>
  </r>
  <r>
    <n v="1683"/>
    <n v="120"/>
    <x v="52"/>
    <x v="2"/>
  </r>
  <r>
    <n v="1684"/>
    <n v="43"/>
    <x v="147"/>
    <x v="2"/>
  </r>
  <r>
    <n v="1685"/>
    <n v="238"/>
    <x v="1"/>
    <x v="2"/>
  </r>
  <r>
    <n v="1686"/>
    <n v="262"/>
    <x v="120"/>
    <x v="2"/>
  </r>
  <r>
    <n v="1687"/>
    <n v="222"/>
    <x v="75"/>
    <x v="3"/>
  </r>
  <r>
    <n v="1688"/>
    <n v="232"/>
    <x v="64"/>
    <x v="2"/>
  </r>
  <r>
    <n v="1689"/>
    <n v="2"/>
    <x v="42"/>
    <x v="2"/>
  </r>
  <r>
    <n v="1690"/>
    <n v="16"/>
    <x v="141"/>
    <x v="2"/>
  </r>
  <r>
    <n v="1691"/>
    <n v="99"/>
    <x v="8"/>
    <x v="2"/>
  </r>
  <r>
    <n v="1692"/>
    <n v="114"/>
    <x v="168"/>
    <x v="2"/>
  </r>
  <r>
    <n v="1693"/>
    <n v="203"/>
    <x v="32"/>
    <x v="2"/>
  </r>
  <r>
    <n v="1694"/>
    <n v="90"/>
    <x v="102"/>
    <x v="2"/>
  </r>
  <r>
    <n v="1695"/>
    <n v="141"/>
    <x v="15"/>
    <x v="2"/>
  </r>
  <r>
    <n v="1696"/>
    <n v="233"/>
    <x v="102"/>
    <x v="2"/>
  </r>
  <r>
    <n v="1697"/>
    <n v="266"/>
    <x v="148"/>
    <x v="2"/>
  </r>
  <r>
    <n v="1698"/>
    <n v="172"/>
    <x v="96"/>
    <x v="2"/>
  </r>
  <r>
    <n v="1699"/>
    <n v="169"/>
    <x v="138"/>
    <x v="2"/>
  </r>
  <r>
    <n v="1700"/>
    <n v="127"/>
    <x v="97"/>
    <x v="2"/>
  </r>
  <r>
    <n v="1701"/>
    <n v="225"/>
    <x v="2"/>
    <x v="0"/>
  </r>
  <r>
    <n v="1702"/>
    <n v="194"/>
    <x v="107"/>
    <x v="0"/>
  </r>
  <r>
    <n v="1703"/>
    <n v="222"/>
    <x v="108"/>
    <x v="2"/>
  </r>
  <r>
    <n v="1704"/>
    <n v="120"/>
    <x v="121"/>
    <x v="2"/>
  </r>
  <r>
    <n v="1705"/>
    <n v="14"/>
    <x v="141"/>
    <x v="0"/>
  </r>
  <r>
    <n v="1706"/>
    <n v="100"/>
    <x v="133"/>
    <x v="2"/>
  </r>
  <r>
    <n v="1707"/>
    <n v="160"/>
    <x v="112"/>
    <x v="2"/>
  </r>
  <r>
    <n v="1708"/>
    <n v="75"/>
    <x v="130"/>
    <x v="2"/>
  </r>
  <r>
    <n v="1709"/>
    <n v="244"/>
    <x v="133"/>
    <x v="2"/>
  </r>
  <r>
    <n v="1710"/>
    <n v="2"/>
    <x v="122"/>
    <x v="2"/>
  </r>
  <r>
    <n v="1711"/>
    <n v="95"/>
    <x v="113"/>
    <x v="2"/>
  </r>
  <r>
    <n v="1712"/>
    <n v="300"/>
    <x v="77"/>
    <x v="2"/>
  </r>
  <r>
    <n v="1713"/>
    <n v="126"/>
    <x v="146"/>
    <x v="2"/>
  </r>
  <r>
    <n v="1714"/>
    <n v="57"/>
    <x v="123"/>
    <x v="2"/>
  </r>
  <r>
    <n v="1715"/>
    <n v="34"/>
    <x v="155"/>
    <x v="1"/>
  </r>
  <r>
    <n v="1716"/>
    <n v="194"/>
    <x v="44"/>
    <x v="2"/>
  </r>
  <r>
    <n v="1717"/>
    <n v="28"/>
    <x v="16"/>
    <x v="2"/>
  </r>
  <r>
    <n v="1718"/>
    <n v="261"/>
    <x v="89"/>
    <x v="2"/>
  </r>
  <r>
    <n v="1719"/>
    <n v="298"/>
    <x v="122"/>
    <x v="2"/>
  </r>
  <r>
    <n v="1720"/>
    <n v="194"/>
    <x v="178"/>
    <x v="2"/>
  </r>
  <r>
    <n v="1721"/>
    <n v="173"/>
    <x v="10"/>
    <x v="2"/>
  </r>
  <r>
    <n v="1722"/>
    <n v="136"/>
    <x v="29"/>
    <x v="2"/>
  </r>
  <r>
    <n v="1723"/>
    <n v="101"/>
    <x v="134"/>
    <x v="2"/>
  </r>
  <r>
    <n v="1724"/>
    <n v="145"/>
    <x v="127"/>
    <x v="2"/>
  </r>
  <r>
    <n v="1725"/>
    <n v="108"/>
    <x v="104"/>
    <x v="2"/>
  </r>
  <r>
    <n v="1726"/>
    <n v="225"/>
    <x v="12"/>
    <x v="2"/>
  </r>
  <r>
    <n v="1727"/>
    <n v="182"/>
    <x v="84"/>
    <x v="2"/>
  </r>
  <r>
    <n v="1728"/>
    <n v="17"/>
    <x v="119"/>
    <x v="2"/>
  </r>
  <r>
    <n v="1729"/>
    <n v="105"/>
    <x v="103"/>
    <x v="3"/>
  </r>
  <r>
    <n v="1730"/>
    <n v="232"/>
    <x v="23"/>
    <x v="2"/>
  </r>
  <r>
    <n v="1731"/>
    <n v="198"/>
    <x v="133"/>
    <x v="0"/>
  </r>
  <r>
    <n v="1732"/>
    <n v="168"/>
    <x v="130"/>
    <x v="2"/>
  </r>
  <r>
    <n v="1733"/>
    <n v="159"/>
    <x v="90"/>
    <x v="1"/>
  </r>
  <r>
    <n v="1734"/>
    <n v="159"/>
    <x v="59"/>
    <x v="2"/>
  </r>
  <r>
    <n v="1735"/>
    <n v="292"/>
    <x v="138"/>
    <x v="2"/>
  </r>
  <r>
    <n v="1736"/>
    <n v="90"/>
    <x v="174"/>
    <x v="2"/>
  </r>
  <r>
    <n v="1737"/>
    <n v="23"/>
    <x v="103"/>
    <x v="2"/>
  </r>
  <r>
    <n v="1738"/>
    <n v="112"/>
    <x v="12"/>
    <x v="2"/>
  </r>
  <r>
    <n v="1739"/>
    <n v="130"/>
    <x v="162"/>
    <x v="2"/>
  </r>
  <r>
    <n v="1740"/>
    <n v="205"/>
    <x v="137"/>
    <x v="2"/>
  </r>
  <r>
    <n v="1741"/>
    <n v="249"/>
    <x v="3"/>
    <x v="2"/>
  </r>
  <r>
    <n v="1742"/>
    <n v="91"/>
    <x v="82"/>
    <x v="2"/>
  </r>
  <r>
    <n v="1743"/>
    <n v="111"/>
    <x v="77"/>
    <x v="2"/>
  </r>
  <r>
    <n v="1744"/>
    <n v="200"/>
    <x v="51"/>
    <x v="1"/>
  </r>
  <r>
    <n v="1745"/>
    <n v="192"/>
    <x v="171"/>
    <x v="0"/>
  </r>
  <r>
    <n v="1746"/>
    <n v="99"/>
    <x v="46"/>
    <x v="2"/>
  </r>
  <r>
    <n v="1747"/>
    <n v="107"/>
    <x v="68"/>
    <x v="2"/>
  </r>
  <r>
    <n v="1748"/>
    <n v="235"/>
    <x v="46"/>
    <x v="2"/>
  </r>
  <r>
    <n v="1749"/>
    <n v="256"/>
    <x v="166"/>
    <x v="2"/>
  </r>
  <r>
    <n v="1750"/>
    <n v="69"/>
    <x v="12"/>
    <x v="2"/>
  </r>
  <r>
    <n v="1751"/>
    <n v="120"/>
    <x v="45"/>
    <x v="2"/>
  </r>
  <r>
    <n v="1752"/>
    <n v="256"/>
    <x v="107"/>
    <x v="2"/>
  </r>
  <r>
    <n v="1753"/>
    <n v="163"/>
    <x v="37"/>
    <x v="2"/>
  </r>
  <r>
    <n v="1754"/>
    <n v="128"/>
    <x v="62"/>
    <x v="1"/>
  </r>
  <r>
    <n v="1755"/>
    <n v="34"/>
    <x v="65"/>
    <x v="2"/>
  </r>
  <r>
    <n v="1756"/>
    <n v="41"/>
    <x v="39"/>
    <x v="2"/>
  </r>
  <r>
    <n v="1757"/>
    <n v="230"/>
    <x v="98"/>
    <x v="2"/>
  </r>
  <r>
    <n v="1758"/>
    <n v="247"/>
    <x v="118"/>
    <x v="2"/>
  </r>
  <r>
    <n v="1759"/>
    <n v="90"/>
    <x v="17"/>
    <x v="2"/>
  </r>
  <r>
    <n v="1760"/>
    <n v="101"/>
    <x v="42"/>
    <x v="2"/>
  </r>
  <r>
    <n v="1761"/>
    <n v="203"/>
    <x v="124"/>
    <x v="0"/>
  </r>
  <r>
    <n v="1762"/>
    <n v="84"/>
    <x v="159"/>
    <x v="0"/>
  </r>
  <r>
    <n v="1763"/>
    <n v="251"/>
    <x v="20"/>
    <x v="2"/>
  </r>
  <r>
    <n v="1764"/>
    <n v="76"/>
    <x v="139"/>
    <x v="2"/>
  </r>
  <r>
    <n v="1765"/>
    <n v="48"/>
    <x v="46"/>
    <x v="2"/>
  </r>
  <r>
    <n v="1766"/>
    <n v="196"/>
    <x v="151"/>
    <x v="2"/>
  </r>
  <r>
    <n v="1767"/>
    <n v="87"/>
    <x v="93"/>
    <x v="2"/>
  </r>
  <r>
    <n v="1768"/>
    <n v="69"/>
    <x v="29"/>
    <x v="2"/>
  </r>
  <r>
    <n v="1769"/>
    <n v="94"/>
    <x v="81"/>
    <x v="2"/>
  </r>
  <r>
    <n v="1770"/>
    <n v="44"/>
    <x v="18"/>
    <x v="2"/>
  </r>
  <r>
    <n v="1771"/>
    <n v="4"/>
    <x v="127"/>
    <x v="2"/>
  </r>
  <r>
    <n v="1772"/>
    <n v="220"/>
    <x v="142"/>
    <x v="2"/>
  </r>
  <r>
    <n v="1773"/>
    <n v="183"/>
    <x v="129"/>
    <x v="2"/>
  </r>
  <r>
    <n v="1774"/>
    <n v="144"/>
    <x v="8"/>
    <x v="1"/>
  </r>
  <r>
    <n v="1775"/>
    <n v="165"/>
    <x v="140"/>
    <x v="3"/>
  </r>
  <r>
    <n v="1776"/>
    <n v="120"/>
    <x v="19"/>
    <x v="2"/>
  </r>
  <r>
    <n v="1777"/>
    <n v="198"/>
    <x v="135"/>
    <x v="1"/>
  </r>
  <r>
    <n v="1778"/>
    <n v="45"/>
    <x v="165"/>
    <x v="2"/>
  </r>
  <r>
    <n v="1779"/>
    <n v="88"/>
    <x v="177"/>
    <x v="2"/>
  </r>
  <r>
    <n v="1780"/>
    <n v="244"/>
    <x v="13"/>
    <x v="2"/>
  </r>
  <r>
    <n v="1781"/>
    <n v="194"/>
    <x v="125"/>
    <x v="2"/>
  </r>
  <r>
    <n v="1782"/>
    <n v="60"/>
    <x v="71"/>
    <x v="0"/>
  </r>
  <r>
    <n v="1783"/>
    <n v="217"/>
    <x v="44"/>
    <x v="2"/>
  </r>
  <r>
    <n v="1784"/>
    <n v="152"/>
    <x v="48"/>
    <x v="2"/>
  </r>
  <r>
    <n v="1785"/>
    <n v="159"/>
    <x v="33"/>
    <x v="2"/>
  </r>
  <r>
    <n v="1786"/>
    <n v="108"/>
    <x v="114"/>
    <x v="2"/>
  </r>
  <r>
    <n v="1787"/>
    <n v="217"/>
    <x v="154"/>
    <x v="2"/>
  </r>
  <r>
    <n v="1788"/>
    <n v="166"/>
    <x v="103"/>
    <x v="2"/>
  </r>
  <r>
    <n v="1789"/>
    <n v="5"/>
    <x v="11"/>
    <x v="2"/>
  </r>
  <r>
    <n v="1790"/>
    <n v="243"/>
    <x v="108"/>
    <x v="2"/>
  </r>
  <r>
    <n v="1791"/>
    <n v="126"/>
    <x v="168"/>
    <x v="2"/>
  </r>
  <r>
    <n v="1792"/>
    <n v="46"/>
    <x v="76"/>
    <x v="2"/>
  </r>
  <r>
    <n v="1793"/>
    <n v="261"/>
    <x v="91"/>
    <x v="2"/>
  </r>
  <r>
    <n v="1794"/>
    <n v="223"/>
    <x v="159"/>
    <x v="2"/>
  </r>
  <r>
    <n v="1795"/>
    <n v="11"/>
    <x v="124"/>
    <x v="2"/>
  </r>
  <r>
    <n v="1796"/>
    <n v="107"/>
    <x v="8"/>
    <x v="2"/>
  </r>
  <r>
    <n v="1797"/>
    <n v="288"/>
    <x v="76"/>
    <x v="2"/>
  </r>
  <r>
    <n v="1798"/>
    <n v="24"/>
    <x v="140"/>
    <x v="2"/>
  </r>
  <r>
    <n v="1799"/>
    <n v="108"/>
    <x v="31"/>
    <x v="2"/>
  </r>
  <r>
    <n v="1800"/>
    <n v="184"/>
    <x v="59"/>
    <x v="2"/>
  </r>
  <r>
    <n v="1801"/>
    <n v="131"/>
    <x v="161"/>
    <x v="2"/>
  </r>
  <r>
    <n v="1802"/>
    <n v="262"/>
    <x v="63"/>
    <x v="2"/>
  </r>
  <r>
    <n v="1803"/>
    <n v="281"/>
    <x v="151"/>
    <x v="2"/>
  </r>
  <r>
    <n v="1804"/>
    <n v="194"/>
    <x v="148"/>
    <x v="2"/>
  </r>
  <r>
    <n v="1805"/>
    <n v="251"/>
    <x v="95"/>
    <x v="2"/>
  </r>
  <r>
    <n v="1806"/>
    <n v="88"/>
    <x v="47"/>
    <x v="1"/>
  </r>
  <r>
    <n v="1807"/>
    <n v="133"/>
    <x v="160"/>
    <x v="2"/>
  </r>
  <r>
    <n v="1808"/>
    <n v="190"/>
    <x v="62"/>
    <x v="0"/>
  </r>
  <r>
    <n v="1809"/>
    <n v="142"/>
    <x v="10"/>
    <x v="2"/>
  </r>
  <r>
    <n v="1810"/>
    <n v="123"/>
    <x v="167"/>
    <x v="2"/>
  </r>
  <r>
    <n v="1811"/>
    <n v="70"/>
    <x v="179"/>
    <x v="2"/>
  </r>
  <r>
    <n v="1812"/>
    <n v="177"/>
    <x v="179"/>
    <x v="2"/>
  </r>
  <r>
    <n v="1813"/>
    <n v="188"/>
    <x v="153"/>
    <x v="2"/>
  </r>
  <r>
    <n v="1814"/>
    <n v="128"/>
    <x v="80"/>
    <x v="2"/>
  </r>
  <r>
    <n v="1815"/>
    <n v="264"/>
    <x v="93"/>
    <x v="0"/>
  </r>
  <r>
    <n v="1816"/>
    <n v="153"/>
    <x v="86"/>
    <x v="2"/>
  </r>
  <r>
    <n v="1817"/>
    <n v="79"/>
    <x v="111"/>
    <x v="2"/>
  </r>
  <r>
    <n v="1818"/>
    <n v="94"/>
    <x v="174"/>
    <x v="2"/>
  </r>
  <r>
    <n v="1819"/>
    <n v="146"/>
    <x v="11"/>
    <x v="2"/>
  </r>
  <r>
    <n v="1820"/>
    <n v="137"/>
    <x v="11"/>
    <x v="0"/>
  </r>
  <r>
    <n v="1821"/>
    <n v="205"/>
    <x v="165"/>
    <x v="2"/>
  </r>
  <r>
    <n v="1822"/>
    <n v="176"/>
    <x v="2"/>
    <x v="2"/>
  </r>
  <r>
    <n v="1823"/>
    <n v="262"/>
    <x v="121"/>
    <x v="2"/>
  </r>
  <r>
    <n v="1824"/>
    <n v="102"/>
    <x v="143"/>
    <x v="2"/>
  </r>
  <r>
    <n v="1825"/>
    <n v="20"/>
    <x v="136"/>
    <x v="2"/>
  </r>
  <r>
    <n v="1826"/>
    <n v="119"/>
    <x v="66"/>
    <x v="2"/>
  </r>
  <r>
    <n v="1827"/>
    <n v="144"/>
    <x v="80"/>
    <x v="2"/>
  </r>
  <r>
    <n v="1828"/>
    <n v="242"/>
    <x v="58"/>
    <x v="2"/>
  </r>
  <r>
    <n v="1829"/>
    <n v="283"/>
    <x v="60"/>
    <x v="2"/>
  </r>
  <r>
    <n v="1830"/>
    <n v="142"/>
    <x v="59"/>
    <x v="2"/>
  </r>
  <r>
    <n v="1831"/>
    <n v="98"/>
    <x v="136"/>
    <x v="2"/>
  </r>
  <r>
    <n v="1832"/>
    <n v="104"/>
    <x v="98"/>
    <x v="2"/>
  </r>
  <r>
    <n v="1833"/>
    <n v="230"/>
    <x v="50"/>
    <x v="1"/>
  </r>
  <r>
    <n v="1834"/>
    <n v="258"/>
    <x v="66"/>
    <x v="0"/>
  </r>
  <r>
    <n v="1835"/>
    <n v="290"/>
    <x v="41"/>
    <x v="2"/>
  </r>
  <r>
    <n v="1836"/>
    <n v="261"/>
    <x v="0"/>
    <x v="2"/>
  </r>
  <r>
    <n v="1837"/>
    <n v="263"/>
    <x v="12"/>
    <x v="2"/>
  </r>
  <r>
    <n v="1838"/>
    <n v="274"/>
    <x v="109"/>
    <x v="2"/>
  </r>
  <r>
    <n v="1839"/>
    <n v="27"/>
    <x v="132"/>
    <x v="1"/>
  </r>
  <r>
    <n v="1840"/>
    <n v="189"/>
    <x v="120"/>
    <x v="2"/>
  </r>
  <r>
    <n v="1841"/>
    <n v="183"/>
    <x v="168"/>
    <x v="2"/>
  </r>
  <r>
    <n v="1842"/>
    <n v="196"/>
    <x v="23"/>
    <x v="2"/>
  </r>
  <r>
    <n v="1843"/>
    <n v="223"/>
    <x v="114"/>
    <x v="2"/>
  </r>
  <r>
    <n v="1844"/>
    <n v="93"/>
    <x v="147"/>
    <x v="2"/>
  </r>
  <r>
    <n v="1845"/>
    <n v="207"/>
    <x v="24"/>
    <x v="2"/>
  </r>
  <r>
    <n v="1846"/>
    <n v="7"/>
    <x v="159"/>
    <x v="2"/>
  </r>
  <r>
    <n v="1847"/>
    <n v="174"/>
    <x v="23"/>
    <x v="2"/>
  </r>
  <r>
    <n v="1848"/>
    <n v="279"/>
    <x v="152"/>
    <x v="2"/>
  </r>
  <r>
    <n v="1849"/>
    <n v="115"/>
    <x v="34"/>
    <x v="2"/>
  </r>
  <r>
    <n v="1850"/>
    <n v="58"/>
    <x v="159"/>
    <x v="2"/>
  </r>
  <r>
    <n v="1851"/>
    <n v="44"/>
    <x v="136"/>
    <x v="2"/>
  </r>
  <r>
    <n v="1852"/>
    <n v="155"/>
    <x v="179"/>
    <x v="2"/>
  </r>
  <r>
    <n v="1853"/>
    <n v="77"/>
    <x v="140"/>
    <x v="1"/>
  </r>
  <r>
    <n v="1854"/>
    <n v="219"/>
    <x v="133"/>
    <x v="2"/>
  </r>
  <r>
    <n v="1855"/>
    <n v="171"/>
    <x v="152"/>
    <x v="3"/>
  </r>
  <r>
    <n v="1856"/>
    <n v="276"/>
    <x v="105"/>
    <x v="2"/>
  </r>
  <r>
    <n v="1857"/>
    <n v="121"/>
    <x v="13"/>
    <x v="2"/>
  </r>
  <r>
    <n v="1858"/>
    <n v="72"/>
    <x v="20"/>
    <x v="2"/>
  </r>
  <r>
    <n v="1859"/>
    <n v="194"/>
    <x v="12"/>
    <x v="2"/>
  </r>
  <r>
    <n v="1860"/>
    <n v="126"/>
    <x v="172"/>
    <x v="2"/>
  </r>
  <r>
    <n v="1861"/>
    <n v="154"/>
    <x v="170"/>
    <x v="2"/>
  </r>
  <r>
    <n v="1862"/>
    <n v="258"/>
    <x v="59"/>
    <x v="2"/>
  </r>
  <r>
    <n v="1863"/>
    <n v="257"/>
    <x v="149"/>
    <x v="0"/>
  </r>
  <r>
    <n v="1864"/>
    <n v="65"/>
    <x v="15"/>
    <x v="2"/>
  </r>
  <r>
    <n v="1865"/>
    <n v="161"/>
    <x v="152"/>
    <x v="2"/>
  </r>
  <r>
    <n v="1866"/>
    <n v="172"/>
    <x v="116"/>
    <x v="2"/>
  </r>
  <r>
    <n v="1867"/>
    <n v="104"/>
    <x v="40"/>
    <x v="2"/>
  </r>
  <r>
    <n v="1868"/>
    <n v="204"/>
    <x v="180"/>
    <x v="2"/>
  </r>
  <r>
    <n v="1869"/>
    <n v="196"/>
    <x v="16"/>
    <x v="2"/>
  </r>
  <r>
    <n v="1870"/>
    <n v="73"/>
    <x v="49"/>
    <x v="1"/>
  </r>
  <r>
    <n v="1871"/>
    <n v="221"/>
    <x v="146"/>
    <x v="2"/>
  </r>
  <r>
    <n v="1872"/>
    <n v="255"/>
    <x v="147"/>
    <x v="2"/>
  </r>
  <r>
    <n v="1873"/>
    <n v="161"/>
    <x v="84"/>
    <x v="2"/>
  </r>
  <r>
    <n v="1874"/>
    <n v="236"/>
    <x v="29"/>
    <x v="2"/>
  </r>
  <r>
    <n v="1875"/>
    <n v="67"/>
    <x v="83"/>
    <x v="2"/>
  </r>
  <r>
    <n v="1876"/>
    <n v="30"/>
    <x v="1"/>
    <x v="2"/>
  </r>
  <r>
    <n v="1877"/>
    <n v="48"/>
    <x v="175"/>
    <x v="1"/>
  </r>
  <r>
    <n v="1878"/>
    <n v="56"/>
    <x v="111"/>
    <x v="2"/>
  </r>
  <r>
    <n v="1879"/>
    <n v="59"/>
    <x v="135"/>
    <x v="2"/>
  </r>
  <r>
    <n v="1880"/>
    <n v="186"/>
    <x v="45"/>
    <x v="2"/>
  </r>
  <r>
    <n v="1881"/>
    <n v="43"/>
    <x v="79"/>
    <x v="2"/>
  </r>
  <r>
    <n v="1882"/>
    <n v="133"/>
    <x v="66"/>
    <x v="2"/>
  </r>
  <r>
    <n v="1883"/>
    <n v="215"/>
    <x v="18"/>
    <x v="2"/>
  </r>
  <r>
    <n v="1884"/>
    <n v="102"/>
    <x v="68"/>
    <x v="2"/>
  </r>
  <r>
    <n v="1885"/>
    <n v="235"/>
    <x v="176"/>
    <x v="2"/>
  </r>
  <r>
    <n v="1886"/>
    <n v="65"/>
    <x v="140"/>
    <x v="3"/>
  </r>
  <r>
    <n v="1887"/>
    <n v="280"/>
    <x v="44"/>
    <x v="2"/>
  </r>
  <r>
    <n v="1888"/>
    <n v="190"/>
    <x v="69"/>
    <x v="0"/>
  </r>
  <r>
    <n v="1889"/>
    <n v="181"/>
    <x v="94"/>
    <x v="2"/>
  </r>
  <r>
    <n v="1890"/>
    <n v="224"/>
    <x v="14"/>
    <x v="2"/>
  </r>
  <r>
    <n v="1891"/>
    <n v="54"/>
    <x v="88"/>
    <x v="2"/>
  </r>
  <r>
    <n v="1892"/>
    <n v="228"/>
    <x v="134"/>
    <x v="2"/>
  </r>
  <r>
    <n v="1893"/>
    <n v="238"/>
    <x v="8"/>
    <x v="2"/>
  </r>
  <r>
    <n v="1894"/>
    <n v="213"/>
    <x v="57"/>
    <x v="2"/>
  </r>
  <r>
    <n v="1895"/>
    <n v="88"/>
    <x v="157"/>
    <x v="2"/>
  </r>
  <r>
    <n v="1896"/>
    <n v="89"/>
    <x v="167"/>
    <x v="2"/>
  </r>
  <r>
    <n v="1897"/>
    <n v="201"/>
    <x v="120"/>
    <x v="2"/>
  </r>
  <r>
    <n v="1898"/>
    <n v="279"/>
    <x v="114"/>
    <x v="2"/>
  </r>
  <r>
    <n v="1899"/>
    <n v="96"/>
    <x v="120"/>
    <x v="2"/>
  </r>
  <r>
    <n v="1900"/>
    <n v="141"/>
    <x v="149"/>
    <x v="2"/>
  </r>
  <r>
    <n v="1901"/>
    <n v="73"/>
    <x v="14"/>
    <x v="2"/>
  </r>
  <r>
    <n v="1902"/>
    <n v="12"/>
    <x v="47"/>
    <x v="2"/>
  </r>
  <r>
    <n v="1903"/>
    <n v="6"/>
    <x v="163"/>
    <x v="2"/>
  </r>
  <r>
    <n v="1904"/>
    <n v="82"/>
    <x v="157"/>
    <x v="2"/>
  </r>
  <r>
    <n v="1905"/>
    <n v="16"/>
    <x v="87"/>
    <x v="1"/>
  </r>
  <r>
    <n v="1906"/>
    <n v="103"/>
    <x v="115"/>
    <x v="2"/>
  </r>
  <r>
    <n v="1907"/>
    <n v="102"/>
    <x v="78"/>
    <x v="2"/>
  </r>
  <r>
    <n v="1908"/>
    <n v="140"/>
    <x v="179"/>
    <x v="2"/>
  </r>
  <r>
    <n v="1909"/>
    <n v="18"/>
    <x v="150"/>
    <x v="2"/>
  </r>
  <r>
    <n v="1910"/>
    <n v="111"/>
    <x v="180"/>
    <x v="2"/>
  </r>
  <r>
    <n v="1911"/>
    <n v="120"/>
    <x v="147"/>
    <x v="2"/>
  </r>
  <r>
    <n v="1912"/>
    <n v="216"/>
    <x v="0"/>
    <x v="2"/>
  </r>
  <r>
    <n v="1913"/>
    <n v="88"/>
    <x v="136"/>
    <x v="2"/>
  </r>
  <r>
    <n v="1914"/>
    <n v="207"/>
    <x v="137"/>
    <x v="2"/>
  </r>
  <r>
    <n v="1915"/>
    <n v="178"/>
    <x v="98"/>
    <x v="2"/>
  </r>
  <r>
    <n v="1916"/>
    <n v="63"/>
    <x v="122"/>
    <x v="2"/>
  </r>
  <r>
    <n v="1917"/>
    <n v="116"/>
    <x v="70"/>
    <x v="2"/>
  </r>
  <r>
    <n v="1918"/>
    <n v="27"/>
    <x v="96"/>
    <x v="0"/>
  </r>
  <r>
    <n v="1919"/>
    <n v="195"/>
    <x v="70"/>
    <x v="2"/>
  </r>
  <r>
    <n v="1920"/>
    <n v="63"/>
    <x v="166"/>
    <x v="2"/>
  </r>
  <r>
    <n v="1921"/>
    <n v="181"/>
    <x v="85"/>
    <x v="2"/>
  </r>
  <r>
    <n v="1922"/>
    <n v="175"/>
    <x v="44"/>
    <x v="2"/>
  </r>
  <r>
    <n v="1923"/>
    <n v="67"/>
    <x v="74"/>
    <x v="2"/>
  </r>
  <r>
    <n v="1924"/>
    <n v="217"/>
    <x v="44"/>
    <x v="2"/>
  </r>
  <r>
    <n v="1925"/>
    <n v="124"/>
    <x v="23"/>
    <x v="2"/>
  </r>
  <r>
    <n v="1926"/>
    <n v="282"/>
    <x v="57"/>
    <x v="2"/>
  </r>
  <r>
    <n v="1927"/>
    <n v="190"/>
    <x v="62"/>
    <x v="2"/>
  </r>
  <r>
    <n v="1928"/>
    <n v="272"/>
    <x v="29"/>
    <x v="2"/>
  </r>
  <r>
    <n v="1929"/>
    <n v="34"/>
    <x v="69"/>
    <x v="2"/>
  </r>
  <r>
    <n v="1930"/>
    <n v="105"/>
    <x v="122"/>
    <x v="2"/>
  </r>
  <r>
    <n v="1931"/>
    <n v="123"/>
    <x v="93"/>
    <x v="1"/>
  </r>
  <r>
    <n v="1932"/>
    <n v="234"/>
    <x v="18"/>
    <x v="2"/>
  </r>
  <r>
    <n v="1933"/>
    <n v="5"/>
    <x v="109"/>
    <x v="2"/>
  </r>
  <r>
    <n v="1934"/>
    <n v="269"/>
    <x v="41"/>
    <x v="2"/>
  </r>
  <r>
    <n v="1935"/>
    <n v="187"/>
    <x v="156"/>
    <x v="2"/>
  </r>
  <r>
    <n v="1936"/>
    <n v="266"/>
    <x v="52"/>
    <x v="2"/>
  </r>
  <r>
    <n v="1937"/>
    <n v="46"/>
    <x v="118"/>
    <x v="2"/>
  </r>
  <r>
    <n v="1938"/>
    <n v="179"/>
    <x v="66"/>
    <x v="2"/>
  </r>
  <r>
    <n v="1939"/>
    <n v="233"/>
    <x v="129"/>
    <x v="2"/>
  </r>
  <r>
    <n v="1940"/>
    <n v="156"/>
    <x v="75"/>
    <x v="2"/>
  </r>
  <r>
    <n v="1941"/>
    <n v="3"/>
    <x v="62"/>
    <x v="2"/>
  </r>
  <r>
    <n v="1942"/>
    <n v="288"/>
    <x v="143"/>
    <x v="0"/>
  </r>
  <r>
    <n v="1943"/>
    <n v="42"/>
    <x v="11"/>
    <x v="2"/>
  </r>
  <r>
    <n v="1944"/>
    <n v="155"/>
    <x v="47"/>
    <x v="1"/>
  </r>
  <r>
    <n v="1945"/>
    <n v="129"/>
    <x v="102"/>
    <x v="2"/>
  </r>
  <r>
    <n v="1946"/>
    <n v="193"/>
    <x v="137"/>
    <x v="2"/>
  </r>
  <r>
    <n v="1947"/>
    <n v="211"/>
    <x v="126"/>
    <x v="2"/>
  </r>
  <r>
    <n v="1948"/>
    <n v="66"/>
    <x v="27"/>
    <x v="2"/>
  </r>
  <r>
    <n v="1949"/>
    <n v="44"/>
    <x v="144"/>
    <x v="2"/>
  </r>
  <r>
    <n v="1950"/>
    <n v="32"/>
    <x v="70"/>
    <x v="2"/>
  </r>
  <r>
    <n v="1951"/>
    <n v="80"/>
    <x v="42"/>
    <x v="2"/>
  </r>
  <r>
    <n v="1952"/>
    <n v="267"/>
    <x v="59"/>
    <x v="1"/>
  </r>
  <r>
    <n v="1953"/>
    <n v="259"/>
    <x v="128"/>
    <x v="2"/>
  </r>
  <r>
    <n v="1954"/>
    <n v="225"/>
    <x v="149"/>
    <x v="2"/>
  </r>
  <r>
    <n v="1955"/>
    <n v="244"/>
    <x v="135"/>
    <x v="2"/>
  </r>
  <r>
    <n v="1956"/>
    <n v="218"/>
    <x v="137"/>
    <x v="2"/>
  </r>
  <r>
    <n v="1957"/>
    <n v="228"/>
    <x v="33"/>
    <x v="2"/>
  </r>
  <r>
    <n v="1958"/>
    <n v="258"/>
    <x v="180"/>
    <x v="2"/>
  </r>
  <r>
    <n v="1959"/>
    <n v="72"/>
    <x v="63"/>
    <x v="2"/>
  </r>
  <r>
    <n v="1960"/>
    <n v="295"/>
    <x v="31"/>
    <x v="2"/>
  </r>
  <r>
    <n v="1961"/>
    <n v="82"/>
    <x v="133"/>
    <x v="2"/>
  </r>
  <r>
    <n v="1962"/>
    <n v="90"/>
    <x v="2"/>
    <x v="2"/>
  </r>
  <r>
    <n v="1963"/>
    <n v="16"/>
    <x v="31"/>
    <x v="2"/>
  </r>
  <r>
    <n v="1964"/>
    <n v="130"/>
    <x v="75"/>
    <x v="2"/>
  </r>
  <r>
    <n v="1965"/>
    <n v="50"/>
    <x v="88"/>
    <x v="2"/>
  </r>
  <r>
    <n v="1966"/>
    <n v="271"/>
    <x v="117"/>
    <x v="2"/>
  </r>
  <r>
    <n v="1967"/>
    <n v="193"/>
    <x v="77"/>
    <x v="2"/>
  </r>
  <r>
    <n v="1968"/>
    <n v="277"/>
    <x v="49"/>
    <x v="2"/>
  </r>
  <r>
    <n v="1969"/>
    <n v="295"/>
    <x v="83"/>
    <x v="2"/>
  </r>
  <r>
    <n v="1970"/>
    <n v="135"/>
    <x v="158"/>
    <x v="2"/>
  </r>
  <r>
    <n v="1971"/>
    <n v="32"/>
    <x v="37"/>
    <x v="0"/>
  </r>
  <r>
    <n v="1972"/>
    <n v="19"/>
    <x v="129"/>
    <x v="2"/>
  </r>
  <r>
    <n v="1973"/>
    <n v="180"/>
    <x v="84"/>
    <x v="2"/>
  </r>
  <r>
    <n v="1974"/>
    <n v="195"/>
    <x v="151"/>
    <x v="2"/>
  </r>
  <r>
    <n v="1975"/>
    <n v="225"/>
    <x v="154"/>
    <x v="2"/>
  </r>
  <r>
    <n v="1976"/>
    <n v="6"/>
    <x v="49"/>
    <x v="2"/>
  </r>
  <r>
    <n v="1977"/>
    <n v="225"/>
    <x v="0"/>
    <x v="2"/>
  </r>
  <r>
    <n v="1978"/>
    <n v="246"/>
    <x v="90"/>
    <x v="2"/>
  </r>
  <r>
    <n v="1979"/>
    <n v="188"/>
    <x v="65"/>
    <x v="2"/>
  </r>
  <r>
    <n v="1980"/>
    <n v="105"/>
    <x v="164"/>
    <x v="2"/>
  </r>
  <r>
    <n v="1981"/>
    <n v="121"/>
    <x v="34"/>
    <x v="2"/>
  </r>
  <r>
    <n v="1982"/>
    <n v="197"/>
    <x v="111"/>
    <x v="2"/>
  </r>
  <r>
    <n v="1983"/>
    <n v="157"/>
    <x v="151"/>
    <x v="2"/>
  </r>
  <r>
    <n v="1984"/>
    <n v="111"/>
    <x v="57"/>
    <x v="2"/>
  </r>
  <r>
    <n v="1985"/>
    <n v="148"/>
    <x v="23"/>
    <x v="2"/>
  </r>
  <r>
    <n v="1986"/>
    <n v="141"/>
    <x v="5"/>
    <x v="2"/>
  </r>
  <r>
    <n v="1987"/>
    <n v="7"/>
    <x v="115"/>
    <x v="2"/>
  </r>
  <r>
    <n v="1988"/>
    <n v="19"/>
    <x v="77"/>
    <x v="2"/>
  </r>
  <r>
    <n v="1989"/>
    <n v="33"/>
    <x v="173"/>
    <x v="2"/>
  </r>
  <r>
    <n v="1990"/>
    <n v="120"/>
    <x v="121"/>
    <x v="2"/>
  </r>
  <r>
    <n v="1991"/>
    <n v="117"/>
    <x v="1"/>
    <x v="2"/>
  </r>
  <r>
    <n v="1992"/>
    <n v="121"/>
    <x v="101"/>
    <x v="2"/>
  </r>
  <r>
    <n v="1993"/>
    <n v="219"/>
    <x v="102"/>
    <x v="2"/>
  </r>
  <r>
    <n v="1994"/>
    <n v="83"/>
    <x v="85"/>
    <x v="2"/>
  </r>
  <r>
    <n v="1995"/>
    <n v="177"/>
    <x v="89"/>
    <x v="2"/>
  </r>
  <r>
    <n v="1996"/>
    <n v="115"/>
    <x v="92"/>
    <x v="0"/>
  </r>
  <r>
    <n v="1997"/>
    <n v="163"/>
    <x v="66"/>
    <x v="2"/>
  </r>
  <r>
    <n v="1998"/>
    <n v="60"/>
    <x v="94"/>
    <x v="2"/>
  </r>
  <r>
    <n v="1999"/>
    <n v="215"/>
    <x v="59"/>
    <x v="2"/>
  </r>
  <r>
    <n v="2000"/>
    <n v="134"/>
    <x v="158"/>
    <x v="2"/>
  </r>
  <r>
    <n v="2001"/>
    <n v="102"/>
    <x v="120"/>
    <x v="1"/>
  </r>
  <r>
    <n v="2002"/>
    <n v="135"/>
    <x v="18"/>
    <x v="2"/>
  </r>
  <r>
    <n v="2003"/>
    <n v="217"/>
    <x v="170"/>
    <x v="0"/>
  </r>
  <r>
    <n v="2004"/>
    <n v="56"/>
    <x v="71"/>
    <x v="2"/>
  </r>
  <r>
    <n v="2005"/>
    <n v="261"/>
    <x v="42"/>
    <x v="2"/>
  </r>
  <r>
    <n v="2006"/>
    <n v="261"/>
    <x v="58"/>
    <x v="2"/>
  </r>
  <r>
    <n v="2007"/>
    <n v="219"/>
    <x v="89"/>
    <x v="2"/>
  </r>
  <r>
    <n v="2008"/>
    <n v="143"/>
    <x v="32"/>
    <x v="2"/>
  </r>
  <r>
    <n v="2009"/>
    <n v="133"/>
    <x v="83"/>
    <x v="0"/>
  </r>
  <r>
    <n v="2010"/>
    <n v="21"/>
    <x v="109"/>
    <x v="2"/>
  </r>
  <r>
    <n v="2011"/>
    <n v="233"/>
    <x v="65"/>
    <x v="2"/>
  </r>
  <r>
    <n v="2012"/>
    <n v="182"/>
    <x v="3"/>
    <x v="2"/>
  </r>
  <r>
    <n v="2013"/>
    <n v="263"/>
    <x v="94"/>
    <x v="2"/>
  </r>
  <r>
    <n v="2014"/>
    <n v="5"/>
    <x v="6"/>
    <x v="0"/>
  </r>
  <r>
    <n v="2015"/>
    <n v="241"/>
    <x v="53"/>
    <x v="2"/>
  </r>
  <r>
    <n v="2016"/>
    <n v="110"/>
    <x v="130"/>
    <x v="1"/>
  </r>
  <r>
    <n v="2017"/>
    <n v="107"/>
    <x v="26"/>
    <x v="2"/>
  </r>
  <r>
    <n v="2018"/>
    <n v="150"/>
    <x v="174"/>
    <x v="2"/>
  </r>
  <r>
    <n v="2019"/>
    <n v="167"/>
    <x v="105"/>
    <x v="0"/>
  </r>
  <r>
    <n v="2020"/>
    <n v="178"/>
    <x v="176"/>
    <x v="2"/>
  </r>
  <r>
    <n v="2021"/>
    <n v="166"/>
    <x v="107"/>
    <x v="2"/>
  </r>
  <r>
    <n v="2022"/>
    <n v="113"/>
    <x v="115"/>
    <x v="2"/>
  </r>
  <r>
    <n v="2023"/>
    <n v="169"/>
    <x v="168"/>
    <x v="2"/>
  </r>
  <r>
    <n v="2024"/>
    <n v="284"/>
    <x v="97"/>
    <x v="0"/>
  </r>
  <r>
    <n v="2025"/>
    <n v="81"/>
    <x v="17"/>
    <x v="2"/>
  </r>
  <r>
    <n v="2026"/>
    <n v="270"/>
    <x v="6"/>
    <x v="2"/>
  </r>
  <r>
    <n v="2027"/>
    <n v="127"/>
    <x v="104"/>
    <x v="2"/>
  </r>
  <r>
    <n v="2028"/>
    <n v="40"/>
    <x v="132"/>
    <x v="1"/>
  </r>
  <r>
    <n v="2029"/>
    <n v="278"/>
    <x v="119"/>
    <x v="2"/>
  </r>
  <r>
    <n v="2030"/>
    <n v="52"/>
    <x v="148"/>
    <x v="2"/>
  </r>
  <r>
    <n v="2031"/>
    <n v="274"/>
    <x v="5"/>
    <x v="2"/>
  </r>
  <r>
    <n v="2032"/>
    <n v="119"/>
    <x v="21"/>
    <x v="2"/>
  </r>
  <r>
    <n v="2033"/>
    <n v="251"/>
    <x v="68"/>
    <x v="2"/>
  </r>
  <r>
    <n v="2034"/>
    <n v="19"/>
    <x v="146"/>
    <x v="2"/>
  </r>
  <r>
    <n v="2035"/>
    <n v="121"/>
    <x v="134"/>
    <x v="2"/>
  </r>
  <r>
    <n v="2036"/>
    <n v="63"/>
    <x v="163"/>
    <x v="2"/>
  </r>
  <r>
    <n v="2037"/>
    <n v="269"/>
    <x v="109"/>
    <x v="2"/>
  </r>
  <r>
    <n v="2038"/>
    <n v="166"/>
    <x v="9"/>
    <x v="2"/>
  </r>
  <r>
    <n v="2039"/>
    <n v="108"/>
    <x v="79"/>
    <x v="2"/>
  </r>
  <r>
    <n v="2040"/>
    <n v="97"/>
    <x v="96"/>
    <x v="2"/>
  </r>
  <r>
    <n v="2041"/>
    <n v="180"/>
    <x v="14"/>
    <x v="2"/>
  </r>
  <r>
    <n v="2042"/>
    <n v="207"/>
    <x v="93"/>
    <x v="2"/>
  </r>
  <r>
    <n v="2043"/>
    <n v="65"/>
    <x v="57"/>
    <x v="2"/>
  </r>
  <r>
    <n v="2044"/>
    <n v="76"/>
    <x v="36"/>
    <x v="0"/>
  </r>
  <r>
    <n v="2045"/>
    <n v="27"/>
    <x v="0"/>
    <x v="1"/>
  </r>
  <r>
    <n v="2046"/>
    <n v="168"/>
    <x v="179"/>
    <x v="2"/>
  </r>
  <r>
    <n v="2047"/>
    <n v="41"/>
    <x v="15"/>
    <x v="2"/>
  </r>
  <r>
    <n v="2048"/>
    <n v="92"/>
    <x v="7"/>
    <x v="2"/>
  </r>
  <r>
    <n v="2049"/>
    <n v="98"/>
    <x v="68"/>
    <x v="1"/>
  </r>
  <r>
    <n v="2050"/>
    <n v="100"/>
    <x v="65"/>
    <x v="2"/>
  </r>
  <r>
    <n v="2051"/>
    <n v="18"/>
    <x v="46"/>
    <x v="2"/>
  </r>
  <r>
    <n v="2052"/>
    <n v="233"/>
    <x v="4"/>
    <x v="3"/>
  </r>
  <r>
    <n v="2053"/>
    <n v="79"/>
    <x v="131"/>
    <x v="2"/>
  </r>
  <r>
    <n v="2054"/>
    <n v="100"/>
    <x v="134"/>
    <x v="2"/>
  </r>
  <r>
    <n v="2055"/>
    <n v="99"/>
    <x v="3"/>
    <x v="2"/>
  </r>
  <r>
    <n v="2056"/>
    <n v="2"/>
    <x v="167"/>
    <x v="2"/>
  </r>
  <r>
    <n v="2057"/>
    <n v="47"/>
    <x v="137"/>
    <x v="2"/>
  </r>
  <r>
    <n v="2058"/>
    <n v="192"/>
    <x v="127"/>
    <x v="2"/>
  </r>
  <r>
    <n v="2059"/>
    <n v="143"/>
    <x v="139"/>
    <x v="2"/>
  </r>
  <r>
    <n v="2060"/>
    <n v="133"/>
    <x v="29"/>
    <x v="3"/>
  </r>
  <r>
    <n v="2061"/>
    <n v="88"/>
    <x v="91"/>
    <x v="2"/>
  </r>
  <r>
    <n v="2062"/>
    <n v="148"/>
    <x v="50"/>
    <x v="2"/>
  </r>
  <r>
    <n v="2063"/>
    <n v="60"/>
    <x v="149"/>
    <x v="2"/>
  </r>
  <r>
    <n v="2064"/>
    <n v="54"/>
    <x v="33"/>
    <x v="2"/>
  </r>
  <r>
    <n v="2065"/>
    <n v="280"/>
    <x v="93"/>
    <x v="2"/>
  </r>
  <r>
    <n v="2066"/>
    <n v="125"/>
    <x v="161"/>
    <x v="2"/>
  </r>
  <r>
    <n v="2067"/>
    <n v="219"/>
    <x v="74"/>
    <x v="2"/>
  </r>
  <r>
    <n v="2068"/>
    <n v="291"/>
    <x v="66"/>
    <x v="2"/>
  </r>
  <r>
    <n v="2069"/>
    <n v="85"/>
    <x v="50"/>
    <x v="2"/>
  </r>
  <r>
    <n v="2070"/>
    <n v="126"/>
    <x v="39"/>
    <x v="2"/>
  </r>
  <r>
    <n v="2071"/>
    <n v="109"/>
    <x v="22"/>
    <x v="2"/>
  </r>
  <r>
    <n v="2072"/>
    <n v="145"/>
    <x v="161"/>
    <x v="2"/>
  </r>
  <r>
    <n v="2073"/>
    <n v="121"/>
    <x v="31"/>
    <x v="2"/>
  </r>
  <r>
    <n v="2074"/>
    <n v="223"/>
    <x v="112"/>
    <x v="2"/>
  </r>
  <r>
    <n v="2075"/>
    <n v="18"/>
    <x v="53"/>
    <x v="2"/>
  </r>
  <r>
    <n v="2076"/>
    <n v="52"/>
    <x v="50"/>
    <x v="2"/>
  </r>
  <r>
    <n v="2077"/>
    <n v="28"/>
    <x v="161"/>
    <x v="2"/>
  </r>
  <r>
    <n v="2078"/>
    <n v="92"/>
    <x v="172"/>
    <x v="2"/>
  </r>
  <r>
    <n v="2079"/>
    <n v="233"/>
    <x v="11"/>
    <x v="2"/>
  </r>
  <r>
    <n v="2080"/>
    <n v="218"/>
    <x v="22"/>
    <x v="2"/>
  </r>
  <r>
    <n v="2081"/>
    <n v="58"/>
    <x v="174"/>
    <x v="2"/>
  </r>
  <r>
    <n v="2082"/>
    <n v="141"/>
    <x v="167"/>
    <x v="2"/>
  </r>
  <r>
    <n v="2083"/>
    <n v="52"/>
    <x v="30"/>
    <x v="2"/>
  </r>
  <r>
    <n v="2084"/>
    <n v="41"/>
    <x v="76"/>
    <x v="2"/>
  </r>
  <r>
    <n v="2085"/>
    <n v="243"/>
    <x v="106"/>
    <x v="2"/>
  </r>
  <r>
    <n v="2086"/>
    <n v="93"/>
    <x v="112"/>
    <x v="2"/>
  </r>
  <r>
    <n v="2087"/>
    <n v="163"/>
    <x v="157"/>
    <x v="2"/>
  </r>
  <r>
    <n v="2088"/>
    <n v="216"/>
    <x v="31"/>
    <x v="2"/>
  </r>
  <r>
    <n v="2089"/>
    <n v="256"/>
    <x v="137"/>
    <x v="1"/>
  </r>
  <r>
    <n v="2090"/>
    <n v="207"/>
    <x v="53"/>
    <x v="2"/>
  </r>
  <r>
    <n v="2091"/>
    <n v="150"/>
    <x v="170"/>
    <x v="2"/>
  </r>
  <r>
    <n v="2092"/>
    <n v="12"/>
    <x v="118"/>
    <x v="2"/>
  </r>
  <r>
    <n v="2093"/>
    <n v="109"/>
    <x v="60"/>
    <x v="2"/>
  </r>
  <r>
    <n v="2094"/>
    <n v="181"/>
    <x v="161"/>
    <x v="2"/>
  </r>
  <r>
    <n v="2095"/>
    <n v="163"/>
    <x v="167"/>
    <x v="2"/>
  </r>
  <r>
    <n v="2096"/>
    <n v="2"/>
    <x v="29"/>
    <x v="2"/>
  </r>
  <r>
    <n v="2097"/>
    <n v="258"/>
    <x v="153"/>
    <x v="2"/>
  </r>
  <r>
    <n v="2098"/>
    <n v="47"/>
    <x v="168"/>
    <x v="2"/>
  </r>
  <r>
    <n v="2099"/>
    <n v="103"/>
    <x v="56"/>
    <x v="2"/>
  </r>
  <r>
    <n v="2100"/>
    <n v="91"/>
    <x v="65"/>
    <x v="3"/>
  </r>
  <r>
    <n v="2101"/>
    <n v="36"/>
    <x v="24"/>
    <x v="2"/>
  </r>
  <r>
    <n v="2102"/>
    <n v="214"/>
    <x v="159"/>
    <x v="2"/>
  </r>
  <r>
    <n v="2103"/>
    <n v="262"/>
    <x v="1"/>
    <x v="2"/>
  </r>
  <r>
    <n v="2104"/>
    <n v="174"/>
    <x v="109"/>
    <x v="2"/>
  </r>
  <r>
    <n v="2105"/>
    <n v="252"/>
    <x v="144"/>
    <x v="1"/>
  </r>
  <r>
    <n v="2106"/>
    <n v="170"/>
    <x v="85"/>
    <x v="2"/>
  </r>
  <r>
    <n v="2107"/>
    <n v="150"/>
    <x v="55"/>
    <x v="2"/>
  </r>
  <r>
    <n v="2108"/>
    <n v="150"/>
    <x v="165"/>
    <x v="2"/>
  </r>
  <r>
    <n v="2109"/>
    <n v="261"/>
    <x v="149"/>
    <x v="2"/>
  </r>
  <r>
    <n v="2110"/>
    <n v="269"/>
    <x v="164"/>
    <x v="2"/>
  </r>
  <r>
    <n v="2111"/>
    <n v="62"/>
    <x v="153"/>
    <x v="2"/>
  </r>
  <r>
    <n v="2112"/>
    <n v="260"/>
    <x v="47"/>
    <x v="0"/>
  </r>
  <r>
    <n v="2113"/>
    <n v="127"/>
    <x v="100"/>
    <x v="2"/>
  </r>
  <r>
    <n v="2114"/>
    <n v="137"/>
    <x v="94"/>
    <x v="2"/>
  </r>
  <r>
    <n v="2115"/>
    <n v="275"/>
    <x v="160"/>
    <x v="2"/>
  </r>
  <r>
    <n v="2116"/>
    <n v="111"/>
    <x v="47"/>
    <x v="2"/>
  </r>
  <r>
    <n v="2117"/>
    <n v="234"/>
    <x v="167"/>
    <x v="2"/>
  </r>
  <r>
    <n v="2118"/>
    <n v="154"/>
    <x v="52"/>
    <x v="2"/>
  </r>
  <r>
    <n v="2119"/>
    <n v="164"/>
    <x v="169"/>
    <x v="2"/>
  </r>
  <r>
    <n v="2120"/>
    <n v="94"/>
    <x v="30"/>
    <x v="2"/>
  </r>
  <r>
    <n v="2121"/>
    <n v="154"/>
    <x v="4"/>
    <x v="2"/>
  </r>
  <r>
    <n v="2122"/>
    <n v="265"/>
    <x v="156"/>
    <x v="2"/>
  </r>
  <r>
    <n v="2123"/>
    <n v="171"/>
    <x v="55"/>
    <x v="2"/>
  </r>
  <r>
    <n v="2124"/>
    <n v="72"/>
    <x v="162"/>
    <x v="2"/>
  </r>
  <r>
    <n v="2125"/>
    <n v="196"/>
    <x v="58"/>
    <x v="2"/>
  </r>
  <r>
    <n v="2126"/>
    <n v="246"/>
    <x v="24"/>
    <x v="2"/>
  </r>
  <r>
    <n v="2127"/>
    <n v="142"/>
    <x v="108"/>
    <x v="2"/>
  </r>
  <r>
    <n v="2128"/>
    <n v="78"/>
    <x v="166"/>
    <x v="2"/>
  </r>
  <r>
    <n v="2129"/>
    <n v="12"/>
    <x v="170"/>
    <x v="2"/>
  </r>
  <r>
    <n v="2130"/>
    <n v="240"/>
    <x v="25"/>
    <x v="2"/>
  </r>
  <r>
    <n v="2131"/>
    <n v="12"/>
    <x v="59"/>
    <x v="2"/>
  </r>
  <r>
    <n v="2132"/>
    <n v="263"/>
    <x v="107"/>
    <x v="0"/>
  </r>
  <r>
    <n v="2133"/>
    <n v="295"/>
    <x v="17"/>
    <x v="2"/>
  </r>
  <r>
    <n v="2134"/>
    <n v="240"/>
    <x v="88"/>
    <x v="2"/>
  </r>
  <r>
    <n v="2135"/>
    <n v="295"/>
    <x v="37"/>
    <x v="2"/>
  </r>
  <r>
    <n v="2136"/>
    <n v="166"/>
    <x v="82"/>
    <x v="2"/>
  </r>
  <r>
    <n v="2137"/>
    <n v="296"/>
    <x v="110"/>
    <x v="1"/>
  </r>
  <r>
    <n v="2138"/>
    <n v="52"/>
    <x v="39"/>
    <x v="2"/>
  </r>
  <r>
    <n v="2139"/>
    <n v="107"/>
    <x v="28"/>
    <x v="0"/>
  </r>
  <r>
    <n v="2140"/>
    <n v="112"/>
    <x v="49"/>
    <x v="0"/>
  </r>
  <r>
    <n v="2141"/>
    <n v="107"/>
    <x v="21"/>
    <x v="2"/>
  </r>
  <r>
    <n v="2142"/>
    <n v="260"/>
    <x v="36"/>
    <x v="0"/>
  </r>
  <r>
    <n v="2143"/>
    <n v="163"/>
    <x v="59"/>
    <x v="2"/>
  </r>
  <r>
    <n v="2144"/>
    <n v="216"/>
    <x v="96"/>
    <x v="2"/>
  </r>
  <r>
    <n v="2145"/>
    <n v="44"/>
    <x v="104"/>
    <x v="3"/>
  </r>
  <r>
    <n v="2146"/>
    <n v="91"/>
    <x v="34"/>
    <x v="2"/>
  </r>
  <r>
    <n v="2147"/>
    <n v="213"/>
    <x v="156"/>
    <x v="2"/>
  </r>
  <r>
    <n v="2148"/>
    <n v="57"/>
    <x v="169"/>
    <x v="2"/>
  </r>
  <r>
    <n v="2149"/>
    <n v="14"/>
    <x v="155"/>
    <x v="2"/>
  </r>
  <r>
    <n v="2150"/>
    <n v="52"/>
    <x v="66"/>
    <x v="2"/>
  </r>
  <r>
    <n v="2151"/>
    <n v="275"/>
    <x v="137"/>
    <x v="3"/>
  </r>
  <r>
    <n v="2152"/>
    <n v="132"/>
    <x v="4"/>
    <x v="1"/>
  </r>
  <r>
    <n v="2153"/>
    <n v="50"/>
    <x v="86"/>
    <x v="2"/>
  </r>
  <r>
    <n v="2154"/>
    <n v="49"/>
    <x v="51"/>
    <x v="2"/>
  </r>
  <r>
    <n v="2155"/>
    <n v="267"/>
    <x v="137"/>
    <x v="2"/>
  </r>
  <r>
    <n v="2156"/>
    <n v="102"/>
    <x v="159"/>
    <x v="2"/>
  </r>
  <r>
    <n v="2157"/>
    <n v="247"/>
    <x v="58"/>
    <x v="2"/>
  </r>
  <r>
    <n v="2158"/>
    <n v="264"/>
    <x v="136"/>
    <x v="2"/>
  </r>
  <r>
    <n v="2159"/>
    <n v="176"/>
    <x v="60"/>
    <x v="2"/>
  </r>
  <r>
    <n v="2160"/>
    <n v="65"/>
    <x v="154"/>
    <x v="2"/>
  </r>
  <r>
    <n v="2161"/>
    <n v="114"/>
    <x v="78"/>
    <x v="2"/>
  </r>
  <r>
    <n v="2162"/>
    <n v="273"/>
    <x v="66"/>
    <x v="2"/>
  </r>
  <r>
    <n v="2163"/>
    <n v="78"/>
    <x v="153"/>
    <x v="2"/>
  </r>
  <r>
    <n v="2164"/>
    <n v="154"/>
    <x v="10"/>
    <x v="2"/>
  </r>
  <r>
    <n v="2165"/>
    <n v="35"/>
    <x v="129"/>
    <x v="2"/>
  </r>
  <r>
    <n v="2166"/>
    <n v="215"/>
    <x v="103"/>
    <x v="2"/>
  </r>
  <r>
    <n v="2167"/>
    <n v="300"/>
    <x v="8"/>
    <x v="2"/>
  </r>
  <r>
    <n v="2168"/>
    <n v="119"/>
    <x v="168"/>
    <x v="2"/>
  </r>
  <r>
    <n v="2169"/>
    <n v="131"/>
    <x v="1"/>
    <x v="2"/>
  </r>
  <r>
    <n v="2170"/>
    <n v="53"/>
    <x v="41"/>
    <x v="2"/>
  </r>
  <r>
    <n v="2171"/>
    <n v="54"/>
    <x v="118"/>
    <x v="2"/>
  </r>
  <r>
    <n v="2172"/>
    <n v="249"/>
    <x v="46"/>
    <x v="2"/>
  </r>
  <r>
    <n v="2173"/>
    <n v="290"/>
    <x v="164"/>
    <x v="2"/>
  </r>
  <r>
    <n v="2174"/>
    <n v="123"/>
    <x v="69"/>
    <x v="2"/>
  </r>
  <r>
    <n v="2175"/>
    <n v="268"/>
    <x v="144"/>
    <x v="2"/>
  </r>
  <r>
    <n v="2176"/>
    <n v="51"/>
    <x v="120"/>
    <x v="0"/>
  </r>
  <r>
    <n v="2177"/>
    <n v="128"/>
    <x v="50"/>
    <x v="2"/>
  </r>
  <r>
    <n v="2178"/>
    <n v="281"/>
    <x v="32"/>
    <x v="2"/>
  </r>
  <r>
    <n v="2179"/>
    <n v="52"/>
    <x v="176"/>
    <x v="2"/>
  </r>
  <r>
    <n v="2180"/>
    <n v="225"/>
    <x v="20"/>
    <x v="2"/>
  </r>
  <r>
    <n v="2181"/>
    <n v="287"/>
    <x v="91"/>
    <x v="2"/>
  </r>
  <r>
    <n v="2182"/>
    <n v="175"/>
    <x v="57"/>
    <x v="2"/>
  </r>
  <r>
    <n v="2183"/>
    <n v="126"/>
    <x v="65"/>
    <x v="2"/>
  </r>
  <r>
    <n v="2184"/>
    <n v="111"/>
    <x v="77"/>
    <x v="2"/>
  </r>
  <r>
    <n v="2185"/>
    <n v="291"/>
    <x v="54"/>
    <x v="2"/>
  </r>
  <r>
    <n v="2186"/>
    <n v="187"/>
    <x v="149"/>
    <x v="2"/>
  </r>
  <r>
    <n v="2187"/>
    <n v="127"/>
    <x v="58"/>
    <x v="1"/>
  </r>
  <r>
    <n v="2188"/>
    <n v="179"/>
    <x v="59"/>
    <x v="2"/>
  </r>
  <r>
    <n v="2189"/>
    <n v="88"/>
    <x v="71"/>
    <x v="2"/>
  </r>
  <r>
    <n v="2190"/>
    <n v="182"/>
    <x v="48"/>
    <x v="2"/>
  </r>
  <r>
    <n v="2191"/>
    <n v="69"/>
    <x v="157"/>
    <x v="2"/>
  </r>
  <r>
    <n v="2192"/>
    <n v="74"/>
    <x v="89"/>
    <x v="0"/>
  </r>
  <r>
    <n v="2193"/>
    <n v="212"/>
    <x v="86"/>
    <x v="2"/>
  </r>
  <r>
    <n v="2194"/>
    <n v="294"/>
    <x v="60"/>
    <x v="0"/>
  </r>
  <r>
    <n v="2195"/>
    <n v="91"/>
    <x v="60"/>
    <x v="2"/>
  </r>
  <r>
    <n v="2196"/>
    <n v="49"/>
    <x v="92"/>
    <x v="2"/>
  </r>
  <r>
    <n v="2197"/>
    <n v="157"/>
    <x v="96"/>
    <x v="2"/>
  </r>
  <r>
    <n v="2198"/>
    <n v="112"/>
    <x v="84"/>
    <x v="2"/>
  </r>
  <r>
    <n v="2199"/>
    <n v="228"/>
    <x v="74"/>
    <x v="2"/>
  </r>
  <r>
    <n v="2200"/>
    <n v="56"/>
    <x v="40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7">
  <r>
    <n v="1"/>
    <n v="1001"/>
    <x v="0"/>
    <n v="2"/>
    <n v="750"/>
    <n v="1500"/>
    <s v="Shipped"/>
    <n v="1500"/>
    <d v="2026-01-20T00:00:00"/>
    <s v="Total non-cancelled orders"/>
    <n v="1145"/>
    <x v="0"/>
    <x v="0"/>
  </r>
  <r>
    <n v="2"/>
    <n v="1001"/>
    <x v="1"/>
    <n v="4"/>
    <n v="140"/>
    <n v="560"/>
    <s v="Shipped"/>
    <n v="560"/>
    <d v="2026-01-20T00:00:00"/>
    <s v="Average Order Value"/>
    <n v="659.85676855895201"/>
    <x v="1"/>
    <x v="0"/>
  </r>
  <r>
    <n v="3"/>
    <n v="1001"/>
    <x v="2"/>
    <n v="2"/>
    <n v="8"/>
    <n v="16"/>
    <s v="Shipped"/>
    <n v="16"/>
    <d v="2026-01-20T00:00:00"/>
    <m/>
    <m/>
    <x v="2"/>
    <x v="0"/>
  </r>
  <r>
    <n v="4"/>
    <n v="1002"/>
    <x v="3"/>
    <n v="3"/>
    <n v="25"/>
    <n v="75"/>
    <s v="Cancelled"/>
    <n v="0"/>
    <d v="2026-01-11T00:00:00"/>
    <m/>
    <m/>
    <x v="3"/>
    <x v="0"/>
  </r>
  <r>
    <n v="5"/>
    <n v="1002"/>
    <x v="4"/>
    <n v="4"/>
    <n v="48"/>
    <n v="192"/>
    <s v="Cancelled"/>
    <n v="0"/>
    <d v="2026-01-11T00:00:00"/>
    <m/>
    <m/>
    <x v="4"/>
    <x v="0"/>
  </r>
  <r>
    <n v="6"/>
    <n v="1002"/>
    <x v="5"/>
    <n v="2"/>
    <n v="220"/>
    <n v="440"/>
    <s v="Cancelled"/>
    <n v="0"/>
    <d v="2026-01-11T00:00:00"/>
    <m/>
    <m/>
    <x v="5"/>
    <x v="0"/>
  </r>
  <r>
    <n v="7"/>
    <n v="1003"/>
    <x v="0"/>
    <n v="3"/>
    <n v="750"/>
    <n v="2250"/>
    <s v="Cancelled"/>
    <n v="0"/>
    <d v="2026-03-02T00:00:00"/>
    <m/>
    <m/>
    <x v="0"/>
    <x v="1"/>
  </r>
  <r>
    <n v="8"/>
    <n v="1003"/>
    <x v="6"/>
    <n v="4"/>
    <n v="45"/>
    <n v="180"/>
    <s v="Cancelled"/>
    <n v="0"/>
    <d v="2026-03-02T00:00:00"/>
    <m/>
    <m/>
    <x v="6"/>
    <x v="1"/>
  </r>
  <r>
    <n v="9"/>
    <n v="1004"/>
    <x v="6"/>
    <n v="4"/>
    <n v="45"/>
    <n v="180"/>
    <s v="Cancelled"/>
    <n v="0"/>
    <d v="2026-06-21T00:00:00"/>
    <m/>
    <m/>
    <x v="6"/>
    <x v="2"/>
  </r>
  <r>
    <n v="10"/>
    <n v="1004"/>
    <x v="5"/>
    <n v="1"/>
    <n v="220"/>
    <n v="220"/>
    <s v="Cancelled"/>
    <n v="0"/>
    <d v="2026-06-21T00:00:00"/>
    <m/>
    <m/>
    <x v="5"/>
    <x v="2"/>
  </r>
  <r>
    <n v="11"/>
    <n v="1005"/>
    <x v="7"/>
    <n v="2"/>
    <n v="180"/>
    <n v="360"/>
    <s v="Delivered"/>
    <n v="360"/>
    <d v="2026-05-01T00:00:00"/>
    <m/>
    <m/>
    <x v="7"/>
    <x v="3"/>
  </r>
  <r>
    <n v="12"/>
    <n v="1005"/>
    <x v="3"/>
    <n v="1"/>
    <n v="25"/>
    <n v="25"/>
    <s v="Delivered"/>
    <n v="25"/>
    <d v="2026-05-01T00:00:00"/>
    <m/>
    <m/>
    <x v="3"/>
    <x v="3"/>
  </r>
  <r>
    <n v="13"/>
    <n v="1006"/>
    <x v="4"/>
    <n v="3"/>
    <n v="48"/>
    <n v="144"/>
    <s v="Delivered"/>
    <n v="144"/>
    <d v="2026-03-13T00:00:00"/>
    <m/>
    <m/>
    <x v="4"/>
    <x v="1"/>
  </r>
  <r>
    <n v="14"/>
    <n v="1006"/>
    <x v="8"/>
    <n v="1"/>
    <n v="30"/>
    <n v="30"/>
    <s v="Delivered"/>
    <n v="30"/>
    <d v="2026-03-13T00:00:00"/>
    <m/>
    <m/>
    <x v="8"/>
    <x v="1"/>
  </r>
  <r>
    <n v="15"/>
    <n v="1007"/>
    <x v="9"/>
    <n v="4"/>
    <n v="22"/>
    <n v="88"/>
    <s v="Delivered"/>
    <n v="88"/>
    <d v="2026-01-10T00:00:00"/>
    <m/>
    <m/>
    <x v="9"/>
    <x v="0"/>
  </r>
  <r>
    <n v="16"/>
    <n v="1007"/>
    <x v="1"/>
    <n v="1"/>
    <n v="140"/>
    <n v="140"/>
    <s v="Delivered"/>
    <n v="140"/>
    <d v="2026-01-10T00:00:00"/>
    <m/>
    <m/>
    <x v="1"/>
    <x v="0"/>
  </r>
  <r>
    <n v="17"/>
    <n v="1008"/>
    <x v="9"/>
    <n v="3"/>
    <n v="22"/>
    <n v="66"/>
    <s v="Delivered"/>
    <n v="66"/>
    <d v="2026-04-22T00:00:00"/>
    <m/>
    <m/>
    <x v="9"/>
    <x v="4"/>
  </r>
  <r>
    <n v="18"/>
    <n v="1008"/>
    <x v="4"/>
    <n v="4"/>
    <n v="48"/>
    <n v="192"/>
    <s v="Delivered"/>
    <n v="192"/>
    <d v="2026-04-22T00:00:00"/>
    <m/>
    <m/>
    <x v="4"/>
    <x v="4"/>
  </r>
  <r>
    <n v="19"/>
    <n v="1008"/>
    <x v="3"/>
    <n v="1"/>
    <n v="25"/>
    <n v="25"/>
    <s v="Delivered"/>
    <n v="25"/>
    <d v="2026-04-22T00:00:00"/>
    <m/>
    <m/>
    <x v="3"/>
    <x v="4"/>
  </r>
  <r>
    <n v="20"/>
    <n v="1009"/>
    <x v="7"/>
    <n v="3"/>
    <n v="180"/>
    <n v="540"/>
    <s v="Delivered"/>
    <n v="540"/>
    <d v="2026-02-01T00:00:00"/>
    <m/>
    <m/>
    <x v="7"/>
    <x v="5"/>
  </r>
  <r>
    <n v="21"/>
    <n v="1009"/>
    <x v="4"/>
    <n v="4"/>
    <n v="48"/>
    <n v="192"/>
    <s v="Delivered"/>
    <n v="192"/>
    <d v="2026-02-01T00:00:00"/>
    <m/>
    <m/>
    <x v="4"/>
    <x v="5"/>
  </r>
  <r>
    <n v="22"/>
    <n v="1009"/>
    <x v="10"/>
    <n v="3"/>
    <n v="65"/>
    <n v="195"/>
    <s v="Delivered"/>
    <n v="195"/>
    <d v="2026-02-01T00:00:00"/>
    <m/>
    <m/>
    <x v="10"/>
    <x v="5"/>
  </r>
  <r>
    <n v="23"/>
    <n v="1010"/>
    <x v="2"/>
    <n v="1"/>
    <n v="8"/>
    <n v="8"/>
    <s v="Delivered"/>
    <n v="8"/>
    <d v="2026-06-23T00:00:00"/>
    <m/>
    <m/>
    <x v="2"/>
    <x v="2"/>
  </r>
  <r>
    <n v="24"/>
    <n v="1010"/>
    <x v="7"/>
    <n v="3"/>
    <n v="180"/>
    <n v="540"/>
    <s v="Delivered"/>
    <n v="540"/>
    <d v="2026-06-23T00:00:00"/>
    <m/>
    <m/>
    <x v="7"/>
    <x v="2"/>
  </r>
  <r>
    <n v="25"/>
    <n v="1010"/>
    <x v="10"/>
    <n v="3"/>
    <n v="65"/>
    <n v="195"/>
    <s v="Delivered"/>
    <n v="195"/>
    <d v="2026-06-23T00:00:00"/>
    <m/>
    <m/>
    <x v="10"/>
    <x v="2"/>
  </r>
  <r>
    <n v="26"/>
    <n v="1011"/>
    <x v="11"/>
    <n v="3"/>
    <n v="55"/>
    <n v="165"/>
    <s v="Delivered"/>
    <n v="165"/>
    <d v="2026-04-30T00:00:00"/>
    <m/>
    <m/>
    <x v="11"/>
    <x v="4"/>
  </r>
  <r>
    <n v="27"/>
    <n v="1011"/>
    <x v="6"/>
    <n v="3"/>
    <n v="45"/>
    <n v="135"/>
    <s v="Delivered"/>
    <n v="135"/>
    <d v="2026-04-30T00:00:00"/>
    <m/>
    <m/>
    <x v="6"/>
    <x v="4"/>
  </r>
  <r>
    <n v="28"/>
    <n v="1011"/>
    <x v="5"/>
    <n v="1"/>
    <n v="220"/>
    <n v="220"/>
    <s v="Delivered"/>
    <n v="220"/>
    <d v="2026-04-30T00:00:00"/>
    <m/>
    <m/>
    <x v="5"/>
    <x v="4"/>
  </r>
  <r>
    <n v="29"/>
    <n v="1012"/>
    <x v="11"/>
    <n v="1"/>
    <n v="55"/>
    <n v="55"/>
    <s v="Delivered"/>
    <n v="55"/>
    <d v="2026-02-20T00:00:00"/>
    <m/>
    <m/>
    <x v="11"/>
    <x v="5"/>
  </r>
  <r>
    <n v="30"/>
    <n v="1013"/>
    <x v="6"/>
    <n v="1"/>
    <n v="45"/>
    <n v="45"/>
    <s v="Delivered"/>
    <n v="45"/>
    <d v="2026-06-28T00:00:00"/>
    <m/>
    <m/>
    <x v="6"/>
    <x v="2"/>
  </r>
  <r>
    <n v="31"/>
    <n v="1014"/>
    <x v="0"/>
    <n v="2"/>
    <n v="750"/>
    <n v="1500"/>
    <s v="Delivered"/>
    <n v="1500"/>
    <d v="2026-02-26T00:00:00"/>
    <m/>
    <m/>
    <x v="0"/>
    <x v="5"/>
  </r>
  <r>
    <n v="32"/>
    <n v="1014"/>
    <x v="8"/>
    <n v="1"/>
    <n v="30"/>
    <n v="30"/>
    <s v="Delivered"/>
    <n v="30"/>
    <d v="2026-02-26T00:00:00"/>
    <m/>
    <m/>
    <x v="8"/>
    <x v="5"/>
  </r>
  <r>
    <n v="33"/>
    <n v="1015"/>
    <x v="9"/>
    <n v="4"/>
    <n v="22"/>
    <n v="88"/>
    <s v="Delivered"/>
    <n v="88"/>
    <d v="2026-06-02T00:00:00"/>
    <m/>
    <m/>
    <x v="9"/>
    <x v="2"/>
  </r>
  <r>
    <n v="34"/>
    <n v="1015"/>
    <x v="8"/>
    <n v="2"/>
    <n v="30"/>
    <n v="60"/>
    <s v="Delivered"/>
    <n v="60"/>
    <d v="2026-06-02T00:00:00"/>
    <m/>
    <m/>
    <x v="8"/>
    <x v="2"/>
  </r>
  <r>
    <n v="35"/>
    <n v="1015"/>
    <x v="10"/>
    <n v="4"/>
    <n v="65"/>
    <n v="260"/>
    <s v="Delivered"/>
    <n v="260"/>
    <d v="2026-06-02T00:00:00"/>
    <m/>
    <m/>
    <x v="10"/>
    <x v="2"/>
  </r>
  <r>
    <n v="36"/>
    <n v="1016"/>
    <x v="11"/>
    <n v="3"/>
    <n v="55"/>
    <n v="165"/>
    <s v="Delivered"/>
    <n v="165"/>
    <d v="2026-05-14T00:00:00"/>
    <m/>
    <m/>
    <x v="11"/>
    <x v="3"/>
  </r>
  <r>
    <n v="37"/>
    <n v="1016"/>
    <x v="5"/>
    <n v="2"/>
    <n v="220"/>
    <n v="440"/>
    <s v="Delivered"/>
    <n v="440"/>
    <d v="2026-05-14T00:00:00"/>
    <m/>
    <m/>
    <x v="5"/>
    <x v="3"/>
  </r>
  <r>
    <n v="38"/>
    <n v="1017"/>
    <x v="3"/>
    <n v="4"/>
    <n v="25"/>
    <n v="100"/>
    <s v="Delivered"/>
    <n v="100"/>
    <d v="2026-02-08T00:00:00"/>
    <m/>
    <m/>
    <x v="3"/>
    <x v="5"/>
  </r>
  <r>
    <n v="39"/>
    <n v="1017"/>
    <x v="5"/>
    <n v="3"/>
    <n v="220"/>
    <n v="660"/>
    <s v="Delivered"/>
    <n v="660"/>
    <d v="2026-02-08T00:00:00"/>
    <m/>
    <m/>
    <x v="5"/>
    <x v="5"/>
  </r>
  <r>
    <n v="40"/>
    <n v="1017"/>
    <x v="10"/>
    <n v="4"/>
    <n v="65"/>
    <n v="260"/>
    <s v="Delivered"/>
    <n v="260"/>
    <d v="2026-02-08T00:00:00"/>
    <m/>
    <m/>
    <x v="10"/>
    <x v="5"/>
  </r>
  <r>
    <n v="41"/>
    <n v="1018"/>
    <x v="11"/>
    <n v="3"/>
    <n v="55"/>
    <n v="165"/>
    <s v="Delivered"/>
    <n v="165"/>
    <d v="2026-06-28T00:00:00"/>
    <m/>
    <m/>
    <x v="11"/>
    <x v="2"/>
  </r>
  <r>
    <n v="42"/>
    <n v="1018"/>
    <x v="0"/>
    <n v="3"/>
    <n v="750"/>
    <n v="2250"/>
    <s v="Delivered"/>
    <n v="2250"/>
    <d v="2026-06-28T00:00:00"/>
    <m/>
    <m/>
    <x v="0"/>
    <x v="2"/>
  </r>
  <r>
    <n v="43"/>
    <n v="1019"/>
    <x v="3"/>
    <n v="3"/>
    <n v="25"/>
    <n v="75"/>
    <s v="Delivered"/>
    <n v="75"/>
    <d v="2026-05-18T00:00:00"/>
    <m/>
    <m/>
    <x v="3"/>
    <x v="3"/>
  </r>
  <r>
    <n v="44"/>
    <n v="1019"/>
    <x v="11"/>
    <n v="4"/>
    <n v="55"/>
    <n v="220"/>
    <s v="Delivered"/>
    <n v="220"/>
    <d v="2026-05-18T00:00:00"/>
    <m/>
    <m/>
    <x v="11"/>
    <x v="3"/>
  </r>
  <r>
    <n v="45"/>
    <n v="1019"/>
    <x v="9"/>
    <n v="4"/>
    <n v="22"/>
    <n v="88"/>
    <s v="Delivered"/>
    <n v="88"/>
    <d v="2026-05-18T00:00:00"/>
    <m/>
    <m/>
    <x v="9"/>
    <x v="3"/>
  </r>
  <r>
    <n v="46"/>
    <n v="1020"/>
    <x v="8"/>
    <n v="1"/>
    <n v="30"/>
    <n v="30"/>
    <s v="Delivered"/>
    <n v="30"/>
    <d v="2026-02-12T00:00:00"/>
    <m/>
    <m/>
    <x v="8"/>
    <x v="5"/>
  </r>
  <r>
    <n v="47"/>
    <n v="1020"/>
    <x v="0"/>
    <n v="1"/>
    <n v="750"/>
    <n v="750"/>
    <s v="Delivered"/>
    <n v="750"/>
    <d v="2026-02-12T00:00:00"/>
    <m/>
    <m/>
    <x v="0"/>
    <x v="5"/>
  </r>
  <r>
    <n v="48"/>
    <n v="1020"/>
    <x v="10"/>
    <n v="4"/>
    <n v="65"/>
    <n v="260"/>
    <s v="Delivered"/>
    <n v="260"/>
    <d v="2026-02-12T00:00:00"/>
    <m/>
    <m/>
    <x v="10"/>
    <x v="5"/>
  </r>
  <r>
    <n v="49"/>
    <n v="1021"/>
    <x v="10"/>
    <n v="4"/>
    <n v="65"/>
    <n v="260"/>
    <s v="Delivered"/>
    <n v="260"/>
    <d v="2026-03-25T00:00:00"/>
    <m/>
    <m/>
    <x v="10"/>
    <x v="1"/>
  </r>
  <r>
    <n v="50"/>
    <n v="1021"/>
    <x v="7"/>
    <n v="3"/>
    <n v="180"/>
    <n v="540"/>
    <s v="Delivered"/>
    <n v="540"/>
    <d v="2026-03-25T00:00:00"/>
    <m/>
    <m/>
    <x v="7"/>
    <x v="1"/>
  </r>
  <r>
    <n v="51"/>
    <n v="1022"/>
    <x v="0"/>
    <n v="2"/>
    <n v="750"/>
    <n v="1500"/>
    <s v="Delivered"/>
    <n v="1500"/>
    <d v="2026-03-31T00:00:00"/>
    <m/>
    <m/>
    <x v="0"/>
    <x v="1"/>
  </r>
  <r>
    <n v="52"/>
    <n v="1022"/>
    <x v="9"/>
    <n v="1"/>
    <n v="22"/>
    <n v="22"/>
    <s v="Delivered"/>
    <n v="22"/>
    <d v="2026-03-31T00:00:00"/>
    <m/>
    <m/>
    <x v="9"/>
    <x v="1"/>
  </r>
  <r>
    <n v="53"/>
    <n v="1022"/>
    <x v="3"/>
    <n v="2"/>
    <n v="25"/>
    <n v="50"/>
    <s v="Delivered"/>
    <n v="50"/>
    <d v="2026-03-31T00:00:00"/>
    <m/>
    <m/>
    <x v="3"/>
    <x v="1"/>
  </r>
  <r>
    <n v="54"/>
    <n v="1023"/>
    <x v="2"/>
    <n v="1"/>
    <n v="8"/>
    <n v="8"/>
    <s v="Delivered"/>
    <n v="8"/>
    <d v="2026-04-30T00:00:00"/>
    <m/>
    <m/>
    <x v="2"/>
    <x v="4"/>
  </r>
  <r>
    <n v="55"/>
    <n v="1024"/>
    <x v="10"/>
    <n v="1"/>
    <n v="65"/>
    <n v="65"/>
    <s v="Shipped"/>
    <n v="65"/>
    <d v="2026-01-07T00:00:00"/>
    <m/>
    <m/>
    <x v="10"/>
    <x v="0"/>
  </r>
  <r>
    <n v="56"/>
    <n v="1024"/>
    <x v="9"/>
    <n v="2"/>
    <n v="22"/>
    <n v="44"/>
    <s v="Shipped"/>
    <n v="44"/>
    <d v="2026-01-07T00:00:00"/>
    <m/>
    <m/>
    <x v="9"/>
    <x v="0"/>
  </r>
  <r>
    <n v="57"/>
    <n v="1024"/>
    <x v="3"/>
    <n v="1"/>
    <n v="25"/>
    <n v="25"/>
    <s v="Shipped"/>
    <n v="25"/>
    <d v="2026-01-07T00:00:00"/>
    <m/>
    <m/>
    <x v="3"/>
    <x v="0"/>
  </r>
  <r>
    <n v="58"/>
    <n v="1025"/>
    <x v="0"/>
    <n v="4"/>
    <n v="750"/>
    <n v="3000"/>
    <s v="Delivered"/>
    <n v="3000"/>
    <d v="2026-06-25T00:00:00"/>
    <m/>
    <m/>
    <x v="0"/>
    <x v="2"/>
  </r>
  <r>
    <n v="59"/>
    <n v="1025"/>
    <x v="1"/>
    <n v="3"/>
    <n v="140"/>
    <n v="420"/>
    <s v="Delivered"/>
    <n v="420"/>
    <d v="2026-06-25T00:00:00"/>
    <m/>
    <m/>
    <x v="1"/>
    <x v="2"/>
  </r>
  <r>
    <n v="60"/>
    <n v="1025"/>
    <x v="8"/>
    <n v="1"/>
    <n v="30"/>
    <n v="30"/>
    <s v="Delivered"/>
    <n v="30"/>
    <d v="2026-06-25T00:00:00"/>
    <m/>
    <m/>
    <x v="8"/>
    <x v="2"/>
  </r>
  <r>
    <n v="61"/>
    <n v="1026"/>
    <x v="11"/>
    <n v="2"/>
    <n v="55"/>
    <n v="110"/>
    <s v="Delivered"/>
    <n v="110"/>
    <d v="2026-01-28T00:00:00"/>
    <m/>
    <m/>
    <x v="11"/>
    <x v="0"/>
  </r>
  <r>
    <n v="62"/>
    <n v="1026"/>
    <x v="6"/>
    <n v="3"/>
    <n v="45"/>
    <n v="135"/>
    <s v="Delivered"/>
    <n v="135"/>
    <d v="2026-01-28T00:00:00"/>
    <m/>
    <m/>
    <x v="6"/>
    <x v="0"/>
  </r>
  <r>
    <n v="63"/>
    <n v="1026"/>
    <x v="10"/>
    <n v="4"/>
    <n v="65"/>
    <n v="260"/>
    <s v="Delivered"/>
    <n v="260"/>
    <d v="2026-01-28T00:00:00"/>
    <m/>
    <m/>
    <x v="10"/>
    <x v="0"/>
  </r>
  <r>
    <n v="64"/>
    <n v="1027"/>
    <x v="11"/>
    <n v="4"/>
    <n v="55"/>
    <n v="220"/>
    <s v="Delivered"/>
    <n v="220"/>
    <d v="2026-03-04T00:00:00"/>
    <m/>
    <m/>
    <x v="11"/>
    <x v="1"/>
  </r>
  <r>
    <n v="65"/>
    <n v="1027"/>
    <x v="3"/>
    <n v="4"/>
    <n v="25"/>
    <n v="100"/>
    <s v="Delivered"/>
    <n v="100"/>
    <d v="2026-03-04T00:00:00"/>
    <m/>
    <m/>
    <x v="3"/>
    <x v="1"/>
  </r>
  <r>
    <n v="66"/>
    <n v="1028"/>
    <x v="7"/>
    <n v="3"/>
    <n v="180"/>
    <n v="540"/>
    <s v="Delivered"/>
    <n v="540"/>
    <d v="2026-02-24T00:00:00"/>
    <m/>
    <m/>
    <x v="7"/>
    <x v="5"/>
  </r>
  <r>
    <n v="67"/>
    <n v="1028"/>
    <x v="2"/>
    <n v="1"/>
    <n v="8"/>
    <n v="8"/>
    <s v="Delivered"/>
    <n v="8"/>
    <d v="2026-02-24T00:00:00"/>
    <m/>
    <m/>
    <x v="2"/>
    <x v="5"/>
  </r>
  <r>
    <n v="68"/>
    <n v="1029"/>
    <x v="11"/>
    <n v="4"/>
    <n v="55"/>
    <n v="220"/>
    <s v="Delivered"/>
    <n v="220"/>
    <d v="2026-05-06T00:00:00"/>
    <m/>
    <m/>
    <x v="11"/>
    <x v="3"/>
  </r>
  <r>
    <n v="69"/>
    <n v="1029"/>
    <x v="4"/>
    <n v="1"/>
    <n v="48"/>
    <n v="48"/>
    <s v="Delivered"/>
    <n v="48"/>
    <d v="2026-05-06T00:00:00"/>
    <m/>
    <m/>
    <x v="4"/>
    <x v="3"/>
  </r>
  <r>
    <n v="70"/>
    <n v="1029"/>
    <x v="9"/>
    <n v="1"/>
    <n v="22"/>
    <n v="22"/>
    <s v="Delivered"/>
    <n v="22"/>
    <d v="2026-05-06T00:00:00"/>
    <m/>
    <m/>
    <x v="9"/>
    <x v="3"/>
  </r>
  <r>
    <n v="71"/>
    <n v="1030"/>
    <x v="1"/>
    <n v="3"/>
    <n v="140"/>
    <n v="420"/>
    <s v="Delivered"/>
    <n v="420"/>
    <d v="2026-05-29T00:00:00"/>
    <m/>
    <m/>
    <x v="1"/>
    <x v="3"/>
  </r>
  <r>
    <n v="72"/>
    <n v="1030"/>
    <x v="10"/>
    <n v="3"/>
    <n v="65"/>
    <n v="195"/>
    <s v="Delivered"/>
    <n v="195"/>
    <d v="2026-05-29T00:00:00"/>
    <m/>
    <m/>
    <x v="10"/>
    <x v="3"/>
  </r>
  <r>
    <n v="73"/>
    <n v="1030"/>
    <x v="8"/>
    <n v="4"/>
    <n v="30"/>
    <n v="120"/>
    <s v="Delivered"/>
    <n v="120"/>
    <d v="2026-05-29T00:00:00"/>
    <m/>
    <m/>
    <x v="8"/>
    <x v="3"/>
  </r>
  <r>
    <n v="74"/>
    <n v="1031"/>
    <x v="6"/>
    <n v="4"/>
    <n v="45"/>
    <n v="180"/>
    <s v="Delivered"/>
    <n v="180"/>
    <d v="2026-03-22T00:00:00"/>
    <m/>
    <m/>
    <x v="6"/>
    <x v="1"/>
  </r>
  <r>
    <n v="75"/>
    <n v="1031"/>
    <x v="3"/>
    <n v="3"/>
    <n v="25"/>
    <n v="75"/>
    <s v="Delivered"/>
    <n v="75"/>
    <d v="2026-03-22T00:00:00"/>
    <m/>
    <m/>
    <x v="3"/>
    <x v="1"/>
  </r>
  <r>
    <n v="76"/>
    <n v="1031"/>
    <x v="4"/>
    <n v="3"/>
    <n v="48"/>
    <n v="144"/>
    <s v="Delivered"/>
    <n v="144"/>
    <d v="2026-03-22T00:00:00"/>
    <m/>
    <m/>
    <x v="4"/>
    <x v="1"/>
  </r>
  <r>
    <n v="77"/>
    <n v="1032"/>
    <x v="7"/>
    <n v="1"/>
    <n v="180"/>
    <n v="180"/>
    <s v="Delivered"/>
    <n v="180"/>
    <d v="2026-02-15T00:00:00"/>
    <m/>
    <m/>
    <x v="7"/>
    <x v="5"/>
  </r>
  <r>
    <n v="78"/>
    <n v="1033"/>
    <x v="0"/>
    <n v="3"/>
    <n v="750"/>
    <n v="2250"/>
    <s v="Cancelled"/>
    <n v="0"/>
    <d v="2026-06-13T00:00:00"/>
    <m/>
    <m/>
    <x v="0"/>
    <x v="2"/>
  </r>
  <r>
    <n v="79"/>
    <n v="1034"/>
    <x v="0"/>
    <n v="3"/>
    <n v="750"/>
    <n v="2250"/>
    <s v="Delivered"/>
    <n v="2250"/>
    <d v="2026-05-01T00:00:00"/>
    <m/>
    <m/>
    <x v="0"/>
    <x v="3"/>
  </r>
  <r>
    <n v="80"/>
    <n v="1035"/>
    <x v="6"/>
    <n v="3"/>
    <n v="45"/>
    <n v="135"/>
    <s v="Delivered"/>
    <n v="135"/>
    <d v="2026-05-06T00:00:00"/>
    <m/>
    <m/>
    <x v="6"/>
    <x v="3"/>
  </r>
  <r>
    <n v="81"/>
    <n v="1036"/>
    <x v="10"/>
    <n v="3"/>
    <n v="65"/>
    <n v="195"/>
    <s v="Delivered"/>
    <n v="195"/>
    <d v="2026-06-05T00:00:00"/>
    <m/>
    <m/>
    <x v="10"/>
    <x v="2"/>
  </r>
  <r>
    <n v="82"/>
    <n v="1036"/>
    <x v="11"/>
    <n v="4"/>
    <n v="55"/>
    <n v="220"/>
    <s v="Delivered"/>
    <n v="220"/>
    <d v="2026-06-05T00:00:00"/>
    <m/>
    <m/>
    <x v="11"/>
    <x v="2"/>
  </r>
  <r>
    <n v="83"/>
    <n v="1036"/>
    <x v="4"/>
    <n v="3"/>
    <n v="48"/>
    <n v="144"/>
    <s v="Delivered"/>
    <n v="144"/>
    <d v="2026-06-05T00:00:00"/>
    <m/>
    <m/>
    <x v="4"/>
    <x v="2"/>
  </r>
  <r>
    <n v="84"/>
    <n v="1037"/>
    <x v="5"/>
    <n v="2"/>
    <n v="220"/>
    <n v="440"/>
    <s v="Delivered"/>
    <n v="440"/>
    <d v="2026-02-23T00:00:00"/>
    <m/>
    <m/>
    <x v="5"/>
    <x v="5"/>
  </r>
  <r>
    <n v="85"/>
    <n v="1037"/>
    <x v="6"/>
    <n v="1"/>
    <n v="45"/>
    <n v="45"/>
    <s v="Delivered"/>
    <n v="45"/>
    <d v="2026-02-23T00:00:00"/>
    <m/>
    <m/>
    <x v="6"/>
    <x v="5"/>
  </r>
  <r>
    <n v="86"/>
    <n v="1037"/>
    <x v="3"/>
    <n v="2"/>
    <n v="25"/>
    <n v="50"/>
    <s v="Delivered"/>
    <n v="50"/>
    <d v="2026-02-23T00:00:00"/>
    <m/>
    <m/>
    <x v="3"/>
    <x v="5"/>
  </r>
  <r>
    <n v="87"/>
    <n v="1038"/>
    <x v="11"/>
    <n v="3"/>
    <n v="55"/>
    <n v="165"/>
    <s v="Delivered"/>
    <n v="165"/>
    <d v="2026-01-09T00:00:00"/>
    <m/>
    <m/>
    <x v="11"/>
    <x v="0"/>
  </r>
  <r>
    <n v="88"/>
    <n v="1038"/>
    <x v="5"/>
    <n v="2"/>
    <n v="220"/>
    <n v="440"/>
    <s v="Delivered"/>
    <n v="440"/>
    <d v="2026-01-09T00:00:00"/>
    <m/>
    <m/>
    <x v="5"/>
    <x v="0"/>
  </r>
  <r>
    <n v="89"/>
    <n v="1038"/>
    <x v="3"/>
    <n v="4"/>
    <n v="25"/>
    <n v="100"/>
    <s v="Delivered"/>
    <n v="100"/>
    <d v="2026-01-09T00:00:00"/>
    <m/>
    <m/>
    <x v="3"/>
    <x v="0"/>
  </r>
  <r>
    <n v="90"/>
    <n v="1039"/>
    <x v="2"/>
    <n v="3"/>
    <n v="8"/>
    <n v="24"/>
    <s v="Delivered"/>
    <n v="24"/>
    <d v="2026-02-06T00:00:00"/>
    <m/>
    <m/>
    <x v="2"/>
    <x v="5"/>
  </r>
  <r>
    <n v="91"/>
    <n v="1039"/>
    <x v="9"/>
    <n v="4"/>
    <n v="22"/>
    <n v="88"/>
    <s v="Delivered"/>
    <n v="88"/>
    <d v="2026-02-06T00:00:00"/>
    <m/>
    <m/>
    <x v="9"/>
    <x v="5"/>
  </r>
  <r>
    <n v="92"/>
    <n v="1040"/>
    <x v="2"/>
    <n v="1"/>
    <n v="8"/>
    <n v="8"/>
    <s v="Delivered"/>
    <n v="8"/>
    <d v="2026-05-09T00:00:00"/>
    <m/>
    <m/>
    <x v="2"/>
    <x v="3"/>
  </r>
  <r>
    <n v="93"/>
    <n v="1041"/>
    <x v="0"/>
    <n v="1"/>
    <n v="750"/>
    <n v="750"/>
    <s v="Delivered"/>
    <n v="750"/>
    <d v="2026-01-24T00:00:00"/>
    <m/>
    <m/>
    <x v="0"/>
    <x v="0"/>
  </r>
  <r>
    <n v="94"/>
    <n v="1041"/>
    <x v="4"/>
    <n v="2"/>
    <n v="48"/>
    <n v="96"/>
    <s v="Delivered"/>
    <n v="96"/>
    <d v="2026-01-24T00:00:00"/>
    <m/>
    <m/>
    <x v="4"/>
    <x v="0"/>
  </r>
  <r>
    <n v="95"/>
    <n v="1041"/>
    <x v="7"/>
    <n v="4"/>
    <n v="180"/>
    <n v="720"/>
    <s v="Delivered"/>
    <n v="720"/>
    <d v="2026-01-24T00:00:00"/>
    <m/>
    <m/>
    <x v="7"/>
    <x v="0"/>
  </r>
  <r>
    <n v="96"/>
    <n v="1042"/>
    <x v="11"/>
    <n v="3"/>
    <n v="55"/>
    <n v="165"/>
    <s v="Delivered"/>
    <n v="165"/>
    <d v="2026-04-22T00:00:00"/>
    <m/>
    <m/>
    <x v="11"/>
    <x v="4"/>
  </r>
  <r>
    <n v="97"/>
    <n v="1043"/>
    <x v="4"/>
    <n v="1"/>
    <n v="48"/>
    <n v="48"/>
    <s v="Delivered"/>
    <n v="48"/>
    <d v="2026-03-26T00:00:00"/>
    <m/>
    <m/>
    <x v="4"/>
    <x v="1"/>
  </r>
  <r>
    <n v="98"/>
    <n v="1043"/>
    <x v="10"/>
    <n v="4"/>
    <n v="65"/>
    <n v="260"/>
    <s v="Delivered"/>
    <n v="260"/>
    <d v="2026-03-26T00:00:00"/>
    <m/>
    <m/>
    <x v="10"/>
    <x v="1"/>
  </r>
  <r>
    <n v="99"/>
    <n v="1044"/>
    <x v="8"/>
    <n v="1"/>
    <n v="30"/>
    <n v="30"/>
    <s v="Delivered"/>
    <n v="30"/>
    <d v="2026-05-12T00:00:00"/>
    <m/>
    <m/>
    <x v="8"/>
    <x v="3"/>
  </r>
  <r>
    <n v="100"/>
    <n v="1044"/>
    <x v="11"/>
    <n v="2"/>
    <n v="55"/>
    <n v="110"/>
    <s v="Delivered"/>
    <n v="110"/>
    <d v="2026-05-12T00:00:00"/>
    <m/>
    <m/>
    <x v="11"/>
    <x v="3"/>
  </r>
  <r>
    <n v="101"/>
    <n v="1044"/>
    <x v="10"/>
    <n v="3"/>
    <n v="65"/>
    <n v="195"/>
    <s v="Delivered"/>
    <n v="195"/>
    <d v="2026-05-12T00:00:00"/>
    <m/>
    <m/>
    <x v="10"/>
    <x v="3"/>
  </r>
  <r>
    <n v="102"/>
    <n v="1045"/>
    <x v="11"/>
    <n v="1"/>
    <n v="55"/>
    <n v="55"/>
    <s v="Delivered"/>
    <n v="55"/>
    <d v="2026-02-22T00:00:00"/>
    <m/>
    <m/>
    <x v="11"/>
    <x v="5"/>
  </r>
  <r>
    <n v="103"/>
    <n v="1045"/>
    <x v="9"/>
    <n v="1"/>
    <n v="22"/>
    <n v="22"/>
    <s v="Delivered"/>
    <n v="22"/>
    <d v="2026-02-22T00:00:00"/>
    <m/>
    <m/>
    <x v="9"/>
    <x v="5"/>
  </r>
  <r>
    <n v="104"/>
    <n v="1046"/>
    <x v="5"/>
    <n v="1"/>
    <n v="220"/>
    <n v="220"/>
    <s v="Delivered"/>
    <n v="220"/>
    <d v="2026-03-21T00:00:00"/>
    <m/>
    <m/>
    <x v="5"/>
    <x v="1"/>
  </r>
  <r>
    <n v="105"/>
    <n v="1046"/>
    <x v="3"/>
    <n v="4"/>
    <n v="25"/>
    <n v="100"/>
    <s v="Delivered"/>
    <n v="100"/>
    <d v="2026-03-21T00:00:00"/>
    <m/>
    <m/>
    <x v="3"/>
    <x v="1"/>
  </r>
  <r>
    <n v="106"/>
    <n v="1047"/>
    <x v="11"/>
    <n v="2"/>
    <n v="55"/>
    <n v="110"/>
    <s v="Delivered"/>
    <n v="110"/>
    <d v="2026-03-16T00:00:00"/>
    <m/>
    <m/>
    <x v="11"/>
    <x v="1"/>
  </r>
  <r>
    <n v="107"/>
    <n v="1047"/>
    <x v="9"/>
    <n v="4"/>
    <n v="22"/>
    <n v="88"/>
    <s v="Delivered"/>
    <n v="88"/>
    <d v="2026-03-16T00:00:00"/>
    <m/>
    <m/>
    <x v="9"/>
    <x v="1"/>
  </r>
  <r>
    <n v="108"/>
    <n v="1048"/>
    <x v="1"/>
    <n v="3"/>
    <n v="140"/>
    <n v="420"/>
    <s v="Cancelled"/>
    <n v="0"/>
    <d v="2026-02-04T00:00:00"/>
    <m/>
    <m/>
    <x v="1"/>
    <x v="5"/>
  </r>
  <r>
    <n v="109"/>
    <n v="1048"/>
    <x v="8"/>
    <n v="1"/>
    <n v="30"/>
    <n v="30"/>
    <s v="Cancelled"/>
    <n v="0"/>
    <d v="2026-02-04T00:00:00"/>
    <m/>
    <m/>
    <x v="8"/>
    <x v="5"/>
  </r>
  <r>
    <n v="110"/>
    <n v="1049"/>
    <x v="11"/>
    <n v="4"/>
    <n v="55"/>
    <n v="220"/>
    <s v="Delivered"/>
    <n v="220"/>
    <d v="2026-03-14T00:00:00"/>
    <m/>
    <m/>
    <x v="11"/>
    <x v="1"/>
  </r>
  <r>
    <n v="111"/>
    <n v="1049"/>
    <x v="6"/>
    <n v="3"/>
    <n v="45"/>
    <n v="135"/>
    <s v="Delivered"/>
    <n v="135"/>
    <d v="2026-03-14T00:00:00"/>
    <m/>
    <m/>
    <x v="6"/>
    <x v="1"/>
  </r>
  <r>
    <n v="112"/>
    <n v="1049"/>
    <x v="9"/>
    <n v="3"/>
    <n v="22"/>
    <n v="66"/>
    <s v="Delivered"/>
    <n v="66"/>
    <d v="2026-03-14T00:00:00"/>
    <m/>
    <m/>
    <x v="9"/>
    <x v="1"/>
  </r>
  <r>
    <n v="113"/>
    <n v="1050"/>
    <x v="10"/>
    <n v="1"/>
    <n v="65"/>
    <n v="65"/>
    <s v="Pending"/>
    <n v="65"/>
    <d v="2026-02-18T00:00:00"/>
    <m/>
    <m/>
    <x v="10"/>
    <x v="5"/>
  </r>
  <r>
    <n v="114"/>
    <n v="1050"/>
    <x v="3"/>
    <n v="3"/>
    <n v="25"/>
    <n v="75"/>
    <s v="Pending"/>
    <n v="75"/>
    <d v="2026-02-18T00:00:00"/>
    <m/>
    <m/>
    <x v="3"/>
    <x v="5"/>
  </r>
  <r>
    <n v="115"/>
    <n v="1050"/>
    <x v="9"/>
    <n v="4"/>
    <n v="22"/>
    <n v="88"/>
    <s v="Pending"/>
    <n v="88"/>
    <d v="2026-02-18T00:00:00"/>
    <m/>
    <m/>
    <x v="9"/>
    <x v="5"/>
  </r>
  <r>
    <n v="116"/>
    <n v="1051"/>
    <x v="0"/>
    <n v="3"/>
    <n v="750"/>
    <n v="2250"/>
    <s v="Delivered"/>
    <n v="2250"/>
    <d v="2026-04-08T00:00:00"/>
    <m/>
    <m/>
    <x v="0"/>
    <x v="4"/>
  </r>
  <r>
    <n v="117"/>
    <n v="1051"/>
    <x v="6"/>
    <n v="1"/>
    <n v="45"/>
    <n v="45"/>
    <s v="Delivered"/>
    <n v="45"/>
    <d v="2026-04-08T00:00:00"/>
    <m/>
    <m/>
    <x v="6"/>
    <x v="4"/>
  </r>
  <r>
    <n v="118"/>
    <n v="1052"/>
    <x v="6"/>
    <n v="3"/>
    <n v="45"/>
    <n v="135"/>
    <s v="Delivered"/>
    <n v="135"/>
    <d v="2026-01-04T00:00:00"/>
    <m/>
    <m/>
    <x v="6"/>
    <x v="0"/>
  </r>
  <r>
    <n v="119"/>
    <n v="1052"/>
    <x v="5"/>
    <n v="3"/>
    <n v="220"/>
    <n v="660"/>
    <s v="Delivered"/>
    <n v="660"/>
    <d v="2026-01-04T00:00:00"/>
    <m/>
    <m/>
    <x v="5"/>
    <x v="0"/>
  </r>
  <r>
    <n v="120"/>
    <n v="1052"/>
    <x v="11"/>
    <n v="4"/>
    <n v="55"/>
    <n v="220"/>
    <s v="Delivered"/>
    <n v="220"/>
    <d v="2026-01-04T00:00:00"/>
    <m/>
    <m/>
    <x v="11"/>
    <x v="0"/>
  </r>
  <r>
    <n v="121"/>
    <n v="1053"/>
    <x v="0"/>
    <n v="2"/>
    <n v="750"/>
    <n v="1500"/>
    <s v="Shipped"/>
    <n v="1500"/>
    <d v="2026-04-08T00:00:00"/>
    <m/>
    <m/>
    <x v="0"/>
    <x v="4"/>
  </r>
  <r>
    <n v="122"/>
    <n v="1053"/>
    <x v="2"/>
    <n v="3"/>
    <n v="8"/>
    <n v="24"/>
    <s v="Shipped"/>
    <n v="24"/>
    <d v="2026-04-08T00:00:00"/>
    <m/>
    <m/>
    <x v="2"/>
    <x v="4"/>
  </r>
  <r>
    <n v="123"/>
    <n v="1053"/>
    <x v="5"/>
    <n v="2"/>
    <n v="220"/>
    <n v="440"/>
    <s v="Shipped"/>
    <n v="440"/>
    <d v="2026-04-08T00:00:00"/>
    <m/>
    <m/>
    <x v="5"/>
    <x v="4"/>
  </r>
  <r>
    <n v="124"/>
    <n v="1054"/>
    <x v="6"/>
    <n v="1"/>
    <n v="45"/>
    <n v="45"/>
    <s v="Delivered"/>
    <n v="45"/>
    <d v="2026-01-26T00:00:00"/>
    <m/>
    <m/>
    <x v="6"/>
    <x v="0"/>
  </r>
  <r>
    <n v="125"/>
    <n v="1054"/>
    <x v="7"/>
    <n v="1"/>
    <n v="180"/>
    <n v="180"/>
    <s v="Delivered"/>
    <n v="180"/>
    <d v="2026-01-26T00:00:00"/>
    <m/>
    <m/>
    <x v="7"/>
    <x v="0"/>
  </r>
  <r>
    <n v="126"/>
    <n v="1055"/>
    <x v="4"/>
    <n v="2"/>
    <n v="48"/>
    <n v="96"/>
    <s v="Delivered"/>
    <n v="96"/>
    <d v="2026-02-07T00:00:00"/>
    <m/>
    <m/>
    <x v="4"/>
    <x v="5"/>
  </r>
  <r>
    <n v="127"/>
    <n v="1055"/>
    <x v="6"/>
    <n v="1"/>
    <n v="45"/>
    <n v="45"/>
    <s v="Delivered"/>
    <n v="45"/>
    <d v="2026-02-07T00:00:00"/>
    <m/>
    <m/>
    <x v="6"/>
    <x v="5"/>
  </r>
  <r>
    <n v="128"/>
    <n v="1055"/>
    <x v="9"/>
    <n v="4"/>
    <n v="22"/>
    <n v="88"/>
    <s v="Delivered"/>
    <n v="88"/>
    <d v="2026-02-07T00:00:00"/>
    <m/>
    <m/>
    <x v="9"/>
    <x v="5"/>
  </r>
  <r>
    <n v="129"/>
    <n v="1056"/>
    <x v="7"/>
    <n v="1"/>
    <n v="180"/>
    <n v="180"/>
    <s v="Delivered"/>
    <n v="180"/>
    <d v="2026-03-01T00:00:00"/>
    <m/>
    <m/>
    <x v="7"/>
    <x v="1"/>
  </r>
  <r>
    <n v="130"/>
    <n v="1056"/>
    <x v="4"/>
    <n v="4"/>
    <n v="48"/>
    <n v="192"/>
    <s v="Delivered"/>
    <n v="192"/>
    <d v="2026-03-01T00:00:00"/>
    <m/>
    <m/>
    <x v="4"/>
    <x v="1"/>
  </r>
  <r>
    <n v="131"/>
    <n v="1057"/>
    <x v="10"/>
    <n v="3"/>
    <n v="65"/>
    <n v="195"/>
    <s v="Pending"/>
    <n v="195"/>
    <d v="2026-03-30T00:00:00"/>
    <m/>
    <m/>
    <x v="10"/>
    <x v="1"/>
  </r>
  <r>
    <n v="132"/>
    <n v="1057"/>
    <x v="7"/>
    <n v="2"/>
    <n v="180"/>
    <n v="360"/>
    <s v="Pending"/>
    <n v="360"/>
    <d v="2026-03-30T00:00:00"/>
    <m/>
    <m/>
    <x v="7"/>
    <x v="1"/>
  </r>
  <r>
    <n v="133"/>
    <n v="1057"/>
    <x v="11"/>
    <n v="4"/>
    <n v="55"/>
    <n v="220"/>
    <s v="Pending"/>
    <n v="220"/>
    <d v="2026-03-30T00:00:00"/>
    <m/>
    <m/>
    <x v="11"/>
    <x v="1"/>
  </r>
  <r>
    <n v="134"/>
    <n v="1058"/>
    <x v="2"/>
    <n v="3"/>
    <n v="8"/>
    <n v="24"/>
    <s v="Delivered"/>
    <n v="24"/>
    <d v="2026-01-28T00:00:00"/>
    <m/>
    <m/>
    <x v="2"/>
    <x v="0"/>
  </r>
  <r>
    <n v="135"/>
    <n v="1058"/>
    <x v="7"/>
    <n v="1"/>
    <n v="180"/>
    <n v="180"/>
    <s v="Delivered"/>
    <n v="180"/>
    <d v="2026-01-28T00:00:00"/>
    <m/>
    <m/>
    <x v="7"/>
    <x v="0"/>
  </r>
  <r>
    <n v="136"/>
    <n v="1059"/>
    <x v="9"/>
    <n v="2"/>
    <n v="22"/>
    <n v="44"/>
    <s v="Delivered"/>
    <n v="44"/>
    <d v="2026-06-25T00:00:00"/>
    <m/>
    <m/>
    <x v="9"/>
    <x v="2"/>
  </r>
  <r>
    <n v="137"/>
    <n v="1059"/>
    <x v="11"/>
    <n v="3"/>
    <n v="55"/>
    <n v="165"/>
    <s v="Delivered"/>
    <n v="165"/>
    <d v="2026-06-25T00:00:00"/>
    <m/>
    <m/>
    <x v="11"/>
    <x v="2"/>
  </r>
  <r>
    <n v="138"/>
    <n v="1059"/>
    <x v="7"/>
    <n v="2"/>
    <n v="180"/>
    <n v="360"/>
    <s v="Delivered"/>
    <n v="360"/>
    <d v="2026-06-25T00:00:00"/>
    <m/>
    <m/>
    <x v="7"/>
    <x v="2"/>
  </r>
  <r>
    <n v="139"/>
    <n v="1060"/>
    <x v="5"/>
    <n v="3"/>
    <n v="220"/>
    <n v="660"/>
    <s v="Delivered"/>
    <n v="660"/>
    <d v="2026-06-18T00:00:00"/>
    <m/>
    <m/>
    <x v="5"/>
    <x v="2"/>
  </r>
  <r>
    <n v="140"/>
    <n v="1060"/>
    <x v="4"/>
    <n v="4"/>
    <n v="48"/>
    <n v="192"/>
    <s v="Delivered"/>
    <n v="192"/>
    <d v="2026-06-18T00:00:00"/>
    <m/>
    <m/>
    <x v="4"/>
    <x v="2"/>
  </r>
  <r>
    <n v="141"/>
    <n v="1060"/>
    <x v="0"/>
    <n v="1"/>
    <n v="750"/>
    <n v="750"/>
    <s v="Delivered"/>
    <n v="750"/>
    <d v="2026-06-18T00:00:00"/>
    <m/>
    <m/>
    <x v="0"/>
    <x v="2"/>
  </r>
  <r>
    <n v="142"/>
    <n v="1061"/>
    <x v="6"/>
    <n v="3"/>
    <n v="45"/>
    <n v="135"/>
    <s v="Delivered"/>
    <n v="135"/>
    <d v="2026-03-25T00:00:00"/>
    <m/>
    <m/>
    <x v="6"/>
    <x v="1"/>
  </r>
  <r>
    <n v="143"/>
    <n v="1062"/>
    <x v="1"/>
    <n v="1"/>
    <n v="140"/>
    <n v="140"/>
    <s v="Shipped"/>
    <n v="140"/>
    <d v="2026-05-04T00:00:00"/>
    <m/>
    <m/>
    <x v="1"/>
    <x v="3"/>
  </r>
  <r>
    <n v="144"/>
    <n v="1062"/>
    <x v="5"/>
    <n v="2"/>
    <n v="220"/>
    <n v="440"/>
    <s v="Shipped"/>
    <n v="440"/>
    <d v="2026-05-04T00:00:00"/>
    <m/>
    <m/>
    <x v="5"/>
    <x v="3"/>
  </r>
  <r>
    <n v="145"/>
    <n v="1062"/>
    <x v="11"/>
    <n v="2"/>
    <n v="55"/>
    <n v="110"/>
    <s v="Shipped"/>
    <n v="110"/>
    <d v="2026-05-04T00:00:00"/>
    <m/>
    <m/>
    <x v="11"/>
    <x v="3"/>
  </r>
  <r>
    <n v="146"/>
    <n v="1063"/>
    <x v="5"/>
    <n v="1"/>
    <n v="220"/>
    <n v="220"/>
    <s v="Pending"/>
    <n v="220"/>
    <d v="2026-06-22T00:00:00"/>
    <m/>
    <m/>
    <x v="5"/>
    <x v="2"/>
  </r>
  <r>
    <n v="147"/>
    <n v="1063"/>
    <x v="10"/>
    <n v="3"/>
    <n v="65"/>
    <n v="195"/>
    <s v="Pending"/>
    <n v="195"/>
    <d v="2026-06-22T00:00:00"/>
    <m/>
    <m/>
    <x v="10"/>
    <x v="2"/>
  </r>
  <r>
    <n v="148"/>
    <n v="1064"/>
    <x v="10"/>
    <n v="1"/>
    <n v="65"/>
    <n v="65"/>
    <s v="Delivered"/>
    <n v="65"/>
    <d v="2026-02-01T00:00:00"/>
    <m/>
    <m/>
    <x v="10"/>
    <x v="5"/>
  </r>
  <r>
    <n v="149"/>
    <n v="1064"/>
    <x v="4"/>
    <n v="2"/>
    <n v="48"/>
    <n v="96"/>
    <s v="Delivered"/>
    <n v="96"/>
    <d v="2026-02-01T00:00:00"/>
    <m/>
    <m/>
    <x v="4"/>
    <x v="5"/>
  </r>
  <r>
    <n v="150"/>
    <n v="1064"/>
    <x v="1"/>
    <n v="4"/>
    <n v="140"/>
    <n v="560"/>
    <s v="Delivered"/>
    <n v="560"/>
    <d v="2026-02-01T00:00:00"/>
    <m/>
    <m/>
    <x v="1"/>
    <x v="5"/>
  </r>
  <r>
    <n v="151"/>
    <n v="1065"/>
    <x v="7"/>
    <n v="1"/>
    <n v="180"/>
    <n v="180"/>
    <s v="Delivered"/>
    <n v="180"/>
    <d v="2026-02-26T00:00:00"/>
    <m/>
    <m/>
    <x v="7"/>
    <x v="5"/>
  </r>
  <r>
    <n v="152"/>
    <n v="1065"/>
    <x v="4"/>
    <n v="2"/>
    <n v="48"/>
    <n v="96"/>
    <s v="Delivered"/>
    <n v="96"/>
    <d v="2026-02-26T00:00:00"/>
    <m/>
    <m/>
    <x v="4"/>
    <x v="5"/>
  </r>
  <r>
    <n v="153"/>
    <n v="1065"/>
    <x v="10"/>
    <n v="1"/>
    <n v="65"/>
    <n v="65"/>
    <s v="Delivered"/>
    <n v="65"/>
    <d v="2026-02-26T00:00:00"/>
    <m/>
    <m/>
    <x v="10"/>
    <x v="5"/>
  </r>
  <r>
    <n v="154"/>
    <n v="1066"/>
    <x v="11"/>
    <n v="4"/>
    <n v="55"/>
    <n v="220"/>
    <s v="Cancelled"/>
    <n v="0"/>
    <d v="2026-03-02T00:00:00"/>
    <m/>
    <m/>
    <x v="11"/>
    <x v="1"/>
  </r>
  <r>
    <n v="155"/>
    <n v="1066"/>
    <x v="1"/>
    <n v="2"/>
    <n v="140"/>
    <n v="280"/>
    <s v="Cancelled"/>
    <n v="0"/>
    <d v="2026-03-02T00:00:00"/>
    <m/>
    <m/>
    <x v="1"/>
    <x v="1"/>
  </r>
  <r>
    <n v="156"/>
    <n v="1067"/>
    <x v="10"/>
    <n v="3"/>
    <n v="65"/>
    <n v="195"/>
    <s v="Delivered"/>
    <n v="195"/>
    <d v="2026-04-17T00:00:00"/>
    <m/>
    <m/>
    <x v="10"/>
    <x v="4"/>
  </r>
  <r>
    <n v="157"/>
    <n v="1067"/>
    <x v="7"/>
    <n v="2"/>
    <n v="180"/>
    <n v="360"/>
    <s v="Delivered"/>
    <n v="360"/>
    <d v="2026-04-17T00:00:00"/>
    <m/>
    <m/>
    <x v="7"/>
    <x v="4"/>
  </r>
  <r>
    <n v="158"/>
    <n v="1067"/>
    <x v="0"/>
    <n v="4"/>
    <n v="750"/>
    <n v="3000"/>
    <s v="Delivered"/>
    <n v="3000"/>
    <d v="2026-04-17T00:00:00"/>
    <m/>
    <m/>
    <x v="0"/>
    <x v="4"/>
  </r>
  <r>
    <n v="159"/>
    <n v="1068"/>
    <x v="10"/>
    <n v="3"/>
    <n v="65"/>
    <n v="195"/>
    <s v="Delivered"/>
    <n v="195"/>
    <d v="2026-04-05T00:00:00"/>
    <m/>
    <m/>
    <x v="10"/>
    <x v="4"/>
  </r>
  <r>
    <n v="160"/>
    <n v="1069"/>
    <x v="1"/>
    <n v="2"/>
    <n v="140"/>
    <n v="280"/>
    <s v="Delivered"/>
    <n v="280"/>
    <d v="2026-01-24T00:00:00"/>
    <m/>
    <m/>
    <x v="1"/>
    <x v="0"/>
  </r>
  <r>
    <n v="161"/>
    <n v="1070"/>
    <x v="6"/>
    <n v="1"/>
    <n v="45"/>
    <n v="45"/>
    <s v="Delivered"/>
    <n v="45"/>
    <d v="2026-02-23T00:00:00"/>
    <m/>
    <m/>
    <x v="6"/>
    <x v="5"/>
  </r>
  <r>
    <n v="162"/>
    <n v="1070"/>
    <x v="2"/>
    <n v="3"/>
    <n v="8"/>
    <n v="24"/>
    <s v="Delivered"/>
    <n v="24"/>
    <d v="2026-02-23T00:00:00"/>
    <m/>
    <m/>
    <x v="2"/>
    <x v="5"/>
  </r>
  <r>
    <n v="163"/>
    <n v="1071"/>
    <x v="0"/>
    <n v="3"/>
    <n v="750"/>
    <n v="2250"/>
    <s v="Delivered"/>
    <n v="2250"/>
    <d v="2026-02-14T00:00:00"/>
    <m/>
    <m/>
    <x v="0"/>
    <x v="5"/>
  </r>
  <r>
    <n v="164"/>
    <n v="1072"/>
    <x v="5"/>
    <n v="4"/>
    <n v="220"/>
    <n v="880"/>
    <s v="Delivered"/>
    <n v="880"/>
    <d v="2026-03-09T00:00:00"/>
    <m/>
    <m/>
    <x v="5"/>
    <x v="1"/>
  </r>
  <r>
    <n v="165"/>
    <n v="1072"/>
    <x v="9"/>
    <n v="3"/>
    <n v="22"/>
    <n v="66"/>
    <s v="Delivered"/>
    <n v="66"/>
    <d v="2026-03-09T00:00:00"/>
    <m/>
    <m/>
    <x v="9"/>
    <x v="1"/>
  </r>
  <r>
    <n v="166"/>
    <n v="1072"/>
    <x v="11"/>
    <n v="1"/>
    <n v="55"/>
    <n v="55"/>
    <s v="Delivered"/>
    <n v="55"/>
    <d v="2026-03-09T00:00:00"/>
    <m/>
    <m/>
    <x v="11"/>
    <x v="1"/>
  </r>
  <r>
    <n v="167"/>
    <n v="1073"/>
    <x v="0"/>
    <n v="4"/>
    <n v="750"/>
    <n v="3000"/>
    <s v="Delivered"/>
    <n v="3000"/>
    <d v="2026-06-18T00:00:00"/>
    <m/>
    <m/>
    <x v="0"/>
    <x v="2"/>
  </r>
  <r>
    <n v="168"/>
    <n v="1073"/>
    <x v="9"/>
    <n v="4"/>
    <n v="22"/>
    <n v="88"/>
    <s v="Delivered"/>
    <n v="88"/>
    <d v="2026-06-18T00:00:00"/>
    <m/>
    <m/>
    <x v="9"/>
    <x v="2"/>
  </r>
  <r>
    <n v="169"/>
    <n v="1073"/>
    <x v="11"/>
    <n v="1"/>
    <n v="55"/>
    <n v="55"/>
    <s v="Delivered"/>
    <n v="55"/>
    <d v="2026-06-18T00:00:00"/>
    <m/>
    <m/>
    <x v="11"/>
    <x v="2"/>
  </r>
  <r>
    <n v="170"/>
    <n v="1074"/>
    <x v="7"/>
    <n v="3"/>
    <n v="180"/>
    <n v="540"/>
    <s v="Delivered"/>
    <n v="540"/>
    <d v="2026-03-24T00:00:00"/>
    <m/>
    <m/>
    <x v="7"/>
    <x v="1"/>
  </r>
  <r>
    <n v="171"/>
    <n v="1075"/>
    <x v="4"/>
    <n v="4"/>
    <n v="48"/>
    <n v="192"/>
    <s v="Delivered"/>
    <n v="192"/>
    <d v="2026-06-04T00:00:00"/>
    <m/>
    <m/>
    <x v="4"/>
    <x v="2"/>
  </r>
  <r>
    <n v="172"/>
    <n v="1075"/>
    <x v="8"/>
    <n v="4"/>
    <n v="30"/>
    <n v="120"/>
    <s v="Delivered"/>
    <n v="120"/>
    <d v="2026-06-04T00:00:00"/>
    <m/>
    <m/>
    <x v="8"/>
    <x v="2"/>
  </r>
  <r>
    <n v="173"/>
    <n v="1075"/>
    <x v="3"/>
    <n v="2"/>
    <n v="25"/>
    <n v="50"/>
    <s v="Delivered"/>
    <n v="50"/>
    <d v="2026-06-04T00:00:00"/>
    <m/>
    <m/>
    <x v="3"/>
    <x v="2"/>
  </r>
  <r>
    <n v="174"/>
    <n v="1076"/>
    <x v="7"/>
    <n v="4"/>
    <n v="180"/>
    <n v="720"/>
    <s v="Delivered"/>
    <n v="720"/>
    <d v="2026-01-25T00:00:00"/>
    <m/>
    <m/>
    <x v="7"/>
    <x v="0"/>
  </r>
  <r>
    <n v="175"/>
    <n v="1076"/>
    <x v="1"/>
    <n v="1"/>
    <n v="140"/>
    <n v="140"/>
    <s v="Delivered"/>
    <n v="140"/>
    <d v="2026-01-25T00:00:00"/>
    <m/>
    <m/>
    <x v="1"/>
    <x v="0"/>
  </r>
  <r>
    <n v="176"/>
    <n v="1076"/>
    <x v="6"/>
    <n v="1"/>
    <n v="45"/>
    <n v="45"/>
    <s v="Delivered"/>
    <n v="45"/>
    <d v="2026-01-25T00:00:00"/>
    <m/>
    <m/>
    <x v="6"/>
    <x v="0"/>
  </r>
  <r>
    <n v="177"/>
    <n v="1077"/>
    <x v="2"/>
    <n v="3"/>
    <n v="8"/>
    <n v="24"/>
    <s v="Delivered"/>
    <n v="24"/>
    <d v="2026-04-06T00:00:00"/>
    <m/>
    <m/>
    <x v="2"/>
    <x v="4"/>
  </r>
  <r>
    <n v="178"/>
    <n v="1078"/>
    <x v="5"/>
    <n v="2"/>
    <n v="220"/>
    <n v="440"/>
    <s v="Shipped"/>
    <n v="440"/>
    <d v="2026-01-14T00:00:00"/>
    <m/>
    <m/>
    <x v="5"/>
    <x v="0"/>
  </r>
  <r>
    <n v="179"/>
    <n v="1078"/>
    <x v="2"/>
    <n v="2"/>
    <n v="8"/>
    <n v="16"/>
    <s v="Shipped"/>
    <n v="16"/>
    <d v="2026-01-14T00:00:00"/>
    <m/>
    <m/>
    <x v="2"/>
    <x v="0"/>
  </r>
  <r>
    <n v="180"/>
    <n v="1079"/>
    <x v="5"/>
    <n v="2"/>
    <n v="220"/>
    <n v="440"/>
    <s v="Delivered"/>
    <n v="440"/>
    <d v="2026-01-28T00:00:00"/>
    <m/>
    <m/>
    <x v="5"/>
    <x v="0"/>
  </r>
  <r>
    <n v="181"/>
    <n v="1079"/>
    <x v="7"/>
    <n v="4"/>
    <n v="180"/>
    <n v="720"/>
    <s v="Delivered"/>
    <n v="720"/>
    <d v="2026-01-28T00:00:00"/>
    <m/>
    <m/>
    <x v="7"/>
    <x v="0"/>
  </r>
  <r>
    <n v="182"/>
    <n v="1080"/>
    <x v="4"/>
    <n v="2"/>
    <n v="48"/>
    <n v="96"/>
    <s v="Delivered"/>
    <n v="96"/>
    <d v="2026-06-22T00:00:00"/>
    <m/>
    <m/>
    <x v="4"/>
    <x v="2"/>
  </r>
  <r>
    <n v="183"/>
    <n v="1080"/>
    <x v="7"/>
    <n v="3"/>
    <n v="180"/>
    <n v="540"/>
    <s v="Delivered"/>
    <n v="540"/>
    <d v="2026-06-22T00:00:00"/>
    <m/>
    <m/>
    <x v="7"/>
    <x v="2"/>
  </r>
  <r>
    <n v="184"/>
    <n v="1080"/>
    <x v="0"/>
    <n v="3"/>
    <n v="750"/>
    <n v="2250"/>
    <s v="Delivered"/>
    <n v="2250"/>
    <d v="2026-06-22T00:00:00"/>
    <m/>
    <m/>
    <x v="0"/>
    <x v="2"/>
  </r>
  <r>
    <n v="185"/>
    <n v="1081"/>
    <x v="9"/>
    <n v="1"/>
    <n v="22"/>
    <n v="22"/>
    <s v="Delivered"/>
    <n v="22"/>
    <d v="2026-05-25T00:00:00"/>
    <m/>
    <m/>
    <x v="9"/>
    <x v="3"/>
  </r>
  <r>
    <n v="186"/>
    <n v="1082"/>
    <x v="1"/>
    <n v="1"/>
    <n v="140"/>
    <n v="140"/>
    <s v="Delivered"/>
    <n v="140"/>
    <d v="2026-03-29T00:00:00"/>
    <m/>
    <m/>
    <x v="1"/>
    <x v="1"/>
  </r>
  <r>
    <n v="187"/>
    <n v="1082"/>
    <x v="2"/>
    <n v="1"/>
    <n v="8"/>
    <n v="8"/>
    <s v="Delivered"/>
    <n v="8"/>
    <d v="2026-03-29T00:00:00"/>
    <m/>
    <m/>
    <x v="2"/>
    <x v="1"/>
  </r>
  <r>
    <n v="188"/>
    <n v="1082"/>
    <x v="4"/>
    <n v="2"/>
    <n v="48"/>
    <n v="96"/>
    <s v="Delivered"/>
    <n v="96"/>
    <d v="2026-03-29T00:00:00"/>
    <m/>
    <m/>
    <x v="4"/>
    <x v="1"/>
  </r>
  <r>
    <n v="189"/>
    <n v="1083"/>
    <x v="11"/>
    <n v="2"/>
    <n v="55"/>
    <n v="110"/>
    <s v="Delivered"/>
    <n v="110"/>
    <d v="2026-04-24T00:00:00"/>
    <m/>
    <m/>
    <x v="11"/>
    <x v="4"/>
  </r>
  <r>
    <n v="190"/>
    <n v="1083"/>
    <x v="10"/>
    <n v="1"/>
    <n v="65"/>
    <n v="65"/>
    <s v="Delivered"/>
    <n v="65"/>
    <d v="2026-04-24T00:00:00"/>
    <m/>
    <m/>
    <x v="10"/>
    <x v="4"/>
  </r>
  <r>
    <n v="191"/>
    <n v="1083"/>
    <x v="7"/>
    <n v="3"/>
    <n v="180"/>
    <n v="540"/>
    <s v="Delivered"/>
    <n v="540"/>
    <d v="2026-04-24T00:00:00"/>
    <m/>
    <m/>
    <x v="7"/>
    <x v="4"/>
  </r>
  <r>
    <n v="192"/>
    <n v="1084"/>
    <x v="10"/>
    <n v="1"/>
    <n v="65"/>
    <n v="65"/>
    <s v="Delivered"/>
    <n v="65"/>
    <d v="2026-05-15T00:00:00"/>
    <m/>
    <m/>
    <x v="10"/>
    <x v="3"/>
  </r>
  <r>
    <n v="193"/>
    <n v="1085"/>
    <x v="11"/>
    <n v="4"/>
    <n v="55"/>
    <n v="220"/>
    <s v="Delivered"/>
    <n v="220"/>
    <d v="2026-03-07T00:00:00"/>
    <m/>
    <m/>
    <x v="11"/>
    <x v="1"/>
  </r>
  <r>
    <n v="194"/>
    <n v="1086"/>
    <x v="10"/>
    <n v="1"/>
    <n v="65"/>
    <n v="65"/>
    <s v="Delivered"/>
    <n v="65"/>
    <d v="2026-05-24T00:00:00"/>
    <m/>
    <m/>
    <x v="10"/>
    <x v="3"/>
  </r>
  <r>
    <n v="195"/>
    <n v="1087"/>
    <x v="4"/>
    <n v="1"/>
    <n v="48"/>
    <n v="48"/>
    <s v="Delivered"/>
    <n v="48"/>
    <d v="2026-05-28T00:00:00"/>
    <m/>
    <m/>
    <x v="4"/>
    <x v="3"/>
  </r>
  <r>
    <n v="196"/>
    <n v="1087"/>
    <x v="10"/>
    <n v="4"/>
    <n v="65"/>
    <n v="260"/>
    <s v="Delivered"/>
    <n v="260"/>
    <d v="2026-05-28T00:00:00"/>
    <m/>
    <m/>
    <x v="10"/>
    <x v="3"/>
  </r>
  <r>
    <n v="197"/>
    <n v="1087"/>
    <x v="7"/>
    <n v="1"/>
    <n v="180"/>
    <n v="180"/>
    <s v="Delivered"/>
    <n v="180"/>
    <d v="2026-05-28T00:00:00"/>
    <m/>
    <m/>
    <x v="7"/>
    <x v="3"/>
  </r>
  <r>
    <n v="198"/>
    <n v="1088"/>
    <x v="5"/>
    <n v="4"/>
    <n v="220"/>
    <n v="880"/>
    <s v="Shipped"/>
    <n v="880"/>
    <d v="2026-06-26T00:00:00"/>
    <m/>
    <m/>
    <x v="5"/>
    <x v="2"/>
  </r>
  <r>
    <n v="199"/>
    <n v="1088"/>
    <x v="3"/>
    <n v="4"/>
    <n v="25"/>
    <n v="100"/>
    <s v="Shipped"/>
    <n v="100"/>
    <d v="2026-06-26T00:00:00"/>
    <m/>
    <m/>
    <x v="3"/>
    <x v="2"/>
  </r>
  <r>
    <n v="200"/>
    <n v="1089"/>
    <x v="6"/>
    <n v="1"/>
    <n v="45"/>
    <n v="45"/>
    <s v="Delivered"/>
    <n v="45"/>
    <d v="2026-03-21T00:00:00"/>
    <m/>
    <m/>
    <x v="6"/>
    <x v="1"/>
  </r>
  <r>
    <n v="201"/>
    <n v="1089"/>
    <x v="5"/>
    <n v="2"/>
    <n v="220"/>
    <n v="440"/>
    <s v="Delivered"/>
    <n v="440"/>
    <d v="2026-03-21T00:00:00"/>
    <m/>
    <m/>
    <x v="5"/>
    <x v="1"/>
  </r>
  <r>
    <n v="202"/>
    <n v="1090"/>
    <x v="3"/>
    <n v="2"/>
    <n v="25"/>
    <n v="50"/>
    <s v="Delivered"/>
    <n v="50"/>
    <d v="2026-02-07T00:00:00"/>
    <m/>
    <m/>
    <x v="3"/>
    <x v="5"/>
  </r>
  <r>
    <n v="203"/>
    <n v="1090"/>
    <x v="6"/>
    <n v="1"/>
    <n v="45"/>
    <n v="45"/>
    <s v="Delivered"/>
    <n v="45"/>
    <d v="2026-02-07T00:00:00"/>
    <m/>
    <m/>
    <x v="6"/>
    <x v="5"/>
  </r>
  <r>
    <n v="204"/>
    <n v="1091"/>
    <x v="4"/>
    <n v="3"/>
    <n v="48"/>
    <n v="144"/>
    <s v="Delivered"/>
    <n v="144"/>
    <d v="2026-05-29T00:00:00"/>
    <m/>
    <m/>
    <x v="4"/>
    <x v="3"/>
  </r>
  <r>
    <n v="205"/>
    <n v="1091"/>
    <x v="2"/>
    <n v="2"/>
    <n v="8"/>
    <n v="16"/>
    <s v="Delivered"/>
    <n v="16"/>
    <d v="2026-05-29T00:00:00"/>
    <m/>
    <m/>
    <x v="2"/>
    <x v="3"/>
  </r>
  <r>
    <n v="206"/>
    <n v="1091"/>
    <x v="1"/>
    <n v="4"/>
    <n v="140"/>
    <n v="560"/>
    <s v="Delivered"/>
    <n v="560"/>
    <d v="2026-05-29T00:00:00"/>
    <m/>
    <m/>
    <x v="1"/>
    <x v="3"/>
  </r>
  <r>
    <n v="207"/>
    <n v="1092"/>
    <x v="7"/>
    <n v="4"/>
    <n v="180"/>
    <n v="720"/>
    <s v="Delivered"/>
    <n v="720"/>
    <d v="2026-06-01T00:00:00"/>
    <m/>
    <m/>
    <x v="7"/>
    <x v="2"/>
  </r>
  <r>
    <n v="208"/>
    <n v="1093"/>
    <x v="2"/>
    <n v="4"/>
    <n v="8"/>
    <n v="32"/>
    <s v="Cancelled"/>
    <n v="0"/>
    <d v="2026-06-15T00:00:00"/>
    <m/>
    <m/>
    <x v="2"/>
    <x v="2"/>
  </r>
  <r>
    <n v="209"/>
    <n v="1093"/>
    <x v="8"/>
    <n v="1"/>
    <n v="30"/>
    <n v="30"/>
    <s v="Cancelled"/>
    <n v="0"/>
    <d v="2026-06-15T00:00:00"/>
    <m/>
    <m/>
    <x v="8"/>
    <x v="2"/>
  </r>
  <r>
    <n v="210"/>
    <n v="1093"/>
    <x v="10"/>
    <n v="4"/>
    <n v="65"/>
    <n v="260"/>
    <s v="Cancelled"/>
    <n v="0"/>
    <d v="2026-06-15T00:00:00"/>
    <m/>
    <m/>
    <x v="10"/>
    <x v="2"/>
  </r>
  <r>
    <n v="211"/>
    <n v="1094"/>
    <x v="11"/>
    <n v="1"/>
    <n v="55"/>
    <n v="55"/>
    <s v="Delivered"/>
    <n v="55"/>
    <d v="2026-05-27T00:00:00"/>
    <m/>
    <m/>
    <x v="11"/>
    <x v="3"/>
  </r>
  <r>
    <n v="212"/>
    <n v="1094"/>
    <x v="8"/>
    <n v="4"/>
    <n v="30"/>
    <n v="120"/>
    <s v="Delivered"/>
    <n v="120"/>
    <d v="2026-05-27T00:00:00"/>
    <m/>
    <m/>
    <x v="8"/>
    <x v="3"/>
  </r>
  <r>
    <n v="213"/>
    <n v="1094"/>
    <x v="6"/>
    <n v="1"/>
    <n v="45"/>
    <n v="45"/>
    <s v="Delivered"/>
    <n v="45"/>
    <d v="2026-05-27T00:00:00"/>
    <m/>
    <m/>
    <x v="6"/>
    <x v="3"/>
  </r>
  <r>
    <n v="214"/>
    <n v="1095"/>
    <x v="9"/>
    <n v="4"/>
    <n v="22"/>
    <n v="88"/>
    <s v="Delivered"/>
    <n v="88"/>
    <d v="2026-05-10T00:00:00"/>
    <m/>
    <m/>
    <x v="9"/>
    <x v="3"/>
  </r>
  <r>
    <n v="215"/>
    <n v="1096"/>
    <x v="1"/>
    <n v="1"/>
    <n v="140"/>
    <n v="140"/>
    <s v="Shipped"/>
    <n v="140"/>
    <d v="2026-04-06T00:00:00"/>
    <m/>
    <m/>
    <x v="1"/>
    <x v="4"/>
  </r>
  <r>
    <n v="216"/>
    <n v="1096"/>
    <x v="4"/>
    <n v="3"/>
    <n v="48"/>
    <n v="144"/>
    <s v="Shipped"/>
    <n v="144"/>
    <d v="2026-04-06T00:00:00"/>
    <m/>
    <m/>
    <x v="4"/>
    <x v="4"/>
  </r>
  <r>
    <n v="217"/>
    <n v="1097"/>
    <x v="9"/>
    <n v="2"/>
    <n v="22"/>
    <n v="44"/>
    <s v="Delivered"/>
    <n v="44"/>
    <d v="2026-05-23T00:00:00"/>
    <m/>
    <m/>
    <x v="9"/>
    <x v="3"/>
  </r>
  <r>
    <n v="218"/>
    <n v="1097"/>
    <x v="4"/>
    <n v="3"/>
    <n v="48"/>
    <n v="144"/>
    <s v="Delivered"/>
    <n v="144"/>
    <d v="2026-05-23T00:00:00"/>
    <m/>
    <m/>
    <x v="4"/>
    <x v="3"/>
  </r>
  <r>
    <n v="219"/>
    <n v="1098"/>
    <x v="2"/>
    <n v="1"/>
    <n v="8"/>
    <n v="8"/>
    <s v="Delivered"/>
    <n v="8"/>
    <d v="2026-06-17T00:00:00"/>
    <m/>
    <m/>
    <x v="2"/>
    <x v="2"/>
  </r>
  <r>
    <n v="220"/>
    <n v="1099"/>
    <x v="4"/>
    <n v="4"/>
    <n v="48"/>
    <n v="192"/>
    <s v="Delivered"/>
    <n v="192"/>
    <d v="2026-06-21T00:00:00"/>
    <m/>
    <m/>
    <x v="4"/>
    <x v="2"/>
  </r>
  <r>
    <n v="221"/>
    <n v="1100"/>
    <x v="3"/>
    <n v="2"/>
    <n v="25"/>
    <n v="50"/>
    <s v="Shipped"/>
    <n v="50"/>
    <d v="2026-03-29T00:00:00"/>
    <m/>
    <m/>
    <x v="3"/>
    <x v="1"/>
  </r>
  <r>
    <n v="222"/>
    <n v="1101"/>
    <x v="8"/>
    <n v="2"/>
    <n v="30"/>
    <n v="60"/>
    <s v="Delivered"/>
    <n v="60"/>
    <d v="2026-01-26T00:00:00"/>
    <m/>
    <m/>
    <x v="8"/>
    <x v="0"/>
  </r>
  <r>
    <n v="223"/>
    <n v="1101"/>
    <x v="0"/>
    <n v="4"/>
    <n v="750"/>
    <n v="3000"/>
    <s v="Delivered"/>
    <n v="3000"/>
    <d v="2026-01-26T00:00:00"/>
    <m/>
    <m/>
    <x v="0"/>
    <x v="0"/>
  </r>
  <r>
    <n v="224"/>
    <n v="1101"/>
    <x v="1"/>
    <n v="2"/>
    <n v="140"/>
    <n v="280"/>
    <s v="Delivered"/>
    <n v="280"/>
    <d v="2026-01-26T00:00:00"/>
    <m/>
    <m/>
    <x v="1"/>
    <x v="0"/>
  </r>
  <r>
    <n v="225"/>
    <n v="1102"/>
    <x v="9"/>
    <n v="3"/>
    <n v="22"/>
    <n v="66"/>
    <s v="Delivered"/>
    <n v="66"/>
    <d v="2026-04-23T00:00:00"/>
    <m/>
    <m/>
    <x v="9"/>
    <x v="4"/>
  </r>
  <r>
    <n v="226"/>
    <n v="1102"/>
    <x v="3"/>
    <n v="4"/>
    <n v="25"/>
    <n v="100"/>
    <s v="Delivered"/>
    <n v="100"/>
    <d v="2026-04-23T00:00:00"/>
    <m/>
    <m/>
    <x v="3"/>
    <x v="4"/>
  </r>
  <r>
    <n v="227"/>
    <n v="1102"/>
    <x v="11"/>
    <n v="2"/>
    <n v="55"/>
    <n v="110"/>
    <s v="Delivered"/>
    <n v="110"/>
    <d v="2026-04-23T00:00:00"/>
    <m/>
    <m/>
    <x v="11"/>
    <x v="4"/>
  </r>
  <r>
    <n v="228"/>
    <n v="1103"/>
    <x v="11"/>
    <n v="4"/>
    <n v="55"/>
    <n v="220"/>
    <s v="Delivered"/>
    <n v="220"/>
    <d v="2026-02-19T00:00:00"/>
    <m/>
    <m/>
    <x v="11"/>
    <x v="5"/>
  </r>
  <r>
    <n v="229"/>
    <n v="1103"/>
    <x v="7"/>
    <n v="4"/>
    <n v="180"/>
    <n v="720"/>
    <s v="Delivered"/>
    <n v="720"/>
    <d v="2026-02-19T00:00:00"/>
    <m/>
    <m/>
    <x v="7"/>
    <x v="5"/>
  </r>
  <r>
    <n v="230"/>
    <n v="1104"/>
    <x v="8"/>
    <n v="1"/>
    <n v="30"/>
    <n v="30"/>
    <s v="Delivered"/>
    <n v="30"/>
    <d v="2026-03-06T00:00:00"/>
    <m/>
    <m/>
    <x v="8"/>
    <x v="1"/>
  </r>
  <r>
    <n v="231"/>
    <n v="1104"/>
    <x v="5"/>
    <n v="3"/>
    <n v="220"/>
    <n v="660"/>
    <s v="Delivered"/>
    <n v="660"/>
    <d v="2026-03-06T00:00:00"/>
    <m/>
    <m/>
    <x v="5"/>
    <x v="1"/>
  </r>
  <r>
    <n v="232"/>
    <n v="1105"/>
    <x v="11"/>
    <n v="3"/>
    <n v="55"/>
    <n v="165"/>
    <s v="Delivered"/>
    <n v="165"/>
    <d v="2026-02-07T00:00:00"/>
    <m/>
    <m/>
    <x v="11"/>
    <x v="5"/>
  </r>
  <r>
    <n v="233"/>
    <n v="1106"/>
    <x v="3"/>
    <n v="3"/>
    <n v="25"/>
    <n v="75"/>
    <s v="Delivered"/>
    <n v="75"/>
    <d v="2026-03-02T00:00:00"/>
    <m/>
    <m/>
    <x v="3"/>
    <x v="1"/>
  </r>
  <r>
    <n v="234"/>
    <n v="1106"/>
    <x v="0"/>
    <n v="1"/>
    <n v="750"/>
    <n v="750"/>
    <s v="Delivered"/>
    <n v="750"/>
    <d v="2026-03-02T00:00:00"/>
    <m/>
    <m/>
    <x v="0"/>
    <x v="1"/>
  </r>
  <r>
    <n v="235"/>
    <n v="1107"/>
    <x v="6"/>
    <n v="1"/>
    <n v="45"/>
    <n v="45"/>
    <s v="Delivered"/>
    <n v="45"/>
    <d v="2026-01-10T00:00:00"/>
    <m/>
    <m/>
    <x v="6"/>
    <x v="0"/>
  </r>
  <r>
    <n v="236"/>
    <n v="1107"/>
    <x v="11"/>
    <n v="1"/>
    <n v="55"/>
    <n v="55"/>
    <s v="Delivered"/>
    <n v="55"/>
    <d v="2026-01-10T00:00:00"/>
    <m/>
    <m/>
    <x v="11"/>
    <x v="0"/>
  </r>
  <r>
    <n v="237"/>
    <n v="1107"/>
    <x v="4"/>
    <n v="1"/>
    <n v="48"/>
    <n v="48"/>
    <s v="Delivered"/>
    <n v="48"/>
    <d v="2026-01-10T00:00:00"/>
    <m/>
    <m/>
    <x v="4"/>
    <x v="0"/>
  </r>
  <r>
    <n v="238"/>
    <n v="1108"/>
    <x v="3"/>
    <n v="1"/>
    <n v="25"/>
    <n v="25"/>
    <s v="Delivered"/>
    <n v="25"/>
    <d v="2026-06-05T00:00:00"/>
    <m/>
    <m/>
    <x v="3"/>
    <x v="2"/>
  </r>
  <r>
    <n v="239"/>
    <n v="1108"/>
    <x v="7"/>
    <n v="1"/>
    <n v="180"/>
    <n v="180"/>
    <s v="Delivered"/>
    <n v="180"/>
    <d v="2026-06-05T00:00:00"/>
    <m/>
    <m/>
    <x v="7"/>
    <x v="2"/>
  </r>
  <r>
    <n v="240"/>
    <n v="1109"/>
    <x v="8"/>
    <n v="2"/>
    <n v="30"/>
    <n v="60"/>
    <s v="Delivered"/>
    <n v="60"/>
    <d v="2026-01-29T00:00:00"/>
    <m/>
    <m/>
    <x v="8"/>
    <x v="0"/>
  </r>
  <r>
    <n v="241"/>
    <n v="1109"/>
    <x v="0"/>
    <n v="2"/>
    <n v="750"/>
    <n v="1500"/>
    <s v="Delivered"/>
    <n v="1500"/>
    <d v="2026-01-29T00:00:00"/>
    <m/>
    <m/>
    <x v="0"/>
    <x v="0"/>
  </r>
  <r>
    <n v="242"/>
    <n v="1109"/>
    <x v="9"/>
    <n v="3"/>
    <n v="22"/>
    <n v="66"/>
    <s v="Delivered"/>
    <n v="66"/>
    <d v="2026-01-29T00:00:00"/>
    <m/>
    <m/>
    <x v="9"/>
    <x v="0"/>
  </r>
  <r>
    <n v="243"/>
    <n v="1110"/>
    <x v="1"/>
    <n v="1"/>
    <n v="140"/>
    <n v="140"/>
    <s v="Delivered"/>
    <n v="140"/>
    <d v="2026-02-17T00:00:00"/>
    <m/>
    <m/>
    <x v="1"/>
    <x v="5"/>
  </r>
  <r>
    <n v="244"/>
    <n v="1110"/>
    <x v="5"/>
    <n v="4"/>
    <n v="220"/>
    <n v="880"/>
    <s v="Delivered"/>
    <n v="880"/>
    <d v="2026-02-17T00:00:00"/>
    <m/>
    <m/>
    <x v="5"/>
    <x v="5"/>
  </r>
  <r>
    <n v="245"/>
    <n v="1110"/>
    <x v="8"/>
    <n v="4"/>
    <n v="30"/>
    <n v="120"/>
    <s v="Delivered"/>
    <n v="120"/>
    <d v="2026-02-17T00:00:00"/>
    <m/>
    <m/>
    <x v="8"/>
    <x v="5"/>
  </r>
  <r>
    <n v="246"/>
    <n v="1111"/>
    <x v="3"/>
    <n v="1"/>
    <n v="25"/>
    <n v="25"/>
    <s v="Delivered"/>
    <n v="25"/>
    <d v="2026-01-05T00:00:00"/>
    <m/>
    <m/>
    <x v="3"/>
    <x v="0"/>
  </r>
  <r>
    <n v="247"/>
    <n v="1111"/>
    <x v="4"/>
    <n v="3"/>
    <n v="48"/>
    <n v="144"/>
    <s v="Delivered"/>
    <n v="144"/>
    <d v="2026-01-05T00:00:00"/>
    <m/>
    <m/>
    <x v="4"/>
    <x v="0"/>
  </r>
  <r>
    <n v="248"/>
    <n v="1112"/>
    <x v="11"/>
    <n v="2"/>
    <n v="55"/>
    <n v="110"/>
    <s v="Delivered"/>
    <n v="110"/>
    <d v="2026-02-14T00:00:00"/>
    <m/>
    <m/>
    <x v="11"/>
    <x v="5"/>
  </r>
  <r>
    <n v="249"/>
    <n v="1112"/>
    <x v="4"/>
    <n v="1"/>
    <n v="48"/>
    <n v="48"/>
    <s v="Delivered"/>
    <n v="48"/>
    <d v="2026-02-14T00:00:00"/>
    <m/>
    <m/>
    <x v="4"/>
    <x v="5"/>
  </r>
  <r>
    <n v="250"/>
    <n v="1112"/>
    <x v="6"/>
    <n v="4"/>
    <n v="45"/>
    <n v="180"/>
    <s v="Delivered"/>
    <n v="180"/>
    <d v="2026-02-14T00:00:00"/>
    <m/>
    <m/>
    <x v="6"/>
    <x v="5"/>
  </r>
  <r>
    <n v="251"/>
    <n v="1113"/>
    <x v="8"/>
    <n v="3"/>
    <n v="30"/>
    <n v="90"/>
    <s v="Shipped"/>
    <n v="90"/>
    <d v="2026-03-22T00:00:00"/>
    <m/>
    <m/>
    <x v="8"/>
    <x v="1"/>
  </r>
  <r>
    <n v="252"/>
    <n v="1113"/>
    <x v="11"/>
    <n v="1"/>
    <n v="55"/>
    <n v="55"/>
    <s v="Shipped"/>
    <n v="55"/>
    <d v="2026-03-22T00:00:00"/>
    <m/>
    <m/>
    <x v="11"/>
    <x v="1"/>
  </r>
  <r>
    <n v="253"/>
    <n v="1114"/>
    <x v="1"/>
    <n v="3"/>
    <n v="140"/>
    <n v="420"/>
    <s v="Delivered"/>
    <n v="420"/>
    <d v="2026-03-15T00:00:00"/>
    <m/>
    <m/>
    <x v="1"/>
    <x v="1"/>
  </r>
  <r>
    <n v="254"/>
    <n v="1114"/>
    <x v="7"/>
    <n v="4"/>
    <n v="180"/>
    <n v="720"/>
    <s v="Delivered"/>
    <n v="720"/>
    <d v="2026-03-15T00:00:00"/>
    <m/>
    <m/>
    <x v="7"/>
    <x v="1"/>
  </r>
  <r>
    <n v="255"/>
    <n v="1114"/>
    <x v="5"/>
    <n v="4"/>
    <n v="220"/>
    <n v="880"/>
    <s v="Delivered"/>
    <n v="880"/>
    <d v="2026-03-15T00:00:00"/>
    <m/>
    <m/>
    <x v="5"/>
    <x v="1"/>
  </r>
  <r>
    <n v="256"/>
    <n v="1115"/>
    <x v="7"/>
    <n v="1"/>
    <n v="180"/>
    <n v="180"/>
    <s v="Delivered"/>
    <n v="180"/>
    <d v="2026-05-08T00:00:00"/>
    <m/>
    <m/>
    <x v="7"/>
    <x v="3"/>
  </r>
  <r>
    <n v="257"/>
    <n v="1115"/>
    <x v="5"/>
    <n v="4"/>
    <n v="220"/>
    <n v="880"/>
    <s v="Delivered"/>
    <n v="880"/>
    <d v="2026-05-08T00:00:00"/>
    <m/>
    <m/>
    <x v="5"/>
    <x v="3"/>
  </r>
  <r>
    <n v="258"/>
    <n v="1115"/>
    <x v="10"/>
    <n v="2"/>
    <n v="65"/>
    <n v="130"/>
    <s v="Delivered"/>
    <n v="130"/>
    <d v="2026-05-08T00:00:00"/>
    <m/>
    <m/>
    <x v="10"/>
    <x v="3"/>
  </r>
  <r>
    <n v="259"/>
    <n v="1116"/>
    <x v="9"/>
    <n v="4"/>
    <n v="22"/>
    <n v="88"/>
    <s v="Delivered"/>
    <n v="88"/>
    <d v="2026-03-17T00:00:00"/>
    <m/>
    <m/>
    <x v="9"/>
    <x v="1"/>
  </r>
  <r>
    <n v="260"/>
    <n v="1117"/>
    <x v="0"/>
    <n v="3"/>
    <n v="750"/>
    <n v="2250"/>
    <s v="Pending"/>
    <n v="2250"/>
    <d v="2026-06-07T00:00:00"/>
    <m/>
    <m/>
    <x v="0"/>
    <x v="2"/>
  </r>
  <r>
    <n v="261"/>
    <n v="1117"/>
    <x v="5"/>
    <n v="2"/>
    <n v="220"/>
    <n v="440"/>
    <s v="Pending"/>
    <n v="440"/>
    <d v="2026-06-07T00:00:00"/>
    <m/>
    <m/>
    <x v="5"/>
    <x v="2"/>
  </r>
  <r>
    <n v="262"/>
    <n v="1117"/>
    <x v="10"/>
    <n v="1"/>
    <n v="65"/>
    <n v="65"/>
    <s v="Pending"/>
    <n v="65"/>
    <d v="2026-06-07T00:00:00"/>
    <m/>
    <m/>
    <x v="10"/>
    <x v="2"/>
  </r>
  <r>
    <n v="263"/>
    <n v="1118"/>
    <x v="6"/>
    <n v="1"/>
    <n v="45"/>
    <n v="45"/>
    <s v="Delivered"/>
    <n v="45"/>
    <d v="2026-06-05T00:00:00"/>
    <m/>
    <m/>
    <x v="6"/>
    <x v="2"/>
  </r>
  <r>
    <n v="264"/>
    <n v="1119"/>
    <x v="1"/>
    <n v="1"/>
    <n v="140"/>
    <n v="140"/>
    <s v="Delivered"/>
    <n v="140"/>
    <d v="2026-01-09T00:00:00"/>
    <m/>
    <m/>
    <x v="1"/>
    <x v="0"/>
  </r>
  <r>
    <n v="265"/>
    <n v="1119"/>
    <x v="11"/>
    <n v="2"/>
    <n v="55"/>
    <n v="110"/>
    <s v="Delivered"/>
    <n v="110"/>
    <d v="2026-01-09T00:00:00"/>
    <m/>
    <m/>
    <x v="11"/>
    <x v="0"/>
  </r>
  <r>
    <n v="266"/>
    <n v="1120"/>
    <x v="8"/>
    <n v="1"/>
    <n v="30"/>
    <n v="30"/>
    <s v="Delivered"/>
    <n v="30"/>
    <d v="2026-01-30T00:00:00"/>
    <m/>
    <m/>
    <x v="8"/>
    <x v="0"/>
  </r>
  <r>
    <n v="267"/>
    <n v="1120"/>
    <x v="10"/>
    <n v="3"/>
    <n v="65"/>
    <n v="195"/>
    <s v="Delivered"/>
    <n v="195"/>
    <d v="2026-01-30T00:00:00"/>
    <m/>
    <m/>
    <x v="10"/>
    <x v="0"/>
  </r>
  <r>
    <n v="268"/>
    <n v="1121"/>
    <x v="5"/>
    <n v="2"/>
    <n v="220"/>
    <n v="440"/>
    <s v="Delivered"/>
    <n v="440"/>
    <d v="2026-03-15T00:00:00"/>
    <m/>
    <m/>
    <x v="5"/>
    <x v="1"/>
  </r>
  <r>
    <n v="269"/>
    <n v="1122"/>
    <x v="1"/>
    <n v="3"/>
    <n v="140"/>
    <n v="420"/>
    <s v="Delivered"/>
    <n v="420"/>
    <d v="2026-01-23T00:00:00"/>
    <m/>
    <m/>
    <x v="1"/>
    <x v="0"/>
  </r>
  <r>
    <n v="270"/>
    <n v="1122"/>
    <x v="5"/>
    <n v="3"/>
    <n v="220"/>
    <n v="660"/>
    <s v="Delivered"/>
    <n v="660"/>
    <d v="2026-01-23T00:00:00"/>
    <m/>
    <m/>
    <x v="5"/>
    <x v="0"/>
  </r>
  <r>
    <n v="271"/>
    <n v="1122"/>
    <x v="8"/>
    <n v="2"/>
    <n v="30"/>
    <n v="60"/>
    <s v="Delivered"/>
    <n v="60"/>
    <d v="2026-01-23T00:00:00"/>
    <m/>
    <m/>
    <x v="8"/>
    <x v="0"/>
  </r>
  <r>
    <n v="272"/>
    <n v="1123"/>
    <x v="3"/>
    <n v="4"/>
    <n v="25"/>
    <n v="100"/>
    <s v="Delivered"/>
    <n v="100"/>
    <d v="2026-05-11T00:00:00"/>
    <m/>
    <m/>
    <x v="3"/>
    <x v="3"/>
  </r>
  <r>
    <n v="273"/>
    <n v="1124"/>
    <x v="7"/>
    <n v="4"/>
    <n v="180"/>
    <n v="720"/>
    <s v="Delivered"/>
    <n v="720"/>
    <d v="2026-02-03T00:00:00"/>
    <m/>
    <m/>
    <x v="7"/>
    <x v="5"/>
  </r>
  <r>
    <n v="274"/>
    <n v="1125"/>
    <x v="5"/>
    <n v="3"/>
    <n v="220"/>
    <n v="660"/>
    <s v="Delivered"/>
    <n v="660"/>
    <d v="2026-05-28T00:00:00"/>
    <m/>
    <m/>
    <x v="5"/>
    <x v="3"/>
  </r>
  <r>
    <n v="275"/>
    <n v="1125"/>
    <x v="11"/>
    <n v="2"/>
    <n v="55"/>
    <n v="110"/>
    <s v="Delivered"/>
    <n v="110"/>
    <d v="2026-05-28T00:00:00"/>
    <m/>
    <m/>
    <x v="11"/>
    <x v="3"/>
  </r>
  <r>
    <n v="276"/>
    <n v="1125"/>
    <x v="4"/>
    <n v="2"/>
    <n v="48"/>
    <n v="96"/>
    <s v="Delivered"/>
    <n v="96"/>
    <d v="2026-05-28T00:00:00"/>
    <m/>
    <m/>
    <x v="4"/>
    <x v="3"/>
  </r>
  <r>
    <n v="277"/>
    <n v="1126"/>
    <x v="6"/>
    <n v="3"/>
    <n v="45"/>
    <n v="135"/>
    <s v="Delivered"/>
    <n v="135"/>
    <d v="2026-02-01T00:00:00"/>
    <m/>
    <m/>
    <x v="6"/>
    <x v="5"/>
  </r>
  <r>
    <n v="278"/>
    <n v="1127"/>
    <x v="4"/>
    <n v="3"/>
    <n v="48"/>
    <n v="144"/>
    <s v="Delivered"/>
    <n v="144"/>
    <d v="2026-03-14T00:00:00"/>
    <m/>
    <m/>
    <x v="4"/>
    <x v="1"/>
  </r>
  <r>
    <n v="279"/>
    <n v="1128"/>
    <x v="6"/>
    <n v="3"/>
    <n v="45"/>
    <n v="135"/>
    <s v="Delivered"/>
    <n v="135"/>
    <d v="2026-06-14T00:00:00"/>
    <m/>
    <m/>
    <x v="6"/>
    <x v="2"/>
  </r>
  <r>
    <n v="280"/>
    <n v="1129"/>
    <x v="4"/>
    <n v="4"/>
    <n v="48"/>
    <n v="192"/>
    <s v="Delivered"/>
    <n v="192"/>
    <d v="2026-01-21T00:00:00"/>
    <m/>
    <m/>
    <x v="4"/>
    <x v="0"/>
  </r>
  <r>
    <n v="281"/>
    <n v="1129"/>
    <x v="3"/>
    <n v="1"/>
    <n v="25"/>
    <n v="25"/>
    <s v="Delivered"/>
    <n v="25"/>
    <d v="2026-01-21T00:00:00"/>
    <m/>
    <m/>
    <x v="3"/>
    <x v="0"/>
  </r>
  <r>
    <n v="282"/>
    <n v="1130"/>
    <x v="11"/>
    <n v="1"/>
    <n v="55"/>
    <n v="55"/>
    <s v="Delivered"/>
    <n v="55"/>
    <d v="2026-05-04T00:00:00"/>
    <m/>
    <m/>
    <x v="11"/>
    <x v="3"/>
  </r>
  <r>
    <n v="283"/>
    <n v="1130"/>
    <x v="5"/>
    <n v="2"/>
    <n v="220"/>
    <n v="440"/>
    <s v="Delivered"/>
    <n v="440"/>
    <d v="2026-05-04T00:00:00"/>
    <m/>
    <m/>
    <x v="5"/>
    <x v="3"/>
  </r>
  <r>
    <n v="284"/>
    <n v="1131"/>
    <x v="1"/>
    <n v="3"/>
    <n v="140"/>
    <n v="420"/>
    <s v="Delivered"/>
    <n v="420"/>
    <d v="2026-02-06T00:00:00"/>
    <m/>
    <m/>
    <x v="1"/>
    <x v="5"/>
  </r>
  <r>
    <n v="285"/>
    <n v="1131"/>
    <x v="10"/>
    <n v="1"/>
    <n v="65"/>
    <n v="65"/>
    <s v="Delivered"/>
    <n v="65"/>
    <d v="2026-02-06T00:00:00"/>
    <m/>
    <m/>
    <x v="10"/>
    <x v="5"/>
  </r>
  <r>
    <n v="286"/>
    <n v="1131"/>
    <x v="6"/>
    <n v="3"/>
    <n v="45"/>
    <n v="135"/>
    <s v="Delivered"/>
    <n v="135"/>
    <d v="2026-02-06T00:00:00"/>
    <m/>
    <m/>
    <x v="6"/>
    <x v="5"/>
  </r>
  <r>
    <n v="287"/>
    <n v="1132"/>
    <x v="10"/>
    <n v="3"/>
    <n v="65"/>
    <n v="195"/>
    <s v="Delivered"/>
    <n v="195"/>
    <d v="2026-01-25T00:00:00"/>
    <m/>
    <m/>
    <x v="10"/>
    <x v="0"/>
  </r>
  <r>
    <n v="288"/>
    <n v="1132"/>
    <x v="3"/>
    <n v="3"/>
    <n v="25"/>
    <n v="75"/>
    <s v="Delivered"/>
    <n v="75"/>
    <d v="2026-01-25T00:00:00"/>
    <m/>
    <m/>
    <x v="3"/>
    <x v="0"/>
  </r>
  <r>
    <n v="289"/>
    <n v="1132"/>
    <x v="6"/>
    <n v="2"/>
    <n v="45"/>
    <n v="90"/>
    <s v="Delivered"/>
    <n v="90"/>
    <d v="2026-01-25T00:00:00"/>
    <m/>
    <m/>
    <x v="6"/>
    <x v="0"/>
  </r>
  <r>
    <n v="290"/>
    <n v="1133"/>
    <x v="8"/>
    <n v="2"/>
    <n v="30"/>
    <n v="60"/>
    <s v="Delivered"/>
    <n v="60"/>
    <d v="2026-03-20T00:00:00"/>
    <m/>
    <m/>
    <x v="8"/>
    <x v="1"/>
  </r>
  <r>
    <n v="291"/>
    <n v="1133"/>
    <x v="11"/>
    <n v="2"/>
    <n v="55"/>
    <n v="110"/>
    <s v="Delivered"/>
    <n v="110"/>
    <d v="2026-03-20T00:00:00"/>
    <m/>
    <m/>
    <x v="11"/>
    <x v="1"/>
  </r>
  <r>
    <n v="292"/>
    <n v="1134"/>
    <x v="0"/>
    <n v="2"/>
    <n v="750"/>
    <n v="1500"/>
    <s v="Delivered"/>
    <n v="1500"/>
    <d v="2026-06-17T00:00:00"/>
    <m/>
    <m/>
    <x v="0"/>
    <x v="2"/>
  </r>
  <r>
    <n v="293"/>
    <n v="1134"/>
    <x v="5"/>
    <n v="3"/>
    <n v="220"/>
    <n v="660"/>
    <s v="Delivered"/>
    <n v="660"/>
    <d v="2026-06-17T00:00:00"/>
    <m/>
    <m/>
    <x v="5"/>
    <x v="2"/>
  </r>
  <r>
    <n v="294"/>
    <n v="1134"/>
    <x v="10"/>
    <n v="3"/>
    <n v="65"/>
    <n v="195"/>
    <s v="Delivered"/>
    <n v="195"/>
    <d v="2026-06-17T00:00:00"/>
    <m/>
    <m/>
    <x v="10"/>
    <x v="2"/>
  </r>
  <r>
    <n v="295"/>
    <n v="1135"/>
    <x v="5"/>
    <n v="4"/>
    <n v="220"/>
    <n v="880"/>
    <s v="Delivered"/>
    <n v="880"/>
    <d v="2026-05-24T00:00:00"/>
    <m/>
    <m/>
    <x v="5"/>
    <x v="3"/>
  </r>
  <r>
    <n v="296"/>
    <n v="1135"/>
    <x v="10"/>
    <n v="3"/>
    <n v="65"/>
    <n v="195"/>
    <s v="Delivered"/>
    <n v="195"/>
    <d v="2026-05-24T00:00:00"/>
    <m/>
    <m/>
    <x v="10"/>
    <x v="3"/>
  </r>
  <r>
    <n v="297"/>
    <n v="1136"/>
    <x v="1"/>
    <n v="4"/>
    <n v="140"/>
    <n v="560"/>
    <s v="Delivered"/>
    <n v="560"/>
    <d v="2026-01-25T00:00:00"/>
    <m/>
    <m/>
    <x v="1"/>
    <x v="0"/>
  </r>
  <r>
    <n v="298"/>
    <n v="1136"/>
    <x v="6"/>
    <n v="1"/>
    <n v="45"/>
    <n v="45"/>
    <s v="Delivered"/>
    <n v="45"/>
    <d v="2026-01-25T00:00:00"/>
    <m/>
    <m/>
    <x v="6"/>
    <x v="0"/>
  </r>
  <r>
    <n v="299"/>
    <n v="1136"/>
    <x v="3"/>
    <n v="1"/>
    <n v="25"/>
    <n v="25"/>
    <s v="Delivered"/>
    <n v="25"/>
    <d v="2026-01-25T00:00:00"/>
    <m/>
    <m/>
    <x v="3"/>
    <x v="0"/>
  </r>
  <r>
    <n v="300"/>
    <n v="1137"/>
    <x v="1"/>
    <n v="3"/>
    <n v="140"/>
    <n v="420"/>
    <s v="Delivered"/>
    <n v="420"/>
    <d v="2026-04-27T00:00:00"/>
    <m/>
    <m/>
    <x v="1"/>
    <x v="4"/>
  </r>
  <r>
    <n v="301"/>
    <n v="1138"/>
    <x v="11"/>
    <n v="4"/>
    <n v="55"/>
    <n v="220"/>
    <s v="Delivered"/>
    <n v="220"/>
    <d v="2026-06-01T00:00:00"/>
    <m/>
    <m/>
    <x v="11"/>
    <x v="2"/>
  </r>
  <r>
    <n v="302"/>
    <n v="1138"/>
    <x v="2"/>
    <n v="1"/>
    <n v="8"/>
    <n v="8"/>
    <s v="Delivered"/>
    <n v="8"/>
    <d v="2026-06-01T00:00:00"/>
    <m/>
    <m/>
    <x v="2"/>
    <x v="2"/>
  </r>
  <r>
    <n v="303"/>
    <n v="1138"/>
    <x v="7"/>
    <n v="3"/>
    <n v="180"/>
    <n v="540"/>
    <s v="Delivered"/>
    <n v="540"/>
    <d v="2026-06-01T00:00:00"/>
    <m/>
    <m/>
    <x v="7"/>
    <x v="2"/>
  </r>
  <r>
    <n v="304"/>
    <n v="1139"/>
    <x v="4"/>
    <n v="2"/>
    <n v="48"/>
    <n v="96"/>
    <s v="Delivered"/>
    <n v="96"/>
    <d v="2026-06-26T00:00:00"/>
    <m/>
    <m/>
    <x v="4"/>
    <x v="2"/>
  </r>
  <r>
    <n v="305"/>
    <n v="1139"/>
    <x v="2"/>
    <n v="1"/>
    <n v="8"/>
    <n v="8"/>
    <s v="Delivered"/>
    <n v="8"/>
    <d v="2026-06-26T00:00:00"/>
    <m/>
    <m/>
    <x v="2"/>
    <x v="2"/>
  </r>
  <r>
    <n v="306"/>
    <n v="1140"/>
    <x v="2"/>
    <n v="1"/>
    <n v="8"/>
    <n v="8"/>
    <s v="Delivered"/>
    <n v="8"/>
    <d v="2026-04-08T00:00:00"/>
    <m/>
    <m/>
    <x v="2"/>
    <x v="4"/>
  </r>
  <r>
    <n v="307"/>
    <n v="1141"/>
    <x v="11"/>
    <n v="2"/>
    <n v="55"/>
    <n v="110"/>
    <s v="Delivered"/>
    <n v="110"/>
    <d v="2026-06-26T00:00:00"/>
    <m/>
    <m/>
    <x v="11"/>
    <x v="2"/>
  </r>
  <r>
    <n v="308"/>
    <n v="1141"/>
    <x v="0"/>
    <n v="3"/>
    <n v="750"/>
    <n v="2250"/>
    <s v="Delivered"/>
    <n v="2250"/>
    <d v="2026-06-26T00:00:00"/>
    <m/>
    <m/>
    <x v="0"/>
    <x v="2"/>
  </r>
  <r>
    <n v="309"/>
    <n v="1141"/>
    <x v="6"/>
    <n v="4"/>
    <n v="45"/>
    <n v="180"/>
    <s v="Delivered"/>
    <n v="180"/>
    <d v="2026-06-26T00:00:00"/>
    <m/>
    <m/>
    <x v="6"/>
    <x v="2"/>
  </r>
  <r>
    <n v="310"/>
    <n v="1142"/>
    <x v="11"/>
    <n v="3"/>
    <n v="55"/>
    <n v="165"/>
    <s v="Delivered"/>
    <n v="165"/>
    <d v="2026-03-29T00:00:00"/>
    <m/>
    <m/>
    <x v="11"/>
    <x v="1"/>
  </r>
  <r>
    <n v="311"/>
    <n v="1142"/>
    <x v="3"/>
    <n v="3"/>
    <n v="25"/>
    <n v="75"/>
    <s v="Delivered"/>
    <n v="75"/>
    <d v="2026-03-29T00:00:00"/>
    <m/>
    <m/>
    <x v="3"/>
    <x v="1"/>
  </r>
  <r>
    <n v="312"/>
    <n v="1142"/>
    <x v="4"/>
    <n v="2"/>
    <n v="48"/>
    <n v="96"/>
    <s v="Delivered"/>
    <n v="96"/>
    <d v="2026-03-29T00:00:00"/>
    <m/>
    <m/>
    <x v="4"/>
    <x v="1"/>
  </r>
  <r>
    <n v="313"/>
    <n v="1143"/>
    <x v="11"/>
    <n v="3"/>
    <n v="55"/>
    <n v="165"/>
    <s v="Delivered"/>
    <n v="165"/>
    <d v="2026-02-23T00:00:00"/>
    <m/>
    <m/>
    <x v="11"/>
    <x v="5"/>
  </r>
  <r>
    <n v="314"/>
    <n v="1143"/>
    <x v="1"/>
    <n v="3"/>
    <n v="140"/>
    <n v="420"/>
    <s v="Delivered"/>
    <n v="420"/>
    <d v="2026-02-23T00:00:00"/>
    <m/>
    <m/>
    <x v="1"/>
    <x v="5"/>
  </r>
  <r>
    <n v="315"/>
    <n v="1144"/>
    <x v="0"/>
    <n v="1"/>
    <n v="750"/>
    <n v="750"/>
    <s v="Shipped"/>
    <n v="750"/>
    <d v="2026-03-30T00:00:00"/>
    <m/>
    <m/>
    <x v="0"/>
    <x v="1"/>
  </r>
  <r>
    <n v="316"/>
    <n v="1144"/>
    <x v="7"/>
    <n v="3"/>
    <n v="180"/>
    <n v="540"/>
    <s v="Shipped"/>
    <n v="540"/>
    <d v="2026-03-30T00:00:00"/>
    <m/>
    <m/>
    <x v="7"/>
    <x v="1"/>
  </r>
  <r>
    <n v="317"/>
    <n v="1145"/>
    <x v="8"/>
    <n v="3"/>
    <n v="30"/>
    <n v="90"/>
    <s v="Delivered"/>
    <n v="90"/>
    <d v="2026-03-07T00:00:00"/>
    <m/>
    <m/>
    <x v="8"/>
    <x v="1"/>
  </r>
  <r>
    <n v="318"/>
    <n v="1146"/>
    <x v="8"/>
    <n v="1"/>
    <n v="30"/>
    <n v="30"/>
    <s v="Delivered"/>
    <n v="30"/>
    <d v="2026-05-31T00:00:00"/>
    <m/>
    <m/>
    <x v="8"/>
    <x v="3"/>
  </r>
  <r>
    <n v="319"/>
    <n v="1146"/>
    <x v="3"/>
    <n v="1"/>
    <n v="25"/>
    <n v="25"/>
    <s v="Delivered"/>
    <n v="25"/>
    <d v="2026-05-31T00:00:00"/>
    <m/>
    <m/>
    <x v="3"/>
    <x v="3"/>
  </r>
  <r>
    <n v="320"/>
    <n v="1146"/>
    <x v="4"/>
    <n v="4"/>
    <n v="48"/>
    <n v="192"/>
    <s v="Delivered"/>
    <n v="192"/>
    <d v="2026-05-31T00:00:00"/>
    <m/>
    <m/>
    <x v="4"/>
    <x v="3"/>
  </r>
  <r>
    <n v="321"/>
    <n v="1147"/>
    <x v="4"/>
    <n v="4"/>
    <n v="48"/>
    <n v="192"/>
    <s v="Shipped"/>
    <n v="192"/>
    <d v="2026-01-02T00:00:00"/>
    <m/>
    <m/>
    <x v="4"/>
    <x v="0"/>
  </r>
  <r>
    <n v="322"/>
    <n v="1147"/>
    <x v="11"/>
    <n v="2"/>
    <n v="55"/>
    <n v="110"/>
    <s v="Shipped"/>
    <n v="110"/>
    <d v="2026-01-02T00:00:00"/>
    <m/>
    <m/>
    <x v="11"/>
    <x v="0"/>
  </r>
  <r>
    <n v="323"/>
    <n v="1148"/>
    <x v="4"/>
    <n v="2"/>
    <n v="48"/>
    <n v="96"/>
    <s v="Delivered"/>
    <n v="96"/>
    <d v="2026-03-24T00:00:00"/>
    <m/>
    <m/>
    <x v="4"/>
    <x v="1"/>
  </r>
  <r>
    <n v="324"/>
    <n v="1149"/>
    <x v="10"/>
    <n v="4"/>
    <n v="65"/>
    <n v="260"/>
    <s v="Cancelled"/>
    <n v="0"/>
    <d v="2026-04-17T00:00:00"/>
    <m/>
    <m/>
    <x v="10"/>
    <x v="4"/>
  </r>
  <r>
    <n v="325"/>
    <n v="1150"/>
    <x v="0"/>
    <n v="3"/>
    <n v="750"/>
    <n v="2250"/>
    <s v="Shipped"/>
    <n v="2250"/>
    <d v="2026-02-17T00:00:00"/>
    <m/>
    <m/>
    <x v="0"/>
    <x v="5"/>
  </r>
  <r>
    <n v="326"/>
    <n v="1151"/>
    <x v="11"/>
    <n v="4"/>
    <n v="55"/>
    <n v="220"/>
    <s v="Delivered"/>
    <n v="220"/>
    <d v="2026-03-27T00:00:00"/>
    <m/>
    <m/>
    <x v="11"/>
    <x v="1"/>
  </r>
  <r>
    <n v="327"/>
    <n v="1151"/>
    <x v="6"/>
    <n v="3"/>
    <n v="45"/>
    <n v="135"/>
    <s v="Delivered"/>
    <n v="135"/>
    <d v="2026-03-27T00:00:00"/>
    <m/>
    <m/>
    <x v="6"/>
    <x v="1"/>
  </r>
  <r>
    <n v="328"/>
    <n v="1151"/>
    <x v="8"/>
    <n v="2"/>
    <n v="30"/>
    <n v="60"/>
    <s v="Delivered"/>
    <n v="60"/>
    <d v="2026-03-27T00:00:00"/>
    <m/>
    <m/>
    <x v="8"/>
    <x v="1"/>
  </r>
  <r>
    <n v="329"/>
    <n v="1152"/>
    <x v="1"/>
    <n v="2"/>
    <n v="140"/>
    <n v="280"/>
    <s v="Delivered"/>
    <n v="280"/>
    <d v="2026-03-07T00:00:00"/>
    <m/>
    <m/>
    <x v="1"/>
    <x v="1"/>
  </r>
  <r>
    <n v="330"/>
    <n v="1152"/>
    <x v="7"/>
    <n v="2"/>
    <n v="180"/>
    <n v="360"/>
    <s v="Delivered"/>
    <n v="360"/>
    <d v="2026-03-07T00:00:00"/>
    <m/>
    <m/>
    <x v="7"/>
    <x v="1"/>
  </r>
  <r>
    <n v="331"/>
    <n v="1152"/>
    <x v="2"/>
    <n v="4"/>
    <n v="8"/>
    <n v="32"/>
    <s v="Delivered"/>
    <n v="32"/>
    <d v="2026-03-07T00:00:00"/>
    <m/>
    <m/>
    <x v="2"/>
    <x v="1"/>
  </r>
  <r>
    <n v="332"/>
    <n v="1153"/>
    <x v="1"/>
    <n v="1"/>
    <n v="140"/>
    <n v="140"/>
    <s v="Delivered"/>
    <n v="140"/>
    <d v="2026-01-25T00:00:00"/>
    <m/>
    <m/>
    <x v="1"/>
    <x v="0"/>
  </r>
  <r>
    <n v="333"/>
    <n v="1153"/>
    <x v="3"/>
    <n v="3"/>
    <n v="25"/>
    <n v="75"/>
    <s v="Delivered"/>
    <n v="75"/>
    <d v="2026-01-25T00:00:00"/>
    <m/>
    <m/>
    <x v="3"/>
    <x v="0"/>
  </r>
  <r>
    <n v="334"/>
    <n v="1154"/>
    <x v="7"/>
    <n v="3"/>
    <n v="180"/>
    <n v="540"/>
    <s v="Delivered"/>
    <n v="540"/>
    <d v="2026-03-19T00:00:00"/>
    <m/>
    <m/>
    <x v="7"/>
    <x v="1"/>
  </r>
  <r>
    <n v="335"/>
    <n v="1155"/>
    <x v="7"/>
    <n v="3"/>
    <n v="180"/>
    <n v="540"/>
    <s v="Delivered"/>
    <n v="540"/>
    <d v="2026-02-10T00:00:00"/>
    <m/>
    <m/>
    <x v="7"/>
    <x v="5"/>
  </r>
  <r>
    <n v="336"/>
    <n v="1155"/>
    <x v="5"/>
    <n v="2"/>
    <n v="220"/>
    <n v="440"/>
    <s v="Delivered"/>
    <n v="440"/>
    <d v="2026-02-10T00:00:00"/>
    <m/>
    <m/>
    <x v="5"/>
    <x v="5"/>
  </r>
  <r>
    <n v="337"/>
    <n v="1155"/>
    <x v="9"/>
    <n v="2"/>
    <n v="22"/>
    <n v="44"/>
    <s v="Delivered"/>
    <n v="44"/>
    <d v="2026-02-10T00:00:00"/>
    <m/>
    <m/>
    <x v="9"/>
    <x v="5"/>
  </r>
  <r>
    <n v="338"/>
    <n v="1156"/>
    <x v="8"/>
    <n v="2"/>
    <n v="30"/>
    <n v="60"/>
    <s v="Delivered"/>
    <n v="60"/>
    <d v="2026-04-06T00:00:00"/>
    <m/>
    <m/>
    <x v="8"/>
    <x v="4"/>
  </r>
  <r>
    <n v="339"/>
    <n v="1156"/>
    <x v="4"/>
    <n v="2"/>
    <n v="48"/>
    <n v="96"/>
    <s v="Delivered"/>
    <n v="96"/>
    <d v="2026-04-06T00:00:00"/>
    <m/>
    <m/>
    <x v="4"/>
    <x v="4"/>
  </r>
  <r>
    <n v="340"/>
    <n v="1157"/>
    <x v="2"/>
    <n v="1"/>
    <n v="8"/>
    <n v="8"/>
    <s v="Delivered"/>
    <n v="8"/>
    <d v="2026-04-25T00:00:00"/>
    <m/>
    <m/>
    <x v="2"/>
    <x v="4"/>
  </r>
  <r>
    <n v="341"/>
    <n v="1158"/>
    <x v="11"/>
    <n v="4"/>
    <n v="55"/>
    <n v="220"/>
    <s v="Delivered"/>
    <n v="220"/>
    <d v="2026-05-18T00:00:00"/>
    <m/>
    <m/>
    <x v="11"/>
    <x v="3"/>
  </r>
  <r>
    <n v="342"/>
    <n v="1158"/>
    <x v="5"/>
    <n v="1"/>
    <n v="220"/>
    <n v="220"/>
    <s v="Delivered"/>
    <n v="220"/>
    <d v="2026-05-18T00:00:00"/>
    <m/>
    <m/>
    <x v="5"/>
    <x v="3"/>
  </r>
  <r>
    <n v="343"/>
    <n v="1158"/>
    <x v="3"/>
    <n v="4"/>
    <n v="25"/>
    <n v="100"/>
    <s v="Delivered"/>
    <n v="100"/>
    <d v="2026-05-18T00:00:00"/>
    <m/>
    <m/>
    <x v="3"/>
    <x v="3"/>
  </r>
  <r>
    <n v="344"/>
    <n v="1159"/>
    <x v="7"/>
    <n v="3"/>
    <n v="180"/>
    <n v="540"/>
    <s v="Delivered"/>
    <n v="540"/>
    <d v="2026-05-25T00:00:00"/>
    <m/>
    <m/>
    <x v="7"/>
    <x v="3"/>
  </r>
  <r>
    <n v="345"/>
    <n v="1159"/>
    <x v="0"/>
    <n v="1"/>
    <n v="750"/>
    <n v="750"/>
    <s v="Delivered"/>
    <n v="750"/>
    <d v="2026-05-25T00:00:00"/>
    <m/>
    <m/>
    <x v="0"/>
    <x v="3"/>
  </r>
  <r>
    <n v="346"/>
    <n v="1159"/>
    <x v="10"/>
    <n v="2"/>
    <n v="65"/>
    <n v="130"/>
    <s v="Delivered"/>
    <n v="130"/>
    <d v="2026-05-25T00:00:00"/>
    <m/>
    <m/>
    <x v="10"/>
    <x v="3"/>
  </r>
  <r>
    <n v="347"/>
    <n v="1160"/>
    <x v="0"/>
    <n v="4"/>
    <n v="750"/>
    <n v="3000"/>
    <s v="Pending"/>
    <n v="3000"/>
    <d v="2026-05-19T00:00:00"/>
    <m/>
    <m/>
    <x v="0"/>
    <x v="3"/>
  </r>
  <r>
    <n v="348"/>
    <n v="1160"/>
    <x v="7"/>
    <n v="2"/>
    <n v="180"/>
    <n v="360"/>
    <s v="Pending"/>
    <n v="360"/>
    <d v="2026-05-19T00:00:00"/>
    <m/>
    <m/>
    <x v="7"/>
    <x v="3"/>
  </r>
  <r>
    <n v="349"/>
    <n v="1161"/>
    <x v="10"/>
    <n v="4"/>
    <n v="65"/>
    <n v="260"/>
    <s v="Pending"/>
    <n v="260"/>
    <d v="2026-06-14T00:00:00"/>
    <m/>
    <m/>
    <x v="10"/>
    <x v="2"/>
  </r>
  <r>
    <n v="350"/>
    <n v="1161"/>
    <x v="11"/>
    <n v="4"/>
    <n v="55"/>
    <n v="220"/>
    <s v="Pending"/>
    <n v="220"/>
    <d v="2026-06-14T00:00:00"/>
    <m/>
    <m/>
    <x v="11"/>
    <x v="2"/>
  </r>
  <r>
    <n v="351"/>
    <n v="1162"/>
    <x v="4"/>
    <n v="3"/>
    <n v="48"/>
    <n v="144"/>
    <s v="Shipped"/>
    <n v="144"/>
    <d v="2026-06-24T00:00:00"/>
    <m/>
    <m/>
    <x v="4"/>
    <x v="2"/>
  </r>
  <r>
    <n v="352"/>
    <n v="1163"/>
    <x v="0"/>
    <n v="3"/>
    <n v="750"/>
    <n v="2250"/>
    <s v="Delivered"/>
    <n v="2250"/>
    <d v="2026-04-11T00:00:00"/>
    <m/>
    <m/>
    <x v="0"/>
    <x v="4"/>
  </r>
  <r>
    <n v="353"/>
    <n v="1164"/>
    <x v="7"/>
    <n v="2"/>
    <n v="180"/>
    <n v="360"/>
    <s v="Delivered"/>
    <n v="360"/>
    <d v="2026-02-28T00:00:00"/>
    <m/>
    <m/>
    <x v="7"/>
    <x v="5"/>
  </r>
  <r>
    <n v="354"/>
    <n v="1165"/>
    <x v="3"/>
    <n v="1"/>
    <n v="25"/>
    <n v="25"/>
    <s v="Delivered"/>
    <n v="25"/>
    <d v="2026-04-18T00:00:00"/>
    <m/>
    <m/>
    <x v="3"/>
    <x v="4"/>
  </r>
  <r>
    <n v="355"/>
    <n v="1166"/>
    <x v="11"/>
    <n v="2"/>
    <n v="55"/>
    <n v="110"/>
    <s v="Delivered"/>
    <n v="110"/>
    <d v="2026-01-13T00:00:00"/>
    <m/>
    <m/>
    <x v="11"/>
    <x v="0"/>
  </r>
  <r>
    <n v="356"/>
    <n v="1166"/>
    <x v="3"/>
    <n v="1"/>
    <n v="25"/>
    <n v="25"/>
    <s v="Delivered"/>
    <n v="25"/>
    <d v="2026-01-13T00:00:00"/>
    <m/>
    <m/>
    <x v="3"/>
    <x v="0"/>
  </r>
  <r>
    <n v="357"/>
    <n v="1167"/>
    <x v="7"/>
    <n v="2"/>
    <n v="180"/>
    <n v="360"/>
    <s v="Delivered"/>
    <n v="360"/>
    <d v="2026-05-28T00:00:00"/>
    <m/>
    <m/>
    <x v="7"/>
    <x v="3"/>
  </r>
  <r>
    <n v="358"/>
    <n v="1168"/>
    <x v="4"/>
    <n v="4"/>
    <n v="48"/>
    <n v="192"/>
    <s v="Delivered"/>
    <n v="192"/>
    <d v="2026-01-16T00:00:00"/>
    <m/>
    <m/>
    <x v="4"/>
    <x v="0"/>
  </r>
  <r>
    <n v="359"/>
    <n v="1168"/>
    <x v="10"/>
    <n v="1"/>
    <n v="65"/>
    <n v="65"/>
    <s v="Delivered"/>
    <n v="65"/>
    <d v="2026-01-16T00:00:00"/>
    <m/>
    <m/>
    <x v="10"/>
    <x v="0"/>
  </r>
  <r>
    <n v="360"/>
    <n v="1168"/>
    <x v="8"/>
    <n v="3"/>
    <n v="30"/>
    <n v="90"/>
    <s v="Delivered"/>
    <n v="90"/>
    <d v="2026-01-16T00:00:00"/>
    <m/>
    <m/>
    <x v="8"/>
    <x v="0"/>
  </r>
  <r>
    <n v="361"/>
    <n v="1169"/>
    <x v="10"/>
    <n v="4"/>
    <n v="65"/>
    <n v="260"/>
    <s v="Delivered"/>
    <n v="260"/>
    <d v="2026-06-28T00:00:00"/>
    <m/>
    <m/>
    <x v="10"/>
    <x v="2"/>
  </r>
  <r>
    <n v="362"/>
    <n v="1169"/>
    <x v="6"/>
    <n v="2"/>
    <n v="45"/>
    <n v="90"/>
    <s v="Delivered"/>
    <n v="90"/>
    <d v="2026-06-28T00:00:00"/>
    <m/>
    <m/>
    <x v="6"/>
    <x v="2"/>
  </r>
  <r>
    <n v="363"/>
    <n v="1170"/>
    <x v="8"/>
    <n v="2"/>
    <n v="30"/>
    <n v="60"/>
    <s v="Delivered"/>
    <n v="60"/>
    <d v="2026-01-15T00:00:00"/>
    <m/>
    <m/>
    <x v="8"/>
    <x v="0"/>
  </r>
  <r>
    <n v="364"/>
    <n v="1170"/>
    <x v="6"/>
    <n v="3"/>
    <n v="45"/>
    <n v="135"/>
    <s v="Delivered"/>
    <n v="135"/>
    <d v="2026-01-15T00:00:00"/>
    <m/>
    <m/>
    <x v="6"/>
    <x v="0"/>
  </r>
  <r>
    <n v="365"/>
    <n v="1170"/>
    <x v="10"/>
    <n v="2"/>
    <n v="65"/>
    <n v="130"/>
    <s v="Delivered"/>
    <n v="130"/>
    <d v="2026-01-15T00:00:00"/>
    <m/>
    <m/>
    <x v="10"/>
    <x v="0"/>
  </r>
  <r>
    <n v="366"/>
    <n v="1171"/>
    <x v="7"/>
    <n v="4"/>
    <n v="180"/>
    <n v="720"/>
    <s v="Delivered"/>
    <n v="720"/>
    <d v="2026-01-24T00:00:00"/>
    <m/>
    <m/>
    <x v="7"/>
    <x v="0"/>
  </r>
  <r>
    <n v="367"/>
    <n v="1172"/>
    <x v="11"/>
    <n v="2"/>
    <n v="55"/>
    <n v="110"/>
    <s v="Delivered"/>
    <n v="110"/>
    <d v="2026-05-31T00:00:00"/>
    <m/>
    <m/>
    <x v="11"/>
    <x v="3"/>
  </r>
  <r>
    <n v="368"/>
    <n v="1173"/>
    <x v="11"/>
    <n v="2"/>
    <n v="55"/>
    <n v="110"/>
    <s v="Shipped"/>
    <n v="110"/>
    <d v="2026-02-24T00:00:00"/>
    <m/>
    <m/>
    <x v="11"/>
    <x v="5"/>
  </r>
  <r>
    <n v="369"/>
    <n v="1173"/>
    <x v="3"/>
    <n v="4"/>
    <n v="25"/>
    <n v="100"/>
    <s v="Shipped"/>
    <n v="100"/>
    <d v="2026-02-24T00:00:00"/>
    <m/>
    <m/>
    <x v="3"/>
    <x v="5"/>
  </r>
  <r>
    <n v="370"/>
    <n v="1173"/>
    <x v="2"/>
    <n v="2"/>
    <n v="8"/>
    <n v="16"/>
    <s v="Shipped"/>
    <n v="16"/>
    <d v="2026-02-24T00:00:00"/>
    <m/>
    <m/>
    <x v="2"/>
    <x v="5"/>
  </r>
  <r>
    <n v="371"/>
    <n v="1174"/>
    <x v="7"/>
    <n v="4"/>
    <n v="180"/>
    <n v="720"/>
    <s v="Delivered"/>
    <n v="720"/>
    <d v="2026-04-08T00:00:00"/>
    <m/>
    <m/>
    <x v="7"/>
    <x v="4"/>
  </r>
  <r>
    <n v="372"/>
    <n v="1174"/>
    <x v="1"/>
    <n v="4"/>
    <n v="140"/>
    <n v="560"/>
    <s v="Delivered"/>
    <n v="560"/>
    <d v="2026-04-08T00:00:00"/>
    <m/>
    <m/>
    <x v="1"/>
    <x v="4"/>
  </r>
  <r>
    <n v="373"/>
    <n v="1175"/>
    <x v="2"/>
    <n v="2"/>
    <n v="8"/>
    <n v="16"/>
    <s v="Delivered"/>
    <n v="16"/>
    <d v="2026-02-22T00:00:00"/>
    <m/>
    <m/>
    <x v="2"/>
    <x v="5"/>
  </r>
  <r>
    <n v="374"/>
    <n v="1176"/>
    <x v="3"/>
    <n v="3"/>
    <n v="25"/>
    <n v="75"/>
    <s v="Delivered"/>
    <n v="75"/>
    <d v="2026-05-29T00:00:00"/>
    <m/>
    <m/>
    <x v="3"/>
    <x v="3"/>
  </r>
  <r>
    <n v="375"/>
    <n v="1177"/>
    <x v="11"/>
    <n v="4"/>
    <n v="55"/>
    <n v="220"/>
    <s v="Shipped"/>
    <n v="220"/>
    <d v="2026-06-17T00:00:00"/>
    <m/>
    <m/>
    <x v="11"/>
    <x v="2"/>
  </r>
  <r>
    <n v="376"/>
    <n v="1177"/>
    <x v="4"/>
    <n v="4"/>
    <n v="48"/>
    <n v="192"/>
    <s v="Shipped"/>
    <n v="192"/>
    <d v="2026-06-17T00:00:00"/>
    <m/>
    <m/>
    <x v="4"/>
    <x v="2"/>
  </r>
  <r>
    <n v="377"/>
    <n v="1178"/>
    <x v="6"/>
    <n v="1"/>
    <n v="45"/>
    <n v="45"/>
    <s v="Delivered"/>
    <n v="45"/>
    <d v="2026-02-13T00:00:00"/>
    <m/>
    <m/>
    <x v="6"/>
    <x v="5"/>
  </r>
  <r>
    <n v="378"/>
    <n v="1178"/>
    <x v="8"/>
    <n v="1"/>
    <n v="30"/>
    <n v="30"/>
    <s v="Delivered"/>
    <n v="30"/>
    <d v="2026-02-13T00:00:00"/>
    <m/>
    <m/>
    <x v="8"/>
    <x v="5"/>
  </r>
  <r>
    <n v="379"/>
    <n v="1179"/>
    <x v="9"/>
    <n v="2"/>
    <n v="22"/>
    <n v="44"/>
    <s v="Delivered"/>
    <n v="44"/>
    <d v="2026-01-02T00:00:00"/>
    <m/>
    <m/>
    <x v="9"/>
    <x v="0"/>
  </r>
  <r>
    <n v="380"/>
    <n v="1180"/>
    <x v="11"/>
    <n v="4"/>
    <n v="55"/>
    <n v="220"/>
    <s v="Delivered"/>
    <n v="220"/>
    <d v="2026-06-13T00:00:00"/>
    <m/>
    <m/>
    <x v="11"/>
    <x v="2"/>
  </r>
  <r>
    <n v="381"/>
    <n v="1180"/>
    <x v="0"/>
    <n v="1"/>
    <n v="750"/>
    <n v="750"/>
    <s v="Delivered"/>
    <n v="750"/>
    <d v="2026-06-13T00:00:00"/>
    <m/>
    <m/>
    <x v="0"/>
    <x v="2"/>
  </r>
  <r>
    <n v="382"/>
    <n v="1180"/>
    <x v="4"/>
    <n v="1"/>
    <n v="48"/>
    <n v="48"/>
    <s v="Delivered"/>
    <n v="48"/>
    <d v="2026-06-13T00:00:00"/>
    <m/>
    <m/>
    <x v="4"/>
    <x v="2"/>
  </r>
  <r>
    <n v="383"/>
    <n v="1181"/>
    <x v="5"/>
    <n v="1"/>
    <n v="220"/>
    <n v="220"/>
    <s v="Delivered"/>
    <n v="220"/>
    <d v="2026-05-09T00:00:00"/>
    <m/>
    <m/>
    <x v="5"/>
    <x v="3"/>
  </r>
  <r>
    <n v="384"/>
    <n v="1182"/>
    <x v="1"/>
    <n v="4"/>
    <n v="140"/>
    <n v="560"/>
    <s v="Delivered"/>
    <n v="560"/>
    <d v="2026-04-01T00:00:00"/>
    <m/>
    <m/>
    <x v="1"/>
    <x v="4"/>
  </r>
  <r>
    <n v="385"/>
    <n v="1183"/>
    <x v="4"/>
    <n v="4"/>
    <n v="48"/>
    <n v="192"/>
    <s v="Delivered"/>
    <n v="192"/>
    <d v="2026-06-25T00:00:00"/>
    <m/>
    <m/>
    <x v="4"/>
    <x v="2"/>
  </r>
  <r>
    <n v="386"/>
    <n v="1183"/>
    <x v="0"/>
    <n v="4"/>
    <n v="750"/>
    <n v="3000"/>
    <s v="Delivered"/>
    <n v="3000"/>
    <d v="2026-06-25T00:00:00"/>
    <m/>
    <m/>
    <x v="0"/>
    <x v="2"/>
  </r>
  <r>
    <n v="387"/>
    <n v="1183"/>
    <x v="5"/>
    <n v="4"/>
    <n v="220"/>
    <n v="880"/>
    <s v="Delivered"/>
    <n v="880"/>
    <d v="2026-06-25T00:00:00"/>
    <m/>
    <m/>
    <x v="5"/>
    <x v="2"/>
  </r>
  <r>
    <n v="388"/>
    <n v="1184"/>
    <x v="1"/>
    <n v="1"/>
    <n v="140"/>
    <n v="140"/>
    <s v="Delivered"/>
    <n v="140"/>
    <d v="2026-01-22T00:00:00"/>
    <m/>
    <m/>
    <x v="1"/>
    <x v="0"/>
  </r>
  <r>
    <n v="389"/>
    <n v="1184"/>
    <x v="2"/>
    <n v="2"/>
    <n v="8"/>
    <n v="16"/>
    <s v="Delivered"/>
    <n v="16"/>
    <d v="2026-01-22T00:00:00"/>
    <m/>
    <m/>
    <x v="2"/>
    <x v="0"/>
  </r>
  <r>
    <n v="390"/>
    <n v="1184"/>
    <x v="5"/>
    <n v="2"/>
    <n v="220"/>
    <n v="440"/>
    <s v="Delivered"/>
    <n v="440"/>
    <d v="2026-01-22T00:00:00"/>
    <m/>
    <m/>
    <x v="5"/>
    <x v="0"/>
  </r>
  <r>
    <n v="391"/>
    <n v="1185"/>
    <x v="2"/>
    <n v="2"/>
    <n v="8"/>
    <n v="16"/>
    <s v="Shipped"/>
    <n v="16"/>
    <d v="2026-01-12T00:00:00"/>
    <m/>
    <m/>
    <x v="2"/>
    <x v="0"/>
  </r>
  <r>
    <n v="392"/>
    <n v="1185"/>
    <x v="4"/>
    <n v="3"/>
    <n v="48"/>
    <n v="144"/>
    <s v="Shipped"/>
    <n v="144"/>
    <d v="2026-01-12T00:00:00"/>
    <m/>
    <m/>
    <x v="4"/>
    <x v="0"/>
  </r>
  <r>
    <n v="393"/>
    <n v="1185"/>
    <x v="0"/>
    <n v="1"/>
    <n v="750"/>
    <n v="750"/>
    <s v="Shipped"/>
    <n v="750"/>
    <d v="2026-01-12T00:00:00"/>
    <m/>
    <m/>
    <x v="0"/>
    <x v="0"/>
  </r>
  <r>
    <n v="394"/>
    <n v="1186"/>
    <x v="7"/>
    <n v="2"/>
    <n v="180"/>
    <n v="360"/>
    <s v="Delivered"/>
    <n v="360"/>
    <d v="2026-02-06T00:00:00"/>
    <m/>
    <m/>
    <x v="7"/>
    <x v="5"/>
  </r>
  <r>
    <n v="395"/>
    <n v="1187"/>
    <x v="9"/>
    <n v="3"/>
    <n v="22"/>
    <n v="66"/>
    <s v="Delivered"/>
    <n v="66"/>
    <d v="2026-05-19T00:00:00"/>
    <m/>
    <m/>
    <x v="9"/>
    <x v="3"/>
  </r>
  <r>
    <n v="396"/>
    <n v="1187"/>
    <x v="5"/>
    <n v="1"/>
    <n v="220"/>
    <n v="220"/>
    <s v="Delivered"/>
    <n v="220"/>
    <d v="2026-05-19T00:00:00"/>
    <m/>
    <m/>
    <x v="5"/>
    <x v="3"/>
  </r>
  <r>
    <n v="397"/>
    <n v="1187"/>
    <x v="8"/>
    <n v="1"/>
    <n v="30"/>
    <n v="30"/>
    <s v="Delivered"/>
    <n v="30"/>
    <d v="2026-05-19T00:00:00"/>
    <m/>
    <m/>
    <x v="8"/>
    <x v="3"/>
  </r>
  <r>
    <n v="398"/>
    <n v="1188"/>
    <x v="4"/>
    <n v="3"/>
    <n v="48"/>
    <n v="144"/>
    <s v="Delivered"/>
    <n v="144"/>
    <d v="2026-06-02T00:00:00"/>
    <m/>
    <m/>
    <x v="4"/>
    <x v="2"/>
  </r>
  <r>
    <n v="399"/>
    <n v="1189"/>
    <x v="10"/>
    <n v="3"/>
    <n v="65"/>
    <n v="195"/>
    <s v="Delivered"/>
    <n v="195"/>
    <d v="2026-04-07T00:00:00"/>
    <m/>
    <m/>
    <x v="10"/>
    <x v="4"/>
  </r>
  <r>
    <n v="400"/>
    <n v="1189"/>
    <x v="5"/>
    <n v="2"/>
    <n v="220"/>
    <n v="440"/>
    <s v="Delivered"/>
    <n v="440"/>
    <d v="2026-04-07T00:00:00"/>
    <m/>
    <m/>
    <x v="5"/>
    <x v="4"/>
  </r>
  <r>
    <n v="401"/>
    <n v="1189"/>
    <x v="2"/>
    <n v="1"/>
    <n v="8"/>
    <n v="8"/>
    <s v="Delivered"/>
    <n v="8"/>
    <d v="2026-04-07T00:00:00"/>
    <m/>
    <m/>
    <x v="2"/>
    <x v="4"/>
  </r>
  <r>
    <n v="402"/>
    <n v="1190"/>
    <x v="5"/>
    <n v="1"/>
    <n v="220"/>
    <n v="220"/>
    <s v="Delivered"/>
    <n v="220"/>
    <d v="2026-02-09T00:00:00"/>
    <m/>
    <m/>
    <x v="5"/>
    <x v="5"/>
  </r>
  <r>
    <n v="403"/>
    <n v="1190"/>
    <x v="9"/>
    <n v="3"/>
    <n v="22"/>
    <n v="66"/>
    <s v="Delivered"/>
    <n v="66"/>
    <d v="2026-02-09T00:00:00"/>
    <m/>
    <m/>
    <x v="9"/>
    <x v="5"/>
  </r>
  <r>
    <n v="404"/>
    <n v="1191"/>
    <x v="8"/>
    <n v="1"/>
    <n v="30"/>
    <n v="30"/>
    <s v="Delivered"/>
    <n v="30"/>
    <d v="2026-02-17T00:00:00"/>
    <m/>
    <m/>
    <x v="8"/>
    <x v="5"/>
  </r>
  <r>
    <n v="405"/>
    <n v="1191"/>
    <x v="10"/>
    <n v="1"/>
    <n v="65"/>
    <n v="65"/>
    <s v="Delivered"/>
    <n v="65"/>
    <d v="2026-02-17T00:00:00"/>
    <m/>
    <m/>
    <x v="10"/>
    <x v="5"/>
  </r>
  <r>
    <n v="406"/>
    <n v="1191"/>
    <x v="5"/>
    <n v="3"/>
    <n v="220"/>
    <n v="660"/>
    <s v="Delivered"/>
    <n v="660"/>
    <d v="2026-02-17T00:00:00"/>
    <m/>
    <m/>
    <x v="5"/>
    <x v="5"/>
  </r>
  <r>
    <n v="407"/>
    <n v="1192"/>
    <x v="9"/>
    <n v="2"/>
    <n v="22"/>
    <n v="44"/>
    <s v="Delivered"/>
    <n v="44"/>
    <d v="2026-01-04T00:00:00"/>
    <m/>
    <m/>
    <x v="9"/>
    <x v="0"/>
  </r>
  <r>
    <n v="408"/>
    <n v="1193"/>
    <x v="5"/>
    <n v="2"/>
    <n v="220"/>
    <n v="440"/>
    <s v="Delivered"/>
    <n v="440"/>
    <d v="2026-03-10T00:00:00"/>
    <m/>
    <m/>
    <x v="5"/>
    <x v="1"/>
  </r>
  <r>
    <n v="409"/>
    <n v="1194"/>
    <x v="4"/>
    <n v="2"/>
    <n v="48"/>
    <n v="96"/>
    <s v="Delivered"/>
    <n v="96"/>
    <d v="2026-04-03T00:00:00"/>
    <m/>
    <m/>
    <x v="4"/>
    <x v="4"/>
  </r>
  <r>
    <n v="410"/>
    <n v="1194"/>
    <x v="11"/>
    <n v="4"/>
    <n v="55"/>
    <n v="220"/>
    <s v="Delivered"/>
    <n v="220"/>
    <d v="2026-04-03T00:00:00"/>
    <m/>
    <m/>
    <x v="11"/>
    <x v="4"/>
  </r>
  <r>
    <n v="411"/>
    <n v="1194"/>
    <x v="2"/>
    <n v="1"/>
    <n v="8"/>
    <n v="8"/>
    <s v="Delivered"/>
    <n v="8"/>
    <d v="2026-04-03T00:00:00"/>
    <m/>
    <m/>
    <x v="2"/>
    <x v="4"/>
  </r>
  <r>
    <n v="412"/>
    <n v="1195"/>
    <x v="1"/>
    <n v="2"/>
    <n v="140"/>
    <n v="280"/>
    <s v="Delivered"/>
    <n v="280"/>
    <d v="2026-04-08T00:00:00"/>
    <m/>
    <m/>
    <x v="1"/>
    <x v="4"/>
  </r>
  <r>
    <n v="413"/>
    <n v="1195"/>
    <x v="10"/>
    <n v="3"/>
    <n v="65"/>
    <n v="195"/>
    <s v="Delivered"/>
    <n v="195"/>
    <d v="2026-04-08T00:00:00"/>
    <m/>
    <m/>
    <x v="10"/>
    <x v="4"/>
  </r>
  <r>
    <n v="414"/>
    <n v="1196"/>
    <x v="9"/>
    <n v="4"/>
    <n v="22"/>
    <n v="88"/>
    <s v="Shipped"/>
    <n v="88"/>
    <d v="2026-02-15T00:00:00"/>
    <m/>
    <m/>
    <x v="9"/>
    <x v="5"/>
  </r>
  <r>
    <n v="415"/>
    <n v="1196"/>
    <x v="4"/>
    <n v="2"/>
    <n v="48"/>
    <n v="96"/>
    <s v="Shipped"/>
    <n v="96"/>
    <d v="2026-02-15T00:00:00"/>
    <m/>
    <m/>
    <x v="4"/>
    <x v="5"/>
  </r>
  <r>
    <n v="416"/>
    <n v="1197"/>
    <x v="2"/>
    <n v="2"/>
    <n v="8"/>
    <n v="16"/>
    <s v="Delivered"/>
    <n v="16"/>
    <d v="2026-04-11T00:00:00"/>
    <m/>
    <m/>
    <x v="2"/>
    <x v="4"/>
  </r>
  <r>
    <n v="417"/>
    <n v="1198"/>
    <x v="5"/>
    <n v="2"/>
    <n v="220"/>
    <n v="440"/>
    <s v="Delivered"/>
    <n v="440"/>
    <d v="2026-02-23T00:00:00"/>
    <m/>
    <m/>
    <x v="5"/>
    <x v="5"/>
  </r>
  <r>
    <n v="418"/>
    <n v="1198"/>
    <x v="10"/>
    <n v="3"/>
    <n v="65"/>
    <n v="195"/>
    <s v="Delivered"/>
    <n v="195"/>
    <d v="2026-02-23T00:00:00"/>
    <m/>
    <m/>
    <x v="10"/>
    <x v="5"/>
  </r>
  <r>
    <n v="419"/>
    <n v="1198"/>
    <x v="11"/>
    <n v="2"/>
    <n v="55"/>
    <n v="110"/>
    <s v="Delivered"/>
    <n v="110"/>
    <d v="2026-02-23T00:00:00"/>
    <m/>
    <m/>
    <x v="11"/>
    <x v="5"/>
  </r>
  <r>
    <n v="420"/>
    <n v="1199"/>
    <x v="10"/>
    <n v="4"/>
    <n v="65"/>
    <n v="260"/>
    <s v="Delivered"/>
    <n v="260"/>
    <d v="2026-01-19T00:00:00"/>
    <m/>
    <m/>
    <x v="10"/>
    <x v="0"/>
  </r>
  <r>
    <n v="421"/>
    <n v="1199"/>
    <x v="8"/>
    <n v="1"/>
    <n v="30"/>
    <n v="30"/>
    <s v="Delivered"/>
    <n v="30"/>
    <d v="2026-01-19T00:00:00"/>
    <m/>
    <m/>
    <x v="8"/>
    <x v="0"/>
  </r>
  <r>
    <n v="422"/>
    <n v="1199"/>
    <x v="4"/>
    <n v="3"/>
    <n v="48"/>
    <n v="144"/>
    <s v="Delivered"/>
    <n v="144"/>
    <d v="2026-01-19T00:00:00"/>
    <m/>
    <m/>
    <x v="4"/>
    <x v="0"/>
  </r>
  <r>
    <n v="423"/>
    <n v="1200"/>
    <x v="4"/>
    <n v="1"/>
    <n v="48"/>
    <n v="48"/>
    <s v="Delivered"/>
    <n v="48"/>
    <d v="2026-01-28T00:00:00"/>
    <m/>
    <m/>
    <x v="4"/>
    <x v="0"/>
  </r>
  <r>
    <n v="424"/>
    <n v="1201"/>
    <x v="3"/>
    <n v="2"/>
    <n v="25"/>
    <n v="50"/>
    <s v="Delivered"/>
    <n v="50"/>
    <d v="2026-04-21T00:00:00"/>
    <m/>
    <m/>
    <x v="3"/>
    <x v="4"/>
  </r>
  <r>
    <n v="425"/>
    <n v="1201"/>
    <x v="8"/>
    <n v="4"/>
    <n v="30"/>
    <n v="120"/>
    <s v="Delivered"/>
    <n v="120"/>
    <d v="2026-04-21T00:00:00"/>
    <m/>
    <m/>
    <x v="8"/>
    <x v="4"/>
  </r>
  <r>
    <n v="426"/>
    <n v="1202"/>
    <x v="5"/>
    <n v="4"/>
    <n v="220"/>
    <n v="880"/>
    <s v="Delivered"/>
    <n v="880"/>
    <d v="2026-05-09T00:00:00"/>
    <m/>
    <m/>
    <x v="5"/>
    <x v="3"/>
  </r>
  <r>
    <n v="427"/>
    <n v="1202"/>
    <x v="7"/>
    <n v="1"/>
    <n v="180"/>
    <n v="180"/>
    <s v="Delivered"/>
    <n v="180"/>
    <d v="2026-05-09T00:00:00"/>
    <m/>
    <m/>
    <x v="7"/>
    <x v="3"/>
  </r>
  <r>
    <n v="428"/>
    <n v="1203"/>
    <x v="11"/>
    <n v="1"/>
    <n v="55"/>
    <n v="55"/>
    <s v="Delivered"/>
    <n v="55"/>
    <d v="2026-03-29T00:00:00"/>
    <m/>
    <m/>
    <x v="11"/>
    <x v="1"/>
  </r>
  <r>
    <n v="429"/>
    <n v="1203"/>
    <x v="1"/>
    <n v="4"/>
    <n v="140"/>
    <n v="560"/>
    <s v="Delivered"/>
    <n v="560"/>
    <d v="2026-03-29T00:00:00"/>
    <m/>
    <m/>
    <x v="1"/>
    <x v="1"/>
  </r>
  <r>
    <n v="430"/>
    <n v="1203"/>
    <x v="9"/>
    <n v="4"/>
    <n v="22"/>
    <n v="88"/>
    <s v="Delivered"/>
    <n v="88"/>
    <d v="2026-03-29T00:00:00"/>
    <m/>
    <m/>
    <x v="9"/>
    <x v="1"/>
  </r>
  <r>
    <n v="431"/>
    <n v="1204"/>
    <x v="6"/>
    <n v="2"/>
    <n v="45"/>
    <n v="90"/>
    <s v="Delivered"/>
    <n v="90"/>
    <d v="2026-01-06T00:00:00"/>
    <m/>
    <m/>
    <x v="6"/>
    <x v="0"/>
  </r>
  <r>
    <n v="432"/>
    <n v="1204"/>
    <x v="3"/>
    <n v="2"/>
    <n v="25"/>
    <n v="50"/>
    <s v="Delivered"/>
    <n v="50"/>
    <d v="2026-01-06T00:00:00"/>
    <m/>
    <m/>
    <x v="3"/>
    <x v="0"/>
  </r>
  <r>
    <n v="433"/>
    <n v="1204"/>
    <x v="8"/>
    <n v="3"/>
    <n v="30"/>
    <n v="90"/>
    <s v="Delivered"/>
    <n v="90"/>
    <d v="2026-01-06T00:00:00"/>
    <m/>
    <m/>
    <x v="8"/>
    <x v="0"/>
  </r>
  <r>
    <n v="434"/>
    <n v="1205"/>
    <x v="0"/>
    <n v="2"/>
    <n v="750"/>
    <n v="1500"/>
    <s v="Delivered"/>
    <n v="1500"/>
    <d v="2026-06-11T00:00:00"/>
    <m/>
    <m/>
    <x v="0"/>
    <x v="2"/>
  </r>
  <r>
    <n v="435"/>
    <n v="1205"/>
    <x v="2"/>
    <n v="4"/>
    <n v="8"/>
    <n v="32"/>
    <s v="Delivered"/>
    <n v="32"/>
    <d v="2026-06-11T00:00:00"/>
    <m/>
    <m/>
    <x v="2"/>
    <x v="2"/>
  </r>
  <r>
    <n v="436"/>
    <n v="1206"/>
    <x v="5"/>
    <n v="3"/>
    <n v="220"/>
    <n v="660"/>
    <s v="Delivered"/>
    <n v="660"/>
    <d v="2026-03-13T00:00:00"/>
    <m/>
    <m/>
    <x v="5"/>
    <x v="1"/>
  </r>
  <r>
    <n v="437"/>
    <n v="1206"/>
    <x v="8"/>
    <n v="3"/>
    <n v="30"/>
    <n v="90"/>
    <s v="Delivered"/>
    <n v="90"/>
    <d v="2026-03-13T00:00:00"/>
    <m/>
    <m/>
    <x v="8"/>
    <x v="1"/>
  </r>
  <r>
    <n v="438"/>
    <n v="1206"/>
    <x v="6"/>
    <n v="2"/>
    <n v="45"/>
    <n v="90"/>
    <s v="Delivered"/>
    <n v="90"/>
    <d v="2026-03-13T00:00:00"/>
    <m/>
    <m/>
    <x v="6"/>
    <x v="1"/>
  </r>
  <r>
    <n v="439"/>
    <n v="1207"/>
    <x v="10"/>
    <n v="3"/>
    <n v="65"/>
    <n v="195"/>
    <s v="Delivered"/>
    <n v="195"/>
    <d v="2026-06-13T00:00:00"/>
    <m/>
    <m/>
    <x v="10"/>
    <x v="2"/>
  </r>
  <r>
    <n v="440"/>
    <n v="1207"/>
    <x v="2"/>
    <n v="3"/>
    <n v="8"/>
    <n v="24"/>
    <s v="Delivered"/>
    <n v="24"/>
    <d v="2026-06-13T00:00:00"/>
    <m/>
    <m/>
    <x v="2"/>
    <x v="2"/>
  </r>
  <r>
    <n v="441"/>
    <n v="1207"/>
    <x v="5"/>
    <n v="4"/>
    <n v="220"/>
    <n v="880"/>
    <s v="Delivered"/>
    <n v="880"/>
    <d v="2026-06-13T00:00:00"/>
    <m/>
    <m/>
    <x v="5"/>
    <x v="2"/>
  </r>
  <r>
    <n v="442"/>
    <n v="1208"/>
    <x v="5"/>
    <n v="3"/>
    <n v="220"/>
    <n v="660"/>
    <s v="Delivered"/>
    <n v="660"/>
    <d v="2026-06-07T00:00:00"/>
    <m/>
    <m/>
    <x v="5"/>
    <x v="2"/>
  </r>
  <r>
    <n v="443"/>
    <n v="1208"/>
    <x v="3"/>
    <n v="1"/>
    <n v="25"/>
    <n v="25"/>
    <s v="Delivered"/>
    <n v="25"/>
    <d v="2026-06-07T00:00:00"/>
    <m/>
    <m/>
    <x v="3"/>
    <x v="2"/>
  </r>
  <r>
    <n v="444"/>
    <n v="1209"/>
    <x v="6"/>
    <n v="2"/>
    <n v="45"/>
    <n v="90"/>
    <s v="Delivered"/>
    <n v="90"/>
    <d v="2026-06-02T00:00:00"/>
    <m/>
    <m/>
    <x v="6"/>
    <x v="2"/>
  </r>
  <r>
    <n v="445"/>
    <n v="1209"/>
    <x v="11"/>
    <n v="2"/>
    <n v="55"/>
    <n v="110"/>
    <s v="Delivered"/>
    <n v="110"/>
    <d v="2026-06-02T00:00:00"/>
    <m/>
    <m/>
    <x v="11"/>
    <x v="2"/>
  </r>
  <r>
    <n v="446"/>
    <n v="1210"/>
    <x v="11"/>
    <n v="2"/>
    <n v="55"/>
    <n v="110"/>
    <s v="Delivered"/>
    <n v="110"/>
    <d v="2026-06-08T00:00:00"/>
    <m/>
    <m/>
    <x v="11"/>
    <x v="2"/>
  </r>
  <r>
    <n v="447"/>
    <n v="1211"/>
    <x v="9"/>
    <n v="4"/>
    <n v="22"/>
    <n v="88"/>
    <s v="Delivered"/>
    <n v="88"/>
    <d v="2026-05-07T00:00:00"/>
    <m/>
    <m/>
    <x v="9"/>
    <x v="3"/>
  </r>
  <r>
    <n v="448"/>
    <n v="1211"/>
    <x v="11"/>
    <n v="2"/>
    <n v="55"/>
    <n v="110"/>
    <s v="Delivered"/>
    <n v="110"/>
    <d v="2026-05-07T00:00:00"/>
    <m/>
    <m/>
    <x v="11"/>
    <x v="3"/>
  </r>
  <r>
    <n v="449"/>
    <n v="1212"/>
    <x v="6"/>
    <n v="4"/>
    <n v="45"/>
    <n v="180"/>
    <s v="Delivered"/>
    <n v="180"/>
    <d v="2026-01-09T00:00:00"/>
    <m/>
    <m/>
    <x v="6"/>
    <x v="0"/>
  </r>
  <r>
    <n v="450"/>
    <n v="1212"/>
    <x v="11"/>
    <n v="1"/>
    <n v="55"/>
    <n v="55"/>
    <s v="Delivered"/>
    <n v="55"/>
    <d v="2026-01-09T00:00:00"/>
    <m/>
    <m/>
    <x v="11"/>
    <x v="0"/>
  </r>
  <r>
    <n v="451"/>
    <n v="1213"/>
    <x v="11"/>
    <n v="4"/>
    <n v="55"/>
    <n v="220"/>
    <s v="Delivered"/>
    <n v="220"/>
    <d v="2026-05-19T00:00:00"/>
    <m/>
    <m/>
    <x v="11"/>
    <x v="3"/>
  </r>
  <r>
    <n v="452"/>
    <n v="1213"/>
    <x v="8"/>
    <n v="1"/>
    <n v="30"/>
    <n v="30"/>
    <s v="Delivered"/>
    <n v="30"/>
    <d v="2026-05-19T00:00:00"/>
    <m/>
    <m/>
    <x v="8"/>
    <x v="3"/>
  </r>
  <r>
    <n v="453"/>
    <n v="1213"/>
    <x v="3"/>
    <n v="2"/>
    <n v="25"/>
    <n v="50"/>
    <s v="Delivered"/>
    <n v="50"/>
    <d v="2026-05-19T00:00:00"/>
    <m/>
    <m/>
    <x v="3"/>
    <x v="3"/>
  </r>
  <r>
    <n v="454"/>
    <n v="1214"/>
    <x v="3"/>
    <n v="3"/>
    <n v="25"/>
    <n v="75"/>
    <s v="Delivered"/>
    <n v="75"/>
    <d v="2026-01-23T00:00:00"/>
    <m/>
    <m/>
    <x v="3"/>
    <x v="0"/>
  </r>
  <r>
    <n v="455"/>
    <n v="1215"/>
    <x v="2"/>
    <n v="3"/>
    <n v="8"/>
    <n v="24"/>
    <s v="Delivered"/>
    <n v="24"/>
    <d v="2026-02-05T00:00:00"/>
    <m/>
    <m/>
    <x v="2"/>
    <x v="5"/>
  </r>
  <r>
    <n v="456"/>
    <n v="1216"/>
    <x v="4"/>
    <n v="4"/>
    <n v="48"/>
    <n v="192"/>
    <s v="Delivered"/>
    <n v="192"/>
    <d v="2026-03-16T00:00:00"/>
    <m/>
    <m/>
    <x v="4"/>
    <x v="1"/>
  </r>
  <r>
    <n v="457"/>
    <n v="1216"/>
    <x v="5"/>
    <n v="1"/>
    <n v="220"/>
    <n v="220"/>
    <s v="Delivered"/>
    <n v="220"/>
    <d v="2026-03-16T00:00:00"/>
    <m/>
    <m/>
    <x v="5"/>
    <x v="1"/>
  </r>
  <r>
    <n v="458"/>
    <n v="1216"/>
    <x v="6"/>
    <n v="3"/>
    <n v="45"/>
    <n v="135"/>
    <s v="Delivered"/>
    <n v="135"/>
    <d v="2026-03-16T00:00:00"/>
    <m/>
    <m/>
    <x v="6"/>
    <x v="1"/>
  </r>
  <r>
    <n v="459"/>
    <n v="1217"/>
    <x v="10"/>
    <n v="3"/>
    <n v="65"/>
    <n v="195"/>
    <s v="Delivered"/>
    <n v="195"/>
    <d v="2026-02-07T00:00:00"/>
    <m/>
    <m/>
    <x v="10"/>
    <x v="5"/>
  </r>
  <r>
    <n v="460"/>
    <n v="1217"/>
    <x v="11"/>
    <n v="4"/>
    <n v="55"/>
    <n v="220"/>
    <s v="Delivered"/>
    <n v="220"/>
    <d v="2026-02-07T00:00:00"/>
    <m/>
    <m/>
    <x v="11"/>
    <x v="5"/>
  </r>
  <r>
    <n v="461"/>
    <n v="1217"/>
    <x v="6"/>
    <n v="4"/>
    <n v="45"/>
    <n v="180"/>
    <s v="Delivered"/>
    <n v="180"/>
    <d v="2026-02-07T00:00:00"/>
    <m/>
    <m/>
    <x v="6"/>
    <x v="5"/>
  </r>
  <r>
    <n v="462"/>
    <n v="1218"/>
    <x v="1"/>
    <n v="3"/>
    <n v="140"/>
    <n v="420"/>
    <s v="Delivered"/>
    <n v="420"/>
    <d v="2026-04-14T00:00:00"/>
    <m/>
    <m/>
    <x v="1"/>
    <x v="4"/>
  </r>
  <r>
    <n v="463"/>
    <n v="1218"/>
    <x v="11"/>
    <n v="1"/>
    <n v="55"/>
    <n v="55"/>
    <s v="Delivered"/>
    <n v="55"/>
    <d v="2026-04-14T00:00:00"/>
    <m/>
    <m/>
    <x v="11"/>
    <x v="4"/>
  </r>
  <r>
    <n v="464"/>
    <n v="1218"/>
    <x v="4"/>
    <n v="1"/>
    <n v="48"/>
    <n v="48"/>
    <s v="Delivered"/>
    <n v="48"/>
    <d v="2026-04-14T00:00:00"/>
    <m/>
    <m/>
    <x v="4"/>
    <x v="4"/>
  </r>
  <r>
    <n v="465"/>
    <n v="1219"/>
    <x v="10"/>
    <n v="2"/>
    <n v="65"/>
    <n v="130"/>
    <s v="Delivered"/>
    <n v="130"/>
    <d v="2026-01-17T00:00:00"/>
    <m/>
    <m/>
    <x v="10"/>
    <x v="0"/>
  </r>
  <r>
    <n v="466"/>
    <n v="1220"/>
    <x v="4"/>
    <n v="1"/>
    <n v="48"/>
    <n v="48"/>
    <s v="Delivered"/>
    <n v="48"/>
    <d v="2026-05-28T00:00:00"/>
    <m/>
    <m/>
    <x v="4"/>
    <x v="3"/>
  </r>
  <r>
    <n v="467"/>
    <n v="1220"/>
    <x v="0"/>
    <n v="1"/>
    <n v="750"/>
    <n v="750"/>
    <s v="Delivered"/>
    <n v="750"/>
    <d v="2026-05-28T00:00:00"/>
    <m/>
    <m/>
    <x v="0"/>
    <x v="3"/>
  </r>
  <r>
    <n v="468"/>
    <n v="1221"/>
    <x v="9"/>
    <n v="2"/>
    <n v="22"/>
    <n v="44"/>
    <s v="Delivered"/>
    <n v="44"/>
    <d v="2026-04-23T00:00:00"/>
    <m/>
    <m/>
    <x v="9"/>
    <x v="4"/>
  </r>
  <r>
    <n v="469"/>
    <n v="1222"/>
    <x v="1"/>
    <n v="2"/>
    <n v="140"/>
    <n v="280"/>
    <s v="Delivered"/>
    <n v="280"/>
    <d v="2026-01-24T00:00:00"/>
    <m/>
    <m/>
    <x v="1"/>
    <x v="0"/>
  </r>
  <r>
    <n v="470"/>
    <n v="1223"/>
    <x v="3"/>
    <n v="4"/>
    <n v="25"/>
    <n v="100"/>
    <s v="Delivered"/>
    <n v="100"/>
    <d v="2026-04-20T00:00:00"/>
    <m/>
    <m/>
    <x v="3"/>
    <x v="4"/>
  </r>
  <r>
    <n v="471"/>
    <n v="1224"/>
    <x v="10"/>
    <n v="2"/>
    <n v="65"/>
    <n v="130"/>
    <s v="Delivered"/>
    <n v="130"/>
    <d v="2026-01-03T00:00:00"/>
    <m/>
    <m/>
    <x v="10"/>
    <x v="0"/>
  </r>
  <r>
    <n v="472"/>
    <n v="1225"/>
    <x v="10"/>
    <n v="2"/>
    <n v="65"/>
    <n v="130"/>
    <s v="Delivered"/>
    <n v="130"/>
    <d v="2026-01-27T00:00:00"/>
    <m/>
    <m/>
    <x v="10"/>
    <x v="0"/>
  </r>
  <r>
    <n v="473"/>
    <n v="1226"/>
    <x v="1"/>
    <n v="2"/>
    <n v="140"/>
    <n v="280"/>
    <s v="Delivered"/>
    <n v="280"/>
    <d v="2026-01-03T00:00:00"/>
    <m/>
    <m/>
    <x v="1"/>
    <x v="0"/>
  </r>
  <r>
    <n v="474"/>
    <n v="1226"/>
    <x v="3"/>
    <n v="4"/>
    <n v="25"/>
    <n v="100"/>
    <s v="Delivered"/>
    <n v="100"/>
    <d v="2026-01-03T00:00:00"/>
    <m/>
    <m/>
    <x v="3"/>
    <x v="0"/>
  </r>
  <r>
    <n v="475"/>
    <n v="1227"/>
    <x v="10"/>
    <n v="2"/>
    <n v="65"/>
    <n v="130"/>
    <s v="Delivered"/>
    <n v="130"/>
    <d v="2026-02-05T00:00:00"/>
    <m/>
    <m/>
    <x v="10"/>
    <x v="5"/>
  </r>
  <r>
    <n v="476"/>
    <n v="1227"/>
    <x v="1"/>
    <n v="2"/>
    <n v="140"/>
    <n v="280"/>
    <s v="Delivered"/>
    <n v="280"/>
    <d v="2026-02-05T00:00:00"/>
    <m/>
    <m/>
    <x v="1"/>
    <x v="5"/>
  </r>
  <r>
    <n v="477"/>
    <n v="1228"/>
    <x v="7"/>
    <n v="2"/>
    <n v="180"/>
    <n v="360"/>
    <s v="Delivered"/>
    <n v="360"/>
    <d v="2026-06-05T00:00:00"/>
    <m/>
    <m/>
    <x v="7"/>
    <x v="2"/>
  </r>
  <r>
    <n v="478"/>
    <n v="1228"/>
    <x v="3"/>
    <n v="4"/>
    <n v="25"/>
    <n v="100"/>
    <s v="Delivered"/>
    <n v="100"/>
    <d v="2026-06-05T00:00:00"/>
    <m/>
    <m/>
    <x v="3"/>
    <x v="2"/>
  </r>
  <r>
    <n v="479"/>
    <n v="1228"/>
    <x v="8"/>
    <n v="3"/>
    <n v="30"/>
    <n v="90"/>
    <s v="Delivered"/>
    <n v="90"/>
    <d v="2026-06-05T00:00:00"/>
    <m/>
    <m/>
    <x v="8"/>
    <x v="2"/>
  </r>
  <r>
    <n v="480"/>
    <n v="1229"/>
    <x v="4"/>
    <n v="1"/>
    <n v="48"/>
    <n v="48"/>
    <s v="Delivered"/>
    <n v="48"/>
    <d v="2026-05-07T00:00:00"/>
    <m/>
    <m/>
    <x v="4"/>
    <x v="3"/>
  </r>
  <r>
    <n v="481"/>
    <n v="1229"/>
    <x v="2"/>
    <n v="1"/>
    <n v="8"/>
    <n v="8"/>
    <s v="Delivered"/>
    <n v="8"/>
    <d v="2026-05-07T00:00:00"/>
    <m/>
    <m/>
    <x v="2"/>
    <x v="3"/>
  </r>
  <r>
    <n v="482"/>
    <n v="1230"/>
    <x v="5"/>
    <n v="1"/>
    <n v="220"/>
    <n v="220"/>
    <s v="Delivered"/>
    <n v="220"/>
    <d v="2026-04-18T00:00:00"/>
    <m/>
    <m/>
    <x v="5"/>
    <x v="4"/>
  </r>
  <r>
    <n v="483"/>
    <n v="1230"/>
    <x v="0"/>
    <n v="1"/>
    <n v="750"/>
    <n v="750"/>
    <s v="Delivered"/>
    <n v="750"/>
    <d v="2026-04-18T00:00:00"/>
    <m/>
    <m/>
    <x v="0"/>
    <x v="4"/>
  </r>
  <r>
    <n v="484"/>
    <n v="1231"/>
    <x v="10"/>
    <n v="1"/>
    <n v="65"/>
    <n v="65"/>
    <s v="Delivered"/>
    <n v="65"/>
    <d v="2026-05-10T00:00:00"/>
    <m/>
    <m/>
    <x v="10"/>
    <x v="3"/>
  </r>
  <r>
    <n v="485"/>
    <n v="1231"/>
    <x v="9"/>
    <n v="2"/>
    <n v="22"/>
    <n v="44"/>
    <s v="Delivered"/>
    <n v="44"/>
    <d v="2026-05-10T00:00:00"/>
    <m/>
    <m/>
    <x v="9"/>
    <x v="3"/>
  </r>
  <r>
    <n v="486"/>
    <n v="1232"/>
    <x v="4"/>
    <n v="3"/>
    <n v="48"/>
    <n v="144"/>
    <s v="Delivered"/>
    <n v="144"/>
    <d v="2026-02-09T00:00:00"/>
    <m/>
    <m/>
    <x v="4"/>
    <x v="5"/>
  </r>
  <r>
    <n v="487"/>
    <n v="1232"/>
    <x v="9"/>
    <n v="4"/>
    <n v="22"/>
    <n v="88"/>
    <s v="Delivered"/>
    <n v="88"/>
    <d v="2026-02-09T00:00:00"/>
    <m/>
    <m/>
    <x v="9"/>
    <x v="5"/>
  </r>
  <r>
    <n v="488"/>
    <n v="1232"/>
    <x v="5"/>
    <n v="2"/>
    <n v="220"/>
    <n v="440"/>
    <s v="Delivered"/>
    <n v="440"/>
    <d v="2026-02-09T00:00:00"/>
    <m/>
    <m/>
    <x v="5"/>
    <x v="5"/>
  </r>
  <r>
    <n v="489"/>
    <n v="1233"/>
    <x v="9"/>
    <n v="1"/>
    <n v="22"/>
    <n v="22"/>
    <s v="Delivered"/>
    <n v="22"/>
    <d v="2026-06-06T00:00:00"/>
    <m/>
    <m/>
    <x v="9"/>
    <x v="2"/>
  </r>
  <r>
    <n v="490"/>
    <n v="1233"/>
    <x v="4"/>
    <n v="1"/>
    <n v="48"/>
    <n v="48"/>
    <s v="Delivered"/>
    <n v="48"/>
    <d v="2026-06-06T00:00:00"/>
    <m/>
    <m/>
    <x v="4"/>
    <x v="2"/>
  </r>
  <r>
    <n v="491"/>
    <n v="1233"/>
    <x v="6"/>
    <n v="2"/>
    <n v="45"/>
    <n v="90"/>
    <s v="Delivered"/>
    <n v="90"/>
    <d v="2026-06-06T00:00:00"/>
    <m/>
    <m/>
    <x v="6"/>
    <x v="2"/>
  </r>
  <r>
    <n v="492"/>
    <n v="1234"/>
    <x v="1"/>
    <n v="2"/>
    <n v="140"/>
    <n v="280"/>
    <s v="Delivered"/>
    <n v="280"/>
    <d v="2026-05-13T00:00:00"/>
    <m/>
    <m/>
    <x v="1"/>
    <x v="3"/>
  </r>
  <r>
    <n v="493"/>
    <n v="1235"/>
    <x v="8"/>
    <n v="3"/>
    <n v="30"/>
    <n v="90"/>
    <s v="Delivered"/>
    <n v="90"/>
    <d v="2026-01-08T00:00:00"/>
    <m/>
    <m/>
    <x v="8"/>
    <x v="0"/>
  </r>
  <r>
    <n v="494"/>
    <n v="1235"/>
    <x v="5"/>
    <n v="1"/>
    <n v="220"/>
    <n v="220"/>
    <s v="Delivered"/>
    <n v="220"/>
    <d v="2026-01-08T00:00:00"/>
    <m/>
    <m/>
    <x v="5"/>
    <x v="0"/>
  </r>
  <r>
    <n v="495"/>
    <n v="1236"/>
    <x v="2"/>
    <n v="1"/>
    <n v="8"/>
    <n v="8"/>
    <s v="Delivered"/>
    <n v="8"/>
    <d v="2026-02-12T00:00:00"/>
    <m/>
    <m/>
    <x v="2"/>
    <x v="5"/>
  </r>
  <r>
    <n v="496"/>
    <n v="1237"/>
    <x v="6"/>
    <n v="1"/>
    <n v="45"/>
    <n v="45"/>
    <s v="Delivered"/>
    <n v="45"/>
    <d v="2026-03-04T00:00:00"/>
    <m/>
    <m/>
    <x v="6"/>
    <x v="1"/>
  </r>
  <r>
    <n v="497"/>
    <n v="1237"/>
    <x v="9"/>
    <n v="4"/>
    <n v="22"/>
    <n v="88"/>
    <s v="Delivered"/>
    <n v="88"/>
    <d v="2026-03-04T00:00:00"/>
    <m/>
    <m/>
    <x v="9"/>
    <x v="1"/>
  </r>
  <r>
    <n v="498"/>
    <n v="1238"/>
    <x v="5"/>
    <n v="1"/>
    <n v="220"/>
    <n v="220"/>
    <s v="Delivered"/>
    <n v="220"/>
    <d v="2026-03-11T00:00:00"/>
    <m/>
    <m/>
    <x v="5"/>
    <x v="1"/>
  </r>
  <r>
    <n v="499"/>
    <n v="1238"/>
    <x v="8"/>
    <n v="2"/>
    <n v="30"/>
    <n v="60"/>
    <s v="Delivered"/>
    <n v="60"/>
    <d v="2026-03-11T00:00:00"/>
    <m/>
    <m/>
    <x v="8"/>
    <x v="1"/>
  </r>
  <r>
    <n v="500"/>
    <n v="1239"/>
    <x v="1"/>
    <n v="4"/>
    <n v="140"/>
    <n v="560"/>
    <s v="Cancelled"/>
    <n v="0"/>
    <d v="2026-01-18T00:00:00"/>
    <m/>
    <m/>
    <x v="1"/>
    <x v="0"/>
  </r>
  <r>
    <n v="501"/>
    <n v="1239"/>
    <x v="5"/>
    <n v="1"/>
    <n v="220"/>
    <n v="220"/>
    <s v="Cancelled"/>
    <n v="0"/>
    <d v="2026-01-18T00:00:00"/>
    <m/>
    <m/>
    <x v="5"/>
    <x v="0"/>
  </r>
  <r>
    <n v="502"/>
    <n v="1240"/>
    <x v="9"/>
    <n v="2"/>
    <n v="22"/>
    <n v="44"/>
    <s v="Delivered"/>
    <n v="44"/>
    <d v="2026-04-05T00:00:00"/>
    <m/>
    <m/>
    <x v="9"/>
    <x v="4"/>
  </r>
  <r>
    <n v="503"/>
    <n v="1240"/>
    <x v="2"/>
    <n v="4"/>
    <n v="8"/>
    <n v="32"/>
    <s v="Delivered"/>
    <n v="32"/>
    <d v="2026-04-05T00:00:00"/>
    <m/>
    <m/>
    <x v="2"/>
    <x v="4"/>
  </r>
  <r>
    <n v="504"/>
    <n v="1241"/>
    <x v="0"/>
    <n v="4"/>
    <n v="750"/>
    <n v="3000"/>
    <s v="Delivered"/>
    <n v="3000"/>
    <d v="2026-05-20T00:00:00"/>
    <m/>
    <m/>
    <x v="0"/>
    <x v="3"/>
  </r>
  <r>
    <n v="505"/>
    <n v="1242"/>
    <x v="10"/>
    <n v="2"/>
    <n v="65"/>
    <n v="130"/>
    <s v="Shipped"/>
    <n v="130"/>
    <d v="2026-01-03T00:00:00"/>
    <m/>
    <m/>
    <x v="10"/>
    <x v="0"/>
  </r>
  <r>
    <n v="506"/>
    <n v="1242"/>
    <x v="7"/>
    <n v="2"/>
    <n v="180"/>
    <n v="360"/>
    <s v="Shipped"/>
    <n v="360"/>
    <d v="2026-01-03T00:00:00"/>
    <m/>
    <m/>
    <x v="7"/>
    <x v="0"/>
  </r>
  <r>
    <n v="507"/>
    <n v="1242"/>
    <x v="5"/>
    <n v="4"/>
    <n v="220"/>
    <n v="880"/>
    <s v="Shipped"/>
    <n v="880"/>
    <d v="2026-01-03T00:00:00"/>
    <m/>
    <m/>
    <x v="5"/>
    <x v="0"/>
  </r>
  <r>
    <n v="508"/>
    <n v="1243"/>
    <x v="3"/>
    <n v="4"/>
    <n v="25"/>
    <n v="100"/>
    <s v="Delivered"/>
    <n v="100"/>
    <d v="2026-02-06T00:00:00"/>
    <m/>
    <m/>
    <x v="3"/>
    <x v="5"/>
  </r>
  <r>
    <n v="509"/>
    <n v="1244"/>
    <x v="10"/>
    <n v="1"/>
    <n v="65"/>
    <n v="65"/>
    <s v="Delivered"/>
    <n v="65"/>
    <d v="2026-05-29T00:00:00"/>
    <m/>
    <m/>
    <x v="10"/>
    <x v="3"/>
  </r>
  <r>
    <n v="510"/>
    <n v="1244"/>
    <x v="5"/>
    <n v="4"/>
    <n v="220"/>
    <n v="880"/>
    <s v="Delivered"/>
    <n v="880"/>
    <d v="2026-05-29T00:00:00"/>
    <m/>
    <m/>
    <x v="5"/>
    <x v="3"/>
  </r>
  <r>
    <n v="511"/>
    <n v="1244"/>
    <x v="2"/>
    <n v="2"/>
    <n v="8"/>
    <n v="16"/>
    <s v="Delivered"/>
    <n v="16"/>
    <d v="2026-05-29T00:00:00"/>
    <m/>
    <m/>
    <x v="2"/>
    <x v="3"/>
  </r>
  <r>
    <n v="512"/>
    <n v="1245"/>
    <x v="11"/>
    <n v="2"/>
    <n v="55"/>
    <n v="110"/>
    <s v="Delivered"/>
    <n v="110"/>
    <d v="2026-06-29T00:00:00"/>
    <m/>
    <m/>
    <x v="11"/>
    <x v="2"/>
  </r>
  <r>
    <n v="513"/>
    <n v="1245"/>
    <x v="7"/>
    <n v="1"/>
    <n v="180"/>
    <n v="180"/>
    <s v="Delivered"/>
    <n v="180"/>
    <d v="2026-06-29T00:00:00"/>
    <m/>
    <m/>
    <x v="7"/>
    <x v="2"/>
  </r>
  <r>
    <n v="514"/>
    <n v="1246"/>
    <x v="1"/>
    <n v="1"/>
    <n v="140"/>
    <n v="140"/>
    <s v="Delivered"/>
    <n v="140"/>
    <d v="2026-02-09T00:00:00"/>
    <m/>
    <m/>
    <x v="1"/>
    <x v="5"/>
  </r>
  <r>
    <n v="515"/>
    <n v="1246"/>
    <x v="10"/>
    <n v="3"/>
    <n v="65"/>
    <n v="195"/>
    <s v="Delivered"/>
    <n v="195"/>
    <d v="2026-02-09T00:00:00"/>
    <m/>
    <m/>
    <x v="10"/>
    <x v="5"/>
  </r>
  <r>
    <n v="516"/>
    <n v="1247"/>
    <x v="9"/>
    <n v="2"/>
    <n v="22"/>
    <n v="44"/>
    <s v="Delivered"/>
    <n v="44"/>
    <d v="2026-01-31T00:00:00"/>
    <m/>
    <m/>
    <x v="9"/>
    <x v="0"/>
  </r>
  <r>
    <n v="517"/>
    <n v="1247"/>
    <x v="2"/>
    <n v="3"/>
    <n v="8"/>
    <n v="24"/>
    <s v="Delivered"/>
    <n v="24"/>
    <d v="2026-01-31T00:00:00"/>
    <m/>
    <m/>
    <x v="2"/>
    <x v="0"/>
  </r>
  <r>
    <n v="518"/>
    <n v="1247"/>
    <x v="0"/>
    <n v="2"/>
    <n v="750"/>
    <n v="1500"/>
    <s v="Delivered"/>
    <n v="1500"/>
    <d v="2026-01-31T00:00:00"/>
    <m/>
    <m/>
    <x v="0"/>
    <x v="0"/>
  </r>
  <r>
    <n v="519"/>
    <n v="1248"/>
    <x v="0"/>
    <n v="4"/>
    <n v="750"/>
    <n v="3000"/>
    <s v="Delivered"/>
    <n v="3000"/>
    <d v="2026-01-13T00:00:00"/>
    <m/>
    <m/>
    <x v="0"/>
    <x v="0"/>
  </r>
  <r>
    <n v="520"/>
    <n v="1249"/>
    <x v="0"/>
    <n v="1"/>
    <n v="750"/>
    <n v="750"/>
    <s v="Delivered"/>
    <n v="750"/>
    <d v="2026-04-29T00:00:00"/>
    <m/>
    <m/>
    <x v="0"/>
    <x v="4"/>
  </r>
  <r>
    <n v="521"/>
    <n v="1250"/>
    <x v="2"/>
    <n v="1"/>
    <n v="8"/>
    <n v="8"/>
    <s v="Delivered"/>
    <n v="8"/>
    <d v="2026-04-06T00:00:00"/>
    <m/>
    <m/>
    <x v="2"/>
    <x v="4"/>
  </r>
  <r>
    <n v="522"/>
    <n v="1250"/>
    <x v="7"/>
    <n v="1"/>
    <n v="180"/>
    <n v="180"/>
    <s v="Delivered"/>
    <n v="180"/>
    <d v="2026-04-06T00:00:00"/>
    <m/>
    <m/>
    <x v="7"/>
    <x v="4"/>
  </r>
  <r>
    <n v="523"/>
    <n v="1250"/>
    <x v="5"/>
    <n v="2"/>
    <n v="220"/>
    <n v="440"/>
    <s v="Delivered"/>
    <n v="440"/>
    <d v="2026-04-06T00:00:00"/>
    <m/>
    <m/>
    <x v="5"/>
    <x v="4"/>
  </r>
  <r>
    <n v="524"/>
    <n v="1251"/>
    <x v="6"/>
    <n v="4"/>
    <n v="45"/>
    <n v="180"/>
    <s v="Delivered"/>
    <n v="180"/>
    <d v="2026-02-01T00:00:00"/>
    <m/>
    <m/>
    <x v="6"/>
    <x v="5"/>
  </r>
  <r>
    <n v="525"/>
    <n v="1252"/>
    <x v="7"/>
    <n v="3"/>
    <n v="180"/>
    <n v="540"/>
    <s v="Delivered"/>
    <n v="540"/>
    <d v="2026-04-20T00:00:00"/>
    <m/>
    <m/>
    <x v="7"/>
    <x v="4"/>
  </r>
  <r>
    <n v="526"/>
    <n v="1253"/>
    <x v="8"/>
    <n v="1"/>
    <n v="30"/>
    <n v="30"/>
    <s v="Delivered"/>
    <n v="30"/>
    <d v="2026-03-04T00:00:00"/>
    <m/>
    <m/>
    <x v="8"/>
    <x v="1"/>
  </r>
  <r>
    <n v="527"/>
    <n v="1253"/>
    <x v="11"/>
    <n v="1"/>
    <n v="55"/>
    <n v="55"/>
    <s v="Delivered"/>
    <n v="55"/>
    <d v="2026-03-04T00:00:00"/>
    <m/>
    <m/>
    <x v="11"/>
    <x v="1"/>
  </r>
  <r>
    <n v="528"/>
    <n v="1254"/>
    <x v="10"/>
    <n v="3"/>
    <n v="65"/>
    <n v="195"/>
    <s v="Delivered"/>
    <n v="195"/>
    <d v="2026-03-05T00:00:00"/>
    <m/>
    <m/>
    <x v="10"/>
    <x v="1"/>
  </r>
  <r>
    <n v="529"/>
    <n v="1255"/>
    <x v="0"/>
    <n v="3"/>
    <n v="750"/>
    <n v="2250"/>
    <s v="Delivered"/>
    <n v="2250"/>
    <d v="2026-05-09T00:00:00"/>
    <m/>
    <m/>
    <x v="0"/>
    <x v="3"/>
  </r>
  <r>
    <n v="530"/>
    <n v="1256"/>
    <x v="1"/>
    <n v="2"/>
    <n v="140"/>
    <n v="280"/>
    <s v="Delivered"/>
    <n v="280"/>
    <d v="2026-01-15T00:00:00"/>
    <m/>
    <m/>
    <x v="1"/>
    <x v="0"/>
  </r>
  <r>
    <n v="531"/>
    <n v="1256"/>
    <x v="2"/>
    <n v="1"/>
    <n v="8"/>
    <n v="8"/>
    <s v="Delivered"/>
    <n v="8"/>
    <d v="2026-01-15T00:00:00"/>
    <m/>
    <m/>
    <x v="2"/>
    <x v="0"/>
  </r>
  <r>
    <n v="532"/>
    <n v="1256"/>
    <x v="3"/>
    <n v="2"/>
    <n v="25"/>
    <n v="50"/>
    <s v="Delivered"/>
    <n v="50"/>
    <d v="2026-01-15T00:00:00"/>
    <m/>
    <m/>
    <x v="3"/>
    <x v="0"/>
  </r>
  <r>
    <n v="533"/>
    <n v="1257"/>
    <x v="10"/>
    <n v="2"/>
    <n v="65"/>
    <n v="130"/>
    <s v="Delivered"/>
    <n v="130"/>
    <d v="2026-01-15T00:00:00"/>
    <m/>
    <m/>
    <x v="10"/>
    <x v="0"/>
  </r>
  <r>
    <n v="534"/>
    <n v="1257"/>
    <x v="1"/>
    <n v="2"/>
    <n v="140"/>
    <n v="280"/>
    <s v="Delivered"/>
    <n v="280"/>
    <d v="2026-01-15T00:00:00"/>
    <m/>
    <m/>
    <x v="1"/>
    <x v="0"/>
  </r>
  <r>
    <n v="535"/>
    <n v="1257"/>
    <x v="6"/>
    <n v="3"/>
    <n v="45"/>
    <n v="135"/>
    <s v="Delivered"/>
    <n v="135"/>
    <d v="2026-01-15T00:00:00"/>
    <m/>
    <m/>
    <x v="6"/>
    <x v="0"/>
  </r>
  <r>
    <n v="536"/>
    <n v="1258"/>
    <x v="6"/>
    <n v="4"/>
    <n v="45"/>
    <n v="180"/>
    <s v="Delivered"/>
    <n v="180"/>
    <d v="2026-06-30T00:00:00"/>
    <m/>
    <m/>
    <x v="6"/>
    <x v="2"/>
  </r>
  <r>
    <n v="537"/>
    <n v="1258"/>
    <x v="2"/>
    <n v="3"/>
    <n v="8"/>
    <n v="24"/>
    <s v="Delivered"/>
    <n v="24"/>
    <d v="2026-06-30T00:00:00"/>
    <m/>
    <m/>
    <x v="2"/>
    <x v="2"/>
  </r>
  <r>
    <n v="538"/>
    <n v="1258"/>
    <x v="3"/>
    <n v="2"/>
    <n v="25"/>
    <n v="50"/>
    <s v="Delivered"/>
    <n v="50"/>
    <d v="2026-06-30T00:00:00"/>
    <m/>
    <m/>
    <x v="3"/>
    <x v="2"/>
  </r>
  <r>
    <n v="539"/>
    <n v="1259"/>
    <x v="2"/>
    <n v="2"/>
    <n v="8"/>
    <n v="16"/>
    <s v="Delivered"/>
    <n v="16"/>
    <d v="2026-01-06T00:00:00"/>
    <m/>
    <m/>
    <x v="2"/>
    <x v="0"/>
  </r>
  <r>
    <n v="540"/>
    <n v="1259"/>
    <x v="3"/>
    <n v="3"/>
    <n v="25"/>
    <n v="75"/>
    <s v="Delivered"/>
    <n v="75"/>
    <d v="2026-01-06T00:00:00"/>
    <m/>
    <m/>
    <x v="3"/>
    <x v="0"/>
  </r>
  <r>
    <n v="541"/>
    <n v="1260"/>
    <x v="8"/>
    <n v="3"/>
    <n v="30"/>
    <n v="90"/>
    <s v="Delivered"/>
    <n v="90"/>
    <d v="2026-01-16T00:00:00"/>
    <m/>
    <m/>
    <x v="8"/>
    <x v="0"/>
  </r>
  <r>
    <n v="542"/>
    <n v="1261"/>
    <x v="6"/>
    <n v="4"/>
    <n v="45"/>
    <n v="180"/>
    <s v="Delivered"/>
    <n v="180"/>
    <d v="2026-05-31T00:00:00"/>
    <m/>
    <m/>
    <x v="6"/>
    <x v="3"/>
  </r>
  <r>
    <n v="543"/>
    <n v="1261"/>
    <x v="9"/>
    <n v="4"/>
    <n v="22"/>
    <n v="88"/>
    <s v="Delivered"/>
    <n v="88"/>
    <d v="2026-05-31T00:00:00"/>
    <m/>
    <m/>
    <x v="9"/>
    <x v="3"/>
  </r>
  <r>
    <n v="544"/>
    <n v="1262"/>
    <x v="2"/>
    <n v="3"/>
    <n v="8"/>
    <n v="24"/>
    <s v="Delivered"/>
    <n v="24"/>
    <d v="2026-06-07T00:00:00"/>
    <m/>
    <m/>
    <x v="2"/>
    <x v="2"/>
  </r>
  <r>
    <n v="545"/>
    <n v="1262"/>
    <x v="6"/>
    <n v="3"/>
    <n v="45"/>
    <n v="135"/>
    <s v="Delivered"/>
    <n v="135"/>
    <d v="2026-06-07T00:00:00"/>
    <m/>
    <m/>
    <x v="6"/>
    <x v="2"/>
  </r>
  <r>
    <n v="546"/>
    <n v="1262"/>
    <x v="10"/>
    <n v="2"/>
    <n v="65"/>
    <n v="130"/>
    <s v="Delivered"/>
    <n v="130"/>
    <d v="2026-06-07T00:00:00"/>
    <m/>
    <m/>
    <x v="10"/>
    <x v="2"/>
  </r>
  <r>
    <n v="547"/>
    <n v="1263"/>
    <x v="6"/>
    <n v="3"/>
    <n v="45"/>
    <n v="135"/>
    <s v="Cancelled"/>
    <n v="0"/>
    <d v="2026-04-11T00:00:00"/>
    <m/>
    <m/>
    <x v="6"/>
    <x v="4"/>
  </r>
  <r>
    <n v="548"/>
    <n v="1264"/>
    <x v="11"/>
    <n v="2"/>
    <n v="55"/>
    <n v="110"/>
    <s v="Delivered"/>
    <n v="110"/>
    <d v="2026-06-06T00:00:00"/>
    <m/>
    <m/>
    <x v="11"/>
    <x v="2"/>
  </r>
  <r>
    <n v="549"/>
    <n v="1265"/>
    <x v="4"/>
    <n v="4"/>
    <n v="48"/>
    <n v="192"/>
    <s v="Delivered"/>
    <n v="192"/>
    <d v="2026-02-12T00:00:00"/>
    <m/>
    <m/>
    <x v="4"/>
    <x v="5"/>
  </r>
  <r>
    <n v="550"/>
    <n v="1265"/>
    <x v="9"/>
    <n v="1"/>
    <n v="22"/>
    <n v="22"/>
    <s v="Delivered"/>
    <n v="22"/>
    <d v="2026-02-12T00:00:00"/>
    <m/>
    <m/>
    <x v="9"/>
    <x v="5"/>
  </r>
  <r>
    <n v="551"/>
    <n v="1265"/>
    <x v="1"/>
    <n v="3"/>
    <n v="140"/>
    <n v="420"/>
    <s v="Delivered"/>
    <n v="420"/>
    <d v="2026-02-12T00:00:00"/>
    <m/>
    <m/>
    <x v="1"/>
    <x v="5"/>
  </r>
  <r>
    <n v="552"/>
    <n v="1266"/>
    <x v="10"/>
    <n v="4"/>
    <n v="65"/>
    <n v="260"/>
    <s v="Delivered"/>
    <n v="260"/>
    <d v="2026-01-01T00:00:00"/>
    <m/>
    <m/>
    <x v="10"/>
    <x v="0"/>
  </r>
  <r>
    <n v="553"/>
    <n v="1266"/>
    <x v="6"/>
    <n v="4"/>
    <n v="45"/>
    <n v="180"/>
    <s v="Delivered"/>
    <n v="180"/>
    <d v="2026-01-01T00:00:00"/>
    <m/>
    <m/>
    <x v="6"/>
    <x v="0"/>
  </r>
  <r>
    <n v="554"/>
    <n v="1266"/>
    <x v="9"/>
    <n v="3"/>
    <n v="22"/>
    <n v="66"/>
    <s v="Delivered"/>
    <n v="66"/>
    <d v="2026-01-01T00:00:00"/>
    <m/>
    <m/>
    <x v="9"/>
    <x v="0"/>
  </r>
  <r>
    <n v="555"/>
    <n v="1267"/>
    <x v="11"/>
    <n v="1"/>
    <n v="55"/>
    <n v="55"/>
    <s v="Delivered"/>
    <n v="55"/>
    <d v="2026-06-16T00:00:00"/>
    <m/>
    <m/>
    <x v="11"/>
    <x v="2"/>
  </r>
  <r>
    <n v="556"/>
    <n v="1268"/>
    <x v="6"/>
    <n v="1"/>
    <n v="45"/>
    <n v="45"/>
    <s v="Delivered"/>
    <n v="45"/>
    <d v="2026-01-27T00:00:00"/>
    <m/>
    <m/>
    <x v="6"/>
    <x v="0"/>
  </r>
  <r>
    <n v="557"/>
    <n v="1268"/>
    <x v="5"/>
    <n v="3"/>
    <n v="220"/>
    <n v="660"/>
    <s v="Delivered"/>
    <n v="660"/>
    <d v="2026-01-27T00:00:00"/>
    <m/>
    <m/>
    <x v="5"/>
    <x v="0"/>
  </r>
  <r>
    <n v="558"/>
    <n v="1269"/>
    <x v="10"/>
    <n v="1"/>
    <n v="65"/>
    <n v="65"/>
    <s v="Shipped"/>
    <n v="65"/>
    <d v="2026-04-21T00:00:00"/>
    <m/>
    <m/>
    <x v="10"/>
    <x v="4"/>
  </r>
  <r>
    <n v="559"/>
    <n v="1269"/>
    <x v="6"/>
    <n v="3"/>
    <n v="45"/>
    <n v="135"/>
    <s v="Shipped"/>
    <n v="135"/>
    <d v="2026-04-21T00:00:00"/>
    <m/>
    <m/>
    <x v="6"/>
    <x v="4"/>
  </r>
  <r>
    <n v="560"/>
    <n v="1269"/>
    <x v="0"/>
    <n v="2"/>
    <n v="750"/>
    <n v="1500"/>
    <s v="Shipped"/>
    <n v="1500"/>
    <d v="2026-04-21T00:00:00"/>
    <m/>
    <m/>
    <x v="0"/>
    <x v="4"/>
  </r>
  <r>
    <n v="561"/>
    <n v="1270"/>
    <x v="4"/>
    <n v="3"/>
    <n v="48"/>
    <n v="144"/>
    <s v="Delivered"/>
    <n v="144"/>
    <d v="2026-06-28T00:00:00"/>
    <m/>
    <m/>
    <x v="4"/>
    <x v="2"/>
  </r>
  <r>
    <n v="562"/>
    <n v="1270"/>
    <x v="7"/>
    <n v="2"/>
    <n v="180"/>
    <n v="360"/>
    <s v="Delivered"/>
    <n v="360"/>
    <d v="2026-06-28T00:00:00"/>
    <m/>
    <m/>
    <x v="7"/>
    <x v="2"/>
  </r>
  <r>
    <n v="563"/>
    <n v="1271"/>
    <x v="5"/>
    <n v="4"/>
    <n v="220"/>
    <n v="880"/>
    <s v="Delivered"/>
    <n v="880"/>
    <d v="2026-02-09T00:00:00"/>
    <m/>
    <m/>
    <x v="5"/>
    <x v="5"/>
  </r>
  <r>
    <n v="564"/>
    <n v="1271"/>
    <x v="7"/>
    <n v="2"/>
    <n v="180"/>
    <n v="360"/>
    <s v="Delivered"/>
    <n v="360"/>
    <d v="2026-02-09T00:00:00"/>
    <m/>
    <m/>
    <x v="7"/>
    <x v="5"/>
  </r>
  <r>
    <n v="565"/>
    <n v="1272"/>
    <x v="11"/>
    <n v="3"/>
    <n v="55"/>
    <n v="165"/>
    <s v="Delivered"/>
    <n v="165"/>
    <d v="2026-05-02T00:00:00"/>
    <m/>
    <m/>
    <x v="11"/>
    <x v="3"/>
  </r>
  <r>
    <n v="566"/>
    <n v="1272"/>
    <x v="9"/>
    <n v="1"/>
    <n v="22"/>
    <n v="22"/>
    <s v="Delivered"/>
    <n v="22"/>
    <d v="2026-05-02T00:00:00"/>
    <m/>
    <m/>
    <x v="9"/>
    <x v="3"/>
  </r>
  <r>
    <n v="567"/>
    <n v="1273"/>
    <x v="11"/>
    <n v="3"/>
    <n v="55"/>
    <n v="165"/>
    <s v="Delivered"/>
    <n v="165"/>
    <d v="2026-04-05T00:00:00"/>
    <m/>
    <m/>
    <x v="11"/>
    <x v="4"/>
  </r>
  <r>
    <n v="568"/>
    <n v="1273"/>
    <x v="9"/>
    <n v="2"/>
    <n v="22"/>
    <n v="44"/>
    <s v="Delivered"/>
    <n v="44"/>
    <d v="2026-04-05T00:00:00"/>
    <m/>
    <m/>
    <x v="9"/>
    <x v="4"/>
  </r>
  <r>
    <n v="569"/>
    <n v="1274"/>
    <x v="10"/>
    <n v="1"/>
    <n v="65"/>
    <n v="65"/>
    <s v="Delivered"/>
    <n v="65"/>
    <d v="2026-06-20T00:00:00"/>
    <m/>
    <m/>
    <x v="10"/>
    <x v="2"/>
  </r>
  <r>
    <n v="570"/>
    <n v="1274"/>
    <x v="2"/>
    <n v="4"/>
    <n v="8"/>
    <n v="32"/>
    <s v="Delivered"/>
    <n v="32"/>
    <d v="2026-06-20T00:00:00"/>
    <m/>
    <m/>
    <x v="2"/>
    <x v="2"/>
  </r>
  <r>
    <n v="571"/>
    <n v="1274"/>
    <x v="3"/>
    <n v="4"/>
    <n v="25"/>
    <n v="100"/>
    <s v="Delivered"/>
    <n v="100"/>
    <d v="2026-06-20T00:00:00"/>
    <m/>
    <m/>
    <x v="3"/>
    <x v="2"/>
  </r>
  <r>
    <n v="572"/>
    <n v="1275"/>
    <x v="9"/>
    <n v="2"/>
    <n v="22"/>
    <n v="44"/>
    <s v="Delivered"/>
    <n v="44"/>
    <d v="2026-03-02T00:00:00"/>
    <m/>
    <m/>
    <x v="9"/>
    <x v="1"/>
  </r>
  <r>
    <n v="573"/>
    <n v="1275"/>
    <x v="0"/>
    <n v="1"/>
    <n v="750"/>
    <n v="750"/>
    <s v="Delivered"/>
    <n v="750"/>
    <d v="2026-03-02T00:00:00"/>
    <m/>
    <m/>
    <x v="0"/>
    <x v="1"/>
  </r>
  <r>
    <n v="574"/>
    <n v="1276"/>
    <x v="10"/>
    <n v="1"/>
    <n v="65"/>
    <n v="65"/>
    <s v="Delivered"/>
    <n v="65"/>
    <d v="2026-02-24T00:00:00"/>
    <m/>
    <m/>
    <x v="10"/>
    <x v="5"/>
  </r>
  <r>
    <n v="575"/>
    <n v="1277"/>
    <x v="9"/>
    <n v="1"/>
    <n v="22"/>
    <n v="22"/>
    <s v="Delivered"/>
    <n v="22"/>
    <d v="2026-02-07T00:00:00"/>
    <m/>
    <m/>
    <x v="9"/>
    <x v="5"/>
  </r>
  <r>
    <n v="576"/>
    <n v="1277"/>
    <x v="5"/>
    <n v="4"/>
    <n v="220"/>
    <n v="880"/>
    <s v="Delivered"/>
    <n v="880"/>
    <d v="2026-02-07T00:00:00"/>
    <m/>
    <m/>
    <x v="5"/>
    <x v="5"/>
  </r>
  <r>
    <n v="577"/>
    <n v="1278"/>
    <x v="2"/>
    <n v="4"/>
    <n v="8"/>
    <n v="32"/>
    <s v="Shipped"/>
    <n v="32"/>
    <d v="2026-04-28T00:00:00"/>
    <m/>
    <m/>
    <x v="2"/>
    <x v="4"/>
  </r>
  <r>
    <n v="578"/>
    <n v="1278"/>
    <x v="9"/>
    <n v="1"/>
    <n v="22"/>
    <n v="22"/>
    <s v="Shipped"/>
    <n v="22"/>
    <d v="2026-04-28T00:00:00"/>
    <m/>
    <m/>
    <x v="9"/>
    <x v="4"/>
  </r>
  <r>
    <n v="579"/>
    <n v="1278"/>
    <x v="8"/>
    <n v="4"/>
    <n v="30"/>
    <n v="120"/>
    <s v="Shipped"/>
    <n v="120"/>
    <d v="2026-04-28T00:00:00"/>
    <m/>
    <m/>
    <x v="8"/>
    <x v="4"/>
  </r>
  <r>
    <n v="580"/>
    <n v="1279"/>
    <x v="2"/>
    <n v="1"/>
    <n v="8"/>
    <n v="8"/>
    <s v="Delivered"/>
    <n v="8"/>
    <d v="2026-05-31T00:00:00"/>
    <m/>
    <m/>
    <x v="2"/>
    <x v="3"/>
  </r>
  <r>
    <n v="581"/>
    <n v="1280"/>
    <x v="2"/>
    <n v="2"/>
    <n v="8"/>
    <n v="16"/>
    <s v="Delivered"/>
    <n v="16"/>
    <d v="2026-03-09T00:00:00"/>
    <m/>
    <m/>
    <x v="2"/>
    <x v="1"/>
  </r>
  <r>
    <n v="582"/>
    <n v="1280"/>
    <x v="11"/>
    <n v="3"/>
    <n v="55"/>
    <n v="165"/>
    <s v="Delivered"/>
    <n v="165"/>
    <d v="2026-03-09T00:00:00"/>
    <m/>
    <m/>
    <x v="11"/>
    <x v="1"/>
  </r>
  <r>
    <n v="583"/>
    <n v="1280"/>
    <x v="0"/>
    <n v="4"/>
    <n v="750"/>
    <n v="3000"/>
    <s v="Delivered"/>
    <n v="3000"/>
    <d v="2026-03-09T00:00:00"/>
    <m/>
    <m/>
    <x v="0"/>
    <x v="1"/>
  </r>
  <r>
    <n v="584"/>
    <n v="1281"/>
    <x v="3"/>
    <n v="3"/>
    <n v="25"/>
    <n v="75"/>
    <s v="Cancelled"/>
    <n v="0"/>
    <d v="2026-04-12T00:00:00"/>
    <m/>
    <m/>
    <x v="3"/>
    <x v="4"/>
  </r>
  <r>
    <n v="585"/>
    <n v="1281"/>
    <x v="0"/>
    <n v="3"/>
    <n v="750"/>
    <n v="2250"/>
    <s v="Cancelled"/>
    <n v="0"/>
    <d v="2026-04-12T00:00:00"/>
    <m/>
    <m/>
    <x v="0"/>
    <x v="4"/>
  </r>
  <r>
    <n v="586"/>
    <n v="1281"/>
    <x v="11"/>
    <n v="1"/>
    <n v="55"/>
    <n v="55"/>
    <s v="Cancelled"/>
    <n v="0"/>
    <d v="2026-04-12T00:00:00"/>
    <m/>
    <m/>
    <x v="11"/>
    <x v="4"/>
  </r>
  <r>
    <n v="587"/>
    <n v="1282"/>
    <x v="7"/>
    <n v="1"/>
    <n v="180"/>
    <n v="180"/>
    <s v="Delivered"/>
    <n v="180"/>
    <d v="2026-03-28T00:00:00"/>
    <m/>
    <m/>
    <x v="7"/>
    <x v="1"/>
  </r>
  <r>
    <n v="588"/>
    <n v="1282"/>
    <x v="11"/>
    <n v="2"/>
    <n v="55"/>
    <n v="110"/>
    <s v="Delivered"/>
    <n v="110"/>
    <d v="2026-03-28T00:00:00"/>
    <m/>
    <m/>
    <x v="11"/>
    <x v="1"/>
  </r>
  <r>
    <n v="589"/>
    <n v="1283"/>
    <x v="11"/>
    <n v="2"/>
    <n v="55"/>
    <n v="110"/>
    <s v="Delivered"/>
    <n v="110"/>
    <d v="2026-03-10T00:00:00"/>
    <m/>
    <m/>
    <x v="11"/>
    <x v="1"/>
  </r>
  <r>
    <n v="590"/>
    <n v="1284"/>
    <x v="5"/>
    <n v="3"/>
    <n v="220"/>
    <n v="660"/>
    <s v="Delivered"/>
    <n v="660"/>
    <d v="2026-04-06T00:00:00"/>
    <m/>
    <m/>
    <x v="5"/>
    <x v="4"/>
  </r>
  <r>
    <n v="591"/>
    <n v="1285"/>
    <x v="0"/>
    <n v="2"/>
    <n v="750"/>
    <n v="1500"/>
    <s v="Delivered"/>
    <n v="1500"/>
    <d v="2026-05-26T00:00:00"/>
    <m/>
    <m/>
    <x v="0"/>
    <x v="3"/>
  </r>
  <r>
    <n v="592"/>
    <n v="1286"/>
    <x v="10"/>
    <n v="1"/>
    <n v="65"/>
    <n v="65"/>
    <s v="Delivered"/>
    <n v="65"/>
    <d v="2026-03-12T00:00:00"/>
    <m/>
    <m/>
    <x v="10"/>
    <x v="1"/>
  </r>
  <r>
    <n v="593"/>
    <n v="1286"/>
    <x v="4"/>
    <n v="2"/>
    <n v="48"/>
    <n v="96"/>
    <s v="Delivered"/>
    <n v="96"/>
    <d v="2026-03-12T00:00:00"/>
    <m/>
    <m/>
    <x v="4"/>
    <x v="1"/>
  </r>
  <r>
    <n v="594"/>
    <n v="1286"/>
    <x v="5"/>
    <n v="3"/>
    <n v="220"/>
    <n v="660"/>
    <s v="Delivered"/>
    <n v="660"/>
    <d v="2026-03-12T00:00:00"/>
    <m/>
    <m/>
    <x v="5"/>
    <x v="1"/>
  </r>
  <r>
    <n v="595"/>
    <n v="1287"/>
    <x v="7"/>
    <n v="1"/>
    <n v="180"/>
    <n v="180"/>
    <s v="Delivered"/>
    <n v="180"/>
    <d v="2026-05-31T00:00:00"/>
    <m/>
    <m/>
    <x v="7"/>
    <x v="3"/>
  </r>
  <r>
    <n v="596"/>
    <n v="1288"/>
    <x v="3"/>
    <n v="1"/>
    <n v="25"/>
    <n v="25"/>
    <s v="Cancelled"/>
    <n v="0"/>
    <d v="2026-02-24T00:00:00"/>
    <m/>
    <m/>
    <x v="3"/>
    <x v="5"/>
  </r>
  <r>
    <n v="597"/>
    <n v="1288"/>
    <x v="7"/>
    <n v="1"/>
    <n v="180"/>
    <n v="180"/>
    <s v="Cancelled"/>
    <n v="0"/>
    <d v="2026-02-24T00:00:00"/>
    <m/>
    <m/>
    <x v="7"/>
    <x v="5"/>
  </r>
  <r>
    <n v="598"/>
    <n v="1288"/>
    <x v="10"/>
    <n v="4"/>
    <n v="65"/>
    <n v="260"/>
    <s v="Cancelled"/>
    <n v="0"/>
    <d v="2026-02-24T00:00:00"/>
    <m/>
    <m/>
    <x v="10"/>
    <x v="5"/>
  </r>
  <r>
    <n v="599"/>
    <n v="1289"/>
    <x v="7"/>
    <n v="3"/>
    <n v="180"/>
    <n v="540"/>
    <s v="Delivered"/>
    <n v="540"/>
    <d v="2026-02-03T00:00:00"/>
    <m/>
    <m/>
    <x v="7"/>
    <x v="5"/>
  </r>
  <r>
    <n v="600"/>
    <n v="1290"/>
    <x v="7"/>
    <n v="4"/>
    <n v="180"/>
    <n v="720"/>
    <s v="Delivered"/>
    <n v="720"/>
    <d v="2026-03-31T00:00:00"/>
    <m/>
    <m/>
    <x v="7"/>
    <x v="1"/>
  </r>
  <r>
    <n v="601"/>
    <n v="1290"/>
    <x v="4"/>
    <n v="1"/>
    <n v="48"/>
    <n v="48"/>
    <s v="Delivered"/>
    <n v="48"/>
    <d v="2026-03-31T00:00:00"/>
    <m/>
    <m/>
    <x v="4"/>
    <x v="1"/>
  </r>
  <r>
    <n v="602"/>
    <n v="1291"/>
    <x v="4"/>
    <n v="4"/>
    <n v="48"/>
    <n v="192"/>
    <s v="Delivered"/>
    <n v="192"/>
    <d v="2026-05-24T00:00:00"/>
    <m/>
    <m/>
    <x v="4"/>
    <x v="3"/>
  </r>
  <r>
    <n v="603"/>
    <n v="1291"/>
    <x v="5"/>
    <n v="1"/>
    <n v="220"/>
    <n v="220"/>
    <s v="Delivered"/>
    <n v="220"/>
    <d v="2026-05-24T00:00:00"/>
    <m/>
    <m/>
    <x v="5"/>
    <x v="3"/>
  </r>
  <r>
    <n v="604"/>
    <n v="1292"/>
    <x v="6"/>
    <n v="2"/>
    <n v="45"/>
    <n v="90"/>
    <s v="Delivered"/>
    <n v="90"/>
    <d v="2026-03-08T00:00:00"/>
    <m/>
    <m/>
    <x v="6"/>
    <x v="1"/>
  </r>
  <r>
    <n v="605"/>
    <n v="1293"/>
    <x v="0"/>
    <n v="3"/>
    <n v="750"/>
    <n v="2250"/>
    <s v="Delivered"/>
    <n v="2250"/>
    <d v="2026-04-14T00:00:00"/>
    <m/>
    <m/>
    <x v="0"/>
    <x v="4"/>
  </r>
  <r>
    <n v="606"/>
    <n v="1293"/>
    <x v="4"/>
    <n v="3"/>
    <n v="48"/>
    <n v="144"/>
    <s v="Delivered"/>
    <n v="144"/>
    <d v="2026-04-14T00:00:00"/>
    <m/>
    <m/>
    <x v="4"/>
    <x v="4"/>
  </r>
  <r>
    <n v="607"/>
    <n v="1293"/>
    <x v="11"/>
    <n v="4"/>
    <n v="55"/>
    <n v="220"/>
    <s v="Delivered"/>
    <n v="220"/>
    <d v="2026-04-14T00:00:00"/>
    <m/>
    <m/>
    <x v="11"/>
    <x v="4"/>
  </r>
  <r>
    <n v="608"/>
    <n v="1294"/>
    <x v="8"/>
    <n v="3"/>
    <n v="30"/>
    <n v="90"/>
    <s v="Delivered"/>
    <n v="90"/>
    <d v="2026-02-18T00:00:00"/>
    <m/>
    <m/>
    <x v="8"/>
    <x v="5"/>
  </r>
  <r>
    <n v="609"/>
    <n v="1294"/>
    <x v="4"/>
    <n v="3"/>
    <n v="48"/>
    <n v="144"/>
    <s v="Delivered"/>
    <n v="144"/>
    <d v="2026-02-18T00:00:00"/>
    <m/>
    <m/>
    <x v="4"/>
    <x v="5"/>
  </r>
  <r>
    <n v="610"/>
    <n v="1294"/>
    <x v="11"/>
    <n v="2"/>
    <n v="55"/>
    <n v="110"/>
    <s v="Delivered"/>
    <n v="110"/>
    <d v="2026-02-18T00:00:00"/>
    <m/>
    <m/>
    <x v="11"/>
    <x v="5"/>
  </r>
  <r>
    <n v="611"/>
    <n v="1295"/>
    <x v="8"/>
    <n v="1"/>
    <n v="30"/>
    <n v="30"/>
    <s v="Delivered"/>
    <n v="30"/>
    <d v="2026-05-01T00:00:00"/>
    <m/>
    <m/>
    <x v="8"/>
    <x v="3"/>
  </r>
  <r>
    <n v="612"/>
    <n v="1295"/>
    <x v="6"/>
    <n v="2"/>
    <n v="45"/>
    <n v="90"/>
    <s v="Delivered"/>
    <n v="90"/>
    <d v="2026-05-01T00:00:00"/>
    <m/>
    <m/>
    <x v="6"/>
    <x v="3"/>
  </r>
  <r>
    <n v="613"/>
    <n v="1295"/>
    <x v="1"/>
    <n v="3"/>
    <n v="140"/>
    <n v="420"/>
    <s v="Delivered"/>
    <n v="420"/>
    <d v="2026-05-01T00:00:00"/>
    <m/>
    <m/>
    <x v="1"/>
    <x v="3"/>
  </r>
  <r>
    <n v="614"/>
    <n v="1296"/>
    <x v="5"/>
    <n v="1"/>
    <n v="220"/>
    <n v="220"/>
    <s v="Delivered"/>
    <n v="220"/>
    <d v="2026-04-06T00:00:00"/>
    <m/>
    <m/>
    <x v="5"/>
    <x v="4"/>
  </r>
  <r>
    <n v="615"/>
    <n v="1296"/>
    <x v="11"/>
    <n v="1"/>
    <n v="55"/>
    <n v="55"/>
    <s v="Delivered"/>
    <n v="55"/>
    <d v="2026-04-06T00:00:00"/>
    <m/>
    <m/>
    <x v="11"/>
    <x v="4"/>
  </r>
  <r>
    <n v="616"/>
    <n v="1297"/>
    <x v="6"/>
    <n v="2"/>
    <n v="45"/>
    <n v="90"/>
    <s v="Delivered"/>
    <n v="90"/>
    <d v="2026-04-08T00:00:00"/>
    <m/>
    <m/>
    <x v="6"/>
    <x v="4"/>
  </r>
  <r>
    <n v="617"/>
    <n v="1298"/>
    <x v="11"/>
    <n v="3"/>
    <n v="55"/>
    <n v="165"/>
    <s v="Delivered"/>
    <n v="165"/>
    <d v="2026-02-06T00:00:00"/>
    <m/>
    <m/>
    <x v="11"/>
    <x v="5"/>
  </r>
  <r>
    <n v="618"/>
    <n v="1299"/>
    <x v="6"/>
    <n v="2"/>
    <n v="45"/>
    <n v="90"/>
    <s v="Delivered"/>
    <n v="90"/>
    <d v="2026-04-26T00:00:00"/>
    <m/>
    <m/>
    <x v="6"/>
    <x v="4"/>
  </r>
  <r>
    <n v="619"/>
    <n v="1299"/>
    <x v="11"/>
    <n v="4"/>
    <n v="55"/>
    <n v="220"/>
    <s v="Delivered"/>
    <n v="220"/>
    <d v="2026-04-26T00:00:00"/>
    <m/>
    <m/>
    <x v="11"/>
    <x v="4"/>
  </r>
  <r>
    <n v="620"/>
    <n v="1299"/>
    <x v="5"/>
    <n v="4"/>
    <n v="220"/>
    <n v="880"/>
    <s v="Delivered"/>
    <n v="880"/>
    <d v="2026-04-26T00:00:00"/>
    <m/>
    <m/>
    <x v="5"/>
    <x v="4"/>
  </r>
  <r>
    <n v="621"/>
    <n v="1300"/>
    <x v="1"/>
    <n v="2"/>
    <n v="140"/>
    <n v="280"/>
    <s v="Delivered"/>
    <n v="280"/>
    <d v="2026-05-17T00:00:00"/>
    <m/>
    <m/>
    <x v="1"/>
    <x v="3"/>
  </r>
  <r>
    <n v="622"/>
    <n v="1301"/>
    <x v="5"/>
    <n v="4"/>
    <n v="220"/>
    <n v="880"/>
    <s v="Cancelled"/>
    <n v="0"/>
    <d v="2026-06-27T00:00:00"/>
    <m/>
    <m/>
    <x v="5"/>
    <x v="2"/>
  </r>
  <r>
    <n v="623"/>
    <n v="1302"/>
    <x v="0"/>
    <n v="3"/>
    <n v="750"/>
    <n v="2250"/>
    <s v="Delivered"/>
    <n v="2250"/>
    <d v="2026-05-09T00:00:00"/>
    <m/>
    <m/>
    <x v="0"/>
    <x v="3"/>
  </r>
  <r>
    <n v="624"/>
    <n v="1303"/>
    <x v="11"/>
    <n v="2"/>
    <n v="55"/>
    <n v="110"/>
    <s v="Delivered"/>
    <n v="110"/>
    <d v="2026-03-28T00:00:00"/>
    <m/>
    <m/>
    <x v="11"/>
    <x v="1"/>
  </r>
  <r>
    <n v="625"/>
    <n v="1303"/>
    <x v="1"/>
    <n v="2"/>
    <n v="140"/>
    <n v="280"/>
    <s v="Delivered"/>
    <n v="280"/>
    <d v="2026-03-28T00:00:00"/>
    <m/>
    <m/>
    <x v="1"/>
    <x v="1"/>
  </r>
  <r>
    <n v="626"/>
    <n v="1304"/>
    <x v="9"/>
    <n v="1"/>
    <n v="22"/>
    <n v="22"/>
    <s v="Delivered"/>
    <n v="22"/>
    <d v="2026-02-27T00:00:00"/>
    <m/>
    <m/>
    <x v="9"/>
    <x v="5"/>
  </r>
  <r>
    <n v="627"/>
    <n v="1305"/>
    <x v="2"/>
    <n v="1"/>
    <n v="8"/>
    <n v="8"/>
    <s v="Delivered"/>
    <n v="8"/>
    <d v="2026-01-10T00:00:00"/>
    <m/>
    <m/>
    <x v="2"/>
    <x v="0"/>
  </r>
  <r>
    <n v="628"/>
    <n v="1305"/>
    <x v="0"/>
    <n v="1"/>
    <n v="750"/>
    <n v="750"/>
    <s v="Delivered"/>
    <n v="750"/>
    <d v="2026-01-10T00:00:00"/>
    <m/>
    <m/>
    <x v="0"/>
    <x v="0"/>
  </r>
  <r>
    <n v="629"/>
    <n v="1305"/>
    <x v="9"/>
    <n v="1"/>
    <n v="22"/>
    <n v="22"/>
    <s v="Delivered"/>
    <n v="22"/>
    <d v="2026-01-10T00:00:00"/>
    <m/>
    <m/>
    <x v="9"/>
    <x v="0"/>
  </r>
  <r>
    <n v="630"/>
    <n v="1306"/>
    <x v="9"/>
    <n v="1"/>
    <n v="22"/>
    <n v="22"/>
    <s v="Delivered"/>
    <n v="22"/>
    <d v="2026-05-21T00:00:00"/>
    <m/>
    <m/>
    <x v="9"/>
    <x v="3"/>
  </r>
  <r>
    <n v="631"/>
    <n v="1307"/>
    <x v="5"/>
    <n v="1"/>
    <n v="220"/>
    <n v="220"/>
    <s v="Delivered"/>
    <n v="220"/>
    <d v="2026-06-09T00:00:00"/>
    <m/>
    <m/>
    <x v="5"/>
    <x v="2"/>
  </r>
  <r>
    <n v="632"/>
    <n v="1307"/>
    <x v="8"/>
    <n v="3"/>
    <n v="30"/>
    <n v="90"/>
    <s v="Delivered"/>
    <n v="90"/>
    <d v="2026-06-09T00:00:00"/>
    <m/>
    <m/>
    <x v="8"/>
    <x v="2"/>
  </r>
  <r>
    <n v="633"/>
    <n v="1308"/>
    <x v="9"/>
    <n v="3"/>
    <n v="22"/>
    <n v="66"/>
    <s v="Delivered"/>
    <n v="66"/>
    <d v="2026-03-09T00:00:00"/>
    <m/>
    <m/>
    <x v="9"/>
    <x v="1"/>
  </r>
  <r>
    <n v="634"/>
    <n v="1308"/>
    <x v="10"/>
    <n v="2"/>
    <n v="65"/>
    <n v="130"/>
    <s v="Delivered"/>
    <n v="130"/>
    <d v="2026-03-09T00:00:00"/>
    <m/>
    <m/>
    <x v="10"/>
    <x v="1"/>
  </r>
  <r>
    <n v="635"/>
    <n v="1309"/>
    <x v="5"/>
    <n v="4"/>
    <n v="220"/>
    <n v="880"/>
    <s v="Delivered"/>
    <n v="880"/>
    <d v="2026-03-26T00:00:00"/>
    <m/>
    <m/>
    <x v="5"/>
    <x v="1"/>
  </r>
  <r>
    <n v="636"/>
    <n v="1309"/>
    <x v="9"/>
    <n v="2"/>
    <n v="22"/>
    <n v="44"/>
    <s v="Delivered"/>
    <n v="44"/>
    <d v="2026-03-26T00:00:00"/>
    <m/>
    <m/>
    <x v="9"/>
    <x v="1"/>
  </r>
  <r>
    <n v="637"/>
    <n v="1309"/>
    <x v="2"/>
    <n v="1"/>
    <n v="8"/>
    <n v="8"/>
    <s v="Delivered"/>
    <n v="8"/>
    <d v="2026-03-26T00:00:00"/>
    <m/>
    <m/>
    <x v="2"/>
    <x v="1"/>
  </r>
  <r>
    <n v="638"/>
    <n v="1310"/>
    <x v="11"/>
    <n v="1"/>
    <n v="55"/>
    <n v="55"/>
    <s v="Delivered"/>
    <n v="55"/>
    <d v="2026-06-14T00:00:00"/>
    <m/>
    <m/>
    <x v="11"/>
    <x v="2"/>
  </r>
  <r>
    <n v="639"/>
    <n v="1310"/>
    <x v="0"/>
    <n v="2"/>
    <n v="750"/>
    <n v="1500"/>
    <s v="Delivered"/>
    <n v="1500"/>
    <d v="2026-06-14T00:00:00"/>
    <m/>
    <m/>
    <x v="0"/>
    <x v="2"/>
  </r>
  <r>
    <n v="640"/>
    <n v="1311"/>
    <x v="0"/>
    <n v="1"/>
    <n v="750"/>
    <n v="750"/>
    <s v="Delivered"/>
    <n v="750"/>
    <d v="2026-03-22T00:00:00"/>
    <m/>
    <m/>
    <x v="0"/>
    <x v="1"/>
  </r>
  <r>
    <n v="641"/>
    <n v="1312"/>
    <x v="5"/>
    <n v="2"/>
    <n v="220"/>
    <n v="440"/>
    <s v="Shipped"/>
    <n v="440"/>
    <d v="2026-04-23T00:00:00"/>
    <m/>
    <m/>
    <x v="5"/>
    <x v="4"/>
  </r>
  <r>
    <n v="642"/>
    <n v="1312"/>
    <x v="1"/>
    <n v="1"/>
    <n v="140"/>
    <n v="140"/>
    <s v="Shipped"/>
    <n v="140"/>
    <d v="2026-04-23T00:00:00"/>
    <m/>
    <m/>
    <x v="1"/>
    <x v="4"/>
  </r>
  <r>
    <n v="643"/>
    <n v="1312"/>
    <x v="4"/>
    <n v="4"/>
    <n v="48"/>
    <n v="192"/>
    <s v="Shipped"/>
    <n v="192"/>
    <d v="2026-04-23T00:00:00"/>
    <m/>
    <m/>
    <x v="4"/>
    <x v="4"/>
  </r>
  <r>
    <n v="644"/>
    <n v="1313"/>
    <x v="4"/>
    <n v="1"/>
    <n v="48"/>
    <n v="48"/>
    <s v="Delivered"/>
    <n v="48"/>
    <d v="2026-03-11T00:00:00"/>
    <m/>
    <m/>
    <x v="4"/>
    <x v="1"/>
  </r>
  <r>
    <n v="645"/>
    <n v="1313"/>
    <x v="6"/>
    <n v="2"/>
    <n v="45"/>
    <n v="90"/>
    <s v="Delivered"/>
    <n v="90"/>
    <d v="2026-03-11T00:00:00"/>
    <m/>
    <m/>
    <x v="6"/>
    <x v="1"/>
  </r>
  <r>
    <n v="646"/>
    <n v="1314"/>
    <x v="4"/>
    <n v="4"/>
    <n v="48"/>
    <n v="192"/>
    <s v="Delivered"/>
    <n v="192"/>
    <d v="2026-01-27T00:00:00"/>
    <m/>
    <m/>
    <x v="4"/>
    <x v="0"/>
  </r>
  <r>
    <n v="647"/>
    <n v="1314"/>
    <x v="11"/>
    <n v="3"/>
    <n v="55"/>
    <n v="165"/>
    <s v="Delivered"/>
    <n v="165"/>
    <d v="2026-01-27T00:00:00"/>
    <m/>
    <m/>
    <x v="11"/>
    <x v="0"/>
  </r>
  <r>
    <n v="648"/>
    <n v="1314"/>
    <x v="6"/>
    <n v="1"/>
    <n v="45"/>
    <n v="45"/>
    <s v="Delivered"/>
    <n v="45"/>
    <d v="2026-01-27T00:00:00"/>
    <m/>
    <m/>
    <x v="6"/>
    <x v="0"/>
  </r>
  <r>
    <n v="649"/>
    <n v="1315"/>
    <x v="11"/>
    <n v="1"/>
    <n v="55"/>
    <n v="55"/>
    <s v="Shipped"/>
    <n v="55"/>
    <d v="2026-05-04T00:00:00"/>
    <m/>
    <m/>
    <x v="11"/>
    <x v="3"/>
  </r>
  <r>
    <n v="650"/>
    <n v="1315"/>
    <x v="0"/>
    <n v="3"/>
    <n v="750"/>
    <n v="2250"/>
    <s v="Shipped"/>
    <n v="2250"/>
    <d v="2026-05-04T00:00:00"/>
    <m/>
    <m/>
    <x v="0"/>
    <x v="3"/>
  </r>
  <r>
    <n v="651"/>
    <n v="1316"/>
    <x v="2"/>
    <n v="3"/>
    <n v="8"/>
    <n v="24"/>
    <s v="Cancelled"/>
    <n v="0"/>
    <d v="2026-06-30T00:00:00"/>
    <m/>
    <m/>
    <x v="2"/>
    <x v="2"/>
  </r>
  <r>
    <n v="652"/>
    <n v="1316"/>
    <x v="9"/>
    <n v="1"/>
    <n v="22"/>
    <n v="22"/>
    <s v="Cancelled"/>
    <n v="0"/>
    <d v="2026-06-30T00:00:00"/>
    <m/>
    <m/>
    <x v="9"/>
    <x v="2"/>
  </r>
  <r>
    <n v="653"/>
    <n v="1316"/>
    <x v="3"/>
    <n v="4"/>
    <n v="25"/>
    <n v="100"/>
    <s v="Cancelled"/>
    <n v="0"/>
    <d v="2026-06-30T00:00:00"/>
    <m/>
    <m/>
    <x v="3"/>
    <x v="2"/>
  </r>
  <r>
    <n v="654"/>
    <n v="1317"/>
    <x v="4"/>
    <n v="4"/>
    <n v="48"/>
    <n v="192"/>
    <s v="Delivered"/>
    <n v="192"/>
    <d v="2026-06-19T00:00:00"/>
    <m/>
    <m/>
    <x v="4"/>
    <x v="2"/>
  </r>
  <r>
    <n v="655"/>
    <n v="1317"/>
    <x v="9"/>
    <n v="2"/>
    <n v="22"/>
    <n v="44"/>
    <s v="Delivered"/>
    <n v="44"/>
    <d v="2026-06-19T00:00:00"/>
    <m/>
    <m/>
    <x v="9"/>
    <x v="2"/>
  </r>
  <r>
    <n v="656"/>
    <n v="1318"/>
    <x v="11"/>
    <n v="1"/>
    <n v="55"/>
    <n v="55"/>
    <s v="Delivered"/>
    <n v="55"/>
    <d v="2026-01-03T00:00:00"/>
    <m/>
    <m/>
    <x v="11"/>
    <x v="0"/>
  </r>
  <r>
    <n v="657"/>
    <n v="1318"/>
    <x v="9"/>
    <n v="4"/>
    <n v="22"/>
    <n v="88"/>
    <s v="Delivered"/>
    <n v="88"/>
    <d v="2026-01-03T00:00:00"/>
    <m/>
    <m/>
    <x v="9"/>
    <x v="0"/>
  </r>
  <r>
    <n v="658"/>
    <n v="1318"/>
    <x v="6"/>
    <n v="3"/>
    <n v="45"/>
    <n v="135"/>
    <s v="Delivered"/>
    <n v="135"/>
    <d v="2026-01-03T00:00:00"/>
    <m/>
    <m/>
    <x v="6"/>
    <x v="0"/>
  </r>
  <r>
    <n v="659"/>
    <n v="1319"/>
    <x v="5"/>
    <n v="4"/>
    <n v="220"/>
    <n v="880"/>
    <s v="Delivered"/>
    <n v="880"/>
    <d v="2026-05-21T00:00:00"/>
    <m/>
    <m/>
    <x v="5"/>
    <x v="3"/>
  </r>
  <r>
    <n v="660"/>
    <n v="1320"/>
    <x v="4"/>
    <n v="4"/>
    <n v="48"/>
    <n v="192"/>
    <s v="Delivered"/>
    <n v="192"/>
    <d v="2026-04-25T00:00:00"/>
    <m/>
    <m/>
    <x v="4"/>
    <x v="4"/>
  </r>
  <r>
    <n v="661"/>
    <n v="1320"/>
    <x v="0"/>
    <n v="4"/>
    <n v="750"/>
    <n v="3000"/>
    <s v="Delivered"/>
    <n v="3000"/>
    <d v="2026-04-25T00:00:00"/>
    <m/>
    <m/>
    <x v="0"/>
    <x v="4"/>
  </r>
  <r>
    <n v="662"/>
    <n v="1320"/>
    <x v="5"/>
    <n v="1"/>
    <n v="220"/>
    <n v="220"/>
    <s v="Delivered"/>
    <n v="220"/>
    <d v="2026-04-25T00:00:00"/>
    <m/>
    <m/>
    <x v="5"/>
    <x v="4"/>
  </r>
  <r>
    <n v="663"/>
    <n v="1321"/>
    <x v="3"/>
    <n v="3"/>
    <n v="25"/>
    <n v="75"/>
    <s v="Delivered"/>
    <n v="75"/>
    <d v="2026-06-08T00:00:00"/>
    <m/>
    <m/>
    <x v="3"/>
    <x v="2"/>
  </r>
  <r>
    <n v="664"/>
    <n v="1321"/>
    <x v="4"/>
    <n v="3"/>
    <n v="48"/>
    <n v="144"/>
    <s v="Delivered"/>
    <n v="144"/>
    <d v="2026-06-08T00:00:00"/>
    <m/>
    <m/>
    <x v="4"/>
    <x v="2"/>
  </r>
  <r>
    <n v="665"/>
    <n v="1321"/>
    <x v="11"/>
    <n v="1"/>
    <n v="55"/>
    <n v="55"/>
    <s v="Delivered"/>
    <n v="55"/>
    <d v="2026-06-08T00:00:00"/>
    <m/>
    <m/>
    <x v="11"/>
    <x v="2"/>
  </r>
  <r>
    <n v="666"/>
    <n v="1322"/>
    <x v="11"/>
    <n v="2"/>
    <n v="55"/>
    <n v="110"/>
    <s v="Delivered"/>
    <n v="110"/>
    <d v="2026-06-03T00:00:00"/>
    <m/>
    <m/>
    <x v="11"/>
    <x v="2"/>
  </r>
  <r>
    <n v="667"/>
    <n v="1322"/>
    <x v="5"/>
    <n v="1"/>
    <n v="220"/>
    <n v="220"/>
    <s v="Delivered"/>
    <n v="220"/>
    <d v="2026-06-03T00:00:00"/>
    <m/>
    <m/>
    <x v="5"/>
    <x v="2"/>
  </r>
  <r>
    <n v="668"/>
    <n v="1322"/>
    <x v="4"/>
    <n v="3"/>
    <n v="48"/>
    <n v="144"/>
    <s v="Delivered"/>
    <n v="144"/>
    <d v="2026-06-03T00:00:00"/>
    <m/>
    <m/>
    <x v="4"/>
    <x v="2"/>
  </r>
  <r>
    <n v="669"/>
    <n v="1323"/>
    <x v="6"/>
    <n v="4"/>
    <n v="45"/>
    <n v="180"/>
    <s v="Delivered"/>
    <n v="180"/>
    <d v="2026-05-14T00:00:00"/>
    <m/>
    <m/>
    <x v="6"/>
    <x v="3"/>
  </r>
  <r>
    <n v="670"/>
    <n v="1324"/>
    <x v="10"/>
    <n v="2"/>
    <n v="65"/>
    <n v="130"/>
    <s v="Delivered"/>
    <n v="130"/>
    <d v="2026-03-07T00:00:00"/>
    <m/>
    <m/>
    <x v="10"/>
    <x v="1"/>
  </r>
  <r>
    <n v="671"/>
    <n v="1325"/>
    <x v="11"/>
    <n v="2"/>
    <n v="55"/>
    <n v="110"/>
    <s v="Delivered"/>
    <n v="110"/>
    <d v="2026-04-17T00:00:00"/>
    <m/>
    <m/>
    <x v="11"/>
    <x v="4"/>
  </r>
  <r>
    <n v="672"/>
    <n v="1325"/>
    <x v="4"/>
    <n v="4"/>
    <n v="48"/>
    <n v="192"/>
    <s v="Delivered"/>
    <n v="192"/>
    <d v="2026-04-17T00:00:00"/>
    <m/>
    <m/>
    <x v="4"/>
    <x v="4"/>
  </r>
  <r>
    <n v="673"/>
    <n v="1326"/>
    <x v="9"/>
    <n v="2"/>
    <n v="22"/>
    <n v="44"/>
    <s v="Delivered"/>
    <n v="44"/>
    <d v="2026-05-30T00:00:00"/>
    <m/>
    <m/>
    <x v="9"/>
    <x v="3"/>
  </r>
  <r>
    <n v="674"/>
    <n v="1327"/>
    <x v="10"/>
    <n v="2"/>
    <n v="65"/>
    <n v="130"/>
    <s v="Cancelled"/>
    <n v="0"/>
    <d v="2026-06-05T00:00:00"/>
    <m/>
    <m/>
    <x v="10"/>
    <x v="2"/>
  </r>
  <r>
    <n v="675"/>
    <n v="1327"/>
    <x v="2"/>
    <n v="3"/>
    <n v="8"/>
    <n v="24"/>
    <s v="Cancelled"/>
    <n v="0"/>
    <d v="2026-06-05T00:00:00"/>
    <m/>
    <m/>
    <x v="2"/>
    <x v="2"/>
  </r>
  <r>
    <n v="676"/>
    <n v="1328"/>
    <x v="6"/>
    <n v="4"/>
    <n v="45"/>
    <n v="180"/>
    <s v="Shipped"/>
    <n v="180"/>
    <d v="2026-04-12T00:00:00"/>
    <m/>
    <m/>
    <x v="6"/>
    <x v="4"/>
  </r>
  <r>
    <n v="677"/>
    <n v="1328"/>
    <x v="9"/>
    <n v="3"/>
    <n v="22"/>
    <n v="66"/>
    <s v="Shipped"/>
    <n v="66"/>
    <d v="2026-04-12T00:00:00"/>
    <m/>
    <m/>
    <x v="9"/>
    <x v="4"/>
  </r>
  <r>
    <n v="678"/>
    <n v="1329"/>
    <x v="3"/>
    <n v="3"/>
    <n v="25"/>
    <n v="75"/>
    <s v="Delivered"/>
    <n v="75"/>
    <d v="2026-03-22T00:00:00"/>
    <m/>
    <m/>
    <x v="3"/>
    <x v="1"/>
  </r>
  <r>
    <n v="679"/>
    <n v="1329"/>
    <x v="9"/>
    <n v="3"/>
    <n v="22"/>
    <n v="66"/>
    <s v="Delivered"/>
    <n v="66"/>
    <d v="2026-03-22T00:00:00"/>
    <m/>
    <m/>
    <x v="9"/>
    <x v="1"/>
  </r>
  <r>
    <n v="680"/>
    <n v="1329"/>
    <x v="4"/>
    <n v="2"/>
    <n v="48"/>
    <n v="96"/>
    <s v="Delivered"/>
    <n v="96"/>
    <d v="2026-03-22T00:00:00"/>
    <m/>
    <m/>
    <x v="4"/>
    <x v="1"/>
  </r>
  <r>
    <n v="681"/>
    <n v="1330"/>
    <x v="5"/>
    <n v="4"/>
    <n v="220"/>
    <n v="880"/>
    <s v="Delivered"/>
    <n v="880"/>
    <d v="2026-05-19T00:00:00"/>
    <m/>
    <m/>
    <x v="5"/>
    <x v="3"/>
  </r>
  <r>
    <n v="682"/>
    <n v="1330"/>
    <x v="1"/>
    <n v="4"/>
    <n v="140"/>
    <n v="560"/>
    <s v="Delivered"/>
    <n v="560"/>
    <d v="2026-05-19T00:00:00"/>
    <m/>
    <m/>
    <x v="1"/>
    <x v="3"/>
  </r>
  <r>
    <n v="683"/>
    <n v="1330"/>
    <x v="8"/>
    <n v="3"/>
    <n v="30"/>
    <n v="90"/>
    <s v="Delivered"/>
    <n v="90"/>
    <d v="2026-05-19T00:00:00"/>
    <m/>
    <m/>
    <x v="8"/>
    <x v="3"/>
  </r>
  <r>
    <n v="684"/>
    <n v="1331"/>
    <x v="0"/>
    <n v="2"/>
    <n v="750"/>
    <n v="1500"/>
    <s v="Delivered"/>
    <n v="1500"/>
    <d v="2026-01-07T00:00:00"/>
    <m/>
    <m/>
    <x v="0"/>
    <x v="0"/>
  </r>
  <r>
    <n v="685"/>
    <n v="1331"/>
    <x v="3"/>
    <n v="3"/>
    <n v="25"/>
    <n v="75"/>
    <s v="Delivered"/>
    <n v="75"/>
    <d v="2026-01-07T00:00:00"/>
    <m/>
    <m/>
    <x v="3"/>
    <x v="0"/>
  </r>
  <r>
    <n v="686"/>
    <n v="1331"/>
    <x v="7"/>
    <n v="3"/>
    <n v="180"/>
    <n v="540"/>
    <s v="Delivered"/>
    <n v="540"/>
    <d v="2026-01-07T00:00:00"/>
    <m/>
    <m/>
    <x v="7"/>
    <x v="0"/>
  </r>
  <r>
    <n v="687"/>
    <n v="1332"/>
    <x v="2"/>
    <n v="2"/>
    <n v="8"/>
    <n v="16"/>
    <s v="Delivered"/>
    <n v="16"/>
    <d v="2026-05-19T00:00:00"/>
    <m/>
    <m/>
    <x v="2"/>
    <x v="3"/>
  </r>
  <r>
    <n v="688"/>
    <n v="1333"/>
    <x v="10"/>
    <n v="3"/>
    <n v="65"/>
    <n v="195"/>
    <s v="Delivered"/>
    <n v="195"/>
    <d v="2026-03-15T00:00:00"/>
    <m/>
    <m/>
    <x v="10"/>
    <x v="1"/>
  </r>
  <r>
    <n v="689"/>
    <n v="1333"/>
    <x v="9"/>
    <n v="1"/>
    <n v="22"/>
    <n v="22"/>
    <s v="Delivered"/>
    <n v="22"/>
    <d v="2026-03-15T00:00:00"/>
    <m/>
    <m/>
    <x v="9"/>
    <x v="1"/>
  </r>
  <r>
    <n v="690"/>
    <n v="1334"/>
    <x v="8"/>
    <n v="2"/>
    <n v="30"/>
    <n v="60"/>
    <s v="Shipped"/>
    <n v="60"/>
    <d v="2026-02-27T00:00:00"/>
    <m/>
    <m/>
    <x v="8"/>
    <x v="5"/>
  </r>
  <r>
    <n v="691"/>
    <n v="1334"/>
    <x v="2"/>
    <n v="3"/>
    <n v="8"/>
    <n v="24"/>
    <s v="Shipped"/>
    <n v="24"/>
    <d v="2026-02-27T00:00:00"/>
    <m/>
    <m/>
    <x v="2"/>
    <x v="5"/>
  </r>
  <r>
    <n v="692"/>
    <n v="1334"/>
    <x v="3"/>
    <n v="4"/>
    <n v="25"/>
    <n v="100"/>
    <s v="Shipped"/>
    <n v="100"/>
    <d v="2026-02-27T00:00:00"/>
    <m/>
    <m/>
    <x v="3"/>
    <x v="5"/>
  </r>
  <r>
    <n v="693"/>
    <n v="1335"/>
    <x v="8"/>
    <n v="1"/>
    <n v="30"/>
    <n v="30"/>
    <s v="Delivered"/>
    <n v="30"/>
    <d v="2026-01-20T00:00:00"/>
    <m/>
    <m/>
    <x v="8"/>
    <x v="0"/>
  </r>
  <r>
    <n v="694"/>
    <n v="1335"/>
    <x v="5"/>
    <n v="4"/>
    <n v="220"/>
    <n v="880"/>
    <s v="Delivered"/>
    <n v="880"/>
    <d v="2026-01-20T00:00:00"/>
    <m/>
    <m/>
    <x v="5"/>
    <x v="0"/>
  </r>
  <r>
    <n v="695"/>
    <n v="1335"/>
    <x v="10"/>
    <n v="3"/>
    <n v="65"/>
    <n v="195"/>
    <s v="Delivered"/>
    <n v="195"/>
    <d v="2026-01-20T00:00:00"/>
    <m/>
    <m/>
    <x v="10"/>
    <x v="0"/>
  </r>
  <r>
    <n v="696"/>
    <n v="1336"/>
    <x v="6"/>
    <n v="3"/>
    <n v="45"/>
    <n v="135"/>
    <s v="Delivered"/>
    <n v="135"/>
    <d v="2026-01-02T00:00:00"/>
    <m/>
    <m/>
    <x v="6"/>
    <x v="0"/>
  </r>
  <r>
    <n v="697"/>
    <n v="1337"/>
    <x v="1"/>
    <n v="2"/>
    <n v="140"/>
    <n v="280"/>
    <s v="Delivered"/>
    <n v="280"/>
    <d v="2026-03-19T00:00:00"/>
    <m/>
    <m/>
    <x v="1"/>
    <x v="1"/>
  </r>
  <r>
    <n v="698"/>
    <n v="1337"/>
    <x v="5"/>
    <n v="2"/>
    <n v="220"/>
    <n v="440"/>
    <s v="Delivered"/>
    <n v="440"/>
    <d v="2026-03-19T00:00:00"/>
    <m/>
    <m/>
    <x v="5"/>
    <x v="1"/>
  </r>
  <r>
    <n v="699"/>
    <n v="1337"/>
    <x v="9"/>
    <n v="1"/>
    <n v="22"/>
    <n v="22"/>
    <s v="Delivered"/>
    <n v="22"/>
    <d v="2026-03-19T00:00:00"/>
    <m/>
    <m/>
    <x v="9"/>
    <x v="1"/>
  </r>
  <r>
    <n v="700"/>
    <n v="1338"/>
    <x v="1"/>
    <n v="3"/>
    <n v="140"/>
    <n v="420"/>
    <s v="Delivered"/>
    <n v="420"/>
    <d v="2026-01-24T00:00:00"/>
    <m/>
    <m/>
    <x v="1"/>
    <x v="0"/>
  </r>
  <r>
    <n v="701"/>
    <n v="1338"/>
    <x v="9"/>
    <n v="2"/>
    <n v="22"/>
    <n v="44"/>
    <s v="Delivered"/>
    <n v="44"/>
    <d v="2026-01-24T00:00:00"/>
    <m/>
    <m/>
    <x v="9"/>
    <x v="0"/>
  </r>
  <r>
    <n v="702"/>
    <n v="1338"/>
    <x v="4"/>
    <n v="4"/>
    <n v="48"/>
    <n v="192"/>
    <s v="Delivered"/>
    <n v="192"/>
    <d v="2026-01-24T00:00:00"/>
    <m/>
    <m/>
    <x v="4"/>
    <x v="0"/>
  </r>
  <r>
    <n v="703"/>
    <n v="1339"/>
    <x v="4"/>
    <n v="2"/>
    <n v="48"/>
    <n v="96"/>
    <s v="Delivered"/>
    <n v="96"/>
    <d v="2026-01-30T00:00:00"/>
    <m/>
    <m/>
    <x v="4"/>
    <x v="0"/>
  </r>
  <r>
    <n v="704"/>
    <n v="1340"/>
    <x v="8"/>
    <n v="3"/>
    <n v="30"/>
    <n v="90"/>
    <s v="Delivered"/>
    <n v="90"/>
    <d v="2026-04-09T00:00:00"/>
    <m/>
    <m/>
    <x v="8"/>
    <x v="4"/>
  </r>
  <r>
    <n v="705"/>
    <n v="1341"/>
    <x v="5"/>
    <n v="2"/>
    <n v="220"/>
    <n v="440"/>
    <s v="Delivered"/>
    <n v="440"/>
    <d v="2026-06-16T00:00:00"/>
    <m/>
    <m/>
    <x v="5"/>
    <x v="2"/>
  </r>
  <r>
    <n v="706"/>
    <n v="1342"/>
    <x v="10"/>
    <n v="4"/>
    <n v="65"/>
    <n v="260"/>
    <s v="Delivered"/>
    <n v="260"/>
    <d v="2026-01-17T00:00:00"/>
    <m/>
    <m/>
    <x v="10"/>
    <x v="0"/>
  </r>
  <r>
    <n v="707"/>
    <n v="1342"/>
    <x v="5"/>
    <n v="1"/>
    <n v="220"/>
    <n v="220"/>
    <s v="Delivered"/>
    <n v="220"/>
    <d v="2026-01-17T00:00:00"/>
    <m/>
    <m/>
    <x v="5"/>
    <x v="0"/>
  </r>
  <r>
    <n v="708"/>
    <n v="1342"/>
    <x v="3"/>
    <n v="2"/>
    <n v="25"/>
    <n v="50"/>
    <s v="Delivered"/>
    <n v="50"/>
    <d v="2026-01-17T00:00:00"/>
    <m/>
    <m/>
    <x v="3"/>
    <x v="0"/>
  </r>
  <r>
    <n v="709"/>
    <n v="1343"/>
    <x v="5"/>
    <n v="3"/>
    <n v="220"/>
    <n v="660"/>
    <s v="Delivered"/>
    <n v="660"/>
    <d v="2026-01-14T00:00:00"/>
    <m/>
    <m/>
    <x v="5"/>
    <x v="0"/>
  </r>
  <r>
    <n v="710"/>
    <n v="1343"/>
    <x v="2"/>
    <n v="4"/>
    <n v="8"/>
    <n v="32"/>
    <s v="Delivered"/>
    <n v="32"/>
    <d v="2026-01-14T00:00:00"/>
    <m/>
    <m/>
    <x v="2"/>
    <x v="0"/>
  </r>
  <r>
    <n v="711"/>
    <n v="1343"/>
    <x v="3"/>
    <n v="4"/>
    <n v="25"/>
    <n v="100"/>
    <s v="Delivered"/>
    <n v="100"/>
    <d v="2026-01-14T00:00:00"/>
    <m/>
    <m/>
    <x v="3"/>
    <x v="0"/>
  </r>
  <r>
    <n v="712"/>
    <n v="1344"/>
    <x v="9"/>
    <n v="1"/>
    <n v="22"/>
    <n v="22"/>
    <s v="Delivered"/>
    <n v="22"/>
    <d v="2026-06-22T00:00:00"/>
    <m/>
    <m/>
    <x v="9"/>
    <x v="2"/>
  </r>
  <r>
    <n v="713"/>
    <n v="1344"/>
    <x v="2"/>
    <n v="1"/>
    <n v="8"/>
    <n v="8"/>
    <s v="Delivered"/>
    <n v="8"/>
    <d v="2026-06-22T00:00:00"/>
    <m/>
    <m/>
    <x v="2"/>
    <x v="2"/>
  </r>
  <r>
    <n v="714"/>
    <n v="1344"/>
    <x v="5"/>
    <n v="3"/>
    <n v="220"/>
    <n v="660"/>
    <s v="Delivered"/>
    <n v="660"/>
    <d v="2026-06-22T00:00:00"/>
    <m/>
    <m/>
    <x v="5"/>
    <x v="2"/>
  </r>
  <r>
    <n v="715"/>
    <n v="1345"/>
    <x v="10"/>
    <n v="1"/>
    <n v="65"/>
    <n v="65"/>
    <s v="Delivered"/>
    <n v="65"/>
    <d v="2026-06-05T00:00:00"/>
    <m/>
    <m/>
    <x v="10"/>
    <x v="2"/>
  </r>
  <r>
    <n v="716"/>
    <n v="1345"/>
    <x v="4"/>
    <n v="4"/>
    <n v="48"/>
    <n v="192"/>
    <s v="Delivered"/>
    <n v="192"/>
    <d v="2026-06-05T00:00:00"/>
    <m/>
    <m/>
    <x v="4"/>
    <x v="2"/>
  </r>
  <r>
    <n v="717"/>
    <n v="1346"/>
    <x v="4"/>
    <n v="3"/>
    <n v="48"/>
    <n v="144"/>
    <s v="Shipped"/>
    <n v="144"/>
    <d v="2026-03-17T00:00:00"/>
    <m/>
    <m/>
    <x v="4"/>
    <x v="1"/>
  </r>
  <r>
    <n v="718"/>
    <n v="1346"/>
    <x v="9"/>
    <n v="1"/>
    <n v="22"/>
    <n v="22"/>
    <s v="Shipped"/>
    <n v="22"/>
    <d v="2026-03-17T00:00:00"/>
    <m/>
    <m/>
    <x v="9"/>
    <x v="1"/>
  </r>
  <r>
    <n v="719"/>
    <n v="1347"/>
    <x v="2"/>
    <n v="1"/>
    <n v="8"/>
    <n v="8"/>
    <s v="Delivered"/>
    <n v="8"/>
    <d v="2026-02-06T00:00:00"/>
    <m/>
    <m/>
    <x v="2"/>
    <x v="5"/>
  </r>
  <r>
    <n v="720"/>
    <n v="1347"/>
    <x v="10"/>
    <n v="3"/>
    <n v="65"/>
    <n v="195"/>
    <s v="Delivered"/>
    <n v="195"/>
    <d v="2026-02-06T00:00:00"/>
    <m/>
    <m/>
    <x v="10"/>
    <x v="5"/>
  </r>
  <r>
    <n v="721"/>
    <n v="1347"/>
    <x v="8"/>
    <n v="2"/>
    <n v="30"/>
    <n v="60"/>
    <s v="Delivered"/>
    <n v="60"/>
    <d v="2026-02-06T00:00:00"/>
    <m/>
    <m/>
    <x v="8"/>
    <x v="5"/>
  </r>
  <r>
    <n v="722"/>
    <n v="1348"/>
    <x v="6"/>
    <n v="2"/>
    <n v="45"/>
    <n v="90"/>
    <s v="Cancelled"/>
    <n v="0"/>
    <d v="2026-06-15T00:00:00"/>
    <m/>
    <m/>
    <x v="6"/>
    <x v="2"/>
  </r>
  <r>
    <n v="723"/>
    <n v="1349"/>
    <x v="6"/>
    <n v="1"/>
    <n v="45"/>
    <n v="45"/>
    <s v="Delivered"/>
    <n v="45"/>
    <d v="2026-06-07T00:00:00"/>
    <m/>
    <m/>
    <x v="6"/>
    <x v="2"/>
  </r>
  <r>
    <n v="724"/>
    <n v="1350"/>
    <x v="5"/>
    <n v="2"/>
    <n v="220"/>
    <n v="440"/>
    <s v="Delivered"/>
    <n v="440"/>
    <d v="2026-06-15T00:00:00"/>
    <m/>
    <m/>
    <x v="5"/>
    <x v="2"/>
  </r>
  <r>
    <n v="725"/>
    <n v="1350"/>
    <x v="7"/>
    <n v="4"/>
    <n v="180"/>
    <n v="720"/>
    <s v="Delivered"/>
    <n v="720"/>
    <d v="2026-06-15T00:00:00"/>
    <m/>
    <m/>
    <x v="7"/>
    <x v="2"/>
  </r>
  <r>
    <n v="726"/>
    <n v="1350"/>
    <x v="9"/>
    <n v="3"/>
    <n v="22"/>
    <n v="66"/>
    <s v="Delivered"/>
    <n v="66"/>
    <d v="2026-06-15T00:00:00"/>
    <m/>
    <m/>
    <x v="9"/>
    <x v="2"/>
  </r>
  <r>
    <n v="727"/>
    <n v="1351"/>
    <x v="11"/>
    <n v="3"/>
    <n v="55"/>
    <n v="165"/>
    <s v="Delivered"/>
    <n v="165"/>
    <d v="2026-06-08T00:00:00"/>
    <m/>
    <m/>
    <x v="11"/>
    <x v="2"/>
  </r>
  <r>
    <n v="728"/>
    <n v="1351"/>
    <x v="9"/>
    <n v="3"/>
    <n v="22"/>
    <n v="66"/>
    <s v="Delivered"/>
    <n v="66"/>
    <d v="2026-06-08T00:00:00"/>
    <m/>
    <m/>
    <x v="9"/>
    <x v="2"/>
  </r>
  <r>
    <n v="729"/>
    <n v="1352"/>
    <x v="3"/>
    <n v="4"/>
    <n v="25"/>
    <n v="100"/>
    <s v="Delivered"/>
    <n v="100"/>
    <d v="2026-04-20T00:00:00"/>
    <m/>
    <m/>
    <x v="3"/>
    <x v="4"/>
  </r>
  <r>
    <n v="730"/>
    <n v="1353"/>
    <x v="11"/>
    <n v="1"/>
    <n v="55"/>
    <n v="55"/>
    <s v="Delivered"/>
    <n v="55"/>
    <d v="2026-05-03T00:00:00"/>
    <m/>
    <m/>
    <x v="11"/>
    <x v="3"/>
  </r>
  <r>
    <n v="731"/>
    <n v="1353"/>
    <x v="8"/>
    <n v="2"/>
    <n v="30"/>
    <n v="60"/>
    <s v="Delivered"/>
    <n v="60"/>
    <d v="2026-05-03T00:00:00"/>
    <m/>
    <m/>
    <x v="8"/>
    <x v="3"/>
  </r>
  <r>
    <n v="732"/>
    <n v="1354"/>
    <x v="5"/>
    <n v="1"/>
    <n v="220"/>
    <n v="220"/>
    <s v="Delivered"/>
    <n v="220"/>
    <d v="2026-05-18T00:00:00"/>
    <m/>
    <m/>
    <x v="5"/>
    <x v="3"/>
  </r>
  <r>
    <n v="733"/>
    <n v="1354"/>
    <x v="0"/>
    <n v="4"/>
    <n v="750"/>
    <n v="3000"/>
    <s v="Delivered"/>
    <n v="3000"/>
    <d v="2026-05-18T00:00:00"/>
    <m/>
    <m/>
    <x v="0"/>
    <x v="3"/>
  </r>
  <r>
    <n v="734"/>
    <n v="1354"/>
    <x v="8"/>
    <n v="2"/>
    <n v="30"/>
    <n v="60"/>
    <s v="Delivered"/>
    <n v="60"/>
    <d v="2026-05-18T00:00:00"/>
    <m/>
    <m/>
    <x v="8"/>
    <x v="3"/>
  </r>
  <r>
    <n v="735"/>
    <n v="1355"/>
    <x v="10"/>
    <n v="3"/>
    <n v="65"/>
    <n v="195"/>
    <s v="Delivered"/>
    <n v="195"/>
    <d v="2026-05-01T00:00:00"/>
    <m/>
    <m/>
    <x v="10"/>
    <x v="3"/>
  </r>
  <r>
    <n v="736"/>
    <n v="1355"/>
    <x v="3"/>
    <n v="2"/>
    <n v="25"/>
    <n v="50"/>
    <s v="Delivered"/>
    <n v="50"/>
    <d v="2026-05-01T00:00:00"/>
    <m/>
    <m/>
    <x v="3"/>
    <x v="3"/>
  </r>
  <r>
    <n v="737"/>
    <n v="1356"/>
    <x v="6"/>
    <n v="2"/>
    <n v="45"/>
    <n v="90"/>
    <s v="Delivered"/>
    <n v="90"/>
    <d v="2026-01-03T00:00:00"/>
    <m/>
    <m/>
    <x v="6"/>
    <x v="0"/>
  </r>
  <r>
    <n v="738"/>
    <n v="1356"/>
    <x v="11"/>
    <n v="2"/>
    <n v="55"/>
    <n v="110"/>
    <s v="Delivered"/>
    <n v="110"/>
    <d v="2026-01-03T00:00:00"/>
    <m/>
    <m/>
    <x v="11"/>
    <x v="0"/>
  </r>
  <r>
    <n v="739"/>
    <n v="1356"/>
    <x v="9"/>
    <n v="4"/>
    <n v="22"/>
    <n v="88"/>
    <s v="Delivered"/>
    <n v="88"/>
    <d v="2026-01-03T00:00:00"/>
    <m/>
    <m/>
    <x v="9"/>
    <x v="0"/>
  </r>
  <r>
    <n v="740"/>
    <n v="1357"/>
    <x v="4"/>
    <n v="2"/>
    <n v="48"/>
    <n v="96"/>
    <s v="Delivered"/>
    <n v="96"/>
    <d v="2026-01-17T00:00:00"/>
    <m/>
    <m/>
    <x v="4"/>
    <x v="0"/>
  </r>
  <r>
    <n v="741"/>
    <n v="1358"/>
    <x v="9"/>
    <n v="3"/>
    <n v="22"/>
    <n v="66"/>
    <s v="Delivered"/>
    <n v="66"/>
    <d v="2026-01-12T00:00:00"/>
    <m/>
    <m/>
    <x v="9"/>
    <x v="0"/>
  </r>
  <r>
    <n v="742"/>
    <n v="1359"/>
    <x v="4"/>
    <n v="3"/>
    <n v="48"/>
    <n v="144"/>
    <s v="Delivered"/>
    <n v="144"/>
    <d v="2026-04-07T00:00:00"/>
    <m/>
    <m/>
    <x v="4"/>
    <x v="4"/>
  </r>
  <r>
    <n v="743"/>
    <n v="1359"/>
    <x v="5"/>
    <n v="4"/>
    <n v="220"/>
    <n v="880"/>
    <s v="Delivered"/>
    <n v="880"/>
    <d v="2026-04-07T00:00:00"/>
    <m/>
    <m/>
    <x v="5"/>
    <x v="4"/>
  </r>
  <r>
    <n v="744"/>
    <n v="1359"/>
    <x v="8"/>
    <n v="2"/>
    <n v="30"/>
    <n v="60"/>
    <s v="Delivered"/>
    <n v="60"/>
    <d v="2026-04-07T00:00:00"/>
    <m/>
    <m/>
    <x v="8"/>
    <x v="4"/>
  </r>
  <r>
    <n v="745"/>
    <n v="1360"/>
    <x v="6"/>
    <n v="2"/>
    <n v="45"/>
    <n v="90"/>
    <s v="Cancelled"/>
    <n v="0"/>
    <d v="2026-05-04T00:00:00"/>
    <m/>
    <m/>
    <x v="6"/>
    <x v="3"/>
  </r>
  <r>
    <n v="746"/>
    <n v="1360"/>
    <x v="11"/>
    <n v="1"/>
    <n v="55"/>
    <n v="55"/>
    <s v="Cancelled"/>
    <n v="0"/>
    <d v="2026-05-04T00:00:00"/>
    <m/>
    <m/>
    <x v="11"/>
    <x v="3"/>
  </r>
  <r>
    <n v="747"/>
    <n v="1360"/>
    <x v="9"/>
    <n v="3"/>
    <n v="22"/>
    <n v="66"/>
    <s v="Cancelled"/>
    <n v="0"/>
    <d v="2026-05-04T00:00:00"/>
    <m/>
    <m/>
    <x v="9"/>
    <x v="3"/>
  </r>
  <r>
    <n v="748"/>
    <n v="1361"/>
    <x v="2"/>
    <n v="2"/>
    <n v="8"/>
    <n v="16"/>
    <s v="Delivered"/>
    <n v="16"/>
    <d v="2026-02-24T00:00:00"/>
    <m/>
    <m/>
    <x v="2"/>
    <x v="5"/>
  </r>
  <r>
    <n v="749"/>
    <n v="1361"/>
    <x v="5"/>
    <n v="4"/>
    <n v="220"/>
    <n v="880"/>
    <s v="Delivered"/>
    <n v="880"/>
    <d v="2026-02-24T00:00:00"/>
    <m/>
    <m/>
    <x v="5"/>
    <x v="5"/>
  </r>
  <r>
    <n v="750"/>
    <n v="1362"/>
    <x v="10"/>
    <n v="1"/>
    <n v="65"/>
    <n v="65"/>
    <s v="Delivered"/>
    <n v="65"/>
    <d v="2026-05-03T00:00:00"/>
    <m/>
    <m/>
    <x v="10"/>
    <x v="3"/>
  </r>
  <r>
    <n v="751"/>
    <n v="1362"/>
    <x v="0"/>
    <n v="2"/>
    <n v="750"/>
    <n v="1500"/>
    <s v="Delivered"/>
    <n v="1500"/>
    <d v="2026-05-03T00:00:00"/>
    <m/>
    <m/>
    <x v="0"/>
    <x v="3"/>
  </r>
  <r>
    <n v="752"/>
    <n v="1362"/>
    <x v="3"/>
    <n v="2"/>
    <n v="25"/>
    <n v="50"/>
    <s v="Delivered"/>
    <n v="50"/>
    <d v="2026-05-03T00:00:00"/>
    <m/>
    <m/>
    <x v="3"/>
    <x v="3"/>
  </r>
  <r>
    <n v="753"/>
    <n v="1363"/>
    <x v="10"/>
    <n v="1"/>
    <n v="65"/>
    <n v="65"/>
    <s v="Delivered"/>
    <n v="65"/>
    <d v="2026-01-15T00:00:00"/>
    <m/>
    <m/>
    <x v="10"/>
    <x v="0"/>
  </r>
  <r>
    <n v="754"/>
    <n v="1363"/>
    <x v="2"/>
    <n v="3"/>
    <n v="8"/>
    <n v="24"/>
    <s v="Delivered"/>
    <n v="24"/>
    <d v="2026-01-15T00:00:00"/>
    <m/>
    <m/>
    <x v="2"/>
    <x v="0"/>
  </r>
  <r>
    <n v="755"/>
    <n v="1363"/>
    <x v="4"/>
    <n v="1"/>
    <n v="48"/>
    <n v="48"/>
    <s v="Delivered"/>
    <n v="48"/>
    <d v="2026-01-15T00:00:00"/>
    <m/>
    <m/>
    <x v="4"/>
    <x v="0"/>
  </r>
  <r>
    <n v="756"/>
    <n v="1364"/>
    <x v="6"/>
    <n v="3"/>
    <n v="45"/>
    <n v="135"/>
    <s v="Delivered"/>
    <n v="135"/>
    <d v="2026-02-13T00:00:00"/>
    <m/>
    <m/>
    <x v="6"/>
    <x v="5"/>
  </r>
  <r>
    <n v="757"/>
    <n v="1364"/>
    <x v="2"/>
    <n v="2"/>
    <n v="8"/>
    <n v="16"/>
    <s v="Delivered"/>
    <n v="16"/>
    <d v="2026-02-13T00:00:00"/>
    <m/>
    <m/>
    <x v="2"/>
    <x v="5"/>
  </r>
  <r>
    <n v="758"/>
    <n v="1364"/>
    <x v="9"/>
    <n v="3"/>
    <n v="22"/>
    <n v="66"/>
    <s v="Delivered"/>
    <n v="66"/>
    <d v="2026-02-13T00:00:00"/>
    <m/>
    <m/>
    <x v="9"/>
    <x v="5"/>
  </r>
  <r>
    <n v="759"/>
    <n v="1365"/>
    <x v="8"/>
    <n v="4"/>
    <n v="30"/>
    <n v="120"/>
    <s v="Delivered"/>
    <n v="120"/>
    <d v="2026-04-09T00:00:00"/>
    <m/>
    <m/>
    <x v="8"/>
    <x v="4"/>
  </r>
  <r>
    <n v="760"/>
    <n v="1366"/>
    <x v="5"/>
    <n v="2"/>
    <n v="220"/>
    <n v="440"/>
    <s v="Delivered"/>
    <n v="440"/>
    <d v="2026-06-03T00:00:00"/>
    <m/>
    <m/>
    <x v="5"/>
    <x v="2"/>
  </r>
  <r>
    <n v="761"/>
    <n v="1366"/>
    <x v="9"/>
    <n v="1"/>
    <n v="22"/>
    <n v="22"/>
    <s v="Delivered"/>
    <n v="22"/>
    <d v="2026-06-03T00:00:00"/>
    <m/>
    <m/>
    <x v="9"/>
    <x v="2"/>
  </r>
  <r>
    <n v="762"/>
    <n v="1366"/>
    <x v="11"/>
    <n v="4"/>
    <n v="55"/>
    <n v="220"/>
    <s v="Delivered"/>
    <n v="220"/>
    <d v="2026-06-03T00:00:00"/>
    <m/>
    <m/>
    <x v="11"/>
    <x v="2"/>
  </r>
  <r>
    <n v="763"/>
    <n v="1367"/>
    <x v="1"/>
    <n v="1"/>
    <n v="140"/>
    <n v="140"/>
    <s v="Delivered"/>
    <n v="140"/>
    <d v="2026-04-20T00:00:00"/>
    <m/>
    <m/>
    <x v="1"/>
    <x v="4"/>
  </r>
  <r>
    <n v="764"/>
    <n v="1367"/>
    <x v="2"/>
    <n v="4"/>
    <n v="8"/>
    <n v="32"/>
    <s v="Delivered"/>
    <n v="32"/>
    <d v="2026-04-20T00:00:00"/>
    <m/>
    <m/>
    <x v="2"/>
    <x v="4"/>
  </r>
  <r>
    <n v="765"/>
    <n v="1368"/>
    <x v="7"/>
    <n v="1"/>
    <n v="180"/>
    <n v="180"/>
    <s v="Delivered"/>
    <n v="180"/>
    <d v="2026-03-14T00:00:00"/>
    <m/>
    <m/>
    <x v="7"/>
    <x v="1"/>
  </r>
  <r>
    <n v="766"/>
    <n v="1368"/>
    <x v="3"/>
    <n v="1"/>
    <n v="25"/>
    <n v="25"/>
    <s v="Delivered"/>
    <n v="25"/>
    <d v="2026-03-14T00:00:00"/>
    <m/>
    <m/>
    <x v="3"/>
    <x v="1"/>
  </r>
  <r>
    <n v="767"/>
    <n v="1369"/>
    <x v="1"/>
    <n v="2"/>
    <n v="140"/>
    <n v="280"/>
    <s v="Delivered"/>
    <n v="280"/>
    <d v="2026-02-22T00:00:00"/>
    <m/>
    <m/>
    <x v="1"/>
    <x v="5"/>
  </r>
  <r>
    <n v="768"/>
    <n v="1369"/>
    <x v="5"/>
    <n v="4"/>
    <n v="220"/>
    <n v="880"/>
    <s v="Delivered"/>
    <n v="880"/>
    <d v="2026-02-22T00:00:00"/>
    <m/>
    <m/>
    <x v="5"/>
    <x v="5"/>
  </r>
  <r>
    <n v="769"/>
    <n v="1370"/>
    <x v="10"/>
    <n v="4"/>
    <n v="65"/>
    <n v="260"/>
    <s v="Delivered"/>
    <n v="260"/>
    <d v="2026-05-25T00:00:00"/>
    <m/>
    <m/>
    <x v="10"/>
    <x v="3"/>
  </r>
  <r>
    <n v="770"/>
    <n v="1370"/>
    <x v="3"/>
    <n v="2"/>
    <n v="25"/>
    <n v="50"/>
    <s v="Delivered"/>
    <n v="50"/>
    <d v="2026-05-25T00:00:00"/>
    <m/>
    <m/>
    <x v="3"/>
    <x v="3"/>
  </r>
  <r>
    <n v="771"/>
    <n v="1370"/>
    <x v="9"/>
    <n v="3"/>
    <n v="22"/>
    <n v="66"/>
    <s v="Delivered"/>
    <n v="66"/>
    <d v="2026-05-25T00:00:00"/>
    <m/>
    <m/>
    <x v="9"/>
    <x v="3"/>
  </r>
  <r>
    <n v="772"/>
    <n v="1371"/>
    <x v="6"/>
    <n v="2"/>
    <n v="45"/>
    <n v="90"/>
    <s v="Delivered"/>
    <n v="90"/>
    <d v="2026-03-30T00:00:00"/>
    <m/>
    <m/>
    <x v="6"/>
    <x v="1"/>
  </r>
  <r>
    <n v="773"/>
    <n v="1371"/>
    <x v="4"/>
    <n v="4"/>
    <n v="48"/>
    <n v="192"/>
    <s v="Delivered"/>
    <n v="192"/>
    <d v="2026-03-30T00:00:00"/>
    <m/>
    <m/>
    <x v="4"/>
    <x v="1"/>
  </r>
  <r>
    <n v="774"/>
    <n v="1371"/>
    <x v="5"/>
    <n v="2"/>
    <n v="220"/>
    <n v="440"/>
    <s v="Delivered"/>
    <n v="440"/>
    <d v="2026-03-30T00:00:00"/>
    <m/>
    <m/>
    <x v="5"/>
    <x v="1"/>
  </r>
  <r>
    <n v="775"/>
    <n v="1372"/>
    <x v="10"/>
    <n v="1"/>
    <n v="65"/>
    <n v="65"/>
    <s v="Delivered"/>
    <n v="65"/>
    <d v="2026-06-07T00:00:00"/>
    <m/>
    <m/>
    <x v="10"/>
    <x v="2"/>
  </r>
  <r>
    <n v="776"/>
    <n v="1373"/>
    <x v="1"/>
    <n v="1"/>
    <n v="140"/>
    <n v="140"/>
    <s v="Delivered"/>
    <n v="140"/>
    <d v="2026-04-22T00:00:00"/>
    <m/>
    <m/>
    <x v="1"/>
    <x v="4"/>
  </r>
  <r>
    <n v="777"/>
    <n v="1374"/>
    <x v="2"/>
    <n v="4"/>
    <n v="8"/>
    <n v="32"/>
    <s v="Delivered"/>
    <n v="32"/>
    <d v="2026-06-07T00:00:00"/>
    <m/>
    <m/>
    <x v="2"/>
    <x v="2"/>
  </r>
  <r>
    <n v="778"/>
    <n v="1374"/>
    <x v="0"/>
    <n v="4"/>
    <n v="750"/>
    <n v="3000"/>
    <s v="Delivered"/>
    <n v="3000"/>
    <d v="2026-06-07T00:00:00"/>
    <m/>
    <m/>
    <x v="0"/>
    <x v="2"/>
  </r>
  <r>
    <n v="779"/>
    <n v="1374"/>
    <x v="6"/>
    <n v="1"/>
    <n v="45"/>
    <n v="45"/>
    <s v="Delivered"/>
    <n v="45"/>
    <d v="2026-06-07T00:00:00"/>
    <m/>
    <m/>
    <x v="6"/>
    <x v="2"/>
  </r>
  <r>
    <n v="780"/>
    <n v="1375"/>
    <x v="9"/>
    <n v="2"/>
    <n v="22"/>
    <n v="44"/>
    <s v="Delivered"/>
    <n v="44"/>
    <d v="2026-02-19T00:00:00"/>
    <m/>
    <m/>
    <x v="9"/>
    <x v="5"/>
  </r>
  <r>
    <n v="781"/>
    <n v="1375"/>
    <x v="3"/>
    <n v="1"/>
    <n v="25"/>
    <n v="25"/>
    <s v="Delivered"/>
    <n v="25"/>
    <d v="2026-02-19T00:00:00"/>
    <m/>
    <m/>
    <x v="3"/>
    <x v="5"/>
  </r>
  <r>
    <n v="782"/>
    <n v="1375"/>
    <x v="2"/>
    <n v="3"/>
    <n v="8"/>
    <n v="24"/>
    <s v="Delivered"/>
    <n v="24"/>
    <d v="2026-02-19T00:00:00"/>
    <m/>
    <m/>
    <x v="2"/>
    <x v="5"/>
  </r>
  <r>
    <n v="783"/>
    <n v="1376"/>
    <x v="2"/>
    <n v="1"/>
    <n v="8"/>
    <n v="8"/>
    <s v="Delivered"/>
    <n v="8"/>
    <d v="2026-04-13T00:00:00"/>
    <m/>
    <m/>
    <x v="2"/>
    <x v="4"/>
  </r>
  <r>
    <n v="784"/>
    <n v="1376"/>
    <x v="3"/>
    <n v="1"/>
    <n v="25"/>
    <n v="25"/>
    <s v="Delivered"/>
    <n v="25"/>
    <d v="2026-04-13T00:00:00"/>
    <m/>
    <m/>
    <x v="3"/>
    <x v="4"/>
  </r>
  <r>
    <n v="785"/>
    <n v="1377"/>
    <x v="2"/>
    <n v="2"/>
    <n v="8"/>
    <n v="16"/>
    <s v="Delivered"/>
    <n v="16"/>
    <d v="2026-05-30T00:00:00"/>
    <m/>
    <m/>
    <x v="2"/>
    <x v="3"/>
  </r>
  <r>
    <n v="786"/>
    <n v="1378"/>
    <x v="8"/>
    <n v="3"/>
    <n v="30"/>
    <n v="90"/>
    <s v="Delivered"/>
    <n v="90"/>
    <d v="2026-04-15T00:00:00"/>
    <m/>
    <m/>
    <x v="8"/>
    <x v="4"/>
  </r>
  <r>
    <n v="787"/>
    <n v="1379"/>
    <x v="9"/>
    <n v="4"/>
    <n v="22"/>
    <n v="88"/>
    <s v="Delivered"/>
    <n v="88"/>
    <d v="2026-05-18T00:00:00"/>
    <m/>
    <m/>
    <x v="9"/>
    <x v="3"/>
  </r>
  <r>
    <n v="788"/>
    <n v="1379"/>
    <x v="11"/>
    <n v="4"/>
    <n v="55"/>
    <n v="220"/>
    <s v="Delivered"/>
    <n v="220"/>
    <d v="2026-05-18T00:00:00"/>
    <m/>
    <m/>
    <x v="11"/>
    <x v="3"/>
  </r>
  <r>
    <n v="789"/>
    <n v="1380"/>
    <x v="5"/>
    <n v="1"/>
    <n v="220"/>
    <n v="220"/>
    <s v="Delivered"/>
    <n v="220"/>
    <d v="2026-06-24T00:00:00"/>
    <m/>
    <m/>
    <x v="5"/>
    <x v="2"/>
  </r>
  <r>
    <n v="790"/>
    <n v="1380"/>
    <x v="7"/>
    <n v="4"/>
    <n v="180"/>
    <n v="720"/>
    <s v="Delivered"/>
    <n v="720"/>
    <d v="2026-06-24T00:00:00"/>
    <m/>
    <m/>
    <x v="7"/>
    <x v="2"/>
  </r>
  <r>
    <n v="791"/>
    <n v="1381"/>
    <x v="8"/>
    <n v="2"/>
    <n v="30"/>
    <n v="60"/>
    <s v="Delivered"/>
    <n v="60"/>
    <d v="2026-03-22T00:00:00"/>
    <m/>
    <m/>
    <x v="8"/>
    <x v="1"/>
  </r>
  <r>
    <n v="792"/>
    <n v="1381"/>
    <x v="0"/>
    <n v="3"/>
    <n v="750"/>
    <n v="2250"/>
    <s v="Delivered"/>
    <n v="2250"/>
    <d v="2026-03-22T00:00:00"/>
    <m/>
    <m/>
    <x v="0"/>
    <x v="1"/>
  </r>
  <r>
    <n v="793"/>
    <n v="1381"/>
    <x v="7"/>
    <n v="1"/>
    <n v="180"/>
    <n v="180"/>
    <s v="Delivered"/>
    <n v="180"/>
    <d v="2026-03-22T00:00:00"/>
    <m/>
    <m/>
    <x v="7"/>
    <x v="1"/>
  </r>
  <r>
    <n v="794"/>
    <n v="1382"/>
    <x v="2"/>
    <n v="3"/>
    <n v="8"/>
    <n v="24"/>
    <s v="Delivered"/>
    <n v="24"/>
    <d v="2026-02-15T00:00:00"/>
    <m/>
    <m/>
    <x v="2"/>
    <x v="5"/>
  </r>
  <r>
    <n v="795"/>
    <n v="1383"/>
    <x v="3"/>
    <n v="2"/>
    <n v="25"/>
    <n v="50"/>
    <s v="Delivered"/>
    <n v="50"/>
    <d v="2026-05-08T00:00:00"/>
    <m/>
    <m/>
    <x v="3"/>
    <x v="3"/>
  </r>
  <r>
    <n v="796"/>
    <n v="1383"/>
    <x v="7"/>
    <n v="2"/>
    <n v="180"/>
    <n v="360"/>
    <s v="Delivered"/>
    <n v="360"/>
    <d v="2026-05-08T00:00:00"/>
    <m/>
    <m/>
    <x v="7"/>
    <x v="3"/>
  </r>
  <r>
    <n v="797"/>
    <n v="1383"/>
    <x v="9"/>
    <n v="2"/>
    <n v="22"/>
    <n v="44"/>
    <s v="Delivered"/>
    <n v="44"/>
    <d v="2026-05-08T00:00:00"/>
    <m/>
    <m/>
    <x v="9"/>
    <x v="3"/>
  </r>
  <r>
    <n v="798"/>
    <n v="1384"/>
    <x v="0"/>
    <n v="4"/>
    <n v="750"/>
    <n v="3000"/>
    <s v="Delivered"/>
    <n v="3000"/>
    <d v="2026-01-21T00:00:00"/>
    <m/>
    <m/>
    <x v="0"/>
    <x v="0"/>
  </r>
  <r>
    <n v="799"/>
    <n v="1384"/>
    <x v="8"/>
    <n v="3"/>
    <n v="30"/>
    <n v="90"/>
    <s v="Delivered"/>
    <n v="90"/>
    <d v="2026-01-21T00:00:00"/>
    <m/>
    <m/>
    <x v="8"/>
    <x v="0"/>
  </r>
  <r>
    <n v="800"/>
    <n v="1384"/>
    <x v="9"/>
    <n v="3"/>
    <n v="22"/>
    <n v="66"/>
    <s v="Delivered"/>
    <n v="66"/>
    <d v="2026-01-21T00:00:00"/>
    <m/>
    <m/>
    <x v="9"/>
    <x v="0"/>
  </r>
  <r>
    <n v="801"/>
    <n v="1385"/>
    <x v="10"/>
    <n v="2"/>
    <n v="65"/>
    <n v="130"/>
    <s v="Delivered"/>
    <n v="130"/>
    <d v="2026-05-06T00:00:00"/>
    <m/>
    <m/>
    <x v="10"/>
    <x v="3"/>
  </r>
  <r>
    <n v="802"/>
    <n v="1385"/>
    <x v="3"/>
    <n v="1"/>
    <n v="25"/>
    <n v="25"/>
    <s v="Delivered"/>
    <n v="25"/>
    <d v="2026-05-06T00:00:00"/>
    <m/>
    <m/>
    <x v="3"/>
    <x v="3"/>
  </r>
  <r>
    <n v="803"/>
    <n v="1386"/>
    <x v="5"/>
    <n v="4"/>
    <n v="220"/>
    <n v="880"/>
    <s v="Delivered"/>
    <n v="880"/>
    <d v="2026-05-09T00:00:00"/>
    <m/>
    <m/>
    <x v="5"/>
    <x v="3"/>
  </r>
  <r>
    <n v="804"/>
    <n v="1386"/>
    <x v="8"/>
    <n v="3"/>
    <n v="30"/>
    <n v="90"/>
    <s v="Delivered"/>
    <n v="90"/>
    <d v="2026-05-09T00:00:00"/>
    <m/>
    <m/>
    <x v="8"/>
    <x v="3"/>
  </r>
  <r>
    <n v="805"/>
    <n v="1387"/>
    <x v="8"/>
    <n v="3"/>
    <n v="30"/>
    <n v="90"/>
    <s v="Delivered"/>
    <n v="90"/>
    <d v="2026-01-26T00:00:00"/>
    <m/>
    <m/>
    <x v="8"/>
    <x v="0"/>
  </r>
  <r>
    <n v="806"/>
    <n v="1388"/>
    <x v="9"/>
    <n v="3"/>
    <n v="22"/>
    <n v="66"/>
    <s v="Delivered"/>
    <n v="66"/>
    <d v="2026-02-17T00:00:00"/>
    <m/>
    <m/>
    <x v="9"/>
    <x v="5"/>
  </r>
  <r>
    <n v="807"/>
    <n v="1388"/>
    <x v="1"/>
    <n v="4"/>
    <n v="140"/>
    <n v="560"/>
    <s v="Delivered"/>
    <n v="560"/>
    <d v="2026-02-17T00:00:00"/>
    <m/>
    <m/>
    <x v="1"/>
    <x v="5"/>
  </r>
  <r>
    <n v="808"/>
    <n v="1389"/>
    <x v="7"/>
    <n v="4"/>
    <n v="180"/>
    <n v="720"/>
    <s v="Delivered"/>
    <n v="720"/>
    <d v="2026-06-25T00:00:00"/>
    <m/>
    <m/>
    <x v="7"/>
    <x v="2"/>
  </r>
  <r>
    <n v="809"/>
    <n v="1389"/>
    <x v="3"/>
    <n v="4"/>
    <n v="25"/>
    <n v="100"/>
    <s v="Delivered"/>
    <n v="100"/>
    <d v="2026-06-25T00:00:00"/>
    <m/>
    <m/>
    <x v="3"/>
    <x v="2"/>
  </r>
  <r>
    <n v="810"/>
    <n v="1389"/>
    <x v="8"/>
    <n v="2"/>
    <n v="30"/>
    <n v="60"/>
    <s v="Delivered"/>
    <n v="60"/>
    <d v="2026-06-25T00:00:00"/>
    <m/>
    <m/>
    <x v="8"/>
    <x v="2"/>
  </r>
  <r>
    <n v="811"/>
    <n v="1390"/>
    <x v="8"/>
    <n v="4"/>
    <n v="30"/>
    <n v="120"/>
    <s v="Delivered"/>
    <n v="120"/>
    <d v="2026-02-15T00:00:00"/>
    <m/>
    <m/>
    <x v="8"/>
    <x v="5"/>
  </r>
  <r>
    <n v="812"/>
    <n v="1390"/>
    <x v="9"/>
    <n v="3"/>
    <n v="22"/>
    <n v="66"/>
    <s v="Delivered"/>
    <n v="66"/>
    <d v="2026-02-15T00:00:00"/>
    <m/>
    <m/>
    <x v="9"/>
    <x v="5"/>
  </r>
  <r>
    <n v="813"/>
    <n v="1390"/>
    <x v="1"/>
    <n v="3"/>
    <n v="140"/>
    <n v="420"/>
    <s v="Delivered"/>
    <n v="420"/>
    <d v="2026-02-15T00:00:00"/>
    <m/>
    <m/>
    <x v="1"/>
    <x v="5"/>
  </r>
  <r>
    <n v="814"/>
    <n v="1391"/>
    <x v="4"/>
    <n v="4"/>
    <n v="48"/>
    <n v="192"/>
    <s v="Delivered"/>
    <n v="192"/>
    <d v="2026-02-11T00:00:00"/>
    <m/>
    <m/>
    <x v="4"/>
    <x v="5"/>
  </r>
  <r>
    <n v="815"/>
    <n v="1391"/>
    <x v="5"/>
    <n v="3"/>
    <n v="220"/>
    <n v="660"/>
    <s v="Delivered"/>
    <n v="660"/>
    <d v="2026-02-11T00:00:00"/>
    <m/>
    <m/>
    <x v="5"/>
    <x v="5"/>
  </r>
  <r>
    <n v="816"/>
    <n v="1392"/>
    <x v="4"/>
    <n v="2"/>
    <n v="48"/>
    <n v="96"/>
    <s v="Delivered"/>
    <n v="96"/>
    <d v="2026-03-30T00:00:00"/>
    <m/>
    <m/>
    <x v="4"/>
    <x v="1"/>
  </r>
  <r>
    <n v="817"/>
    <n v="1392"/>
    <x v="2"/>
    <n v="2"/>
    <n v="8"/>
    <n v="16"/>
    <s v="Delivered"/>
    <n v="16"/>
    <d v="2026-03-30T00:00:00"/>
    <m/>
    <m/>
    <x v="2"/>
    <x v="1"/>
  </r>
  <r>
    <n v="818"/>
    <n v="1393"/>
    <x v="10"/>
    <n v="3"/>
    <n v="65"/>
    <n v="195"/>
    <s v="Delivered"/>
    <n v="195"/>
    <d v="2026-05-05T00:00:00"/>
    <m/>
    <m/>
    <x v="10"/>
    <x v="3"/>
  </r>
  <r>
    <n v="819"/>
    <n v="1394"/>
    <x v="5"/>
    <n v="2"/>
    <n v="220"/>
    <n v="440"/>
    <s v="Delivered"/>
    <n v="440"/>
    <d v="2026-03-28T00:00:00"/>
    <m/>
    <m/>
    <x v="5"/>
    <x v="1"/>
  </r>
  <r>
    <n v="820"/>
    <n v="1394"/>
    <x v="9"/>
    <n v="3"/>
    <n v="22"/>
    <n v="66"/>
    <s v="Delivered"/>
    <n v="66"/>
    <d v="2026-03-28T00:00:00"/>
    <m/>
    <m/>
    <x v="9"/>
    <x v="1"/>
  </r>
  <r>
    <n v="821"/>
    <n v="1395"/>
    <x v="1"/>
    <n v="4"/>
    <n v="140"/>
    <n v="560"/>
    <s v="Delivered"/>
    <n v="560"/>
    <d v="2026-06-04T00:00:00"/>
    <m/>
    <m/>
    <x v="1"/>
    <x v="2"/>
  </r>
  <r>
    <n v="822"/>
    <n v="1395"/>
    <x v="2"/>
    <n v="4"/>
    <n v="8"/>
    <n v="32"/>
    <s v="Delivered"/>
    <n v="32"/>
    <d v="2026-06-04T00:00:00"/>
    <m/>
    <m/>
    <x v="2"/>
    <x v="2"/>
  </r>
  <r>
    <n v="823"/>
    <n v="1396"/>
    <x v="6"/>
    <n v="4"/>
    <n v="45"/>
    <n v="180"/>
    <s v="Delivered"/>
    <n v="180"/>
    <d v="2026-06-19T00:00:00"/>
    <m/>
    <m/>
    <x v="6"/>
    <x v="2"/>
  </r>
  <r>
    <n v="824"/>
    <n v="1397"/>
    <x v="5"/>
    <n v="2"/>
    <n v="220"/>
    <n v="440"/>
    <s v="Delivered"/>
    <n v="440"/>
    <d v="2026-01-14T00:00:00"/>
    <m/>
    <m/>
    <x v="5"/>
    <x v="0"/>
  </r>
  <r>
    <n v="825"/>
    <n v="1397"/>
    <x v="9"/>
    <n v="1"/>
    <n v="22"/>
    <n v="22"/>
    <s v="Delivered"/>
    <n v="22"/>
    <d v="2026-01-14T00:00:00"/>
    <m/>
    <m/>
    <x v="9"/>
    <x v="0"/>
  </r>
  <r>
    <n v="826"/>
    <n v="1397"/>
    <x v="7"/>
    <n v="4"/>
    <n v="180"/>
    <n v="720"/>
    <s v="Delivered"/>
    <n v="720"/>
    <d v="2026-01-14T00:00:00"/>
    <m/>
    <m/>
    <x v="7"/>
    <x v="0"/>
  </r>
  <r>
    <n v="827"/>
    <n v="1398"/>
    <x v="0"/>
    <n v="3"/>
    <n v="750"/>
    <n v="2250"/>
    <s v="Delivered"/>
    <n v="2250"/>
    <d v="2026-02-02T00:00:00"/>
    <m/>
    <m/>
    <x v="0"/>
    <x v="5"/>
  </r>
  <r>
    <n v="828"/>
    <n v="1399"/>
    <x v="8"/>
    <n v="4"/>
    <n v="30"/>
    <n v="120"/>
    <s v="Delivered"/>
    <n v="120"/>
    <d v="2026-03-11T00:00:00"/>
    <m/>
    <m/>
    <x v="8"/>
    <x v="1"/>
  </r>
  <r>
    <n v="829"/>
    <n v="1399"/>
    <x v="6"/>
    <n v="4"/>
    <n v="45"/>
    <n v="180"/>
    <s v="Delivered"/>
    <n v="180"/>
    <d v="2026-03-11T00:00:00"/>
    <m/>
    <m/>
    <x v="6"/>
    <x v="1"/>
  </r>
  <r>
    <n v="830"/>
    <n v="1399"/>
    <x v="2"/>
    <n v="3"/>
    <n v="8"/>
    <n v="24"/>
    <s v="Delivered"/>
    <n v="24"/>
    <d v="2026-03-11T00:00:00"/>
    <m/>
    <m/>
    <x v="2"/>
    <x v="1"/>
  </r>
  <r>
    <n v="831"/>
    <n v="1400"/>
    <x v="6"/>
    <n v="1"/>
    <n v="45"/>
    <n v="45"/>
    <s v="Delivered"/>
    <n v="45"/>
    <d v="2026-04-24T00:00:00"/>
    <m/>
    <m/>
    <x v="6"/>
    <x v="4"/>
  </r>
  <r>
    <n v="832"/>
    <n v="1400"/>
    <x v="7"/>
    <n v="1"/>
    <n v="180"/>
    <n v="180"/>
    <s v="Delivered"/>
    <n v="180"/>
    <d v="2026-04-24T00:00:00"/>
    <m/>
    <m/>
    <x v="7"/>
    <x v="4"/>
  </r>
  <r>
    <n v="833"/>
    <n v="1401"/>
    <x v="7"/>
    <n v="4"/>
    <n v="180"/>
    <n v="720"/>
    <s v="Delivered"/>
    <n v="720"/>
    <d v="2026-05-01T00:00:00"/>
    <m/>
    <m/>
    <x v="7"/>
    <x v="3"/>
  </r>
  <r>
    <n v="834"/>
    <n v="1401"/>
    <x v="0"/>
    <n v="3"/>
    <n v="750"/>
    <n v="2250"/>
    <s v="Delivered"/>
    <n v="2250"/>
    <d v="2026-05-01T00:00:00"/>
    <m/>
    <m/>
    <x v="0"/>
    <x v="3"/>
  </r>
  <r>
    <n v="835"/>
    <n v="1402"/>
    <x v="3"/>
    <n v="4"/>
    <n v="25"/>
    <n v="100"/>
    <s v="Cancelled"/>
    <n v="0"/>
    <d v="2026-04-16T00:00:00"/>
    <m/>
    <m/>
    <x v="3"/>
    <x v="4"/>
  </r>
  <r>
    <n v="836"/>
    <n v="1402"/>
    <x v="6"/>
    <n v="4"/>
    <n v="45"/>
    <n v="180"/>
    <s v="Cancelled"/>
    <n v="0"/>
    <d v="2026-04-16T00:00:00"/>
    <m/>
    <m/>
    <x v="6"/>
    <x v="4"/>
  </r>
  <r>
    <n v="837"/>
    <n v="1403"/>
    <x v="3"/>
    <n v="3"/>
    <n v="25"/>
    <n v="75"/>
    <s v="Delivered"/>
    <n v="75"/>
    <d v="2026-02-26T00:00:00"/>
    <m/>
    <m/>
    <x v="3"/>
    <x v="5"/>
  </r>
  <r>
    <n v="838"/>
    <n v="1403"/>
    <x v="8"/>
    <n v="3"/>
    <n v="30"/>
    <n v="90"/>
    <s v="Delivered"/>
    <n v="90"/>
    <d v="2026-02-26T00:00:00"/>
    <m/>
    <m/>
    <x v="8"/>
    <x v="5"/>
  </r>
  <r>
    <n v="839"/>
    <n v="1403"/>
    <x v="2"/>
    <n v="3"/>
    <n v="8"/>
    <n v="24"/>
    <s v="Delivered"/>
    <n v="24"/>
    <d v="2026-02-26T00:00:00"/>
    <m/>
    <m/>
    <x v="2"/>
    <x v="5"/>
  </r>
  <r>
    <n v="840"/>
    <n v="1404"/>
    <x v="9"/>
    <n v="4"/>
    <n v="22"/>
    <n v="88"/>
    <s v="Delivered"/>
    <n v="88"/>
    <d v="2026-01-29T00:00:00"/>
    <m/>
    <m/>
    <x v="9"/>
    <x v="0"/>
  </r>
  <r>
    <n v="841"/>
    <n v="1404"/>
    <x v="2"/>
    <n v="2"/>
    <n v="8"/>
    <n v="16"/>
    <s v="Delivered"/>
    <n v="16"/>
    <d v="2026-01-29T00:00:00"/>
    <m/>
    <m/>
    <x v="2"/>
    <x v="0"/>
  </r>
  <r>
    <n v="842"/>
    <n v="1405"/>
    <x v="6"/>
    <n v="1"/>
    <n v="45"/>
    <n v="45"/>
    <s v="Pending"/>
    <n v="45"/>
    <d v="2026-02-17T00:00:00"/>
    <m/>
    <m/>
    <x v="6"/>
    <x v="5"/>
  </r>
  <r>
    <n v="843"/>
    <n v="1405"/>
    <x v="11"/>
    <n v="2"/>
    <n v="55"/>
    <n v="110"/>
    <s v="Pending"/>
    <n v="110"/>
    <d v="2026-02-17T00:00:00"/>
    <m/>
    <m/>
    <x v="11"/>
    <x v="5"/>
  </r>
  <r>
    <n v="844"/>
    <n v="1406"/>
    <x v="10"/>
    <n v="4"/>
    <n v="65"/>
    <n v="260"/>
    <s v="Delivered"/>
    <n v="260"/>
    <d v="2026-02-08T00:00:00"/>
    <m/>
    <m/>
    <x v="10"/>
    <x v="5"/>
  </r>
  <r>
    <n v="845"/>
    <n v="1406"/>
    <x v="7"/>
    <n v="3"/>
    <n v="180"/>
    <n v="540"/>
    <s v="Delivered"/>
    <n v="540"/>
    <d v="2026-02-08T00:00:00"/>
    <m/>
    <m/>
    <x v="7"/>
    <x v="5"/>
  </r>
  <r>
    <n v="846"/>
    <n v="1407"/>
    <x v="8"/>
    <n v="4"/>
    <n v="30"/>
    <n v="120"/>
    <s v="Delivered"/>
    <n v="120"/>
    <d v="2026-01-15T00:00:00"/>
    <m/>
    <m/>
    <x v="8"/>
    <x v="0"/>
  </r>
  <r>
    <n v="847"/>
    <n v="1408"/>
    <x v="11"/>
    <n v="1"/>
    <n v="55"/>
    <n v="55"/>
    <s v="Delivered"/>
    <n v="55"/>
    <d v="2026-01-04T00:00:00"/>
    <m/>
    <m/>
    <x v="11"/>
    <x v="0"/>
  </r>
  <r>
    <n v="848"/>
    <n v="1408"/>
    <x v="3"/>
    <n v="2"/>
    <n v="25"/>
    <n v="50"/>
    <s v="Delivered"/>
    <n v="50"/>
    <d v="2026-01-04T00:00:00"/>
    <m/>
    <m/>
    <x v="3"/>
    <x v="0"/>
  </r>
  <r>
    <n v="849"/>
    <n v="1409"/>
    <x v="6"/>
    <n v="1"/>
    <n v="45"/>
    <n v="45"/>
    <s v="Delivered"/>
    <n v="45"/>
    <d v="2026-05-02T00:00:00"/>
    <m/>
    <m/>
    <x v="6"/>
    <x v="3"/>
  </r>
  <r>
    <n v="850"/>
    <n v="1409"/>
    <x v="4"/>
    <n v="1"/>
    <n v="48"/>
    <n v="48"/>
    <s v="Delivered"/>
    <n v="48"/>
    <d v="2026-05-02T00:00:00"/>
    <m/>
    <m/>
    <x v="4"/>
    <x v="3"/>
  </r>
  <r>
    <n v="851"/>
    <n v="1410"/>
    <x v="4"/>
    <n v="4"/>
    <n v="48"/>
    <n v="192"/>
    <s v="Delivered"/>
    <n v="192"/>
    <d v="2026-06-20T00:00:00"/>
    <m/>
    <m/>
    <x v="4"/>
    <x v="2"/>
  </r>
  <r>
    <n v="852"/>
    <n v="1411"/>
    <x v="2"/>
    <n v="4"/>
    <n v="8"/>
    <n v="32"/>
    <s v="Delivered"/>
    <n v="32"/>
    <d v="2026-04-12T00:00:00"/>
    <m/>
    <m/>
    <x v="2"/>
    <x v="4"/>
  </r>
  <r>
    <n v="853"/>
    <n v="1412"/>
    <x v="0"/>
    <n v="2"/>
    <n v="750"/>
    <n v="1500"/>
    <s v="Delivered"/>
    <n v="1500"/>
    <d v="2026-02-10T00:00:00"/>
    <m/>
    <m/>
    <x v="0"/>
    <x v="5"/>
  </r>
  <r>
    <n v="854"/>
    <n v="1412"/>
    <x v="9"/>
    <n v="1"/>
    <n v="22"/>
    <n v="22"/>
    <s v="Delivered"/>
    <n v="22"/>
    <d v="2026-02-10T00:00:00"/>
    <m/>
    <m/>
    <x v="9"/>
    <x v="5"/>
  </r>
  <r>
    <n v="855"/>
    <n v="1412"/>
    <x v="1"/>
    <n v="2"/>
    <n v="140"/>
    <n v="280"/>
    <s v="Delivered"/>
    <n v="280"/>
    <d v="2026-02-10T00:00:00"/>
    <m/>
    <m/>
    <x v="1"/>
    <x v="5"/>
  </r>
  <r>
    <n v="856"/>
    <n v="1413"/>
    <x v="3"/>
    <n v="3"/>
    <n v="25"/>
    <n v="75"/>
    <s v="Delivered"/>
    <n v="75"/>
    <d v="2026-03-30T00:00:00"/>
    <m/>
    <m/>
    <x v="3"/>
    <x v="1"/>
  </r>
  <r>
    <n v="857"/>
    <n v="1413"/>
    <x v="0"/>
    <n v="2"/>
    <n v="750"/>
    <n v="1500"/>
    <s v="Delivered"/>
    <n v="1500"/>
    <d v="2026-03-30T00:00:00"/>
    <m/>
    <m/>
    <x v="0"/>
    <x v="1"/>
  </r>
  <r>
    <n v="858"/>
    <n v="1413"/>
    <x v="10"/>
    <n v="3"/>
    <n v="65"/>
    <n v="195"/>
    <s v="Delivered"/>
    <n v="195"/>
    <d v="2026-03-30T00:00:00"/>
    <m/>
    <m/>
    <x v="10"/>
    <x v="1"/>
  </r>
  <r>
    <n v="859"/>
    <n v="1414"/>
    <x v="6"/>
    <n v="3"/>
    <n v="45"/>
    <n v="135"/>
    <s v="Delivered"/>
    <n v="135"/>
    <d v="2026-05-19T00:00:00"/>
    <m/>
    <m/>
    <x v="6"/>
    <x v="3"/>
  </r>
  <r>
    <n v="860"/>
    <n v="1414"/>
    <x v="8"/>
    <n v="4"/>
    <n v="30"/>
    <n v="120"/>
    <s v="Delivered"/>
    <n v="120"/>
    <d v="2026-05-19T00:00:00"/>
    <m/>
    <m/>
    <x v="8"/>
    <x v="3"/>
  </r>
  <r>
    <n v="861"/>
    <n v="1414"/>
    <x v="1"/>
    <n v="3"/>
    <n v="140"/>
    <n v="420"/>
    <s v="Delivered"/>
    <n v="420"/>
    <d v="2026-05-19T00:00:00"/>
    <m/>
    <m/>
    <x v="1"/>
    <x v="3"/>
  </r>
  <r>
    <n v="862"/>
    <n v="1415"/>
    <x v="7"/>
    <n v="3"/>
    <n v="180"/>
    <n v="540"/>
    <s v="Delivered"/>
    <n v="540"/>
    <d v="2026-01-18T00:00:00"/>
    <m/>
    <m/>
    <x v="7"/>
    <x v="0"/>
  </r>
  <r>
    <n v="863"/>
    <n v="1415"/>
    <x v="8"/>
    <n v="4"/>
    <n v="30"/>
    <n v="120"/>
    <s v="Delivered"/>
    <n v="120"/>
    <d v="2026-01-18T00:00:00"/>
    <m/>
    <m/>
    <x v="8"/>
    <x v="0"/>
  </r>
  <r>
    <n v="864"/>
    <n v="1416"/>
    <x v="3"/>
    <n v="4"/>
    <n v="25"/>
    <n v="100"/>
    <s v="Delivered"/>
    <n v="100"/>
    <d v="2026-01-05T00:00:00"/>
    <m/>
    <m/>
    <x v="3"/>
    <x v="0"/>
  </r>
  <r>
    <n v="865"/>
    <n v="1416"/>
    <x v="1"/>
    <n v="2"/>
    <n v="140"/>
    <n v="280"/>
    <s v="Delivered"/>
    <n v="280"/>
    <d v="2026-01-05T00:00:00"/>
    <m/>
    <m/>
    <x v="1"/>
    <x v="0"/>
  </r>
  <r>
    <n v="866"/>
    <n v="1416"/>
    <x v="5"/>
    <n v="4"/>
    <n v="220"/>
    <n v="880"/>
    <s v="Delivered"/>
    <n v="880"/>
    <d v="2026-01-05T00:00:00"/>
    <m/>
    <m/>
    <x v="5"/>
    <x v="0"/>
  </r>
  <r>
    <n v="867"/>
    <n v="1417"/>
    <x v="4"/>
    <n v="2"/>
    <n v="48"/>
    <n v="96"/>
    <s v="Delivered"/>
    <n v="96"/>
    <d v="2026-06-14T00:00:00"/>
    <m/>
    <m/>
    <x v="4"/>
    <x v="2"/>
  </r>
  <r>
    <n v="868"/>
    <n v="1417"/>
    <x v="5"/>
    <n v="2"/>
    <n v="220"/>
    <n v="440"/>
    <s v="Delivered"/>
    <n v="440"/>
    <d v="2026-06-14T00:00:00"/>
    <m/>
    <m/>
    <x v="5"/>
    <x v="2"/>
  </r>
  <r>
    <n v="869"/>
    <n v="1417"/>
    <x v="0"/>
    <n v="1"/>
    <n v="750"/>
    <n v="750"/>
    <s v="Delivered"/>
    <n v="750"/>
    <d v="2026-06-14T00:00:00"/>
    <m/>
    <m/>
    <x v="0"/>
    <x v="2"/>
  </r>
  <r>
    <n v="870"/>
    <n v="1418"/>
    <x v="2"/>
    <n v="1"/>
    <n v="8"/>
    <n v="8"/>
    <s v="Delivered"/>
    <n v="8"/>
    <d v="2026-06-14T00:00:00"/>
    <m/>
    <m/>
    <x v="2"/>
    <x v="2"/>
  </r>
  <r>
    <n v="871"/>
    <n v="1418"/>
    <x v="9"/>
    <n v="3"/>
    <n v="22"/>
    <n v="66"/>
    <s v="Delivered"/>
    <n v="66"/>
    <d v="2026-06-14T00:00:00"/>
    <m/>
    <m/>
    <x v="9"/>
    <x v="2"/>
  </r>
  <r>
    <n v="872"/>
    <n v="1418"/>
    <x v="7"/>
    <n v="2"/>
    <n v="180"/>
    <n v="360"/>
    <s v="Delivered"/>
    <n v="360"/>
    <d v="2026-06-14T00:00:00"/>
    <m/>
    <m/>
    <x v="7"/>
    <x v="2"/>
  </r>
  <r>
    <n v="873"/>
    <n v="1419"/>
    <x v="4"/>
    <n v="3"/>
    <n v="48"/>
    <n v="144"/>
    <s v="Delivered"/>
    <n v="144"/>
    <d v="2026-06-17T00:00:00"/>
    <m/>
    <m/>
    <x v="4"/>
    <x v="2"/>
  </r>
  <r>
    <n v="874"/>
    <n v="1419"/>
    <x v="0"/>
    <n v="4"/>
    <n v="750"/>
    <n v="3000"/>
    <s v="Delivered"/>
    <n v="3000"/>
    <d v="2026-06-17T00:00:00"/>
    <m/>
    <m/>
    <x v="0"/>
    <x v="2"/>
  </r>
  <r>
    <n v="875"/>
    <n v="1420"/>
    <x v="5"/>
    <n v="1"/>
    <n v="220"/>
    <n v="220"/>
    <s v="Delivered"/>
    <n v="220"/>
    <d v="2026-03-10T00:00:00"/>
    <m/>
    <m/>
    <x v="5"/>
    <x v="1"/>
  </r>
  <r>
    <n v="876"/>
    <n v="1420"/>
    <x v="3"/>
    <n v="1"/>
    <n v="25"/>
    <n v="25"/>
    <s v="Delivered"/>
    <n v="25"/>
    <d v="2026-03-10T00:00:00"/>
    <m/>
    <m/>
    <x v="3"/>
    <x v="1"/>
  </r>
  <r>
    <n v="877"/>
    <n v="1421"/>
    <x v="9"/>
    <n v="1"/>
    <n v="22"/>
    <n v="22"/>
    <s v="Delivered"/>
    <n v="22"/>
    <d v="2026-06-18T00:00:00"/>
    <m/>
    <m/>
    <x v="9"/>
    <x v="2"/>
  </r>
  <r>
    <n v="878"/>
    <n v="1421"/>
    <x v="8"/>
    <n v="3"/>
    <n v="30"/>
    <n v="90"/>
    <s v="Delivered"/>
    <n v="90"/>
    <d v="2026-06-18T00:00:00"/>
    <m/>
    <m/>
    <x v="8"/>
    <x v="2"/>
  </r>
  <r>
    <n v="879"/>
    <n v="1421"/>
    <x v="10"/>
    <n v="4"/>
    <n v="65"/>
    <n v="260"/>
    <s v="Delivered"/>
    <n v="260"/>
    <d v="2026-06-18T00:00:00"/>
    <m/>
    <m/>
    <x v="10"/>
    <x v="2"/>
  </r>
  <r>
    <n v="880"/>
    <n v="1422"/>
    <x v="6"/>
    <n v="4"/>
    <n v="45"/>
    <n v="180"/>
    <s v="Delivered"/>
    <n v="180"/>
    <d v="2026-05-21T00:00:00"/>
    <m/>
    <m/>
    <x v="6"/>
    <x v="3"/>
  </r>
  <r>
    <n v="881"/>
    <n v="1422"/>
    <x v="8"/>
    <n v="3"/>
    <n v="30"/>
    <n v="90"/>
    <s v="Delivered"/>
    <n v="90"/>
    <d v="2026-05-21T00:00:00"/>
    <m/>
    <m/>
    <x v="8"/>
    <x v="3"/>
  </r>
  <r>
    <n v="882"/>
    <n v="1422"/>
    <x v="2"/>
    <n v="3"/>
    <n v="8"/>
    <n v="24"/>
    <s v="Delivered"/>
    <n v="24"/>
    <d v="2026-05-21T00:00:00"/>
    <m/>
    <m/>
    <x v="2"/>
    <x v="3"/>
  </r>
  <r>
    <n v="883"/>
    <n v="1423"/>
    <x v="3"/>
    <n v="2"/>
    <n v="25"/>
    <n v="50"/>
    <s v="Delivered"/>
    <n v="50"/>
    <d v="2026-06-12T00:00:00"/>
    <m/>
    <m/>
    <x v="3"/>
    <x v="2"/>
  </r>
  <r>
    <n v="884"/>
    <n v="1423"/>
    <x v="2"/>
    <n v="4"/>
    <n v="8"/>
    <n v="32"/>
    <s v="Delivered"/>
    <n v="32"/>
    <d v="2026-06-12T00:00:00"/>
    <m/>
    <m/>
    <x v="2"/>
    <x v="2"/>
  </r>
  <r>
    <n v="885"/>
    <n v="1423"/>
    <x v="8"/>
    <n v="3"/>
    <n v="30"/>
    <n v="90"/>
    <s v="Delivered"/>
    <n v="90"/>
    <d v="2026-06-12T00:00:00"/>
    <m/>
    <m/>
    <x v="8"/>
    <x v="2"/>
  </r>
  <r>
    <n v="886"/>
    <n v="1424"/>
    <x v="6"/>
    <n v="3"/>
    <n v="45"/>
    <n v="135"/>
    <s v="Pending"/>
    <n v="135"/>
    <d v="2026-01-09T00:00:00"/>
    <m/>
    <m/>
    <x v="6"/>
    <x v="0"/>
  </r>
  <r>
    <n v="887"/>
    <n v="1424"/>
    <x v="7"/>
    <n v="2"/>
    <n v="180"/>
    <n v="360"/>
    <s v="Pending"/>
    <n v="360"/>
    <d v="2026-01-09T00:00:00"/>
    <m/>
    <m/>
    <x v="7"/>
    <x v="0"/>
  </r>
  <r>
    <n v="888"/>
    <n v="1424"/>
    <x v="0"/>
    <n v="2"/>
    <n v="750"/>
    <n v="1500"/>
    <s v="Pending"/>
    <n v="1500"/>
    <d v="2026-01-09T00:00:00"/>
    <m/>
    <m/>
    <x v="0"/>
    <x v="0"/>
  </r>
  <r>
    <n v="889"/>
    <n v="1425"/>
    <x v="8"/>
    <n v="2"/>
    <n v="30"/>
    <n v="60"/>
    <s v="Delivered"/>
    <n v="60"/>
    <d v="2026-01-06T00:00:00"/>
    <m/>
    <m/>
    <x v="8"/>
    <x v="0"/>
  </r>
  <r>
    <n v="890"/>
    <n v="1425"/>
    <x v="9"/>
    <n v="1"/>
    <n v="22"/>
    <n v="22"/>
    <s v="Delivered"/>
    <n v="22"/>
    <d v="2026-01-06T00:00:00"/>
    <m/>
    <m/>
    <x v="9"/>
    <x v="0"/>
  </r>
  <r>
    <n v="891"/>
    <n v="1425"/>
    <x v="2"/>
    <n v="1"/>
    <n v="8"/>
    <n v="8"/>
    <s v="Delivered"/>
    <n v="8"/>
    <d v="2026-01-06T00:00:00"/>
    <m/>
    <m/>
    <x v="2"/>
    <x v="0"/>
  </r>
  <r>
    <n v="892"/>
    <n v="1426"/>
    <x v="2"/>
    <n v="4"/>
    <n v="8"/>
    <n v="32"/>
    <s v="Delivered"/>
    <n v="32"/>
    <d v="2026-03-05T00:00:00"/>
    <m/>
    <m/>
    <x v="2"/>
    <x v="1"/>
  </r>
  <r>
    <n v="893"/>
    <n v="1427"/>
    <x v="2"/>
    <n v="3"/>
    <n v="8"/>
    <n v="24"/>
    <s v="Delivered"/>
    <n v="24"/>
    <d v="2026-05-04T00:00:00"/>
    <m/>
    <m/>
    <x v="2"/>
    <x v="3"/>
  </r>
  <r>
    <n v="894"/>
    <n v="1428"/>
    <x v="5"/>
    <n v="1"/>
    <n v="220"/>
    <n v="220"/>
    <s v="Delivered"/>
    <n v="220"/>
    <d v="2026-03-27T00:00:00"/>
    <m/>
    <m/>
    <x v="5"/>
    <x v="1"/>
  </r>
  <r>
    <n v="895"/>
    <n v="1428"/>
    <x v="3"/>
    <n v="4"/>
    <n v="25"/>
    <n v="100"/>
    <s v="Delivered"/>
    <n v="100"/>
    <d v="2026-03-27T00:00:00"/>
    <m/>
    <m/>
    <x v="3"/>
    <x v="1"/>
  </r>
  <r>
    <n v="896"/>
    <n v="1429"/>
    <x v="0"/>
    <n v="4"/>
    <n v="750"/>
    <n v="3000"/>
    <s v="Delivered"/>
    <n v="3000"/>
    <d v="2026-02-08T00:00:00"/>
    <m/>
    <m/>
    <x v="0"/>
    <x v="5"/>
  </r>
  <r>
    <n v="897"/>
    <n v="1430"/>
    <x v="6"/>
    <n v="3"/>
    <n v="45"/>
    <n v="135"/>
    <s v="Delivered"/>
    <n v="135"/>
    <d v="2026-02-26T00:00:00"/>
    <m/>
    <m/>
    <x v="6"/>
    <x v="5"/>
  </r>
  <r>
    <n v="898"/>
    <n v="1431"/>
    <x v="9"/>
    <n v="2"/>
    <n v="22"/>
    <n v="44"/>
    <s v="Delivered"/>
    <n v="44"/>
    <d v="2026-03-09T00:00:00"/>
    <m/>
    <m/>
    <x v="9"/>
    <x v="1"/>
  </r>
  <r>
    <n v="899"/>
    <n v="1431"/>
    <x v="6"/>
    <n v="4"/>
    <n v="45"/>
    <n v="180"/>
    <s v="Delivered"/>
    <n v="180"/>
    <d v="2026-03-09T00:00:00"/>
    <m/>
    <m/>
    <x v="6"/>
    <x v="1"/>
  </r>
  <r>
    <n v="900"/>
    <n v="1432"/>
    <x v="3"/>
    <n v="1"/>
    <n v="25"/>
    <n v="25"/>
    <s v="Delivered"/>
    <n v="25"/>
    <d v="2026-05-24T00:00:00"/>
    <m/>
    <m/>
    <x v="3"/>
    <x v="3"/>
  </r>
  <r>
    <n v="901"/>
    <n v="1433"/>
    <x v="1"/>
    <n v="2"/>
    <n v="140"/>
    <n v="280"/>
    <s v="Delivered"/>
    <n v="280"/>
    <d v="2026-01-23T00:00:00"/>
    <m/>
    <m/>
    <x v="1"/>
    <x v="0"/>
  </r>
  <r>
    <n v="902"/>
    <n v="1433"/>
    <x v="9"/>
    <n v="3"/>
    <n v="22"/>
    <n v="66"/>
    <s v="Delivered"/>
    <n v="66"/>
    <d v="2026-01-23T00:00:00"/>
    <m/>
    <m/>
    <x v="9"/>
    <x v="0"/>
  </r>
  <r>
    <n v="903"/>
    <n v="1434"/>
    <x v="6"/>
    <n v="2"/>
    <n v="45"/>
    <n v="90"/>
    <s v="Delivered"/>
    <n v="90"/>
    <d v="2026-03-31T00:00:00"/>
    <m/>
    <m/>
    <x v="6"/>
    <x v="1"/>
  </r>
  <r>
    <n v="904"/>
    <n v="1434"/>
    <x v="11"/>
    <n v="2"/>
    <n v="55"/>
    <n v="110"/>
    <s v="Delivered"/>
    <n v="110"/>
    <d v="2026-03-31T00:00:00"/>
    <m/>
    <m/>
    <x v="11"/>
    <x v="1"/>
  </r>
  <r>
    <n v="905"/>
    <n v="1434"/>
    <x v="0"/>
    <n v="3"/>
    <n v="750"/>
    <n v="2250"/>
    <s v="Delivered"/>
    <n v="2250"/>
    <d v="2026-03-31T00:00:00"/>
    <m/>
    <m/>
    <x v="0"/>
    <x v="1"/>
  </r>
  <r>
    <n v="906"/>
    <n v="1435"/>
    <x v="0"/>
    <n v="1"/>
    <n v="750"/>
    <n v="750"/>
    <s v="Delivered"/>
    <n v="750"/>
    <d v="2026-01-14T00:00:00"/>
    <m/>
    <m/>
    <x v="0"/>
    <x v="0"/>
  </r>
  <r>
    <n v="907"/>
    <n v="1435"/>
    <x v="1"/>
    <n v="3"/>
    <n v="140"/>
    <n v="420"/>
    <s v="Delivered"/>
    <n v="420"/>
    <d v="2026-01-14T00:00:00"/>
    <m/>
    <m/>
    <x v="1"/>
    <x v="0"/>
  </r>
  <r>
    <n v="908"/>
    <n v="1436"/>
    <x v="8"/>
    <n v="2"/>
    <n v="30"/>
    <n v="60"/>
    <s v="Delivered"/>
    <n v="60"/>
    <d v="2026-02-24T00:00:00"/>
    <m/>
    <m/>
    <x v="8"/>
    <x v="5"/>
  </r>
  <r>
    <n v="909"/>
    <n v="1436"/>
    <x v="11"/>
    <n v="1"/>
    <n v="55"/>
    <n v="55"/>
    <s v="Delivered"/>
    <n v="55"/>
    <d v="2026-02-24T00:00:00"/>
    <m/>
    <m/>
    <x v="11"/>
    <x v="5"/>
  </r>
  <r>
    <n v="910"/>
    <n v="1437"/>
    <x v="2"/>
    <n v="4"/>
    <n v="8"/>
    <n v="32"/>
    <s v="Delivered"/>
    <n v="32"/>
    <d v="2026-02-13T00:00:00"/>
    <m/>
    <m/>
    <x v="2"/>
    <x v="5"/>
  </r>
  <r>
    <n v="911"/>
    <n v="1437"/>
    <x v="7"/>
    <n v="1"/>
    <n v="180"/>
    <n v="180"/>
    <s v="Delivered"/>
    <n v="180"/>
    <d v="2026-02-13T00:00:00"/>
    <m/>
    <m/>
    <x v="7"/>
    <x v="5"/>
  </r>
  <r>
    <n v="912"/>
    <n v="1437"/>
    <x v="0"/>
    <n v="1"/>
    <n v="750"/>
    <n v="750"/>
    <s v="Delivered"/>
    <n v="750"/>
    <d v="2026-02-13T00:00:00"/>
    <m/>
    <m/>
    <x v="0"/>
    <x v="5"/>
  </r>
  <r>
    <n v="913"/>
    <n v="1438"/>
    <x v="4"/>
    <n v="2"/>
    <n v="48"/>
    <n v="96"/>
    <s v="Cancelled"/>
    <n v="0"/>
    <d v="2026-04-03T00:00:00"/>
    <m/>
    <m/>
    <x v="4"/>
    <x v="4"/>
  </r>
  <r>
    <n v="914"/>
    <n v="1438"/>
    <x v="10"/>
    <n v="4"/>
    <n v="65"/>
    <n v="260"/>
    <s v="Cancelled"/>
    <n v="0"/>
    <d v="2026-04-03T00:00:00"/>
    <m/>
    <m/>
    <x v="10"/>
    <x v="4"/>
  </r>
  <r>
    <n v="915"/>
    <n v="1439"/>
    <x v="11"/>
    <n v="1"/>
    <n v="55"/>
    <n v="55"/>
    <s v="Pending"/>
    <n v="55"/>
    <d v="2026-05-11T00:00:00"/>
    <m/>
    <m/>
    <x v="11"/>
    <x v="3"/>
  </r>
  <r>
    <n v="916"/>
    <n v="1439"/>
    <x v="2"/>
    <n v="2"/>
    <n v="8"/>
    <n v="16"/>
    <s v="Pending"/>
    <n v="16"/>
    <d v="2026-05-11T00:00:00"/>
    <m/>
    <m/>
    <x v="2"/>
    <x v="3"/>
  </r>
  <r>
    <n v="917"/>
    <n v="1440"/>
    <x v="0"/>
    <n v="3"/>
    <n v="750"/>
    <n v="2250"/>
    <s v="Shipped"/>
    <n v="2250"/>
    <d v="2026-05-09T00:00:00"/>
    <m/>
    <m/>
    <x v="0"/>
    <x v="3"/>
  </r>
  <r>
    <n v="918"/>
    <n v="1440"/>
    <x v="9"/>
    <n v="3"/>
    <n v="22"/>
    <n v="66"/>
    <s v="Shipped"/>
    <n v="66"/>
    <d v="2026-05-09T00:00:00"/>
    <m/>
    <m/>
    <x v="9"/>
    <x v="3"/>
  </r>
  <r>
    <n v="919"/>
    <n v="1440"/>
    <x v="3"/>
    <n v="4"/>
    <n v="25"/>
    <n v="100"/>
    <s v="Shipped"/>
    <n v="100"/>
    <d v="2026-05-09T00:00:00"/>
    <m/>
    <m/>
    <x v="3"/>
    <x v="3"/>
  </r>
  <r>
    <n v="920"/>
    <n v="1441"/>
    <x v="4"/>
    <n v="2"/>
    <n v="48"/>
    <n v="96"/>
    <s v="Delivered"/>
    <n v="96"/>
    <d v="2026-01-05T00:00:00"/>
    <m/>
    <m/>
    <x v="4"/>
    <x v="0"/>
  </r>
  <r>
    <n v="921"/>
    <n v="1441"/>
    <x v="7"/>
    <n v="3"/>
    <n v="180"/>
    <n v="540"/>
    <s v="Delivered"/>
    <n v="540"/>
    <d v="2026-01-05T00:00:00"/>
    <m/>
    <m/>
    <x v="7"/>
    <x v="0"/>
  </r>
  <r>
    <n v="922"/>
    <n v="1442"/>
    <x v="1"/>
    <n v="4"/>
    <n v="140"/>
    <n v="560"/>
    <s v="Shipped"/>
    <n v="560"/>
    <d v="2026-05-23T00:00:00"/>
    <m/>
    <m/>
    <x v="1"/>
    <x v="3"/>
  </r>
  <r>
    <n v="923"/>
    <n v="1443"/>
    <x v="3"/>
    <n v="2"/>
    <n v="25"/>
    <n v="50"/>
    <s v="Delivered"/>
    <n v="50"/>
    <d v="2026-04-08T00:00:00"/>
    <m/>
    <m/>
    <x v="3"/>
    <x v="4"/>
  </r>
  <r>
    <n v="924"/>
    <n v="1443"/>
    <x v="2"/>
    <n v="4"/>
    <n v="8"/>
    <n v="32"/>
    <s v="Delivered"/>
    <n v="32"/>
    <d v="2026-04-08T00:00:00"/>
    <m/>
    <m/>
    <x v="2"/>
    <x v="4"/>
  </r>
  <r>
    <n v="925"/>
    <n v="1444"/>
    <x v="8"/>
    <n v="2"/>
    <n v="30"/>
    <n v="60"/>
    <s v="Delivered"/>
    <n v="60"/>
    <d v="2026-02-03T00:00:00"/>
    <m/>
    <m/>
    <x v="8"/>
    <x v="5"/>
  </r>
  <r>
    <n v="926"/>
    <n v="1444"/>
    <x v="4"/>
    <n v="3"/>
    <n v="48"/>
    <n v="144"/>
    <s v="Delivered"/>
    <n v="144"/>
    <d v="2026-02-03T00:00:00"/>
    <m/>
    <m/>
    <x v="4"/>
    <x v="5"/>
  </r>
  <r>
    <n v="927"/>
    <n v="1444"/>
    <x v="3"/>
    <n v="2"/>
    <n v="25"/>
    <n v="50"/>
    <s v="Delivered"/>
    <n v="50"/>
    <d v="2026-02-03T00:00:00"/>
    <m/>
    <m/>
    <x v="3"/>
    <x v="5"/>
  </r>
  <r>
    <n v="928"/>
    <n v="1445"/>
    <x v="8"/>
    <n v="1"/>
    <n v="30"/>
    <n v="30"/>
    <s v="Shipped"/>
    <n v="30"/>
    <d v="2026-05-25T00:00:00"/>
    <m/>
    <m/>
    <x v="8"/>
    <x v="3"/>
  </r>
  <r>
    <n v="929"/>
    <n v="1446"/>
    <x v="7"/>
    <n v="3"/>
    <n v="180"/>
    <n v="540"/>
    <s v="Delivered"/>
    <n v="540"/>
    <d v="2026-01-08T00:00:00"/>
    <m/>
    <m/>
    <x v="7"/>
    <x v="0"/>
  </r>
  <r>
    <n v="930"/>
    <n v="1446"/>
    <x v="11"/>
    <n v="2"/>
    <n v="55"/>
    <n v="110"/>
    <s v="Delivered"/>
    <n v="110"/>
    <d v="2026-01-08T00:00:00"/>
    <m/>
    <m/>
    <x v="11"/>
    <x v="0"/>
  </r>
  <r>
    <n v="931"/>
    <n v="1447"/>
    <x v="3"/>
    <n v="2"/>
    <n v="25"/>
    <n v="50"/>
    <s v="Delivered"/>
    <n v="50"/>
    <d v="2026-06-07T00:00:00"/>
    <m/>
    <m/>
    <x v="3"/>
    <x v="2"/>
  </r>
  <r>
    <n v="932"/>
    <n v="1447"/>
    <x v="2"/>
    <n v="1"/>
    <n v="8"/>
    <n v="8"/>
    <s v="Delivered"/>
    <n v="8"/>
    <d v="2026-06-07T00:00:00"/>
    <m/>
    <m/>
    <x v="2"/>
    <x v="2"/>
  </r>
  <r>
    <n v="933"/>
    <n v="1447"/>
    <x v="9"/>
    <n v="3"/>
    <n v="22"/>
    <n v="66"/>
    <s v="Delivered"/>
    <n v="66"/>
    <d v="2026-06-07T00:00:00"/>
    <m/>
    <m/>
    <x v="9"/>
    <x v="2"/>
  </r>
  <r>
    <n v="934"/>
    <n v="1448"/>
    <x v="10"/>
    <n v="4"/>
    <n v="65"/>
    <n v="260"/>
    <s v="Delivered"/>
    <n v="260"/>
    <d v="2026-05-01T00:00:00"/>
    <m/>
    <m/>
    <x v="10"/>
    <x v="3"/>
  </r>
  <r>
    <n v="935"/>
    <n v="1449"/>
    <x v="9"/>
    <n v="2"/>
    <n v="22"/>
    <n v="44"/>
    <s v="Shipped"/>
    <n v="44"/>
    <d v="2026-01-04T00:00:00"/>
    <m/>
    <m/>
    <x v="9"/>
    <x v="0"/>
  </r>
  <r>
    <n v="936"/>
    <n v="1450"/>
    <x v="11"/>
    <n v="2"/>
    <n v="55"/>
    <n v="110"/>
    <s v="Shipped"/>
    <n v="110"/>
    <d v="2026-02-15T00:00:00"/>
    <m/>
    <m/>
    <x v="11"/>
    <x v="5"/>
  </r>
  <r>
    <n v="937"/>
    <n v="1450"/>
    <x v="1"/>
    <n v="4"/>
    <n v="140"/>
    <n v="560"/>
    <s v="Shipped"/>
    <n v="560"/>
    <d v="2026-02-15T00:00:00"/>
    <m/>
    <m/>
    <x v="1"/>
    <x v="5"/>
  </r>
  <r>
    <n v="938"/>
    <n v="1450"/>
    <x v="9"/>
    <n v="4"/>
    <n v="22"/>
    <n v="88"/>
    <s v="Shipped"/>
    <n v="88"/>
    <d v="2026-02-15T00:00:00"/>
    <m/>
    <m/>
    <x v="9"/>
    <x v="5"/>
  </r>
  <r>
    <n v="939"/>
    <n v="1451"/>
    <x v="9"/>
    <n v="1"/>
    <n v="22"/>
    <n v="22"/>
    <s v="Delivered"/>
    <n v="22"/>
    <d v="2026-04-08T00:00:00"/>
    <m/>
    <m/>
    <x v="9"/>
    <x v="4"/>
  </r>
  <r>
    <n v="940"/>
    <n v="1451"/>
    <x v="2"/>
    <n v="1"/>
    <n v="8"/>
    <n v="8"/>
    <s v="Delivered"/>
    <n v="8"/>
    <d v="2026-04-08T00:00:00"/>
    <m/>
    <m/>
    <x v="2"/>
    <x v="4"/>
  </r>
  <r>
    <n v="941"/>
    <n v="1451"/>
    <x v="4"/>
    <n v="4"/>
    <n v="48"/>
    <n v="192"/>
    <s v="Delivered"/>
    <n v="192"/>
    <d v="2026-04-08T00:00:00"/>
    <m/>
    <m/>
    <x v="4"/>
    <x v="4"/>
  </r>
  <r>
    <n v="942"/>
    <n v="1452"/>
    <x v="10"/>
    <n v="2"/>
    <n v="65"/>
    <n v="130"/>
    <s v="Delivered"/>
    <n v="130"/>
    <d v="2026-05-13T00:00:00"/>
    <m/>
    <m/>
    <x v="10"/>
    <x v="3"/>
  </r>
  <r>
    <n v="943"/>
    <n v="1452"/>
    <x v="8"/>
    <n v="3"/>
    <n v="30"/>
    <n v="90"/>
    <s v="Delivered"/>
    <n v="90"/>
    <d v="2026-05-13T00:00:00"/>
    <m/>
    <m/>
    <x v="8"/>
    <x v="3"/>
  </r>
  <r>
    <n v="944"/>
    <n v="1452"/>
    <x v="0"/>
    <n v="4"/>
    <n v="750"/>
    <n v="3000"/>
    <s v="Delivered"/>
    <n v="3000"/>
    <d v="2026-05-13T00:00:00"/>
    <m/>
    <m/>
    <x v="0"/>
    <x v="3"/>
  </r>
  <r>
    <n v="945"/>
    <n v="1453"/>
    <x v="8"/>
    <n v="4"/>
    <n v="30"/>
    <n v="120"/>
    <s v="Delivered"/>
    <n v="120"/>
    <d v="2026-02-12T00:00:00"/>
    <m/>
    <m/>
    <x v="8"/>
    <x v="5"/>
  </r>
  <r>
    <n v="946"/>
    <n v="1453"/>
    <x v="6"/>
    <n v="1"/>
    <n v="45"/>
    <n v="45"/>
    <s v="Delivered"/>
    <n v="45"/>
    <d v="2026-02-12T00:00:00"/>
    <m/>
    <m/>
    <x v="6"/>
    <x v="5"/>
  </r>
  <r>
    <n v="947"/>
    <n v="1453"/>
    <x v="11"/>
    <n v="1"/>
    <n v="55"/>
    <n v="55"/>
    <s v="Delivered"/>
    <n v="55"/>
    <d v="2026-02-12T00:00:00"/>
    <m/>
    <m/>
    <x v="11"/>
    <x v="5"/>
  </r>
  <r>
    <n v="948"/>
    <n v="1454"/>
    <x v="0"/>
    <n v="4"/>
    <n v="750"/>
    <n v="3000"/>
    <s v="Delivered"/>
    <n v="3000"/>
    <d v="2026-02-04T00:00:00"/>
    <m/>
    <m/>
    <x v="0"/>
    <x v="5"/>
  </r>
  <r>
    <n v="949"/>
    <n v="1454"/>
    <x v="6"/>
    <n v="2"/>
    <n v="45"/>
    <n v="90"/>
    <s v="Delivered"/>
    <n v="90"/>
    <d v="2026-02-04T00:00:00"/>
    <m/>
    <m/>
    <x v="6"/>
    <x v="5"/>
  </r>
  <r>
    <n v="950"/>
    <n v="1455"/>
    <x v="5"/>
    <n v="4"/>
    <n v="220"/>
    <n v="880"/>
    <s v="Delivered"/>
    <n v="880"/>
    <d v="2026-02-11T00:00:00"/>
    <m/>
    <m/>
    <x v="5"/>
    <x v="5"/>
  </r>
  <r>
    <n v="951"/>
    <n v="1456"/>
    <x v="8"/>
    <n v="1"/>
    <n v="30"/>
    <n v="30"/>
    <s v="Delivered"/>
    <n v="30"/>
    <d v="2026-05-11T00:00:00"/>
    <m/>
    <m/>
    <x v="8"/>
    <x v="3"/>
  </r>
  <r>
    <n v="952"/>
    <n v="1456"/>
    <x v="10"/>
    <n v="2"/>
    <n v="65"/>
    <n v="130"/>
    <s v="Delivered"/>
    <n v="130"/>
    <d v="2026-05-11T00:00:00"/>
    <m/>
    <m/>
    <x v="10"/>
    <x v="3"/>
  </r>
  <r>
    <n v="953"/>
    <n v="1457"/>
    <x v="0"/>
    <n v="3"/>
    <n v="750"/>
    <n v="2250"/>
    <s v="Cancelled"/>
    <n v="0"/>
    <d v="2026-02-11T00:00:00"/>
    <m/>
    <m/>
    <x v="0"/>
    <x v="5"/>
  </r>
  <r>
    <n v="954"/>
    <n v="1457"/>
    <x v="10"/>
    <n v="4"/>
    <n v="65"/>
    <n v="260"/>
    <s v="Cancelled"/>
    <n v="0"/>
    <d v="2026-02-11T00:00:00"/>
    <m/>
    <m/>
    <x v="10"/>
    <x v="5"/>
  </r>
  <r>
    <n v="955"/>
    <n v="1457"/>
    <x v="7"/>
    <n v="3"/>
    <n v="180"/>
    <n v="540"/>
    <s v="Cancelled"/>
    <n v="0"/>
    <d v="2026-02-11T00:00:00"/>
    <m/>
    <m/>
    <x v="7"/>
    <x v="5"/>
  </r>
  <r>
    <n v="956"/>
    <n v="1458"/>
    <x v="0"/>
    <n v="3"/>
    <n v="750"/>
    <n v="2250"/>
    <s v="Delivered"/>
    <n v="2250"/>
    <d v="2026-06-10T00:00:00"/>
    <m/>
    <m/>
    <x v="0"/>
    <x v="2"/>
  </r>
  <r>
    <n v="957"/>
    <n v="1459"/>
    <x v="2"/>
    <n v="4"/>
    <n v="8"/>
    <n v="32"/>
    <s v="Cancelled"/>
    <n v="0"/>
    <d v="2026-06-05T00:00:00"/>
    <m/>
    <m/>
    <x v="2"/>
    <x v="2"/>
  </r>
  <r>
    <n v="958"/>
    <n v="1460"/>
    <x v="2"/>
    <n v="3"/>
    <n v="8"/>
    <n v="24"/>
    <s v="Delivered"/>
    <n v="24"/>
    <d v="2026-04-27T00:00:00"/>
    <m/>
    <m/>
    <x v="2"/>
    <x v="4"/>
  </r>
  <r>
    <n v="959"/>
    <n v="1460"/>
    <x v="0"/>
    <n v="2"/>
    <n v="750"/>
    <n v="1500"/>
    <s v="Delivered"/>
    <n v="1500"/>
    <d v="2026-04-27T00:00:00"/>
    <m/>
    <m/>
    <x v="0"/>
    <x v="4"/>
  </r>
  <r>
    <n v="960"/>
    <n v="1460"/>
    <x v="3"/>
    <n v="1"/>
    <n v="25"/>
    <n v="25"/>
    <s v="Delivered"/>
    <n v="25"/>
    <d v="2026-04-27T00:00:00"/>
    <m/>
    <m/>
    <x v="3"/>
    <x v="4"/>
  </r>
  <r>
    <n v="961"/>
    <n v="1461"/>
    <x v="5"/>
    <n v="1"/>
    <n v="220"/>
    <n v="220"/>
    <s v="Delivered"/>
    <n v="220"/>
    <d v="2026-01-09T00:00:00"/>
    <m/>
    <m/>
    <x v="5"/>
    <x v="0"/>
  </r>
  <r>
    <n v="962"/>
    <n v="1461"/>
    <x v="0"/>
    <n v="4"/>
    <n v="750"/>
    <n v="3000"/>
    <s v="Delivered"/>
    <n v="3000"/>
    <d v="2026-01-09T00:00:00"/>
    <m/>
    <m/>
    <x v="0"/>
    <x v="0"/>
  </r>
  <r>
    <n v="963"/>
    <n v="1462"/>
    <x v="6"/>
    <n v="3"/>
    <n v="45"/>
    <n v="135"/>
    <s v="Delivered"/>
    <n v="135"/>
    <d v="2026-06-27T00:00:00"/>
    <m/>
    <m/>
    <x v="6"/>
    <x v="2"/>
  </r>
  <r>
    <n v="964"/>
    <n v="1462"/>
    <x v="11"/>
    <n v="1"/>
    <n v="55"/>
    <n v="55"/>
    <s v="Delivered"/>
    <n v="55"/>
    <d v="2026-06-27T00:00:00"/>
    <m/>
    <m/>
    <x v="11"/>
    <x v="2"/>
  </r>
  <r>
    <n v="965"/>
    <n v="1462"/>
    <x v="2"/>
    <n v="1"/>
    <n v="8"/>
    <n v="8"/>
    <s v="Delivered"/>
    <n v="8"/>
    <d v="2026-06-27T00:00:00"/>
    <m/>
    <m/>
    <x v="2"/>
    <x v="2"/>
  </r>
  <r>
    <n v="966"/>
    <n v="1463"/>
    <x v="11"/>
    <n v="1"/>
    <n v="55"/>
    <n v="55"/>
    <s v="Delivered"/>
    <n v="55"/>
    <d v="2026-04-20T00:00:00"/>
    <m/>
    <m/>
    <x v="11"/>
    <x v="4"/>
  </r>
  <r>
    <n v="967"/>
    <n v="1463"/>
    <x v="6"/>
    <n v="3"/>
    <n v="45"/>
    <n v="135"/>
    <s v="Delivered"/>
    <n v="135"/>
    <d v="2026-04-20T00:00:00"/>
    <m/>
    <m/>
    <x v="6"/>
    <x v="4"/>
  </r>
  <r>
    <n v="968"/>
    <n v="1464"/>
    <x v="4"/>
    <n v="4"/>
    <n v="48"/>
    <n v="192"/>
    <s v="Delivered"/>
    <n v="192"/>
    <d v="2026-06-06T00:00:00"/>
    <m/>
    <m/>
    <x v="4"/>
    <x v="2"/>
  </r>
  <r>
    <n v="969"/>
    <n v="1464"/>
    <x v="8"/>
    <n v="3"/>
    <n v="30"/>
    <n v="90"/>
    <s v="Delivered"/>
    <n v="90"/>
    <d v="2026-06-06T00:00:00"/>
    <m/>
    <m/>
    <x v="8"/>
    <x v="2"/>
  </r>
  <r>
    <n v="970"/>
    <n v="1464"/>
    <x v="5"/>
    <n v="4"/>
    <n v="220"/>
    <n v="880"/>
    <s v="Delivered"/>
    <n v="880"/>
    <d v="2026-06-06T00:00:00"/>
    <m/>
    <m/>
    <x v="5"/>
    <x v="2"/>
  </r>
  <r>
    <n v="971"/>
    <n v="1465"/>
    <x v="8"/>
    <n v="4"/>
    <n v="30"/>
    <n v="120"/>
    <s v="Shipped"/>
    <n v="120"/>
    <d v="2026-04-01T00:00:00"/>
    <m/>
    <m/>
    <x v="8"/>
    <x v="4"/>
  </r>
  <r>
    <n v="972"/>
    <n v="1465"/>
    <x v="4"/>
    <n v="4"/>
    <n v="48"/>
    <n v="192"/>
    <s v="Shipped"/>
    <n v="192"/>
    <d v="2026-04-01T00:00:00"/>
    <m/>
    <m/>
    <x v="4"/>
    <x v="4"/>
  </r>
  <r>
    <n v="973"/>
    <n v="1466"/>
    <x v="5"/>
    <n v="1"/>
    <n v="220"/>
    <n v="220"/>
    <s v="Delivered"/>
    <n v="220"/>
    <d v="2026-03-01T00:00:00"/>
    <m/>
    <m/>
    <x v="5"/>
    <x v="1"/>
  </r>
  <r>
    <n v="974"/>
    <n v="1467"/>
    <x v="1"/>
    <n v="3"/>
    <n v="140"/>
    <n v="420"/>
    <s v="Pending"/>
    <n v="420"/>
    <d v="2026-06-07T00:00:00"/>
    <m/>
    <m/>
    <x v="1"/>
    <x v="2"/>
  </r>
  <r>
    <n v="975"/>
    <n v="1468"/>
    <x v="7"/>
    <n v="3"/>
    <n v="180"/>
    <n v="540"/>
    <s v="Delivered"/>
    <n v="540"/>
    <d v="2026-06-13T00:00:00"/>
    <m/>
    <m/>
    <x v="7"/>
    <x v="2"/>
  </r>
  <r>
    <n v="976"/>
    <n v="1468"/>
    <x v="9"/>
    <n v="3"/>
    <n v="22"/>
    <n v="66"/>
    <s v="Delivered"/>
    <n v="66"/>
    <d v="2026-06-13T00:00:00"/>
    <m/>
    <m/>
    <x v="9"/>
    <x v="2"/>
  </r>
  <r>
    <n v="977"/>
    <n v="1468"/>
    <x v="5"/>
    <n v="3"/>
    <n v="220"/>
    <n v="660"/>
    <s v="Delivered"/>
    <n v="660"/>
    <d v="2026-06-13T00:00:00"/>
    <m/>
    <m/>
    <x v="5"/>
    <x v="2"/>
  </r>
  <r>
    <n v="978"/>
    <n v="1469"/>
    <x v="3"/>
    <n v="3"/>
    <n v="25"/>
    <n v="75"/>
    <s v="Delivered"/>
    <n v="75"/>
    <d v="2026-05-26T00:00:00"/>
    <m/>
    <m/>
    <x v="3"/>
    <x v="3"/>
  </r>
  <r>
    <n v="979"/>
    <n v="1470"/>
    <x v="4"/>
    <n v="4"/>
    <n v="48"/>
    <n v="192"/>
    <s v="Delivered"/>
    <n v="192"/>
    <d v="2026-01-10T00:00:00"/>
    <m/>
    <m/>
    <x v="4"/>
    <x v="0"/>
  </r>
  <r>
    <n v="980"/>
    <n v="1471"/>
    <x v="9"/>
    <n v="1"/>
    <n v="22"/>
    <n v="22"/>
    <s v="Delivered"/>
    <n v="22"/>
    <d v="2026-01-15T00:00:00"/>
    <m/>
    <m/>
    <x v="9"/>
    <x v="0"/>
  </r>
  <r>
    <n v="981"/>
    <n v="1471"/>
    <x v="4"/>
    <n v="2"/>
    <n v="48"/>
    <n v="96"/>
    <s v="Delivered"/>
    <n v="96"/>
    <d v="2026-01-15T00:00:00"/>
    <m/>
    <m/>
    <x v="4"/>
    <x v="0"/>
  </r>
  <r>
    <n v="982"/>
    <n v="1471"/>
    <x v="1"/>
    <n v="3"/>
    <n v="140"/>
    <n v="420"/>
    <s v="Delivered"/>
    <n v="420"/>
    <d v="2026-01-15T00:00:00"/>
    <m/>
    <m/>
    <x v="1"/>
    <x v="0"/>
  </r>
  <r>
    <n v="983"/>
    <n v="1472"/>
    <x v="4"/>
    <n v="2"/>
    <n v="48"/>
    <n v="96"/>
    <s v="Delivered"/>
    <n v="96"/>
    <d v="2026-03-13T00:00:00"/>
    <m/>
    <m/>
    <x v="4"/>
    <x v="1"/>
  </r>
  <r>
    <n v="984"/>
    <n v="1472"/>
    <x v="8"/>
    <n v="4"/>
    <n v="30"/>
    <n v="120"/>
    <s v="Delivered"/>
    <n v="120"/>
    <d v="2026-03-13T00:00:00"/>
    <m/>
    <m/>
    <x v="8"/>
    <x v="1"/>
  </r>
  <r>
    <n v="985"/>
    <n v="1473"/>
    <x v="10"/>
    <n v="4"/>
    <n v="65"/>
    <n v="260"/>
    <s v="Cancelled"/>
    <n v="0"/>
    <d v="2026-06-30T00:00:00"/>
    <m/>
    <m/>
    <x v="10"/>
    <x v="2"/>
  </r>
  <r>
    <n v="986"/>
    <n v="1473"/>
    <x v="5"/>
    <n v="2"/>
    <n v="220"/>
    <n v="440"/>
    <s v="Cancelled"/>
    <n v="0"/>
    <d v="2026-06-30T00:00:00"/>
    <m/>
    <m/>
    <x v="5"/>
    <x v="2"/>
  </r>
  <r>
    <n v="987"/>
    <n v="1474"/>
    <x v="8"/>
    <n v="3"/>
    <n v="30"/>
    <n v="90"/>
    <s v="Delivered"/>
    <n v="90"/>
    <d v="2026-04-06T00:00:00"/>
    <m/>
    <m/>
    <x v="8"/>
    <x v="4"/>
  </r>
  <r>
    <n v="988"/>
    <n v="1475"/>
    <x v="8"/>
    <n v="2"/>
    <n v="30"/>
    <n v="60"/>
    <s v="Delivered"/>
    <n v="60"/>
    <d v="2026-01-24T00:00:00"/>
    <m/>
    <m/>
    <x v="8"/>
    <x v="0"/>
  </r>
  <r>
    <n v="989"/>
    <n v="1475"/>
    <x v="6"/>
    <n v="3"/>
    <n v="45"/>
    <n v="135"/>
    <s v="Delivered"/>
    <n v="135"/>
    <d v="2026-01-24T00:00:00"/>
    <m/>
    <m/>
    <x v="6"/>
    <x v="0"/>
  </r>
  <r>
    <n v="990"/>
    <n v="1476"/>
    <x v="4"/>
    <n v="1"/>
    <n v="48"/>
    <n v="48"/>
    <s v="Delivered"/>
    <n v="48"/>
    <d v="2026-02-06T00:00:00"/>
    <m/>
    <m/>
    <x v="4"/>
    <x v="5"/>
  </r>
  <r>
    <n v="991"/>
    <n v="1476"/>
    <x v="6"/>
    <n v="4"/>
    <n v="45"/>
    <n v="180"/>
    <s v="Delivered"/>
    <n v="180"/>
    <d v="2026-02-06T00:00:00"/>
    <m/>
    <m/>
    <x v="6"/>
    <x v="5"/>
  </r>
  <r>
    <n v="992"/>
    <n v="1476"/>
    <x v="3"/>
    <n v="4"/>
    <n v="25"/>
    <n v="100"/>
    <s v="Delivered"/>
    <n v="100"/>
    <d v="2026-02-06T00:00:00"/>
    <m/>
    <m/>
    <x v="3"/>
    <x v="5"/>
  </r>
  <r>
    <n v="993"/>
    <n v="1477"/>
    <x v="11"/>
    <n v="1"/>
    <n v="55"/>
    <n v="55"/>
    <s v="Delivered"/>
    <n v="55"/>
    <d v="2026-06-25T00:00:00"/>
    <m/>
    <m/>
    <x v="11"/>
    <x v="2"/>
  </r>
  <r>
    <n v="994"/>
    <n v="1477"/>
    <x v="0"/>
    <n v="3"/>
    <n v="750"/>
    <n v="2250"/>
    <s v="Delivered"/>
    <n v="2250"/>
    <d v="2026-06-25T00:00:00"/>
    <m/>
    <m/>
    <x v="0"/>
    <x v="2"/>
  </r>
  <r>
    <n v="995"/>
    <n v="1478"/>
    <x v="8"/>
    <n v="4"/>
    <n v="30"/>
    <n v="120"/>
    <s v="Delivered"/>
    <n v="120"/>
    <d v="2026-03-24T00:00:00"/>
    <m/>
    <m/>
    <x v="8"/>
    <x v="1"/>
  </r>
  <r>
    <n v="996"/>
    <n v="1478"/>
    <x v="1"/>
    <n v="1"/>
    <n v="140"/>
    <n v="140"/>
    <s v="Delivered"/>
    <n v="140"/>
    <d v="2026-03-24T00:00:00"/>
    <m/>
    <m/>
    <x v="1"/>
    <x v="1"/>
  </r>
  <r>
    <n v="997"/>
    <n v="1479"/>
    <x v="1"/>
    <n v="3"/>
    <n v="140"/>
    <n v="420"/>
    <s v="Delivered"/>
    <n v="420"/>
    <d v="2026-05-24T00:00:00"/>
    <m/>
    <m/>
    <x v="1"/>
    <x v="3"/>
  </r>
  <r>
    <n v="998"/>
    <n v="1479"/>
    <x v="8"/>
    <n v="2"/>
    <n v="30"/>
    <n v="60"/>
    <s v="Delivered"/>
    <n v="60"/>
    <d v="2026-05-24T00:00:00"/>
    <m/>
    <m/>
    <x v="8"/>
    <x v="3"/>
  </r>
  <r>
    <n v="999"/>
    <n v="1479"/>
    <x v="9"/>
    <n v="3"/>
    <n v="22"/>
    <n v="66"/>
    <s v="Delivered"/>
    <n v="66"/>
    <d v="2026-05-24T00:00:00"/>
    <m/>
    <m/>
    <x v="9"/>
    <x v="3"/>
  </r>
  <r>
    <n v="1000"/>
    <n v="1480"/>
    <x v="11"/>
    <n v="1"/>
    <n v="55"/>
    <n v="55"/>
    <s v="Delivered"/>
    <n v="55"/>
    <d v="2026-05-19T00:00:00"/>
    <m/>
    <m/>
    <x v="11"/>
    <x v="3"/>
  </r>
  <r>
    <n v="1001"/>
    <n v="1481"/>
    <x v="1"/>
    <n v="2"/>
    <n v="140"/>
    <n v="280"/>
    <s v="Delivered"/>
    <n v="280"/>
    <d v="2026-06-30T00:00:00"/>
    <m/>
    <m/>
    <x v="1"/>
    <x v="2"/>
  </r>
  <r>
    <n v="1002"/>
    <n v="1481"/>
    <x v="7"/>
    <n v="1"/>
    <n v="180"/>
    <n v="180"/>
    <s v="Delivered"/>
    <n v="180"/>
    <d v="2026-06-30T00:00:00"/>
    <m/>
    <m/>
    <x v="7"/>
    <x v="2"/>
  </r>
  <r>
    <n v="1003"/>
    <n v="1481"/>
    <x v="9"/>
    <n v="4"/>
    <n v="22"/>
    <n v="88"/>
    <s v="Delivered"/>
    <n v="88"/>
    <d v="2026-06-30T00:00:00"/>
    <m/>
    <m/>
    <x v="9"/>
    <x v="2"/>
  </r>
  <r>
    <n v="1004"/>
    <n v="1482"/>
    <x v="4"/>
    <n v="2"/>
    <n v="48"/>
    <n v="96"/>
    <s v="Delivered"/>
    <n v="96"/>
    <d v="2026-04-30T00:00:00"/>
    <m/>
    <m/>
    <x v="4"/>
    <x v="4"/>
  </r>
  <r>
    <n v="1005"/>
    <n v="1482"/>
    <x v="11"/>
    <n v="2"/>
    <n v="55"/>
    <n v="110"/>
    <s v="Delivered"/>
    <n v="110"/>
    <d v="2026-04-30T00:00:00"/>
    <m/>
    <m/>
    <x v="11"/>
    <x v="4"/>
  </r>
  <r>
    <n v="1006"/>
    <n v="1482"/>
    <x v="9"/>
    <n v="2"/>
    <n v="22"/>
    <n v="44"/>
    <s v="Delivered"/>
    <n v="44"/>
    <d v="2026-04-30T00:00:00"/>
    <m/>
    <m/>
    <x v="9"/>
    <x v="4"/>
  </r>
  <r>
    <n v="1007"/>
    <n v="1483"/>
    <x v="11"/>
    <n v="1"/>
    <n v="55"/>
    <n v="55"/>
    <s v="Delivered"/>
    <n v="55"/>
    <d v="2026-02-16T00:00:00"/>
    <m/>
    <m/>
    <x v="11"/>
    <x v="5"/>
  </r>
  <r>
    <n v="1008"/>
    <n v="1483"/>
    <x v="9"/>
    <n v="1"/>
    <n v="22"/>
    <n v="22"/>
    <s v="Delivered"/>
    <n v="22"/>
    <d v="2026-02-16T00:00:00"/>
    <m/>
    <m/>
    <x v="9"/>
    <x v="5"/>
  </r>
  <r>
    <n v="1009"/>
    <n v="1484"/>
    <x v="8"/>
    <n v="1"/>
    <n v="30"/>
    <n v="30"/>
    <s v="Delivered"/>
    <n v="30"/>
    <d v="2026-03-14T00:00:00"/>
    <m/>
    <m/>
    <x v="8"/>
    <x v="1"/>
  </r>
  <r>
    <n v="1010"/>
    <n v="1485"/>
    <x v="11"/>
    <n v="4"/>
    <n v="55"/>
    <n v="220"/>
    <s v="Delivered"/>
    <n v="220"/>
    <d v="2026-06-16T00:00:00"/>
    <m/>
    <m/>
    <x v="11"/>
    <x v="2"/>
  </r>
  <r>
    <n v="1011"/>
    <n v="1485"/>
    <x v="10"/>
    <n v="2"/>
    <n v="65"/>
    <n v="130"/>
    <s v="Delivered"/>
    <n v="130"/>
    <d v="2026-06-16T00:00:00"/>
    <m/>
    <m/>
    <x v="10"/>
    <x v="2"/>
  </r>
  <r>
    <n v="1012"/>
    <n v="1485"/>
    <x v="2"/>
    <n v="2"/>
    <n v="8"/>
    <n v="16"/>
    <s v="Delivered"/>
    <n v="16"/>
    <d v="2026-06-16T00:00:00"/>
    <m/>
    <m/>
    <x v="2"/>
    <x v="2"/>
  </r>
  <r>
    <n v="1013"/>
    <n v="1486"/>
    <x v="2"/>
    <n v="2"/>
    <n v="8"/>
    <n v="16"/>
    <s v="Delivered"/>
    <n v="16"/>
    <d v="2026-02-23T00:00:00"/>
    <m/>
    <m/>
    <x v="2"/>
    <x v="5"/>
  </r>
  <r>
    <n v="1014"/>
    <n v="1486"/>
    <x v="1"/>
    <n v="2"/>
    <n v="140"/>
    <n v="280"/>
    <s v="Delivered"/>
    <n v="280"/>
    <d v="2026-02-23T00:00:00"/>
    <m/>
    <m/>
    <x v="1"/>
    <x v="5"/>
  </r>
  <r>
    <n v="1015"/>
    <n v="1487"/>
    <x v="8"/>
    <n v="4"/>
    <n v="30"/>
    <n v="120"/>
    <s v="Delivered"/>
    <n v="120"/>
    <d v="2026-05-05T00:00:00"/>
    <m/>
    <m/>
    <x v="8"/>
    <x v="3"/>
  </r>
  <r>
    <n v="1016"/>
    <n v="1487"/>
    <x v="5"/>
    <n v="2"/>
    <n v="220"/>
    <n v="440"/>
    <s v="Delivered"/>
    <n v="440"/>
    <d v="2026-05-05T00:00:00"/>
    <m/>
    <m/>
    <x v="5"/>
    <x v="3"/>
  </r>
  <r>
    <n v="1017"/>
    <n v="1488"/>
    <x v="11"/>
    <n v="1"/>
    <n v="55"/>
    <n v="55"/>
    <s v="Delivered"/>
    <n v="55"/>
    <d v="2026-06-02T00:00:00"/>
    <m/>
    <m/>
    <x v="11"/>
    <x v="2"/>
  </r>
  <r>
    <n v="1018"/>
    <n v="1488"/>
    <x v="4"/>
    <n v="1"/>
    <n v="48"/>
    <n v="48"/>
    <s v="Delivered"/>
    <n v="48"/>
    <d v="2026-06-02T00:00:00"/>
    <m/>
    <m/>
    <x v="4"/>
    <x v="2"/>
  </r>
  <r>
    <n v="1019"/>
    <n v="1489"/>
    <x v="8"/>
    <n v="4"/>
    <n v="30"/>
    <n v="120"/>
    <s v="Delivered"/>
    <n v="120"/>
    <d v="2026-01-01T00:00:00"/>
    <m/>
    <m/>
    <x v="8"/>
    <x v="0"/>
  </r>
  <r>
    <n v="1020"/>
    <n v="1489"/>
    <x v="7"/>
    <n v="4"/>
    <n v="180"/>
    <n v="720"/>
    <s v="Delivered"/>
    <n v="720"/>
    <d v="2026-01-01T00:00:00"/>
    <m/>
    <m/>
    <x v="7"/>
    <x v="0"/>
  </r>
  <r>
    <n v="1021"/>
    <n v="1490"/>
    <x v="1"/>
    <n v="1"/>
    <n v="140"/>
    <n v="140"/>
    <s v="Delivered"/>
    <n v="140"/>
    <d v="2026-06-23T00:00:00"/>
    <m/>
    <m/>
    <x v="1"/>
    <x v="2"/>
  </r>
  <r>
    <n v="1022"/>
    <n v="1490"/>
    <x v="5"/>
    <n v="4"/>
    <n v="220"/>
    <n v="880"/>
    <s v="Delivered"/>
    <n v="880"/>
    <d v="2026-06-23T00:00:00"/>
    <m/>
    <m/>
    <x v="5"/>
    <x v="2"/>
  </r>
  <r>
    <n v="1023"/>
    <n v="1490"/>
    <x v="2"/>
    <n v="2"/>
    <n v="8"/>
    <n v="16"/>
    <s v="Delivered"/>
    <n v="16"/>
    <d v="2026-06-23T00:00:00"/>
    <m/>
    <m/>
    <x v="2"/>
    <x v="2"/>
  </r>
  <r>
    <n v="1024"/>
    <n v="1491"/>
    <x v="7"/>
    <n v="1"/>
    <n v="180"/>
    <n v="180"/>
    <s v="Delivered"/>
    <n v="180"/>
    <d v="2026-01-01T00:00:00"/>
    <m/>
    <m/>
    <x v="7"/>
    <x v="0"/>
  </r>
  <r>
    <n v="1025"/>
    <n v="1492"/>
    <x v="3"/>
    <n v="4"/>
    <n v="25"/>
    <n v="100"/>
    <s v="Delivered"/>
    <n v="100"/>
    <d v="2026-04-08T00:00:00"/>
    <m/>
    <m/>
    <x v="3"/>
    <x v="4"/>
  </r>
  <r>
    <n v="1026"/>
    <n v="1492"/>
    <x v="4"/>
    <n v="2"/>
    <n v="48"/>
    <n v="96"/>
    <s v="Delivered"/>
    <n v="96"/>
    <d v="2026-04-08T00:00:00"/>
    <m/>
    <m/>
    <x v="4"/>
    <x v="4"/>
  </r>
  <r>
    <n v="1027"/>
    <n v="1492"/>
    <x v="6"/>
    <n v="2"/>
    <n v="45"/>
    <n v="90"/>
    <s v="Delivered"/>
    <n v="90"/>
    <d v="2026-04-08T00:00:00"/>
    <m/>
    <m/>
    <x v="6"/>
    <x v="4"/>
  </r>
  <r>
    <n v="1028"/>
    <n v="1493"/>
    <x v="0"/>
    <n v="1"/>
    <n v="750"/>
    <n v="750"/>
    <s v="Delivered"/>
    <n v="750"/>
    <d v="2026-02-09T00:00:00"/>
    <m/>
    <m/>
    <x v="0"/>
    <x v="5"/>
  </r>
  <r>
    <n v="1029"/>
    <n v="1494"/>
    <x v="6"/>
    <n v="4"/>
    <n v="45"/>
    <n v="180"/>
    <s v="Pending"/>
    <n v="180"/>
    <d v="2026-04-22T00:00:00"/>
    <m/>
    <m/>
    <x v="6"/>
    <x v="4"/>
  </r>
  <r>
    <n v="1030"/>
    <n v="1495"/>
    <x v="6"/>
    <n v="4"/>
    <n v="45"/>
    <n v="180"/>
    <s v="Delivered"/>
    <n v="180"/>
    <d v="2026-06-28T00:00:00"/>
    <m/>
    <m/>
    <x v="6"/>
    <x v="2"/>
  </r>
  <r>
    <n v="1031"/>
    <n v="1495"/>
    <x v="11"/>
    <n v="4"/>
    <n v="55"/>
    <n v="220"/>
    <s v="Delivered"/>
    <n v="220"/>
    <d v="2026-06-28T00:00:00"/>
    <m/>
    <m/>
    <x v="11"/>
    <x v="2"/>
  </r>
  <r>
    <n v="1032"/>
    <n v="1495"/>
    <x v="8"/>
    <n v="4"/>
    <n v="30"/>
    <n v="120"/>
    <s v="Delivered"/>
    <n v="120"/>
    <d v="2026-06-28T00:00:00"/>
    <m/>
    <m/>
    <x v="8"/>
    <x v="2"/>
  </r>
  <r>
    <n v="1033"/>
    <n v="1496"/>
    <x v="8"/>
    <n v="3"/>
    <n v="30"/>
    <n v="90"/>
    <s v="Delivered"/>
    <n v="90"/>
    <d v="2026-05-08T00:00:00"/>
    <m/>
    <m/>
    <x v="8"/>
    <x v="3"/>
  </r>
  <r>
    <n v="1034"/>
    <n v="1496"/>
    <x v="7"/>
    <n v="1"/>
    <n v="180"/>
    <n v="180"/>
    <s v="Delivered"/>
    <n v="180"/>
    <d v="2026-05-08T00:00:00"/>
    <m/>
    <m/>
    <x v="7"/>
    <x v="3"/>
  </r>
  <r>
    <n v="1035"/>
    <n v="1496"/>
    <x v="10"/>
    <n v="1"/>
    <n v="65"/>
    <n v="65"/>
    <s v="Delivered"/>
    <n v="65"/>
    <d v="2026-05-08T00:00:00"/>
    <m/>
    <m/>
    <x v="10"/>
    <x v="3"/>
  </r>
  <r>
    <n v="1036"/>
    <n v="1497"/>
    <x v="11"/>
    <n v="1"/>
    <n v="55"/>
    <n v="55"/>
    <s v="Delivered"/>
    <n v="55"/>
    <d v="2026-06-26T00:00:00"/>
    <m/>
    <m/>
    <x v="11"/>
    <x v="2"/>
  </r>
  <r>
    <n v="1037"/>
    <n v="1497"/>
    <x v="8"/>
    <n v="1"/>
    <n v="30"/>
    <n v="30"/>
    <s v="Delivered"/>
    <n v="30"/>
    <d v="2026-06-26T00:00:00"/>
    <m/>
    <m/>
    <x v="8"/>
    <x v="2"/>
  </r>
  <r>
    <n v="1038"/>
    <n v="1498"/>
    <x v="7"/>
    <n v="3"/>
    <n v="180"/>
    <n v="540"/>
    <s v="Delivered"/>
    <n v="540"/>
    <d v="2026-01-20T00:00:00"/>
    <m/>
    <m/>
    <x v="7"/>
    <x v="0"/>
  </r>
  <r>
    <n v="1039"/>
    <n v="1498"/>
    <x v="2"/>
    <n v="1"/>
    <n v="8"/>
    <n v="8"/>
    <s v="Delivered"/>
    <n v="8"/>
    <d v="2026-01-20T00:00:00"/>
    <m/>
    <m/>
    <x v="2"/>
    <x v="0"/>
  </r>
  <r>
    <n v="1040"/>
    <n v="1498"/>
    <x v="0"/>
    <n v="4"/>
    <n v="750"/>
    <n v="3000"/>
    <s v="Delivered"/>
    <n v="3000"/>
    <d v="2026-01-20T00:00:00"/>
    <m/>
    <m/>
    <x v="0"/>
    <x v="0"/>
  </r>
  <r>
    <n v="1041"/>
    <n v="1499"/>
    <x v="6"/>
    <n v="3"/>
    <n v="45"/>
    <n v="135"/>
    <s v="Delivered"/>
    <n v="135"/>
    <d v="2026-04-18T00:00:00"/>
    <m/>
    <m/>
    <x v="6"/>
    <x v="4"/>
  </r>
  <r>
    <n v="1042"/>
    <n v="1499"/>
    <x v="0"/>
    <n v="3"/>
    <n v="750"/>
    <n v="2250"/>
    <s v="Delivered"/>
    <n v="2250"/>
    <d v="2026-04-18T00:00:00"/>
    <m/>
    <m/>
    <x v="0"/>
    <x v="4"/>
  </r>
  <r>
    <n v="1043"/>
    <n v="1500"/>
    <x v="11"/>
    <n v="2"/>
    <n v="55"/>
    <n v="110"/>
    <s v="Pending"/>
    <n v="110"/>
    <d v="2026-06-18T00:00:00"/>
    <m/>
    <m/>
    <x v="11"/>
    <x v="2"/>
  </r>
  <r>
    <n v="1044"/>
    <n v="1500"/>
    <x v="5"/>
    <n v="1"/>
    <n v="220"/>
    <n v="220"/>
    <s v="Pending"/>
    <n v="220"/>
    <d v="2026-06-18T00:00:00"/>
    <m/>
    <m/>
    <x v="5"/>
    <x v="2"/>
  </r>
  <r>
    <n v="1045"/>
    <n v="1501"/>
    <x v="7"/>
    <n v="1"/>
    <n v="180"/>
    <n v="180"/>
    <s v="Delivered"/>
    <n v="180"/>
    <d v="2026-03-06T00:00:00"/>
    <m/>
    <m/>
    <x v="7"/>
    <x v="1"/>
  </r>
  <r>
    <n v="1046"/>
    <n v="1501"/>
    <x v="0"/>
    <n v="2"/>
    <n v="750"/>
    <n v="1500"/>
    <s v="Delivered"/>
    <n v="1500"/>
    <d v="2026-03-06T00:00:00"/>
    <m/>
    <m/>
    <x v="0"/>
    <x v="1"/>
  </r>
  <r>
    <n v="1047"/>
    <n v="1502"/>
    <x v="6"/>
    <n v="1"/>
    <n v="45"/>
    <n v="45"/>
    <s v="Delivered"/>
    <n v="45"/>
    <d v="2026-02-14T00:00:00"/>
    <m/>
    <m/>
    <x v="6"/>
    <x v="5"/>
  </r>
  <r>
    <n v="1048"/>
    <n v="1502"/>
    <x v="8"/>
    <n v="3"/>
    <n v="30"/>
    <n v="90"/>
    <s v="Delivered"/>
    <n v="90"/>
    <d v="2026-02-14T00:00:00"/>
    <m/>
    <m/>
    <x v="8"/>
    <x v="5"/>
  </r>
  <r>
    <n v="1049"/>
    <n v="1503"/>
    <x v="3"/>
    <n v="4"/>
    <n v="25"/>
    <n v="100"/>
    <s v="Delivered"/>
    <n v="100"/>
    <d v="2026-05-07T00:00:00"/>
    <m/>
    <m/>
    <x v="3"/>
    <x v="3"/>
  </r>
  <r>
    <n v="1050"/>
    <n v="1503"/>
    <x v="4"/>
    <n v="2"/>
    <n v="48"/>
    <n v="96"/>
    <s v="Delivered"/>
    <n v="96"/>
    <d v="2026-05-07T00:00:00"/>
    <m/>
    <m/>
    <x v="4"/>
    <x v="3"/>
  </r>
  <r>
    <n v="1051"/>
    <n v="1504"/>
    <x v="6"/>
    <n v="4"/>
    <n v="45"/>
    <n v="180"/>
    <s v="Delivered"/>
    <n v="180"/>
    <d v="2026-03-09T00:00:00"/>
    <m/>
    <m/>
    <x v="6"/>
    <x v="1"/>
  </r>
  <r>
    <n v="1052"/>
    <n v="1505"/>
    <x v="7"/>
    <n v="4"/>
    <n v="180"/>
    <n v="720"/>
    <s v="Delivered"/>
    <n v="720"/>
    <d v="2026-03-01T00:00:00"/>
    <m/>
    <m/>
    <x v="7"/>
    <x v="1"/>
  </r>
  <r>
    <n v="1053"/>
    <n v="1505"/>
    <x v="6"/>
    <n v="1"/>
    <n v="45"/>
    <n v="45"/>
    <s v="Delivered"/>
    <n v="45"/>
    <d v="2026-03-01T00:00:00"/>
    <m/>
    <m/>
    <x v="6"/>
    <x v="1"/>
  </r>
  <r>
    <n v="1054"/>
    <n v="1506"/>
    <x v="8"/>
    <n v="3"/>
    <n v="30"/>
    <n v="90"/>
    <s v="Delivered"/>
    <n v="90"/>
    <d v="2026-05-16T00:00:00"/>
    <m/>
    <m/>
    <x v="8"/>
    <x v="3"/>
  </r>
  <r>
    <n v="1055"/>
    <n v="1507"/>
    <x v="4"/>
    <n v="4"/>
    <n v="48"/>
    <n v="192"/>
    <s v="Delivered"/>
    <n v="192"/>
    <d v="2026-03-27T00:00:00"/>
    <m/>
    <m/>
    <x v="4"/>
    <x v="1"/>
  </r>
  <r>
    <n v="1056"/>
    <n v="1507"/>
    <x v="2"/>
    <n v="4"/>
    <n v="8"/>
    <n v="32"/>
    <s v="Delivered"/>
    <n v="32"/>
    <d v="2026-03-27T00:00:00"/>
    <m/>
    <m/>
    <x v="2"/>
    <x v="1"/>
  </r>
  <r>
    <n v="1057"/>
    <n v="1508"/>
    <x v="8"/>
    <n v="1"/>
    <n v="30"/>
    <n v="30"/>
    <s v="Delivered"/>
    <n v="30"/>
    <d v="2026-02-19T00:00:00"/>
    <m/>
    <m/>
    <x v="8"/>
    <x v="5"/>
  </r>
  <r>
    <n v="1058"/>
    <n v="1508"/>
    <x v="0"/>
    <n v="1"/>
    <n v="750"/>
    <n v="750"/>
    <s v="Delivered"/>
    <n v="750"/>
    <d v="2026-02-19T00:00:00"/>
    <m/>
    <m/>
    <x v="0"/>
    <x v="5"/>
  </r>
  <r>
    <n v="1059"/>
    <n v="1509"/>
    <x v="3"/>
    <n v="1"/>
    <n v="25"/>
    <n v="25"/>
    <s v="Delivered"/>
    <n v="25"/>
    <d v="2026-03-31T00:00:00"/>
    <m/>
    <m/>
    <x v="3"/>
    <x v="1"/>
  </r>
  <r>
    <n v="1060"/>
    <n v="1509"/>
    <x v="0"/>
    <n v="1"/>
    <n v="750"/>
    <n v="750"/>
    <s v="Delivered"/>
    <n v="750"/>
    <d v="2026-03-31T00:00:00"/>
    <m/>
    <m/>
    <x v="0"/>
    <x v="1"/>
  </r>
  <r>
    <n v="1061"/>
    <n v="1510"/>
    <x v="2"/>
    <n v="2"/>
    <n v="8"/>
    <n v="16"/>
    <s v="Delivered"/>
    <n v="16"/>
    <d v="2026-06-03T00:00:00"/>
    <m/>
    <m/>
    <x v="2"/>
    <x v="2"/>
  </r>
  <r>
    <n v="1062"/>
    <n v="1511"/>
    <x v="11"/>
    <n v="1"/>
    <n v="55"/>
    <n v="55"/>
    <s v="Delivered"/>
    <n v="55"/>
    <d v="2026-01-29T00:00:00"/>
    <m/>
    <m/>
    <x v="11"/>
    <x v="0"/>
  </r>
  <r>
    <n v="1063"/>
    <n v="1511"/>
    <x v="4"/>
    <n v="4"/>
    <n v="48"/>
    <n v="192"/>
    <s v="Delivered"/>
    <n v="192"/>
    <d v="2026-01-29T00:00:00"/>
    <m/>
    <m/>
    <x v="4"/>
    <x v="0"/>
  </r>
  <r>
    <n v="1064"/>
    <n v="1512"/>
    <x v="0"/>
    <n v="4"/>
    <n v="750"/>
    <n v="3000"/>
    <s v="Delivered"/>
    <n v="3000"/>
    <d v="2026-03-24T00:00:00"/>
    <m/>
    <m/>
    <x v="0"/>
    <x v="1"/>
  </r>
  <r>
    <n v="1065"/>
    <n v="1512"/>
    <x v="10"/>
    <n v="3"/>
    <n v="65"/>
    <n v="195"/>
    <s v="Delivered"/>
    <n v="195"/>
    <d v="2026-03-24T00:00:00"/>
    <m/>
    <m/>
    <x v="10"/>
    <x v="1"/>
  </r>
  <r>
    <n v="1066"/>
    <n v="1513"/>
    <x v="10"/>
    <n v="1"/>
    <n v="65"/>
    <n v="65"/>
    <s v="Delivered"/>
    <n v="65"/>
    <d v="2026-04-23T00:00:00"/>
    <m/>
    <m/>
    <x v="10"/>
    <x v="4"/>
  </r>
  <r>
    <n v="1067"/>
    <n v="1513"/>
    <x v="6"/>
    <n v="2"/>
    <n v="45"/>
    <n v="90"/>
    <s v="Delivered"/>
    <n v="90"/>
    <d v="2026-04-23T00:00:00"/>
    <m/>
    <m/>
    <x v="6"/>
    <x v="4"/>
  </r>
  <r>
    <n v="1068"/>
    <n v="1513"/>
    <x v="11"/>
    <n v="4"/>
    <n v="55"/>
    <n v="220"/>
    <s v="Delivered"/>
    <n v="220"/>
    <d v="2026-04-23T00:00:00"/>
    <m/>
    <m/>
    <x v="11"/>
    <x v="4"/>
  </r>
  <r>
    <n v="1069"/>
    <n v="1514"/>
    <x v="2"/>
    <n v="3"/>
    <n v="8"/>
    <n v="24"/>
    <s v="Delivered"/>
    <n v="24"/>
    <d v="2026-03-08T00:00:00"/>
    <m/>
    <m/>
    <x v="2"/>
    <x v="1"/>
  </r>
  <r>
    <n v="1070"/>
    <n v="1515"/>
    <x v="10"/>
    <n v="3"/>
    <n v="65"/>
    <n v="195"/>
    <s v="Delivered"/>
    <n v="195"/>
    <d v="2026-06-13T00:00:00"/>
    <m/>
    <m/>
    <x v="10"/>
    <x v="2"/>
  </r>
  <r>
    <n v="1071"/>
    <n v="1515"/>
    <x v="7"/>
    <n v="4"/>
    <n v="180"/>
    <n v="720"/>
    <s v="Delivered"/>
    <n v="720"/>
    <d v="2026-06-13T00:00:00"/>
    <m/>
    <m/>
    <x v="7"/>
    <x v="2"/>
  </r>
  <r>
    <n v="1072"/>
    <n v="1515"/>
    <x v="6"/>
    <n v="1"/>
    <n v="45"/>
    <n v="45"/>
    <s v="Delivered"/>
    <n v="45"/>
    <d v="2026-06-13T00:00:00"/>
    <m/>
    <m/>
    <x v="6"/>
    <x v="2"/>
  </r>
  <r>
    <n v="1073"/>
    <n v="1516"/>
    <x v="3"/>
    <n v="4"/>
    <n v="25"/>
    <n v="100"/>
    <s v="Delivered"/>
    <n v="100"/>
    <d v="2026-04-14T00:00:00"/>
    <m/>
    <m/>
    <x v="3"/>
    <x v="4"/>
  </r>
  <r>
    <n v="1074"/>
    <n v="1516"/>
    <x v="0"/>
    <n v="1"/>
    <n v="750"/>
    <n v="750"/>
    <s v="Delivered"/>
    <n v="750"/>
    <d v="2026-04-14T00:00:00"/>
    <m/>
    <m/>
    <x v="0"/>
    <x v="4"/>
  </r>
  <r>
    <n v="1075"/>
    <n v="1516"/>
    <x v="10"/>
    <n v="3"/>
    <n v="65"/>
    <n v="195"/>
    <s v="Delivered"/>
    <n v="195"/>
    <d v="2026-04-14T00:00:00"/>
    <m/>
    <m/>
    <x v="10"/>
    <x v="4"/>
  </r>
  <r>
    <n v="1076"/>
    <n v="1517"/>
    <x v="11"/>
    <n v="3"/>
    <n v="55"/>
    <n v="165"/>
    <s v="Delivered"/>
    <n v="165"/>
    <d v="2026-01-24T00:00:00"/>
    <m/>
    <m/>
    <x v="11"/>
    <x v="0"/>
  </r>
  <r>
    <n v="1077"/>
    <n v="1518"/>
    <x v="4"/>
    <n v="3"/>
    <n v="48"/>
    <n v="144"/>
    <s v="Delivered"/>
    <n v="144"/>
    <d v="2026-06-19T00:00:00"/>
    <m/>
    <m/>
    <x v="4"/>
    <x v="2"/>
  </r>
  <r>
    <n v="1078"/>
    <n v="1519"/>
    <x v="2"/>
    <n v="4"/>
    <n v="8"/>
    <n v="32"/>
    <s v="Delivered"/>
    <n v="32"/>
    <d v="2026-02-05T00:00:00"/>
    <m/>
    <m/>
    <x v="2"/>
    <x v="5"/>
  </r>
  <r>
    <n v="1079"/>
    <n v="1519"/>
    <x v="3"/>
    <n v="1"/>
    <n v="25"/>
    <n v="25"/>
    <s v="Delivered"/>
    <n v="25"/>
    <d v="2026-02-05T00:00:00"/>
    <m/>
    <m/>
    <x v="3"/>
    <x v="5"/>
  </r>
  <r>
    <n v="1080"/>
    <n v="1519"/>
    <x v="11"/>
    <n v="3"/>
    <n v="55"/>
    <n v="165"/>
    <s v="Delivered"/>
    <n v="165"/>
    <d v="2026-02-05T00:00:00"/>
    <m/>
    <m/>
    <x v="11"/>
    <x v="5"/>
  </r>
  <r>
    <n v="1081"/>
    <n v="1520"/>
    <x v="0"/>
    <n v="2"/>
    <n v="750"/>
    <n v="1500"/>
    <s v="Delivered"/>
    <n v="1500"/>
    <d v="2026-01-10T00:00:00"/>
    <m/>
    <m/>
    <x v="0"/>
    <x v="0"/>
  </r>
  <r>
    <n v="1082"/>
    <n v="1520"/>
    <x v="10"/>
    <n v="4"/>
    <n v="65"/>
    <n v="260"/>
    <s v="Delivered"/>
    <n v="260"/>
    <d v="2026-01-10T00:00:00"/>
    <m/>
    <m/>
    <x v="10"/>
    <x v="0"/>
  </r>
  <r>
    <n v="1083"/>
    <n v="1520"/>
    <x v="5"/>
    <n v="2"/>
    <n v="220"/>
    <n v="440"/>
    <s v="Delivered"/>
    <n v="440"/>
    <d v="2026-01-10T00:00:00"/>
    <m/>
    <m/>
    <x v="5"/>
    <x v="0"/>
  </r>
  <r>
    <n v="1084"/>
    <n v="1521"/>
    <x v="2"/>
    <n v="2"/>
    <n v="8"/>
    <n v="16"/>
    <s v="Delivered"/>
    <n v="16"/>
    <d v="2026-02-06T00:00:00"/>
    <m/>
    <m/>
    <x v="2"/>
    <x v="5"/>
  </r>
  <r>
    <n v="1085"/>
    <n v="1521"/>
    <x v="0"/>
    <n v="2"/>
    <n v="750"/>
    <n v="1500"/>
    <s v="Delivered"/>
    <n v="1500"/>
    <d v="2026-02-06T00:00:00"/>
    <m/>
    <m/>
    <x v="0"/>
    <x v="5"/>
  </r>
  <r>
    <n v="1086"/>
    <n v="1522"/>
    <x v="5"/>
    <n v="4"/>
    <n v="220"/>
    <n v="880"/>
    <s v="Delivered"/>
    <n v="880"/>
    <d v="2026-04-27T00:00:00"/>
    <m/>
    <m/>
    <x v="5"/>
    <x v="4"/>
  </r>
  <r>
    <n v="1087"/>
    <n v="1523"/>
    <x v="5"/>
    <n v="2"/>
    <n v="220"/>
    <n v="440"/>
    <s v="Delivered"/>
    <n v="440"/>
    <d v="2026-04-20T00:00:00"/>
    <m/>
    <m/>
    <x v="5"/>
    <x v="4"/>
  </r>
  <r>
    <n v="1088"/>
    <n v="1523"/>
    <x v="4"/>
    <n v="3"/>
    <n v="48"/>
    <n v="144"/>
    <s v="Delivered"/>
    <n v="144"/>
    <d v="2026-04-20T00:00:00"/>
    <m/>
    <m/>
    <x v="4"/>
    <x v="4"/>
  </r>
  <r>
    <n v="1089"/>
    <n v="1524"/>
    <x v="6"/>
    <n v="2"/>
    <n v="45"/>
    <n v="90"/>
    <s v="Delivered"/>
    <n v="90"/>
    <d v="2026-02-14T00:00:00"/>
    <m/>
    <m/>
    <x v="6"/>
    <x v="5"/>
  </r>
  <r>
    <n v="1090"/>
    <n v="1524"/>
    <x v="10"/>
    <n v="3"/>
    <n v="65"/>
    <n v="195"/>
    <s v="Delivered"/>
    <n v="195"/>
    <d v="2026-02-14T00:00:00"/>
    <m/>
    <m/>
    <x v="10"/>
    <x v="5"/>
  </r>
  <r>
    <n v="1091"/>
    <n v="1525"/>
    <x v="0"/>
    <n v="4"/>
    <n v="750"/>
    <n v="3000"/>
    <s v="Delivered"/>
    <n v="3000"/>
    <d v="2026-02-04T00:00:00"/>
    <m/>
    <m/>
    <x v="0"/>
    <x v="5"/>
  </r>
  <r>
    <n v="1092"/>
    <n v="1526"/>
    <x v="9"/>
    <n v="2"/>
    <n v="22"/>
    <n v="44"/>
    <s v="Delivered"/>
    <n v="44"/>
    <d v="2026-06-16T00:00:00"/>
    <m/>
    <m/>
    <x v="9"/>
    <x v="2"/>
  </r>
  <r>
    <n v="1093"/>
    <n v="1526"/>
    <x v="11"/>
    <n v="2"/>
    <n v="55"/>
    <n v="110"/>
    <s v="Delivered"/>
    <n v="110"/>
    <d v="2026-06-16T00:00:00"/>
    <m/>
    <m/>
    <x v="11"/>
    <x v="2"/>
  </r>
  <r>
    <n v="1094"/>
    <n v="1527"/>
    <x v="6"/>
    <n v="1"/>
    <n v="45"/>
    <n v="45"/>
    <s v="Delivered"/>
    <n v="45"/>
    <d v="2026-02-14T00:00:00"/>
    <m/>
    <m/>
    <x v="6"/>
    <x v="5"/>
  </r>
  <r>
    <n v="1095"/>
    <n v="1527"/>
    <x v="11"/>
    <n v="3"/>
    <n v="55"/>
    <n v="165"/>
    <s v="Delivered"/>
    <n v="165"/>
    <d v="2026-02-14T00:00:00"/>
    <m/>
    <m/>
    <x v="11"/>
    <x v="5"/>
  </r>
  <r>
    <n v="1096"/>
    <n v="1527"/>
    <x v="2"/>
    <n v="3"/>
    <n v="8"/>
    <n v="24"/>
    <s v="Delivered"/>
    <n v="24"/>
    <d v="2026-02-14T00:00:00"/>
    <m/>
    <m/>
    <x v="2"/>
    <x v="5"/>
  </r>
  <r>
    <n v="1097"/>
    <n v="1528"/>
    <x v="3"/>
    <n v="3"/>
    <n v="25"/>
    <n v="75"/>
    <s v="Delivered"/>
    <n v="75"/>
    <d v="2026-01-25T00:00:00"/>
    <m/>
    <m/>
    <x v="3"/>
    <x v="0"/>
  </r>
  <r>
    <n v="1098"/>
    <n v="1528"/>
    <x v="11"/>
    <n v="1"/>
    <n v="55"/>
    <n v="55"/>
    <s v="Delivered"/>
    <n v="55"/>
    <d v="2026-01-25T00:00:00"/>
    <m/>
    <m/>
    <x v="11"/>
    <x v="0"/>
  </r>
  <r>
    <n v="1099"/>
    <n v="1528"/>
    <x v="9"/>
    <n v="2"/>
    <n v="22"/>
    <n v="44"/>
    <s v="Delivered"/>
    <n v="44"/>
    <d v="2026-01-25T00:00:00"/>
    <m/>
    <m/>
    <x v="9"/>
    <x v="0"/>
  </r>
  <r>
    <n v="1100"/>
    <n v="1529"/>
    <x v="4"/>
    <n v="3"/>
    <n v="48"/>
    <n v="144"/>
    <s v="Delivered"/>
    <n v="144"/>
    <d v="2026-05-08T00:00:00"/>
    <m/>
    <m/>
    <x v="4"/>
    <x v="3"/>
  </r>
  <r>
    <n v="1101"/>
    <n v="1530"/>
    <x v="6"/>
    <n v="4"/>
    <n v="45"/>
    <n v="180"/>
    <s v="Delivered"/>
    <n v="180"/>
    <d v="2026-01-12T00:00:00"/>
    <m/>
    <m/>
    <x v="6"/>
    <x v="0"/>
  </r>
  <r>
    <n v="1102"/>
    <n v="1530"/>
    <x v="9"/>
    <n v="1"/>
    <n v="22"/>
    <n v="22"/>
    <s v="Delivered"/>
    <n v="22"/>
    <d v="2026-01-12T00:00:00"/>
    <m/>
    <m/>
    <x v="9"/>
    <x v="0"/>
  </r>
  <r>
    <n v="1103"/>
    <n v="1530"/>
    <x v="0"/>
    <n v="1"/>
    <n v="750"/>
    <n v="750"/>
    <s v="Delivered"/>
    <n v="750"/>
    <d v="2026-01-12T00:00:00"/>
    <m/>
    <m/>
    <x v="0"/>
    <x v="0"/>
  </r>
  <r>
    <n v="1104"/>
    <n v="1531"/>
    <x v="5"/>
    <n v="3"/>
    <n v="220"/>
    <n v="660"/>
    <s v="Delivered"/>
    <n v="660"/>
    <d v="2026-04-18T00:00:00"/>
    <m/>
    <m/>
    <x v="5"/>
    <x v="4"/>
  </r>
  <r>
    <n v="1105"/>
    <n v="1532"/>
    <x v="2"/>
    <n v="1"/>
    <n v="8"/>
    <n v="8"/>
    <s v="Cancelled"/>
    <n v="0"/>
    <d v="2026-04-07T00:00:00"/>
    <m/>
    <m/>
    <x v="2"/>
    <x v="4"/>
  </r>
  <r>
    <n v="1106"/>
    <n v="1532"/>
    <x v="11"/>
    <n v="4"/>
    <n v="55"/>
    <n v="220"/>
    <s v="Cancelled"/>
    <n v="0"/>
    <d v="2026-04-07T00:00:00"/>
    <m/>
    <m/>
    <x v="11"/>
    <x v="4"/>
  </r>
  <r>
    <n v="1107"/>
    <n v="1533"/>
    <x v="10"/>
    <n v="3"/>
    <n v="65"/>
    <n v="195"/>
    <s v="Delivered"/>
    <n v="195"/>
    <d v="2026-02-07T00:00:00"/>
    <m/>
    <m/>
    <x v="10"/>
    <x v="5"/>
  </r>
  <r>
    <n v="1108"/>
    <n v="1534"/>
    <x v="2"/>
    <n v="2"/>
    <n v="8"/>
    <n v="16"/>
    <s v="Delivered"/>
    <n v="16"/>
    <d v="2026-02-21T00:00:00"/>
    <m/>
    <m/>
    <x v="2"/>
    <x v="5"/>
  </r>
  <r>
    <n v="1109"/>
    <n v="1534"/>
    <x v="0"/>
    <n v="1"/>
    <n v="750"/>
    <n v="750"/>
    <s v="Delivered"/>
    <n v="750"/>
    <d v="2026-02-21T00:00:00"/>
    <m/>
    <m/>
    <x v="0"/>
    <x v="5"/>
  </r>
  <r>
    <n v="1110"/>
    <n v="1534"/>
    <x v="7"/>
    <n v="4"/>
    <n v="180"/>
    <n v="720"/>
    <s v="Delivered"/>
    <n v="720"/>
    <d v="2026-02-21T00:00:00"/>
    <m/>
    <m/>
    <x v="7"/>
    <x v="5"/>
  </r>
  <r>
    <n v="1111"/>
    <n v="1535"/>
    <x v="8"/>
    <n v="4"/>
    <n v="30"/>
    <n v="120"/>
    <s v="Delivered"/>
    <n v="120"/>
    <d v="2026-06-04T00:00:00"/>
    <m/>
    <m/>
    <x v="8"/>
    <x v="2"/>
  </r>
  <r>
    <n v="1112"/>
    <n v="1535"/>
    <x v="3"/>
    <n v="4"/>
    <n v="25"/>
    <n v="100"/>
    <s v="Delivered"/>
    <n v="100"/>
    <d v="2026-06-04T00:00:00"/>
    <m/>
    <m/>
    <x v="3"/>
    <x v="2"/>
  </r>
  <r>
    <n v="1113"/>
    <n v="1535"/>
    <x v="5"/>
    <n v="2"/>
    <n v="220"/>
    <n v="440"/>
    <s v="Delivered"/>
    <n v="440"/>
    <d v="2026-06-04T00:00:00"/>
    <m/>
    <m/>
    <x v="5"/>
    <x v="2"/>
  </r>
  <r>
    <n v="1114"/>
    <n v="1536"/>
    <x v="1"/>
    <n v="4"/>
    <n v="140"/>
    <n v="560"/>
    <s v="Delivered"/>
    <n v="560"/>
    <d v="2026-04-20T00:00:00"/>
    <m/>
    <m/>
    <x v="1"/>
    <x v="4"/>
  </r>
  <r>
    <n v="1115"/>
    <n v="1537"/>
    <x v="0"/>
    <n v="4"/>
    <n v="750"/>
    <n v="3000"/>
    <s v="Cancelled"/>
    <n v="0"/>
    <d v="2026-05-27T00:00:00"/>
    <m/>
    <m/>
    <x v="0"/>
    <x v="3"/>
  </r>
  <r>
    <n v="1116"/>
    <n v="1538"/>
    <x v="11"/>
    <n v="4"/>
    <n v="55"/>
    <n v="220"/>
    <s v="Delivered"/>
    <n v="220"/>
    <d v="2026-05-10T00:00:00"/>
    <m/>
    <m/>
    <x v="11"/>
    <x v="3"/>
  </r>
  <r>
    <n v="1117"/>
    <n v="1538"/>
    <x v="5"/>
    <n v="4"/>
    <n v="220"/>
    <n v="880"/>
    <s v="Delivered"/>
    <n v="880"/>
    <d v="2026-05-10T00:00:00"/>
    <m/>
    <m/>
    <x v="5"/>
    <x v="3"/>
  </r>
  <r>
    <n v="1118"/>
    <n v="1539"/>
    <x v="7"/>
    <n v="1"/>
    <n v="180"/>
    <n v="180"/>
    <s v="Shipped"/>
    <n v="180"/>
    <d v="2026-04-15T00:00:00"/>
    <m/>
    <m/>
    <x v="7"/>
    <x v="4"/>
  </r>
  <r>
    <n v="1119"/>
    <n v="1539"/>
    <x v="3"/>
    <n v="1"/>
    <n v="25"/>
    <n v="25"/>
    <s v="Shipped"/>
    <n v="25"/>
    <d v="2026-04-15T00:00:00"/>
    <m/>
    <m/>
    <x v="3"/>
    <x v="4"/>
  </r>
  <r>
    <n v="1120"/>
    <n v="1540"/>
    <x v="2"/>
    <n v="4"/>
    <n v="8"/>
    <n v="32"/>
    <s v="Delivered"/>
    <n v="32"/>
    <d v="2026-02-11T00:00:00"/>
    <m/>
    <m/>
    <x v="2"/>
    <x v="5"/>
  </r>
  <r>
    <n v="1121"/>
    <n v="1540"/>
    <x v="0"/>
    <n v="2"/>
    <n v="750"/>
    <n v="1500"/>
    <s v="Delivered"/>
    <n v="1500"/>
    <d v="2026-02-11T00:00:00"/>
    <m/>
    <m/>
    <x v="0"/>
    <x v="5"/>
  </r>
  <r>
    <n v="1122"/>
    <n v="1540"/>
    <x v="11"/>
    <n v="4"/>
    <n v="55"/>
    <n v="220"/>
    <s v="Delivered"/>
    <n v="220"/>
    <d v="2026-02-11T00:00:00"/>
    <m/>
    <m/>
    <x v="11"/>
    <x v="5"/>
  </r>
  <r>
    <n v="1123"/>
    <n v="1541"/>
    <x v="9"/>
    <n v="1"/>
    <n v="22"/>
    <n v="22"/>
    <s v="Delivered"/>
    <n v="22"/>
    <d v="2026-06-12T00:00:00"/>
    <m/>
    <m/>
    <x v="9"/>
    <x v="2"/>
  </r>
  <r>
    <n v="1124"/>
    <n v="1541"/>
    <x v="1"/>
    <n v="3"/>
    <n v="140"/>
    <n v="420"/>
    <s v="Delivered"/>
    <n v="420"/>
    <d v="2026-06-12T00:00:00"/>
    <m/>
    <m/>
    <x v="1"/>
    <x v="2"/>
  </r>
  <r>
    <n v="1125"/>
    <n v="1542"/>
    <x v="1"/>
    <n v="3"/>
    <n v="140"/>
    <n v="420"/>
    <s v="Delivered"/>
    <n v="420"/>
    <d v="2026-05-28T00:00:00"/>
    <m/>
    <m/>
    <x v="1"/>
    <x v="3"/>
  </r>
  <r>
    <n v="1126"/>
    <n v="1542"/>
    <x v="0"/>
    <n v="1"/>
    <n v="750"/>
    <n v="750"/>
    <s v="Delivered"/>
    <n v="750"/>
    <d v="2026-05-28T00:00:00"/>
    <m/>
    <m/>
    <x v="0"/>
    <x v="3"/>
  </r>
  <r>
    <n v="1127"/>
    <n v="1542"/>
    <x v="8"/>
    <n v="1"/>
    <n v="30"/>
    <n v="30"/>
    <s v="Delivered"/>
    <n v="30"/>
    <d v="2026-05-28T00:00:00"/>
    <m/>
    <m/>
    <x v="8"/>
    <x v="3"/>
  </r>
  <r>
    <n v="1128"/>
    <n v="1543"/>
    <x v="9"/>
    <n v="3"/>
    <n v="22"/>
    <n v="66"/>
    <s v="Delivered"/>
    <n v="66"/>
    <d v="2026-02-14T00:00:00"/>
    <m/>
    <m/>
    <x v="9"/>
    <x v="5"/>
  </r>
  <r>
    <n v="1129"/>
    <n v="1543"/>
    <x v="3"/>
    <n v="2"/>
    <n v="25"/>
    <n v="50"/>
    <s v="Delivered"/>
    <n v="50"/>
    <d v="2026-02-14T00:00:00"/>
    <m/>
    <m/>
    <x v="3"/>
    <x v="5"/>
  </r>
  <r>
    <n v="1130"/>
    <n v="1543"/>
    <x v="6"/>
    <n v="1"/>
    <n v="45"/>
    <n v="45"/>
    <s v="Delivered"/>
    <n v="45"/>
    <d v="2026-02-14T00:00:00"/>
    <m/>
    <m/>
    <x v="6"/>
    <x v="5"/>
  </r>
  <r>
    <n v="1131"/>
    <n v="1544"/>
    <x v="1"/>
    <n v="4"/>
    <n v="140"/>
    <n v="560"/>
    <s v="Delivered"/>
    <n v="560"/>
    <d v="2026-02-23T00:00:00"/>
    <m/>
    <m/>
    <x v="1"/>
    <x v="5"/>
  </r>
  <r>
    <n v="1132"/>
    <n v="1544"/>
    <x v="7"/>
    <n v="3"/>
    <n v="180"/>
    <n v="540"/>
    <s v="Delivered"/>
    <n v="540"/>
    <d v="2026-02-23T00:00:00"/>
    <m/>
    <m/>
    <x v="7"/>
    <x v="5"/>
  </r>
  <r>
    <n v="1133"/>
    <n v="1545"/>
    <x v="8"/>
    <n v="3"/>
    <n v="30"/>
    <n v="90"/>
    <s v="Delivered"/>
    <n v="90"/>
    <d v="2026-05-15T00:00:00"/>
    <m/>
    <m/>
    <x v="8"/>
    <x v="3"/>
  </r>
  <r>
    <n v="1134"/>
    <n v="1545"/>
    <x v="4"/>
    <n v="4"/>
    <n v="48"/>
    <n v="192"/>
    <s v="Delivered"/>
    <n v="192"/>
    <d v="2026-05-15T00:00:00"/>
    <m/>
    <m/>
    <x v="4"/>
    <x v="3"/>
  </r>
  <r>
    <n v="1135"/>
    <n v="1545"/>
    <x v="9"/>
    <n v="3"/>
    <n v="22"/>
    <n v="66"/>
    <s v="Delivered"/>
    <n v="66"/>
    <d v="2026-05-15T00:00:00"/>
    <m/>
    <m/>
    <x v="9"/>
    <x v="3"/>
  </r>
  <r>
    <n v="1136"/>
    <n v="1546"/>
    <x v="5"/>
    <n v="4"/>
    <n v="220"/>
    <n v="880"/>
    <s v="Cancelled"/>
    <n v="0"/>
    <d v="2026-02-18T00:00:00"/>
    <m/>
    <m/>
    <x v="5"/>
    <x v="5"/>
  </r>
  <r>
    <n v="1137"/>
    <n v="1547"/>
    <x v="6"/>
    <n v="3"/>
    <n v="45"/>
    <n v="135"/>
    <s v="Delivered"/>
    <n v="135"/>
    <d v="2026-02-15T00:00:00"/>
    <m/>
    <m/>
    <x v="6"/>
    <x v="5"/>
  </r>
  <r>
    <n v="1138"/>
    <n v="1548"/>
    <x v="10"/>
    <n v="2"/>
    <n v="65"/>
    <n v="130"/>
    <s v="Shipped"/>
    <n v="130"/>
    <d v="2026-05-14T00:00:00"/>
    <m/>
    <m/>
    <x v="10"/>
    <x v="3"/>
  </r>
  <r>
    <n v="1139"/>
    <n v="1548"/>
    <x v="4"/>
    <n v="4"/>
    <n v="48"/>
    <n v="192"/>
    <s v="Shipped"/>
    <n v="192"/>
    <d v="2026-05-14T00:00:00"/>
    <m/>
    <m/>
    <x v="4"/>
    <x v="3"/>
  </r>
  <r>
    <n v="1140"/>
    <n v="1549"/>
    <x v="0"/>
    <n v="2"/>
    <n v="750"/>
    <n v="1500"/>
    <s v="Delivered"/>
    <n v="1500"/>
    <d v="2026-06-15T00:00:00"/>
    <m/>
    <m/>
    <x v="0"/>
    <x v="2"/>
  </r>
  <r>
    <n v="1141"/>
    <n v="1550"/>
    <x v="2"/>
    <n v="4"/>
    <n v="8"/>
    <n v="32"/>
    <s v="Delivered"/>
    <n v="32"/>
    <d v="2026-03-29T00:00:00"/>
    <m/>
    <m/>
    <x v="2"/>
    <x v="1"/>
  </r>
  <r>
    <n v="1142"/>
    <n v="1550"/>
    <x v="4"/>
    <n v="4"/>
    <n v="48"/>
    <n v="192"/>
    <s v="Delivered"/>
    <n v="192"/>
    <d v="2026-03-29T00:00:00"/>
    <m/>
    <m/>
    <x v="4"/>
    <x v="1"/>
  </r>
  <r>
    <n v="1143"/>
    <n v="1551"/>
    <x v="0"/>
    <n v="3"/>
    <n v="750"/>
    <n v="2250"/>
    <s v="Delivered"/>
    <n v="2250"/>
    <d v="2026-03-08T00:00:00"/>
    <m/>
    <m/>
    <x v="0"/>
    <x v="1"/>
  </r>
  <r>
    <n v="1144"/>
    <n v="1551"/>
    <x v="6"/>
    <n v="3"/>
    <n v="45"/>
    <n v="135"/>
    <s v="Delivered"/>
    <n v="135"/>
    <d v="2026-03-08T00:00:00"/>
    <m/>
    <m/>
    <x v="6"/>
    <x v="1"/>
  </r>
  <r>
    <n v="1145"/>
    <n v="1552"/>
    <x v="9"/>
    <n v="2"/>
    <n v="22"/>
    <n v="44"/>
    <s v="Delivered"/>
    <n v="44"/>
    <d v="2026-05-18T00:00:00"/>
    <m/>
    <m/>
    <x v="9"/>
    <x v="3"/>
  </r>
  <r>
    <n v="1146"/>
    <n v="1552"/>
    <x v="4"/>
    <n v="2"/>
    <n v="48"/>
    <n v="96"/>
    <s v="Delivered"/>
    <n v="96"/>
    <d v="2026-05-18T00:00:00"/>
    <m/>
    <m/>
    <x v="4"/>
    <x v="3"/>
  </r>
  <r>
    <n v="1147"/>
    <n v="1552"/>
    <x v="6"/>
    <n v="1"/>
    <n v="45"/>
    <n v="45"/>
    <s v="Delivered"/>
    <n v="45"/>
    <d v="2026-05-18T00:00:00"/>
    <m/>
    <m/>
    <x v="6"/>
    <x v="3"/>
  </r>
  <r>
    <n v="1148"/>
    <n v="1553"/>
    <x v="0"/>
    <n v="3"/>
    <n v="750"/>
    <n v="2250"/>
    <s v="Delivered"/>
    <n v="2250"/>
    <d v="2026-04-05T00:00:00"/>
    <m/>
    <m/>
    <x v="0"/>
    <x v="4"/>
  </r>
  <r>
    <n v="1149"/>
    <n v="1553"/>
    <x v="4"/>
    <n v="2"/>
    <n v="48"/>
    <n v="96"/>
    <s v="Delivered"/>
    <n v="96"/>
    <d v="2026-04-05T00:00:00"/>
    <m/>
    <m/>
    <x v="4"/>
    <x v="4"/>
  </r>
  <r>
    <n v="1150"/>
    <n v="1553"/>
    <x v="1"/>
    <n v="3"/>
    <n v="140"/>
    <n v="420"/>
    <s v="Delivered"/>
    <n v="420"/>
    <d v="2026-04-05T00:00:00"/>
    <m/>
    <m/>
    <x v="1"/>
    <x v="4"/>
  </r>
  <r>
    <n v="1151"/>
    <n v="1554"/>
    <x v="11"/>
    <n v="3"/>
    <n v="55"/>
    <n v="165"/>
    <s v="Delivered"/>
    <n v="165"/>
    <d v="2026-01-07T00:00:00"/>
    <m/>
    <m/>
    <x v="11"/>
    <x v="0"/>
  </r>
  <r>
    <n v="1152"/>
    <n v="1555"/>
    <x v="7"/>
    <n v="2"/>
    <n v="180"/>
    <n v="360"/>
    <s v="Delivered"/>
    <n v="360"/>
    <d v="2026-03-26T00:00:00"/>
    <m/>
    <m/>
    <x v="7"/>
    <x v="1"/>
  </r>
  <r>
    <n v="1153"/>
    <n v="1555"/>
    <x v="2"/>
    <n v="4"/>
    <n v="8"/>
    <n v="32"/>
    <s v="Delivered"/>
    <n v="32"/>
    <d v="2026-03-26T00:00:00"/>
    <m/>
    <m/>
    <x v="2"/>
    <x v="1"/>
  </r>
  <r>
    <n v="1154"/>
    <n v="1556"/>
    <x v="0"/>
    <n v="2"/>
    <n v="750"/>
    <n v="1500"/>
    <s v="Delivered"/>
    <n v="1500"/>
    <d v="2026-02-05T00:00:00"/>
    <m/>
    <m/>
    <x v="0"/>
    <x v="5"/>
  </r>
  <r>
    <n v="1155"/>
    <n v="1556"/>
    <x v="10"/>
    <n v="4"/>
    <n v="65"/>
    <n v="260"/>
    <s v="Delivered"/>
    <n v="260"/>
    <d v="2026-02-05T00:00:00"/>
    <m/>
    <m/>
    <x v="10"/>
    <x v="5"/>
  </r>
  <r>
    <n v="1156"/>
    <n v="1557"/>
    <x v="0"/>
    <n v="1"/>
    <n v="750"/>
    <n v="750"/>
    <s v="Delivered"/>
    <n v="750"/>
    <d v="2026-05-30T00:00:00"/>
    <m/>
    <m/>
    <x v="0"/>
    <x v="3"/>
  </r>
  <r>
    <n v="1157"/>
    <n v="1558"/>
    <x v="2"/>
    <n v="1"/>
    <n v="8"/>
    <n v="8"/>
    <s v="Delivered"/>
    <n v="8"/>
    <d v="2026-05-12T00:00:00"/>
    <m/>
    <m/>
    <x v="2"/>
    <x v="3"/>
  </r>
  <r>
    <n v="1158"/>
    <n v="1558"/>
    <x v="9"/>
    <n v="3"/>
    <n v="22"/>
    <n v="66"/>
    <s v="Delivered"/>
    <n v="66"/>
    <d v="2026-05-12T00:00:00"/>
    <m/>
    <m/>
    <x v="9"/>
    <x v="3"/>
  </r>
  <r>
    <n v="1159"/>
    <n v="1559"/>
    <x v="7"/>
    <n v="1"/>
    <n v="180"/>
    <n v="180"/>
    <s v="Delivered"/>
    <n v="180"/>
    <d v="2026-04-06T00:00:00"/>
    <m/>
    <m/>
    <x v="7"/>
    <x v="4"/>
  </r>
  <r>
    <n v="1160"/>
    <n v="1559"/>
    <x v="11"/>
    <n v="2"/>
    <n v="55"/>
    <n v="110"/>
    <s v="Delivered"/>
    <n v="110"/>
    <d v="2026-04-06T00:00:00"/>
    <m/>
    <m/>
    <x v="11"/>
    <x v="4"/>
  </r>
  <r>
    <n v="1161"/>
    <n v="1560"/>
    <x v="10"/>
    <n v="1"/>
    <n v="65"/>
    <n v="65"/>
    <s v="Delivered"/>
    <n v="65"/>
    <d v="2026-03-15T00:00:00"/>
    <m/>
    <m/>
    <x v="10"/>
    <x v="1"/>
  </r>
  <r>
    <n v="1162"/>
    <n v="1560"/>
    <x v="6"/>
    <n v="2"/>
    <n v="45"/>
    <n v="90"/>
    <s v="Delivered"/>
    <n v="90"/>
    <d v="2026-03-15T00:00:00"/>
    <m/>
    <m/>
    <x v="6"/>
    <x v="1"/>
  </r>
  <r>
    <n v="1163"/>
    <n v="1560"/>
    <x v="2"/>
    <n v="2"/>
    <n v="8"/>
    <n v="16"/>
    <s v="Delivered"/>
    <n v="16"/>
    <d v="2026-03-15T00:00:00"/>
    <m/>
    <m/>
    <x v="2"/>
    <x v="1"/>
  </r>
  <r>
    <n v="1164"/>
    <n v="1561"/>
    <x v="0"/>
    <n v="4"/>
    <n v="750"/>
    <n v="3000"/>
    <s v="Shipped"/>
    <n v="3000"/>
    <d v="2026-01-17T00:00:00"/>
    <m/>
    <m/>
    <x v="0"/>
    <x v="0"/>
  </r>
  <r>
    <n v="1165"/>
    <n v="1562"/>
    <x v="2"/>
    <n v="2"/>
    <n v="8"/>
    <n v="16"/>
    <s v="Delivered"/>
    <n v="16"/>
    <d v="2026-04-17T00:00:00"/>
    <m/>
    <m/>
    <x v="2"/>
    <x v="4"/>
  </r>
  <r>
    <n v="1166"/>
    <n v="1562"/>
    <x v="6"/>
    <n v="4"/>
    <n v="45"/>
    <n v="180"/>
    <s v="Delivered"/>
    <n v="180"/>
    <d v="2026-04-17T00:00:00"/>
    <m/>
    <m/>
    <x v="6"/>
    <x v="4"/>
  </r>
  <r>
    <n v="1167"/>
    <n v="1562"/>
    <x v="3"/>
    <n v="3"/>
    <n v="25"/>
    <n v="75"/>
    <s v="Delivered"/>
    <n v="75"/>
    <d v="2026-04-17T00:00:00"/>
    <m/>
    <m/>
    <x v="3"/>
    <x v="4"/>
  </r>
  <r>
    <n v="1168"/>
    <n v="1563"/>
    <x v="0"/>
    <n v="1"/>
    <n v="750"/>
    <n v="750"/>
    <s v="Delivered"/>
    <n v="750"/>
    <d v="2026-03-19T00:00:00"/>
    <m/>
    <m/>
    <x v="0"/>
    <x v="1"/>
  </r>
  <r>
    <n v="1169"/>
    <n v="1564"/>
    <x v="6"/>
    <n v="2"/>
    <n v="45"/>
    <n v="90"/>
    <s v="Delivered"/>
    <n v="90"/>
    <d v="2026-05-01T00:00:00"/>
    <m/>
    <m/>
    <x v="6"/>
    <x v="3"/>
  </r>
  <r>
    <n v="1170"/>
    <n v="1564"/>
    <x v="11"/>
    <n v="1"/>
    <n v="55"/>
    <n v="55"/>
    <s v="Delivered"/>
    <n v="55"/>
    <d v="2026-05-01T00:00:00"/>
    <m/>
    <m/>
    <x v="11"/>
    <x v="3"/>
  </r>
  <r>
    <n v="1171"/>
    <n v="1565"/>
    <x v="2"/>
    <n v="3"/>
    <n v="8"/>
    <n v="24"/>
    <s v="Delivered"/>
    <n v="24"/>
    <d v="2026-06-03T00:00:00"/>
    <m/>
    <m/>
    <x v="2"/>
    <x v="2"/>
  </r>
  <r>
    <n v="1172"/>
    <n v="1565"/>
    <x v="10"/>
    <n v="4"/>
    <n v="65"/>
    <n v="260"/>
    <s v="Delivered"/>
    <n v="260"/>
    <d v="2026-06-03T00:00:00"/>
    <m/>
    <m/>
    <x v="10"/>
    <x v="2"/>
  </r>
  <r>
    <n v="1173"/>
    <n v="1566"/>
    <x v="2"/>
    <n v="1"/>
    <n v="8"/>
    <n v="8"/>
    <s v="Delivered"/>
    <n v="8"/>
    <d v="2026-05-28T00:00:00"/>
    <m/>
    <m/>
    <x v="2"/>
    <x v="3"/>
  </r>
  <r>
    <n v="1174"/>
    <n v="1567"/>
    <x v="4"/>
    <n v="1"/>
    <n v="48"/>
    <n v="48"/>
    <s v="Delivered"/>
    <n v="48"/>
    <d v="2026-02-11T00:00:00"/>
    <m/>
    <m/>
    <x v="4"/>
    <x v="5"/>
  </r>
  <r>
    <n v="1175"/>
    <n v="1567"/>
    <x v="1"/>
    <n v="3"/>
    <n v="140"/>
    <n v="420"/>
    <s v="Delivered"/>
    <n v="420"/>
    <d v="2026-02-11T00:00:00"/>
    <m/>
    <m/>
    <x v="1"/>
    <x v="5"/>
  </r>
  <r>
    <n v="1176"/>
    <n v="1568"/>
    <x v="6"/>
    <n v="3"/>
    <n v="45"/>
    <n v="135"/>
    <s v="Delivered"/>
    <n v="135"/>
    <d v="2026-06-10T00:00:00"/>
    <m/>
    <m/>
    <x v="6"/>
    <x v="2"/>
  </r>
  <r>
    <n v="1177"/>
    <n v="1568"/>
    <x v="8"/>
    <n v="3"/>
    <n v="30"/>
    <n v="90"/>
    <s v="Delivered"/>
    <n v="90"/>
    <d v="2026-06-10T00:00:00"/>
    <m/>
    <m/>
    <x v="8"/>
    <x v="2"/>
  </r>
  <r>
    <n v="1178"/>
    <n v="1568"/>
    <x v="1"/>
    <n v="3"/>
    <n v="140"/>
    <n v="420"/>
    <s v="Delivered"/>
    <n v="420"/>
    <d v="2026-06-10T00:00:00"/>
    <m/>
    <m/>
    <x v="1"/>
    <x v="2"/>
  </r>
  <r>
    <n v="1179"/>
    <n v="1569"/>
    <x v="8"/>
    <n v="3"/>
    <n v="30"/>
    <n v="90"/>
    <s v="Delivered"/>
    <n v="90"/>
    <d v="2026-04-01T00:00:00"/>
    <m/>
    <m/>
    <x v="8"/>
    <x v="4"/>
  </r>
  <r>
    <n v="1180"/>
    <n v="1570"/>
    <x v="3"/>
    <n v="1"/>
    <n v="25"/>
    <n v="25"/>
    <s v="Delivered"/>
    <n v="25"/>
    <d v="2026-01-27T00:00:00"/>
    <m/>
    <m/>
    <x v="3"/>
    <x v="0"/>
  </r>
  <r>
    <n v="1181"/>
    <n v="1571"/>
    <x v="1"/>
    <n v="3"/>
    <n v="140"/>
    <n v="420"/>
    <s v="Delivered"/>
    <n v="420"/>
    <d v="2026-01-05T00:00:00"/>
    <m/>
    <m/>
    <x v="1"/>
    <x v="0"/>
  </r>
  <r>
    <n v="1182"/>
    <n v="1571"/>
    <x v="6"/>
    <n v="2"/>
    <n v="45"/>
    <n v="90"/>
    <s v="Delivered"/>
    <n v="90"/>
    <d v="2026-01-05T00:00:00"/>
    <m/>
    <m/>
    <x v="6"/>
    <x v="0"/>
  </r>
  <r>
    <n v="1183"/>
    <n v="1571"/>
    <x v="11"/>
    <n v="3"/>
    <n v="55"/>
    <n v="165"/>
    <s v="Delivered"/>
    <n v="165"/>
    <d v="2026-01-05T00:00:00"/>
    <m/>
    <m/>
    <x v="11"/>
    <x v="0"/>
  </r>
  <r>
    <n v="1184"/>
    <n v="1572"/>
    <x v="3"/>
    <n v="2"/>
    <n v="25"/>
    <n v="50"/>
    <s v="Delivered"/>
    <n v="50"/>
    <d v="2026-02-06T00:00:00"/>
    <m/>
    <m/>
    <x v="3"/>
    <x v="5"/>
  </r>
  <r>
    <n v="1185"/>
    <n v="1573"/>
    <x v="0"/>
    <n v="1"/>
    <n v="750"/>
    <n v="750"/>
    <s v="Delivered"/>
    <n v="750"/>
    <d v="2026-01-20T00:00:00"/>
    <m/>
    <m/>
    <x v="0"/>
    <x v="0"/>
  </r>
  <r>
    <n v="1186"/>
    <n v="1573"/>
    <x v="3"/>
    <n v="1"/>
    <n v="25"/>
    <n v="25"/>
    <s v="Delivered"/>
    <n v="25"/>
    <d v="2026-01-20T00:00:00"/>
    <m/>
    <m/>
    <x v="3"/>
    <x v="0"/>
  </r>
  <r>
    <n v="1187"/>
    <n v="1574"/>
    <x v="0"/>
    <n v="2"/>
    <n v="750"/>
    <n v="1500"/>
    <s v="Delivered"/>
    <n v="1500"/>
    <d v="2026-03-06T00:00:00"/>
    <m/>
    <m/>
    <x v="0"/>
    <x v="1"/>
  </r>
  <r>
    <n v="1188"/>
    <n v="1574"/>
    <x v="5"/>
    <n v="2"/>
    <n v="220"/>
    <n v="440"/>
    <s v="Delivered"/>
    <n v="440"/>
    <d v="2026-03-06T00:00:00"/>
    <m/>
    <m/>
    <x v="5"/>
    <x v="1"/>
  </r>
  <r>
    <n v="1189"/>
    <n v="1574"/>
    <x v="4"/>
    <n v="2"/>
    <n v="48"/>
    <n v="96"/>
    <s v="Delivered"/>
    <n v="96"/>
    <d v="2026-03-06T00:00:00"/>
    <m/>
    <m/>
    <x v="4"/>
    <x v="1"/>
  </r>
  <r>
    <n v="1190"/>
    <n v="1575"/>
    <x v="6"/>
    <n v="2"/>
    <n v="45"/>
    <n v="90"/>
    <s v="Shipped"/>
    <n v="90"/>
    <d v="2026-03-13T00:00:00"/>
    <m/>
    <m/>
    <x v="6"/>
    <x v="1"/>
  </r>
  <r>
    <n v="1191"/>
    <n v="1575"/>
    <x v="8"/>
    <n v="1"/>
    <n v="30"/>
    <n v="30"/>
    <s v="Shipped"/>
    <n v="30"/>
    <d v="2026-03-13T00:00:00"/>
    <m/>
    <m/>
    <x v="8"/>
    <x v="1"/>
  </r>
  <r>
    <n v="1192"/>
    <n v="1576"/>
    <x v="6"/>
    <n v="1"/>
    <n v="45"/>
    <n v="45"/>
    <s v="Delivered"/>
    <n v="45"/>
    <d v="2026-01-04T00:00:00"/>
    <m/>
    <m/>
    <x v="6"/>
    <x v="0"/>
  </r>
  <r>
    <n v="1193"/>
    <n v="1576"/>
    <x v="8"/>
    <n v="1"/>
    <n v="30"/>
    <n v="30"/>
    <s v="Delivered"/>
    <n v="30"/>
    <d v="2026-01-04T00:00:00"/>
    <m/>
    <m/>
    <x v="8"/>
    <x v="0"/>
  </r>
  <r>
    <n v="1194"/>
    <n v="1577"/>
    <x v="4"/>
    <n v="2"/>
    <n v="48"/>
    <n v="96"/>
    <s v="Delivered"/>
    <n v="96"/>
    <d v="2026-04-04T00:00:00"/>
    <m/>
    <m/>
    <x v="4"/>
    <x v="4"/>
  </r>
  <r>
    <n v="1195"/>
    <n v="1577"/>
    <x v="5"/>
    <n v="3"/>
    <n v="220"/>
    <n v="660"/>
    <s v="Delivered"/>
    <n v="660"/>
    <d v="2026-04-04T00:00:00"/>
    <m/>
    <m/>
    <x v="5"/>
    <x v="4"/>
  </r>
  <r>
    <n v="1196"/>
    <n v="1578"/>
    <x v="11"/>
    <n v="1"/>
    <n v="55"/>
    <n v="55"/>
    <s v="Delivered"/>
    <n v="55"/>
    <d v="2026-01-29T00:00:00"/>
    <m/>
    <m/>
    <x v="11"/>
    <x v="0"/>
  </r>
  <r>
    <n v="1197"/>
    <n v="1579"/>
    <x v="11"/>
    <n v="4"/>
    <n v="55"/>
    <n v="220"/>
    <s v="Delivered"/>
    <n v="220"/>
    <d v="2026-05-23T00:00:00"/>
    <m/>
    <m/>
    <x v="11"/>
    <x v="3"/>
  </r>
  <r>
    <n v="1198"/>
    <n v="1579"/>
    <x v="5"/>
    <n v="3"/>
    <n v="220"/>
    <n v="660"/>
    <s v="Delivered"/>
    <n v="660"/>
    <d v="2026-05-23T00:00:00"/>
    <m/>
    <m/>
    <x v="5"/>
    <x v="3"/>
  </r>
  <r>
    <n v="1199"/>
    <n v="1580"/>
    <x v="3"/>
    <n v="4"/>
    <n v="25"/>
    <n v="100"/>
    <s v="Delivered"/>
    <n v="100"/>
    <d v="2026-02-27T00:00:00"/>
    <m/>
    <m/>
    <x v="3"/>
    <x v="5"/>
  </r>
  <r>
    <n v="1200"/>
    <n v="1580"/>
    <x v="5"/>
    <n v="3"/>
    <n v="220"/>
    <n v="660"/>
    <s v="Delivered"/>
    <n v="660"/>
    <d v="2026-02-27T00:00:00"/>
    <m/>
    <m/>
    <x v="5"/>
    <x v="5"/>
  </r>
  <r>
    <n v="1201"/>
    <n v="1581"/>
    <x v="6"/>
    <n v="4"/>
    <n v="45"/>
    <n v="180"/>
    <s v="Delivered"/>
    <n v="180"/>
    <d v="2026-04-12T00:00:00"/>
    <m/>
    <m/>
    <x v="6"/>
    <x v="4"/>
  </r>
  <r>
    <n v="1202"/>
    <n v="1582"/>
    <x v="3"/>
    <n v="4"/>
    <n v="25"/>
    <n v="100"/>
    <s v="Delivered"/>
    <n v="100"/>
    <d v="2026-01-17T00:00:00"/>
    <m/>
    <m/>
    <x v="3"/>
    <x v="0"/>
  </r>
  <r>
    <n v="1203"/>
    <n v="1582"/>
    <x v="2"/>
    <n v="1"/>
    <n v="8"/>
    <n v="8"/>
    <s v="Delivered"/>
    <n v="8"/>
    <d v="2026-01-17T00:00:00"/>
    <m/>
    <m/>
    <x v="2"/>
    <x v="0"/>
  </r>
  <r>
    <n v="1204"/>
    <n v="1583"/>
    <x v="11"/>
    <n v="4"/>
    <n v="55"/>
    <n v="220"/>
    <s v="Delivered"/>
    <n v="220"/>
    <d v="2026-05-29T00:00:00"/>
    <m/>
    <m/>
    <x v="11"/>
    <x v="3"/>
  </r>
  <r>
    <n v="1205"/>
    <n v="1583"/>
    <x v="4"/>
    <n v="4"/>
    <n v="48"/>
    <n v="192"/>
    <s v="Delivered"/>
    <n v="192"/>
    <d v="2026-05-29T00:00:00"/>
    <m/>
    <m/>
    <x v="4"/>
    <x v="3"/>
  </r>
  <r>
    <n v="1206"/>
    <n v="1584"/>
    <x v="6"/>
    <n v="1"/>
    <n v="45"/>
    <n v="45"/>
    <s v="Delivered"/>
    <n v="45"/>
    <d v="2026-03-06T00:00:00"/>
    <m/>
    <m/>
    <x v="6"/>
    <x v="1"/>
  </r>
  <r>
    <n v="1207"/>
    <n v="1584"/>
    <x v="0"/>
    <n v="1"/>
    <n v="750"/>
    <n v="750"/>
    <s v="Delivered"/>
    <n v="750"/>
    <d v="2026-03-06T00:00:00"/>
    <m/>
    <m/>
    <x v="0"/>
    <x v="1"/>
  </r>
  <r>
    <n v="1208"/>
    <n v="1584"/>
    <x v="5"/>
    <n v="4"/>
    <n v="220"/>
    <n v="880"/>
    <s v="Delivered"/>
    <n v="880"/>
    <d v="2026-03-06T00:00:00"/>
    <m/>
    <m/>
    <x v="5"/>
    <x v="1"/>
  </r>
  <r>
    <n v="1209"/>
    <n v="1585"/>
    <x v="4"/>
    <n v="4"/>
    <n v="48"/>
    <n v="192"/>
    <s v="Delivered"/>
    <n v="192"/>
    <d v="2026-03-25T00:00:00"/>
    <m/>
    <m/>
    <x v="4"/>
    <x v="1"/>
  </r>
  <r>
    <n v="1210"/>
    <n v="1586"/>
    <x v="8"/>
    <n v="4"/>
    <n v="30"/>
    <n v="120"/>
    <s v="Delivered"/>
    <n v="120"/>
    <d v="2026-05-10T00:00:00"/>
    <m/>
    <m/>
    <x v="8"/>
    <x v="3"/>
  </r>
  <r>
    <n v="1211"/>
    <n v="1586"/>
    <x v="0"/>
    <n v="1"/>
    <n v="750"/>
    <n v="750"/>
    <s v="Delivered"/>
    <n v="750"/>
    <d v="2026-05-10T00:00:00"/>
    <m/>
    <m/>
    <x v="0"/>
    <x v="3"/>
  </r>
  <r>
    <n v="1212"/>
    <n v="1586"/>
    <x v="4"/>
    <n v="4"/>
    <n v="48"/>
    <n v="192"/>
    <s v="Delivered"/>
    <n v="192"/>
    <d v="2026-05-10T00:00:00"/>
    <m/>
    <m/>
    <x v="4"/>
    <x v="3"/>
  </r>
  <r>
    <n v="1213"/>
    <n v="1587"/>
    <x v="6"/>
    <n v="2"/>
    <n v="45"/>
    <n v="90"/>
    <s v="Delivered"/>
    <n v="90"/>
    <d v="2026-01-09T00:00:00"/>
    <m/>
    <m/>
    <x v="6"/>
    <x v="0"/>
  </r>
  <r>
    <n v="1214"/>
    <n v="1587"/>
    <x v="11"/>
    <n v="3"/>
    <n v="55"/>
    <n v="165"/>
    <s v="Delivered"/>
    <n v="165"/>
    <d v="2026-01-09T00:00:00"/>
    <m/>
    <m/>
    <x v="11"/>
    <x v="0"/>
  </r>
  <r>
    <n v="1215"/>
    <n v="1587"/>
    <x v="10"/>
    <n v="4"/>
    <n v="65"/>
    <n v="260"/>
    <s v="Delivered"/>
    <n v="260"/>
    <d v="2026-01-09T00:00:00"/>
    <m/>
    <m/>
    <x v="10"/>
    <x v="0"/>
  </r>
  <r>
    <n v="1216"/>
    <n v="1588"/>
    <x v="11"/>
    <n v="2"/>
    <n v="55"/>
    <n v="110"/>
    <s v="Delivered"/>
    <n v="110"/>
    <d v="2026-05-22T00:00:00"/>
    <m/>
    <m/>
    <x v="11"/>
    <x v="3"/>
  </r>
  <r>
    <n v="1217"/>
    <n v="1588"/>
    <x v="8"/>
    <n v="1"/>
    <n v="30"/>
    <n v="30"/>
    <s v="Delivered"/>
    <n v="30"/>
    <d v="2026-05-22T00:00:00"/>
    <m/>
    <m/>
    <x v="8"/>
    <x v="3"/>
  </r>
  <r>
    <n v="1218"/>
    <n v="1589"/>
    <x v="0"/>
    <n v="1"/>
    <n v="750"/>
    <n v="750"/>
    <s v="Delivered"/>
    <n v="750"/>
    <d v="2026-06-23T00:00:00"/>
    <m/>
    <m/>
    <x v="0"/>
    <x v="2"/>
  </r>
  <r>
    <n v="1219"/>
    <n v="1589"/>
    <x v="9"/>
    <n v="2"/>
    <n v="22"/>
    <n v="44"/>
    <s v="Delivered"/>
    <n v="44"/>
    <d v="2026-06-23T00:00:00"/>
    <m/>
    <m/>
    <x v="9"/>
    <x v="2"/>
  </r>
  <r>
    <n v="1220"/>
    <n v="1590"/>
    <x v="1"/>
    <n v="4"/>
    <n v="140"/>
    <n v="560"/>
    <s v="Delivered"/>
    <n v="560"/>
    <d v="2026-06-10T00:00:00"/>
    <m/>
    <m/>
    <x v="1"/>
    <x v="2"/>
  </r>
  <r>
    <n v="1221"/>
    <n v="1590"/>
    <x v="9"/>
    <n v="3"/>
    <n v="22"/>
    <n v="66"/>
    <s v="Delivered"/>
    <n v="66"/>
    <d v="2026-06-10T00:00:00"/>
    <m/>
    <m/>
    <x v="9"/>
    <x v="2"/>
  </r>
  <r>
    <n v="1222"/>
    <n v="1591"/>
    <x v="5"/>
    <n v="2"/>
    <n v="220"/>
    <n v="440"/>
    <s v="Delivered"/>
    <n v="440"/>
    <d v="2026-06-01T00:00:00"/>
    <m/>
    <m/>
    <x v="5"/>
    <x v="2"/>
  </r>
  <r>
    <n v="1223"/>
    <n v="1591"/>
    <x v="1"/>
    <n v="1"/>
    <n v="140"/>
    <n v="140"/>
    <s v="Delivered"/>
    <n v="140"/>
    <d v="2026-06-01T00:00:00"/>
    <m/>
    <m/>
    <x v="1"/>
    <x v="2"/>
  </r>
  <r>
    <n v="1224"/>
    <n v="1592"/>
    <x v="0"/>
    <n v="1"/>
    <n v="750"/>
    <n v="750"/>
    <s v="Delivered"/>
    <n v="750"/>
    <d v="2026-05-26T00:00:00"/>
    <m/>
    <m/>
    <x v="0"/>
    <x v="3"/>
  </r>
  <r>
    <n v="1225"/>
    <n v="1592"/>
    <x v="11"/>
    <n v="3"/>
    <n v="55"/>
    <n v="165"/>
    <s v="Delivered"/>
    <n v="165"/>
    <d v="2026-05-26T00:00:00"/>
    <m/>
    <m/>
    <x v="11"/>
    <x v="3"/>
  </r>
  <r>
    <n v="1226"/>
    <n v="1593"/>
    <x v="11"/>
    <n v="3"/>
    <n v="55"/>
    <n v="165"/>
    <s v="Delivered"/>
    <n v="165"/>
    <d v="2026-01-26T00:00:00"/>
    <m/>
    <m/>
    <x v="11"/>
    <x v="0"/>
  </r>
  <r>
    <n v="1227"/>
    <n v="1593"/>
    <x v="8"/>
    <n v="2"/>
    <n v="30"/>
    <n v="60"/>
    <s v="Delivered"/>
    <n v="60"/>
    <d v="2026-01-26T00:00:00"/>
    <m/>
    <m/>
    <x v="8"/>
    <x v="0"/>
  </r>
  <r>
    <n v="1228"/>
    <n v="1594"/>
    <x v="3"/>
    <n v="1"/>
    <n v="25"/>
    <n v="25"/>
    <s v="Delivered"/>
    <n v="25"/>
    <d v="2026-06-12T00:00:00"/>
    <m/>
    <m/>
    <x v="3"/>
    <x v="2"/>
  </r>
  <r>
    <n v="1229"/>
    <n v="1594"/>
    <x v="7"/>
    <n v="3"/>
    <n v="180"/>
    <n v="540"/>
    <s v="Delivered"/>
    <n v="540"/>
    <d v="2026-06-12T00:00:00"/>
    <m/>
    <m/>
    <x v="7"/>
    <x v="2"/>
  </r>
  <r>
    <n v="1230"/>
    <n v="1594"/>
    <x v="4"/>
    <n v="4"/>
    <n v="48"/>
    <n v="192"/>
    <s v="Delivered"/>
    <n v="192"/>
    <d v="2026-06-12T00:00:00"/>
    <m/>
    <m/>
    <x v="4"/>
    <x v="2"/>
  </r>
  <r>
    <n v="1231"/>
    <n v="1595"/>
    <x v="5"/>
    <n v="4"/>
    <n v="220"/>
    <n v="880"/>
    <s v="Delivered"/>
    <n v="880"/>
    <d v="2026-05-29T00:00:00"/>
    <m/>
    <m/>
    <x v="5"/>
    <x v="3"/>
  </r>
  <r>
    <n v="1232"/>
    <n v="1595"/>
    <x v="2"/>
    <n v="4"/>
    <n v="8"/>
    <n v="32"/>
    <s v="Delivered"/>
    <n v="32"/>
    <d v="2026-05-29T00:00:00"/>
    <m/>
    <m/>
    <x v="2"/>
    <x v="3"/>
  </r>
  <r>
    <n v="1233"/>
    <n v="1596"/>
    <x v="8"/>
    <n v="4"/>
    <n v="30"/>
    <n v="120"/>
    <s v="Delivered"/>
    <n v="120"/>
    <d v="2026-05-10T00:00:00"/>
    <m/>
    <m/>
    <x v="8"/>
    <x v="3"/>
  </r>
  <r>
    <n v="1234"/>
    <n v="1596"/>
    <x v="1"/>
    <n v="4"/>
    <n v="140"/>
    <n v="560"/>
    <s v="Delivered"/>
    <n v="560"/>
    <d v="2026-05-10T00:00:00"/>
    <m/>
    <m/>
    <x v="1"/>
    <x v="3"/>
  </r>
  <r>
    <n v="1235"/>
    <n v="1596"/>
    <x v="3"/>
    <n v="3"/>
    <n v="25"/>
    <n v="75"/>
    <s v="Delivered"/>
    <n v="75"/>
    <d v="2026-05-10T00:00:00"/>
    <m/>
    <m/>
    <x v="3"/>
    <x v="3"/>
  </r>
  <r>
    <n v="1236"/>
    <n v="1597"/>
    <x v="2"/>
    <n v="4"/>
    <n v="8"/>
    <n v="32"/>
    <s v="Delivered"/>
    <n v="32"/>
    <d v="2026-01-05T00:00:00"/>
    <m/>
    <m/>
    <x v="2"/>
    <x v="0"/>
  </r>
  <r>
    <n v="1237"/>
    <n v="1598"/>
    <x v="10"/>
    <n v="2"/>
    <n v="65"/>
    <n v="130"/>
    <s v="Shipped"/>
    <n v="130"/>
    <d v="2026-03-10T00:00:00"/>
    <m/>
    <m/>
    <x v="10"/>
    <x v="1"/>
  </r>
  <r>
    <n v="1238"/>
    <n v="1598"/>
    <x v="2"/>
    <n v="3"/>
    <n v="8"/>
    <n v="24"/>
    <s v="Shipped"/>
    <n v="24"/>
    <d v="2026-03-10T00:00:00"/>
    <m/>
    <m/>
    <x v="2"/>
    <x v="1"/>
  </r>
  <r>
    <n v="1239"/>
    <n v="1598"/>
    <x v="0"/>
    <n v="4"/>
    <n v="750"/>
    <n v="3000"/>
    <s v="Shipped"/>
    <n v="3000"/>
    <d v="2026-03-10T00:00:00"/>
    <m/>
    <m/>
    <x v="0"/>
    <x v="1"/>
  </r>
  <r>
    <n v="1240"/>
    <n v="1599"/>
    <x v="1"/>
    <n v="2"/>
    <n v="140"/>
    <n v="280"/>
    <s v="Delivered"/>
    <n v="280"/>
    <d v="2026-06-25T00:00:00"/>
    <m/>
    <m/>
    <x v="1"/>
    <x v="2"/>
  </r>
  <r>
    <n v="1241"/>
    <n v="1599"/>
    <x v="5"/>
    <n v="4"/>
    <n v="220"/>
    <n v="880"/>
    <s v="Delivered"/>
    <n v="880"/>
    <d v="2026-06-25T00:00:00"/>
    <m/>
    <m/>
    <x v="5"/>
    <x v="2"/>
  </r>
  <r>
    <n v="1242"/>
    <n v="1600"/>
    <x v="6"/>
    <n v="2"/>
    <n v="45"/>
    <n v="90"/>
    <s v="Delivered"/>
    <n v="90"/>
    <d v="2026-06-03T00:00:00"/>
    <m/>
    <m/>
    <x v="6"/>
    <x v="2"/>
  </r>
  <r>
    <n v="1243"/>
    <n v="1601"/>
    <x v="0"/>
    <n v="3"/>
    <n v="750"/>
    <n v="2250"/>
    <s v="Pending"/>
    <n v="2250"/>
    <d v="2026-05-24T00:00:00"/>
    <m/>
    <m/>
    <x v="0"/>
    <x v="3"/>
  </r>
  <r>
    <n v="1244"/>
    <n v="1601"/>
    <x v="3"/>
    <n v="2"/>
    <n v="25"/>
    <n v="50"/>
    <s v="Pending"/>
    <n v="50"/>
    <d v="2026-05-24T00:00:00"/>
    <m/>
    <m/>
    <x v="3"/>
    <x v="3"/>
  </r>
  <r>
    <n v="1245"/>
    <n v="1601"/>
    <x v="6"/>
    <n v="1"/>
    <n v="45"/>
    <n v="45"/>
    <s v="Pending"/>
    <n v="45"/>
    <d v="2026-05-24T00:00:00"/>
    <m/>
    <m/>
    <x v="6"/>
    <x v="3"/>
  </r>
  <r>
    <n v="1246"/>
    <n v="1602"/>
    <x v="0"/>
    <n v="1"/>
    <n v="750"/>
    <n v="750"/>
    <s v="Delivered"/>
    <n v="750"/>
    <d v="2026-03-13T00:00:00"/>
    <m/>
    <m/>
    <x v="0"/>
    <x v="1"/>
  </r>
  <r>
    <n v="1247"/>
    <n v="1602"/>
    <x v="11"/>
    <n v="1"/>
    <n v="55"/>
    <n v="55"/>
    <s v="Delivered"/>
    <n v="55"/>
    <d v="2026-03-13T00:00:00"/>
    <m/>
    <m/>
    <x v="11"/>
    <x v="1"/>
  </r>
  <r>
    <n v="1248"/>
    <n v="1602"/>
    <x v="9"/>
    <n v="3"/>
    <n v="22"/>
    <n v="66"/>
    <s v="Delivered"/>
    <n v="66"/>
    <d v="2026-03-13T00:00:00"/>
    <m/>
    <m/>
    <x v="9"/>
    <x v="1"/>
  </r>
  <r>
    <n v="1249"/>
    <n v="1603"/>
    <x v="9"/>
    <n v="2"/>
    <n v="22"/>
    <n v="44"/>
    <s v="Delivered"/>
    <n v="44"/>
    <d v="2026-04-04T00:00:00"/>
    <m/>
    <m/>
    <x v="9"/>
    <x v="4"/>
  </r>
  <r>
    <n v="1250"/>
    <n v="1603"/>
    <x v="6"/>
    <n v="1"/>
    <n v="45"/>
    <n v="45"/>
    <s v="Delivered"/>
    <n v="45"/>
    <d v="2026-04-04T00:00:00"/>
    <m/>
    <m/>
    <x v="6"/>
    <x v="4"/>
  </r>
  <r>
    <n v="1251"/>
    <n v="1604"/>
    <x v="11"/>
    <n v="2"/>
    <n v="55"/>
    <n v="110"/>
    <s v="Shipped"/>
    <n v="110"/>
    <d v="2026-05-29T00:00:00"/>
    <m/>
    <m/>
    <x v="11"/>
    <x v="3"/>
  </r>
  <r>
    <n v="1252"/>
    <n v="1604"/>
    <x v="5"/>
    <n v="1"/>
    <n v="220"/>
    <n v="220"/>
    <s v="Shipped"/>
    <n v="220"/>
    <d v="2026-05-29T00:00:00"/>
    <m/>
    <m/>
    <x v="5"/>
    <x v="3"/>
  </r>
  <r>
    <n v="1253"/>
    <n v="1605"/>
    <x v="9"/>
    <n v="2"/>
    <n v="22"/>
    <n v="44"/>
    <s v="Delivered"/>
    <n v="44"/>
    <d v="2026-03-26T00:00:00"/>
    <m/>
    <m/>
    <x v="9"/>
    <x v="1"/>
  </r>
  <r>
    <n v="1254"/>
    <n v="1605"/>
    <x v="3"/>
    <n v="2"/>
    <n v="25"/>
    <n v="50"/>
    <s v="Delivered"/>
    <n v="50"/>
    <d v="2026-03-26T00:00:00"/>
    <m/>
    <m/>
    <x v="3"/>
    <x v="1"/>
  </r>
  <r>
    <n v="1255"/>
    <n v="1605"/>
    <x v="10"/>
    <n v="1"/>
    <n v="65"/>
    <n v="65"/>
    <s v="Delivered"/>
    <n v="65"/>
    <d v="2026-03-26T00:00:00"/>
    <m/>
    <m/>
    <x v="10"/>
    <x v="1"/>
  </r>
  <r>
    <n v="1256"/>
    <n v="1606"/>
    <x v="9"/>
    <n v="3"/>
    <n v="22"/>
    <n v="66"/>
    <s v="Delivered"/>
    <n v="66"/>
    <d v="2026-05-31T00:00:00"/>
    <m/>
    <m/>
    <x v="9"/>
    <x v="3"/>
  </r>
  <r>
    <n v="1257"/>
    <n v="1606"/>
    <x v="5"/>
    <n v="4"/>
    <n v="220"/>
    <n v="880"/>
    <s v="Delivered"/>
    <n v="880"/>
    <d v="2026-05-31T00:00:00"/>
    <m/>
    <m/>
    <x v="5"/>
    <x v="3"/>
  </r>
  <r>
    <n v="1258"/>
    <n v="1607"/>
    <x v="0"/>
    <n v="1"/>
    <n v="750"/>
    <n v="750"/>
    <s v="Delivered"/>
    <n v="750"/>
    <d v="2026-04-03T00:00:00"/>
    <m/>
    <m/>
    <x v="0"/>
    <x v="4"/>
  </r>
  <r>
    <n v="1259"/>
    <n v="1607"/>
    <x v="4"/>
    <n v="1"/>
    <n v="48"/>
    <n v="48"/>
    <s v="Delivered"/>
    <n v="48"/>
    <d v="2026-04-03T00:00:00"/>
    <m/>
    <m/>
    <x v="4"/>
    <x v="4"/>
  </r>
  <r>
    <n v="1260"/>
    <n v="1608"/>
    <x v="5"/>
    <n v="4"/>
    <n v="220"/>
    <n v="880"/>
    <s v="Delivered"/>
    <n v="880"/>
    <d v="2026-04-09T00:00:00"/>
    <m/>
    <m/>
    <x v="5"/>
    <x v="4"/>
  </r>
  <r>
    <n v="1261"/>
    <n v="1608"/>
    <x v="8"/>
    <n v="4"/>
    <n v="30"/>
    <n v="120"/>
    <s v="Delivered"/>
    <n v="120"/>
    <d v="2026-04-09T00:00:00"/>
    <m/>
    <m/>
    <x v="8"/>
    <x v="4"/>
  </r>
  <r>
    <n v="1262"/>
    <n v="1608"/>
    <x v="3"/>
    <n v="1"/>
    <n v="25"/>
    <n v="25"/>
    <s v="Delivered"/>
    <n v="25"/>
    <d v="2026-04-09T00:00:00"/>
    <m/>
    <m/>
    <x v="3"/>
    <x v="4"/>
  </r>
  <r>
    <n v="1263"/>
    <n v="1609"/>
    <x v="3"/>
    <n v="4"/>
    <n v="25"/>
    <n v="100"/>
    <s v="Delivered"/>
    <n v="100"/>
    <d v="2026-03-19T00:00:00"/>
    <m/>
    <m/>
    <x v="3"/>
    <x v="1"/>
  </r>
  <r>
    <n v="1264"/>
    <n v="1609"/>
    <x v="6"/>
    <n v="3"/>
    <n v="45"/>
    <n v="135"/>
    <s v="Delivered"/>
    <n v="135"/>
    <d v="2026-03-19T00:00:00"/>
    <m/>
    <m/>
    <x v="6"/>
    <x v="1"/>
  </r>
  <r>
    <n v="1265"/>
    <n v="1610"/>
    <x v="9"/>
    <n v="3"/>
    <n v="22"/>
    <n v="66"/>
    <s v="Cancelled"/>
    <n v="0"/>
    <d v="2026-03-12T00:00:00"/>
    <m/>
    <m/>
    <x v="9"/>
    <x v="1"/>
  </r>
  <r>
    <n v="1266"/>
    <n v="1610"/>
    <x v="10"/>
    <n v="4"/>
    <n v="65"/>
    <n v="260"/>
    <s v="Cancelled"/>
    <n v="0"/>
    <d v="2026-03-12T00:00:00"/>
    <m/>
    <m/>
    <x v="10"/>
    <x v="1"/>
  </r>
  <r>
    <n v="1267"/>
    <n v="1611"/>
    <x v="5"/>
    <n v="3"/>
    <n v="220"/>
    <n v="660"/>
    <s v="Delivered"/>
    <n v="660"/>
    <d v="2026-01-26T00:00:00"/>
    <m/>
    <m/>
    <x v="5"/>
    <x v="0"/>
  </r>
  <r>
    <n v="1268"/>
    <n v="1611"/>
    <x v="1"/>
    <n v="4"/>
    <n v="140"/>
    <n v="560"/>
    <s v="Delivered"/>
    <n v="560"/>
    <d v="2026-01-26T00:00:00"/>
    <m/>
    <m/>
    <x v="1"/>
    <x v="0"/>
  </r>
  <r>
    <n v="1269"/>
    <n v="1611"/>
    <x v="10"/>
    <n v="1"/>
    <n v="65"/>
    <n v="65"/>
    <s v="Delivered"/>
    <n v="65"/>
    <d v="2026-01-26T00:00:00"/>
    <m/>
    <m/>
    <x v="10"/>
    <x v="0"/>
  </r>
  <r>
    <n v="1270"/>
    <n v="1612"/>
    <x v="4"/>
    <n v="3"/>
    <n v="48"/>
    <n v="144"/>
    <s v="Delivered"/>
    <n v="144"/>
    <d v="2026-06-14T00:00:00"/>
    <m/>
    <m/>
    <x v="4"/>
    <x v="2"/>
  </r>
  <r>
    <n v="1271"/>
    <n v="1613"/>
    <x v="11"/>
    <n v="2"/>
    <n v="55"/>
    <n v="110"/>
    <s v="Delivered"/>
    <n v="110"/>
    <d v="2026-06-16T00:00:00"/>
    <m/>
    <m/>
    <x v="11"/>
    <x v="2"/>
  </r>
  <r>
    <n v="1272"/>
    <n v="1613"/>
    <x v="9"/>
    <n v="3"/>
    <n v="22"/>
    <n v="66"/>
    <s v="Delivered"/>
    <n v="66"/>
    <d v="2026-06-16T00:00:00"/>
    <m/>
    <m/>
    <x v="9"/>
    <x v="2"/>
  </r>
  <r>
    <n v="1273"/>
    <n v="1614"/>
    <x v="10"/>
    <n v="4"/>
    <n v="65"/>
    <n v="260"/>
    <s v="Delivered"/>
    <n v="260"/>
    <d v="2026-02-20T00:00:00"/>
    <m/>
    <m/>
    <x v="10"/>
    <x v="5"/>
  </r>
  <r>
    <n v="1274"/>
    <n v="1615"/>
    <x v="11"/>
    <n v="2"/>
    <n v="55"/>
    <n v="110"/>
    <s v="Delivered"/>
    <n v="110"/>
    <d v="2026-05-23T00:00:00"/>
    <m/>
    <m/>
    <x v="11"/>
    <x v="3"/>
  </r>
  <r>
    <n v="1275"/>
    <n v="1616"/>
    <x v="1"/>
    <n v="2"/>
    <n v="140"/>
    <n v="280"/>
    <s v="Delivered"/>
    <n v="280"/>
    <d v="2026-04-20T00:00:00"/>
    <m/>
    <m/>
    <x v="1"/>
    <x v="4"/>
  </r>
  <r>
    <n v="1276"/>
    <n v="1617"/>
    <x v="3"/>
    <n v="2"/>
    <n v="25"/>
    <n v="50"/>
    <s v="Delivered"/>
    <n v="50"/>
    <d v="2026-04-27T00:00:00"/>
    <m/>
    <m/>
    <x v="3"/>
    <x v="4"/>
  </r>
  <r>
    <n v="1277"/>
    <n v="1618"/>
    <x v="2"/>
    <n v="2"/>
    <n v="8"/>
    <n v="16"/>
    <s v="Delivered"/>
    <n v="16"/>
    <d v="2026-05-07T00:00:00"/>
    <m/>
    <m/>
    <x v="2"/>
    <x v="3"/>
  </r>
  <r>
    <n v="1278"/>
    <n v="1619"/>
    <x v="7"/>
    <n v="3"/>
    <n v="180"/>
    <n v="540"/>
    <s v="Delivered"/>
    <n v="540"/>
    <d v="2026-02-16T00:00:00"/>
    <m/>
    <m/>
    <x v="7"/>
    <x v="5"/>
  </r>
  <r>
    <n v="1279"/>
    <n v="1620"/>
    <x v="11"/>
    <n v="2"/>
    <n v="55"/>
    <n v="110"/>
    <s v="Delivered"/>
    <n v="110"/>
    <d v="2026-06-25T00:00:00"/>
    <m/>
    <m/>
    <x v="11"/>
    <x v="2"/>
  </r>
  <r>
    <n v="1280"/>
    <n v="1621"/>
    <x v="5"/>
    <n v="1"/>
    <n v="220"/>
    <n v="220"/>
    <s v="Delivered"/>
    <n v="220"/>
    <d v="2026-04-09T00:00:00"/>
    <m/>
    <m/>
    <x v="5"/>
    <x v="4"/>
  </r>
  <r>
    <n v="1281"/>
    <n v="1622"/>
    <x v="7"/>
    <n v="4"/>
    <n v="180"/>
    <n v="720"/>
    <s v="Shipped"/>
    <n v="720"/>
    <d v="2026-06-05T00:00:00"/>
    <m/>
    <m/>
    <x v="7"/>
    <x v="2"/>
  </r>
  <r>
    <n v="1282"/>
    <n v="1623"/>
    <x v="2"/>
    <n v="2"/>
    <n v="8"/>
    <n v="16"/>
    <s v="Delivered"/>
    <n v="16"/>
    <d v="2026-06-21T00:00:00"/>
    <m/>
    <m/>
    <x v="2"/>
    <x v="2"/>
  </r>
  <r>
    <n v="1283"/>
    <n v="1624"/>
    <x v="6"/>
    <n v="1"/>
    <n v="45"/>
    <n v="45"/>
    <s v="Delivered"/>
    <n v="45"/>
    <d v="2026-02-03T00:00:00"/>
    <m/>
    <m/>
    <x v="6"/>
    <x v="5"/>
  </r>
  <r>
    <n v="1284"/>
    <n v="1624"/>
    <x v="7"/>
    <n v="3"/>
    <n v="180"/>
    <n v="540"/>
    <s v="Delivered"/>
    <n v="540"/>
    <d v="2026-02-03T00:00:00"/>
    <m/>
    <m/>
    <x v="7"/>
    <x v="5"/>
  </r>
  <r>
    <n v="1285"/>
    <n v="1625"/>
    <x v="2"/>
    <n v="3"/>
    <n v="8"/>
    <n v="24"/>
    <s v="Shipped"/>
    <n v="24"/>
    <d v="2026-04-03T00:00:00"/>
    <m/>
    <m/>
    <x v="2"/>
    <x v="4"/>
  </r>
  <r>
    <n v="1286"/>
    <n v="1625"/>
    <x v="7"/>
    <n v="4"/>
    <n v="180"/>
    <n v="720"/>
    <s v="Shipped"/>
    <n v="720"/>
    <d v="2026-04-03T00:00:00"/>
    <m/>
    <m/>
    <x v="7"/>
    <x v="4"/>
  </r>
  <r>
    <n v="1287"/>
    <n v="1626"/>
    <x v="4"/>
    <n v="1"/>
    <n v="48"/>
    <n v="48"/>
    <s v="Delivered"/>
    <n v="48"/>
    <d v="2026-05-06T00:00:00"/>
    <m/>
    <m/>
    <x v="4"/>
    <x v="3"/>
  </r>
  <r>
    <n v="1288"/>
    <n v="1626"/>
    <x v="9"/>
    <n v="2"/>
    <n v="22"/>
    <n v="44"/>
    <s v="Delivered"/>
    <n v="44"/>
    <d v="2026-05-06T00:00:00"/>
    <m/>
    <m/>
    <x v="9"/>
    <x v="3"/>
  </r>
  <r>
    <n v="1289"/>
    <n v="1626"/>
    <x v="11"/>
    <n v="2"/>
    <n v="55"/>
    <n v="110"/>
    <s v="Delivered"/>
    <n v="110"/>
    <d v="2026-05-06T00:00:00"/>
    <m/>
    <m/>
    <x v="11"/>
    <x v="3"/>
  </r>
  <r>
    <n v="1290"/>
    <n v="1627"/>
    <x v="0"/>
    <n v="3"/>
    <n v="750"/>
    <n v="2250"/>
    <s v="Delivered"/>
    <n v="2250"/>
    <d v="2026-06-30T00:00:00"/>
    <m/>
    <m/>
    <x v="0"/>
    <x v="2"/>
  </r>
  <r>
    <n v="1291"/>
    <n v="1627"/>
    <x v="11"/>
    <n v="4"/>
    <n v="55"/>
    <n v="220"/>
    <s v="Delivered"/>
    <n v="220"/>
    <d v="2026-06-30T00:00:00"/>
    <m/>
    <m/>
    <x v="11"/>
    <x v="2"/>
  </r>
  <r>
    <n v="1292"/>
    <n v="1628"/>
    <x v="6"/>
    <n v="3"/>
    <n v="45"/>
    <n v="135"/>
    <s v="Delivered"/>
    <n v="135"/>
    <d v="2026-02-01T00:00:00"/>
    <m/>
    <m/>
    <x v="6"/>
    <x v="5"/>
  </r>
  <r>
    <n v="1293"/>
    <n v="1628"/>
    <x v="9"/>
    <n v="2"/>
    <n v="22"/>
    <n v="44"/>
    <s v="Delivered"/>
    <n v="44"/>
    <d v="2026-02-01T00:00:00"/>
    <m/>
    <m/>
    <x v="9"/>
    <x v="5"/>
  </r>
  <r>
    <n v="1294"/>
    <n v="1629"/>
    <x v="11"/>
    <n v="1"/>
    <n v="55"/>
    <n v="55"/>
    <s v="Delivered"/>
    <n v="55"/>
    <d v="2026-02-16T00:00:00"/>
    <m/>
    <m/>
    <x v="11"/>
    <x v="5"/>
  </r>
  <r>
    <n v="1295"/>
    <n v="1630"/>
    <x v="6"/>
    <n v="1"/>
    <n v="45"/>
    <n v="45"/>
    <s v="Delivered"/>
    <n v="45"/>
    <d v="2026-02-01T00:00:00"/>
    <m/>
    <m/>
    <x v="6"/>
    <x v="5"/>
  </r>
  <r>
    <n v="1296"/>
    <n v="1630"/>
    <x v="0"/>
    <n v="4"/>
    <n v="750"/>
    <n v="3000"/>
    <s v="Delivered"/>
    <n v="3000"/>
    <d v="2026-02-01T00:00:00"/>
    <m/>
    <m/>
    <x v="0"/>
    <x v="5"/>
  </r>
  <r>
    <n v="1297"/>
    <n v="1631"/>
    <x v="4"/>
    <n v="4"/>
    <n v="48"/>
    <n v="192"/>
    <s v="Delivered"/>
    <n v="192"/>
    <d v="2026-06-02T00:00:00"/>
    <m/>
    <m/>
    <x v="4"/>
    <x v="2"/>
  </r>
  <r>
    <n v="1298"/>
    <n v="1632"/>
    <x v="7"/>
    <n v="1"/>
    <n v="180"/>
    <n v="180"/>
    <s v="Delivered"/>
    <n v="180"/>
    <d v="2026-02-03T00:00:00"/>
    <m/>
    <m/>
    <x v="7"/>
    <x v="5"/>
  </r>
  <r>
    <n v="1299"/>
    <n v="1632"/>
    <x v="1"/>
    <n v="4"/>
    <n v="140"/>
    <n v="560"/>
    <s v="Delivered"/>
    <n v="560"/>
    <d v="2026-02-03T00:00:00"/>
    <m/>
    <m/>
    <x v="1"/>
    <x v="5"/>
  </r>
  <r>
    <n v="1300"/>
    <n v="1632"/>
    <x v="0"/>
    <n v="1"/>
    <n v="750"/>
    <n v="750"/>
    <s v="Delivered"/>
    <n v="750"/>
    <d v="2026-02-03T00:00:00"/>
    <m/>
    <m/>
    <x v="0"/>
    <x v="5"/>
  </r>
  <r>
    <n v="1301"/>
    <n v="1633"/>
    <x v="10"/>
    <n v="4"/>
    <n v="65"/>
    <n v="260"/>
    <s v="Delivered"/>
    <n v="260"/>
    <d v="2026-01-23T00:00:00"/>
    <m/>
    <m/>
    <x v="10"/>
    <x v="0"/>
  </r>
  <r>
    <n v="1302"/>
    <n v="1634"/>
    <x v="7"/>
    <n v="2"/>
    <n v="180"/>
    <n v="360"/>
    <s v="Delivered"/>
    <n v="360"/>
    <d v="2026-03-18T00:00:00"/>
    <m/>
    <m/>
    <x v="7"/>
    <x v="1"/>
  </r>
  <r>
    <n v="1303"/>
    <n v="1634"/>
    <x v="4"/>
    <n v="3"/>
    <n v="48"/>
    <n v="144"/>
    <s v="Delivered"/>
    <n v="144"/>
    <d v="2026-03-18T00:00:00"/>
    <m/>
    <m/>
    <x v="4"/>
    <x v="1"/>
  </r>
  <r>
    <n v="1304"/>
    <n v="1634"/>
    <x v="2"/>
    <n v="1"/>
    <n v="8"/>
    <n v="8"/>
    <s v="Delivered"/>
    <n v="8"/>
    <d v="2026-03-18T00:00:00"/>
    <m/>
    <m/>
    <x v="2"/>
    <x v="1"/>
  </r>
  <r>
    <n v="1305"/>
    <n v="1635"/>
    <x v="10"/>
    <n v="3"/>
    <n v="65"/>
    <n v="195"/>
    <s v="Delivered"/>
    <n v="195"/>
    <d v="2026-05-02T00:00:00"/>
    <m/>
    <m/>
    <x v="10"/>
    <x v="3"/>
  </r>
  <r>
    <n v="1306"/>
    <n v="1636"/>
    <x v="3"/>
    <n v="4"/>
    <n v="25"/>
    <n v="100"/>
    <s v="Delivered"/>
    <n v="100"/>
    <d v="2026-05-12T00:00:00"/>
    <m/>
    <m/>
    <x v="3"/>
    <x v="3"/>
  </r>
  <r>
    <n v="1307"/>
    <n v="1636"/>
    <x v="4"/>
    <n v="1"/>
    <n v="48"/>
    <n v="48"/>
    <s v="Delivered"/>
    <n v="48"/>
    <d v="2026-05-12T00:00:00"/>
    <m/>
    <m/>
    <x v="4"/>
    <x v="3"/>
  </r>
  <r>
    <n v="1308"/>
    <n v="1636"/>
    <x v="6"/>
    <n v="3"/>
    <n v="45"/>
    <n v="135"/>
    <s v="Delivered"/>
    <n v="135"/>
    <d v="2026-05-12T00:00:00"/>
    <m/>
    <m/>
    <x v="6"/>
    <x v="3"/>
  </r>
  <r>
    <n v="1309"/>
    <n v="1637"/>
    <x v="8"/>
    <n v="4"/>
    <n v="30"/>
    <n v="120"/>
    <s v="Pending"/>
    <n v="120"/>
    <d v="2026-02-08T00:00:00"/>
    <m/>
    <m/>
    <x v="8"/>
    <x v="5"/>
  </r>
  <r>
    <n v="1310"/>
    <n v="1638"/>
    <x v="8"/>
    <n v="1"/>
    <n v="30"/>
    <n v="30"/>
    <s v="Delivered"/>
    <n v="30"/>
    <d v="2026-05-26T00:00:00"/>
    <m/>
    <m/>
    <x v="8"/>
    <x v="3"/>
  </r>
  <r>
    <n v="1311"/>
    <n v="1639"/>
    <x v="2"/>
    <n v="1"/>
    <n v="8"/>
    <n v="8"/>
    <s v="Delivered"/>
    <n v="8"/>
    <d v="2026-05-26T00:00:00"/>
    <m/>
    <m/>
    <x v="2"/>
    <x v="3"/>
  </r>
  <r>
    <n v="1312"/>
    <n v="1639"/>
    <x v="5"/>
    <n v="1"/>
    <n v="220"/>
    <n v="220"/>
    <s v="Delivered"/>
    <n v="220"/>
    <d v="2026-05-26T00:00:00"/>
    <m/>
    <m/>
    <x v="5"/>
    <x v="3"/>
  </r>
  <r>
    <n v="1313"/>
    <n v="1640"/>
    <x v="2"/>
    <n v="4"/>
    <n v="8"/>
    <n v="32"/>
    <s v="Delivered"/>
    <n v="32"/>
    <d v="2026-01-12T00:00:00"/>
    <m/>
    <m/>
    <x v="2"/>
    <x v="0"/>
  </r>
  <r>
    <n v="1314"/>
    <n v="1640"/>
    <x v="11"/>
    <n v="3"/>
    <n v="55"/>
    <n v="165"/>
    <s v="Delivered"/>
    <n v="165"/>
    <d v="2026-01-12T00:00:00"/>
    <m/>
    <m/>
    <x v="11"/>
    <x v="0"/>
  </r>
  <r>
    <n v="1315"/>
    <n v="1641"/>
    <x v="5"/>
    <n v="1"/>
    <n v="220"/>
    <n v="220"/>
    <s v="Delivered"/>
    <n v="220"/>
    <d v="2026-02-17T00:00:00"/>
    <m/>
    <m/>
    <x v="5"/>
    <x v="5"/>
  </r>
  <r>
    <n v="1316"/>
    <n v="1641"/>
    <x v="10"/>
    <n v="1"/>
    <n v="65"/>
    <n v="65"/>
    <s v="Delivered"/>
    <n v="65"/>
    <d v="2026-02-17T00:00:00"/>
    <m/>
    <m/>
    <x v="10"/>
    <x v="5"/>
  </r>
  <r>
    <n v="1317"/>
    <n v="1641"/>
    <x v="8"/>
    <n v="4"/>
    <n v="30"/>
    <n v="120"/>
    <s v="Delivered"/>
    <n v="120"/>
    <d v="2026-02-17T00:00:00"/>
    <m/>
    <m/>
    <x v="8"/>
    <x v="5"/>
  </r>
  <r>
    <n v="1318"/>
    <n v="1642"/>
    <x v="2"/>
    <n v="3"/>
    <n v="8"/>
    <n v="24"/>
    <s v="Cancelled"/>
    <n v="0"/>
    <d v="2026-04-14T00:00:00"/>
    <m/>
    <m/>
    <x v="2"/>
    <x v="4"/>
  </r>
  <r>
    <n v="1319"/>
    <n v="1642"/>
    <x v="9"/>
    <n v="4"/>
    <n v="22"/>
    <n v="88"/>
    <s v="Cancelled"/>
    <n v="0"/>
    <d v="2026-04-14T00:00:00"/>
    <m/>
    <m/>
    <x v="9"/>
    <x v="4"/>
  </r>
  <r>
    <n v="1320"/>
    <n v="1643"/>
    <x v="3"/>
    <n v="1"/>
    <n v="25"/>
    <n v="25"/>
    <s v="Delivered"/>
    <n v="25"/>
    <d v="2026-03-19T00:00:00"/>
    <m/>
    <m/>
    <x v="3"/>
    <x v="1"/>
  </r>
  <r>
    <n v="1321"/>
    <n v="1644"/>
    <x v="3"/>
    <n v="2"/>
    <n v="25"/>
    <n v="50"/>
    <s v="Delivered"/>
    <n v="50"/>
    <d v="2026-02-23T00:00:00"/>
    <m/>
    <m/>
    <x v="3"/>
    <x v="5"/>
  </r>
  <r>
    <n v="1322"/>
    <n v="1644"/>
    <x v="10"/>
    <n v="1"/>
    <n v="65"/>
    <n v="65"/>
    <s v="Delivered"/>
    <n v="65"/>
    <d v="2026-02-23T00:00:00"/>
    <m/>
    <m/>
    <x v="10"/>
    <x v="5"/>
  </r>
  <r>
    <n v="1323"/>
    <n v="1644"/>
    <x v="8"/>
    <n v="3"/>
    <n v="30"/>
    <n v="90"/>
    <s v="Delivered"/>
    <n v="90"/>
    <d v="2026-02-23T00:00:00"/>
    <m/>
    <m/>
    <x v="8"/>
    <x v="5"/>
  </r>
  <r>
    <n v="1324"/>
    <n v="1645"/>
    <x v="11"/>
    <n v="4"/>
    <n v="55"/>
    <n v="220"/>
    <s v="Cancelled"/>
    <n v="0"/>
    <d v="2026-02-12T00:00:00"/>
    <m/>
    <m/>
    <x v="11"/>
    <x v="5"/>
  </r>
  <r>
    <n v="1325"/>
    <n v="1645"/>
    <x v="0"/>
    <n v="2"/>
    <n v="750"/>
    <n v="1500"/>
    <s v="Cancelled"/>
    <n v="0"/>
    <d v="2026-02-12T00:00:00"/>
    <m/>
    <m/>
    <x v="0"/>
    <x v="5"/>
  </r>
  <r>
    <n v="1326"/>
    <n v="1646"/>
    <x v="1"/>
    <n v="1"/>
    <n v="140"/>
    <n v="140"/>
    <s v="Delivered"/>
    <n v="140"/>
    <d v="2026-02-21T00:00:00"/>
    <m/>
    <m/>
    <x v="1"/>
    <x v="5"/>
  </r>
  <r>
    <n v="1327"/>
    <n v="1647"/>
    <x v="0"/>
    <n v="4"/>
    <n v="750"/>
    <n v="3000"/>
    <s v="Delivered"/>
    <n v="3000"/>
    <d v="2026-05-07T00:00:00"/>
    <m/>
    <m/>
    <x v="0"/>
    <x v="3"/>
  </r>
  <r>
    <n v="1328"/>
    <n v="1647"/>
    <x v="11"/>
    <n v="4"/>
    <n v="55"/>
    <n v="220"/>
    <s v="Delivered"/>
    <n v="220"/>
    <d v="2026-05-07T00:00:00"/>
    <m/>
    <m/>
    <x v="11"/>
    <x v="3"/>
  </r>
  <r>
    <n v="1329"/>
    <n v="1648"/>
    <x v="10"/>
    <n v="3"/>
    <n v="65"/>
    <n v="195"/>
    <s v="Delivered"/>
    <n v="195"/>
    <d v="2026-03-01T00:00:00"/>
    <m/>
    <m/>
    <x v="10"/>
    <x v="1"/>
  </r>
  <r>
    <n v="1330"/>
    <n v="1649"/>
    <x v="9"/>
    <n v="1"/>
    <n v="22"/>
    <n v="22"/>
    <s v="Delivered"/>
    <n v="22"/>
    <d v="2026-01-30T00:00:00"/>
    <m/>
    <m/>
    <x v="9"/>
    <x v="0"/>
  </r>
  <r>
    <n v="1331"/>
    <n v="1649"/>
    <x v="10"/>
    <n v="2"/>
    <n v="65"/>
    <n v="130"/>
    <s v="Delivered"/>
    <n v="130"/>
    <d v="2026-01-30T00:00:00"/>
    <m/>
    <m/>
    <x v="10"/>
    <x v="0"/>
  </r>
  <r>
    <n v="1332"/>
    <n v="1650"/>
    <x v="9"/>
    <n v="2"/>
    <n v="22"/>
    <n v="44"/>
    <s v="Delivered"/>
    <n v="44"/>
    <d v="2026-05-10T00:00:00"/>
    <m/>
    <m/>
    <x v="9"/>
    <x v="3"/>
  </r>
  <r>
    <n v="1333"/>
    <n v="1650"/>
    <x v="4"/>
    <n v="3"/>
    <n v="48"/>
    <n v="144"/>
    <s v="Delivered"/>
    <n v="144"/>
    <d v="2026-05-10T00:00:00"/>
    <m/>
    <m/>
    <x v="4"/>
    <x v="3"/>
  </r>
  <r>
    <n v="1334"/>
    <n v="1650"/>
    <x v="11"/>
    <n v="4"/>
    <n v="55"/>
    <n v="220"/>
    <s v="Delivered"/>
    <n v="220"/>
    <d v="2026-05-10T00:00:00"/>
    <m/>
    <m/>
    <x v="11"/>
    <x v="3"/>
  </r>
  <r>
    <n v="1335"/>
    <n v="1651"/>
    <x v="3"/>
    <n v="4"/>
    <n v="25"/>
    <n v="100"/>
    <s v="Delivered"/>
    <n v="100"/>
    <d v="2026-04-03T00:00:00"/>
    <m/>
    <m/>
    <x v="3"/>
    <x v="4"/>
  </r>
  <r>
    <n v="1336"/>
    <n v="1651"/>
    <x v="7"/>
    <n v="2"/>
    <n v="180"/>
    <n v="360"/>
    <s v="Delivered"/>
    <n v="360"/>
    <d v="2026-04-03T00:00:00"/>
    <m/>
    <m/>
    <x v="7"/>
    <x v="4"/>
  </r>
  <r>
    <n v="1337"/>
    <n v="1651"/>
    <x v="5"/>
    <n v="2"/>
    <n v="220"/>
    <n v="440"/>
    <s v="Delivered"/>
    <n v="440"/>
    <d v="2026-04-03T00:00:00"/>
    <m/>
    <m/>
    <x v="5"/>
    <x v="4"/>
  </r>
  <r>
    <n v="1338"/>
    <n v="1652"/>
    <x v="0"/>
    <n v="3"/>
    <n v="750"/>
    <n v="2250"/>
    <s v="Delivered"/>
    <n v="2250"/>
    <d v="2026-05-07T00:00:00"/>
    <m/>
    <m/>
    <x v="0"/>
    <x v="3"/>
  </r>
  <r>
    <n v="1339"/>
    <n v="1652"/>
    <x v="9"/>
    <n v="3"/>
    <n v="22"/>
    <n v="66"/>
    <s v="Delivered"/>
    <n v="66"/>
    <d v="2026-05-07T00:00:00"/>
    <m/>
    <m/>
    <x v="9"/>
    <x v="3"/>
  </r>
  <r>
    <n v="1340"/>
    <n v="1652"/>
    <x v="1"/>
    <n v="2"/>
    <n v="140"/>
    <n v="280"/>
    <s v="Delivered"/>
    <n v="280"/>
    <d v="2026-05-07T00:00:00"/>
    <m/>
    <m/>
    <x v="1"/>
    <x v="3"/>
  </r>
  <r>
    <n v="1341"/>
    <n v="1653"/>
    <x v="8"/>
    <n v="2"/>
    <n v="30"/>
    <n v="60"/>
    <s v="Delivered"/>
    <n v="60"/>
    <d v="2026-03-28T00:00:00"/>
    <m/>
    <m/>
    <x v="8"/>
    <x v="1"/>
  </r>
  <r>
    <n v="1342"/>
    <n v="1654"/>
    <x v="8"/>
    <n v="1"/>
    <n v="30"/>
    <n v="30"/>
    <s v="Delivered"/>
    <n v="30"/>
    <d v="2026-05-23T00:00:00"/>
    <m/>
    <m/>
    <x v="8"/>
    <x v="3"/>
  </r>
  <r>
    <n v="1343"/>
    <n v="1654"/>
    <x v="2"/>
    <n v="4"/>
    <n v="8"/>
    <n v="32"/>
    <s v="Delivered"/>
    <n v="32"/>
    <d v="2026-05-23T00:00:00"/>
    <m/>
    <m/>
    <x v="2"/>
    <x v="3"/>
  </r>
  <r>
    <n v="1344"/>
    <n v="1654"/>
    <x v="5"/>
    <n v="4"/>
    <n v="220"/>
    <n v="880"/>
    <s v="Delivered"/>
    <n v="880"/>
    <d v="2026-05-23T00:00:00"/>
    <m/>
    <m/>
    <x v="5"/>
    <x v="3"/>
  </r>
  <r>
    <n v="1345"/>
    <n v="1655"/>
    <x v="0"/>
    <n v="2"/>
    <n v="750"/>
    <n v="1500"/>
    <s v="Delivered"/>
    <n v="1500"/>
    <d v="2026-06-06T00:00:00"/>
    <m/>
    <m/>
    <x v="0"/>
    <x v="2"/>
  </r>
  <r>
    <n v="1346"/>
    <n v="1655"/>
    <x v="8"/>
    <n v="1"/>
    <n v="30"/>
    <n v="30"/>
    <s v="Delivered"/>
    <n v="30"/>
    <d v="2026-06-06T00:00:00"/>
    <m/>
    <m/>
    <x v="8"/>
    <x v="2"/>
  </r>
  <r>
    <n v="1347"/>
    <n v="1655"/>
    <x v="5"/>
    <n v="2"/>
    <n v="220"/>
    <n v="440"/>
    <s v="Delivered"/>
    <n v="440"/>
    <d v="2026-06-06T00:00:00"/>
    <m/>
    <m/>
    <x v="5"/>
    <x v="2"/>
  </r>
  <r>
    <n v="1348"/>
    <n v="1656"/>
    <x v="4"/>
    <n v="3"/>
    <n v="48"/>
    <n v="144"/>
    <s v="Delivered"/>
    <n v="144"/>
    <d v="2026-05-10T00:00:00"/>
    <m/>
    <m/>
    <x v="4"/>
    <x v="3"/>
  </r>
  <r>
    <n v="1349"/>
    <n v="1657"/>
    <x v="11"/>
    <n v="3"/>
    <n v="55"/>
    <n v="165"/>
    <s v="Delivered"/>
    <n v="165"/>
    <d v="2026-04-17T00:00:00"/>
    <m/>
    <m/>
    <x v="11"/>
    <x v="4"/>
  </r>
  <r>
    <n v="1350"/>
    <n v="1658"/>
    <x v="8"/>
    <n v="4"/>
    <n v="30"/>
    <n v="120"/>
    <s v="Delivered"/>
    <n v="120"/>
    <d v="2026-04-17T00:00:00"/>
    <m/>
    <m/>
    <x v="8"/>
    <x v="4"/>
  </r>
  <r>
    <n v="1351"/>
    <n v="1659"/>
    <x v="1"/>
    <n v="2"/>
    <n v="140"/>
    <n v="280"/>
    <s v="Shipped"/>
    <n v="280"/>
    <d v="2026-04-28T00:00:00"/>
    <m/>
    <m/>
    <x v="1"/>
    <x v="4"/>
  </r>
  <r>
    <n v="1352"/>
    <n v="1659"/>
    <x v="0"/>
    <n v="1"/>
    <n v="750"/>
    <n v="750"/>
    <s v="Shipped"/>
    <n v="750"/>
    <d v="2026-04-28T00:00:00"/>
    <m/>
    <m/>
    <x v="0"/>
    <x v="4"/>
  </r>
  <r>
    <n v="1353"/>
    <n v="1659"/>
    <x v="11"/>
    <n v="1"/>
    <n v="55"/>
    <n v="55"/>
    <s v="Shipped"/>
    <n v="55"/>
    <d v="2026-04-28T00:00:00"/>
    <m/>
    <m/>
    <x v="11"/>
    <x v="4"/>
  </r>
  <r>
    <n v="1354"/>
    <n v="1660"/>
    <x v="0"/>
    <n v="1"/>
    <n v="750"/>
    <n v="750"/>
    <s v="Pending"/>
    <n v="750"/>
    <d v="2026-04-13T00:00:00"/>
    <m/>
    <m/>
    <x v="0"/>
    <x v="4"/>
  </r>
  <r>
    <n v="1355"/>
    <n v="1660"/>
    <x v="10"/>
    <n v="2"/>
    <n v="65"/>
    <n v="130"/>
    <s v="Pending"/>
    <n v="130"/>
    <d v="2026-04-13T00:00:00"/>
    <m/>
    <m/>
    <x v="10"/>
    <x v="4"/>
  </r>
  <r>
    <n v="1356"/>
    <n v="1661"/>
    <x v="10"/>
    <n v="3"/>
    <n v="65"/>
    <n v="195"/>
    <s v="Pending"/>
    <n v="195"/>
    <d v="2026-01-15T00:00:00"/>
    <m/>
    <m/>
    <x v="10"/>
    <x v="0"/>
  </r>
  <r>
    <n v="1357"/>
    <n v="1661"/>
    <x v="9"/>
    <n v="3"/>
    <n v="22"/>
    <n v="66"/>
    <s v="Pending"/>
    <n v="66"/>
    <d v="2026-01-15T00:00:00"/>
    <m/>
    <m/>
    <x v="9"/>
    <x v="0"/>
  </r>
  <r>
    <n v="1358"/>
    <n v="1662"/>
    <x v="6"/>
    <n v="2"/>
    <n v="45"/>
    <n v="90"/>
    <s v="Delivered"/>
    <n v="90"/>
    <d v="2026-01-03T00:00:00"/>
    <m/>
    <m/>
    <x v="6"/>
    <x v="0"/>
  </r>
  <r>
    <n v="1359"/>
    <n v="1662"/>
    <x v="10"/>
    <n v="4"/>
    <n v="65"/>
    <n v="260"/>
    <s v="Delivered"/>
    <n v="260"/>
    <d v="2026-01-03T00:00:00"/>
    <m/>
    <m/>
    <x v="10"/>
    <x v="0"/>
  </r>
  <r>
    <n v="1360"/>
    <n v="1662"/>
    <x v="11"/>
    <n v="3"/>
    <n v="55"/>
    <n v="165"/>
    <s v="Delivered"/>
    <n v="165"/>
    <d v="2026-01-03T00:00:00"/>
    <m/>
    <m/>
    <x v="11"/>
    <x v="0"/>
  </r>
  <r>
    <n v="1361"/>
    <n v="1663"/>
    <x v="10"/>
    <n v="3"/>
    <n v="65"/>
    <n v="195"/>
    <s v="Delivered"/>
    <n v="195"/>
    <d v="2026-03-19T00:00:00"/>
    <m/>
    <m/>
    <x v="10"/>
    <x v="1"/>
  </r>
  <r>
    <n v="1362"/>
    <n v="1663"/>
    <x v="6"/>
    <n v="2"/>
    <n v="45"/>
    <n v="90"/>
    <s v="Delivered"/>
    <n v="90"/>
    <d v="2026-03-19T00:00:00"/>
    <m/>
    <m/>
    <x v="6"/>
    <x v="1"/>
  </r>
  <r>
    <n v="1363"/>
    <n v="1664"/>
    <x v="7"/>
    <n v="4"/>
    <n v="180"/>
    <n v="720"/>
    <s v="Delivered"/>
    <n v="720"/>
    <d v="2026-02-10T00:00:00"/>
    <m/>
    <m/>
    <x v="7"/>
    <x v="5"/>
  </r>
  <r>
    <n v="1364"/>
    <n v="1664"/>
    <x v="3"/>
    <n v="1"/>
    <n v="25"/>
    <n v="25"/>
    <s v="Delivered"/>
    <n v="25"/>
    <d v="2026-02-10T00:00:00"/>
    <m/>
    <m/>
    <x v="3"/>
    <x v="5"/>
  </r>
  <r>
    <n v="1365"/>
    <n v="1664"/>
    <x v="9"/>
    <n v="1"/>
    <n v="22"/>
    <n v="22"/>
    <s v="Delivered"/>
    <n v="22"/>
    <d v="2026-02-10T00:00:00"/>
    <m/>
    <m/>
    <x v="9"/>
    <x v="5"/>
  </r>
  <r>
    <n v="1366"/>
    <n v="1665"/>
    <x v="7"/>
    <n v="1"/>
    <n v="180"/>
    <n v="180"/>
    <s v="Delivered"/>
    <n v="180"/>
    <d v="2026-01-13T00:00:00"/>
    <m/>
    <m/>
    <x v="7"/>
    <x v="0"/>
  </r>
  <r>
    <n v="1367"/>
    <n v="1665"/>
    <x v="2"/>
    <n v="4"/>
    <n v="8"/>
    <n v="32"/>
    <s v="Delivered"/>
    <n v="32"/>
    <d v="2026-01-13T00:00:00"/>
    <m/>
    <m/>
    <x v="2"/>
    <x v="0"/>
  </r>
  <r>
    <n v="1368"/>
    <n v="1666"/>
    <x v="3"/>
    <n v="3"/>
    <n v="25"/>
    <n v="75"/>
    <s v="Delivered"/>
    <n v="75"/>
    <d v="2026-05-25T00:00:00"/>
    <m/>
    <m/>
    <x v="3"/>
    <x v="3"/>
  </r>
  <r>
    <n v="1369"/>
    <n v="1666"/>
    <x v="1"/>
    <n v="2"/>
    <n v="140"/>
    <n v="280"/>
    <s v="Delivered"/>
    <n v="280"/>
    <d v="2026-05-25T00:00:00"/>
    <m/>
    <m/>
    <x v="1"/>
    <x v="3"/>
  </r>
  <r>
    <n v="1370"/>
    <n v="1666"/>
    <x v="7"/>
    <n v="4"/>
    <n v="180"/>
    <n v="720"/>
    <s v="Delivered"/>
    <n v="720"/>
    <d v="2026-05-25T00:00:00"/>
    <m/>
    <m/>
    <x v="7"/>
    <x v="3"/>
  </r>
  <r>
    <n v="1371"/>
    <n v="1667"/>
    <x v="5"/>
    <n v="4"/>
    <n v="220"/>
    <n v="880"/>
    <s v="Delivered"/>
    <n v="880"/>
    <d v="2026-02-19T00:00:00"/>
    <m/>
    <m/>
    <x v="5"/>
    <x v="5"/>
  </r>
  <r>
    <n v="1372"/>
    <n v="1667"/>
    <x v="6"/>
    <n v="4"/>
    <n v="45"/>
    <n v="180"/>
    <s v="Delivered"/>
    <n v="180"/>
    <d v="2026-02-19T00:00:00"/>
    <m/>
    <m/>
    <x v="6"/>
    <x v="5"/>
  </r>
  <r>
    <n v="1373"/>
    <n v="1668"/>
    <x v="8"/>
    <n v="4"/>
    <n v="30"/>
    <n v="120"/>
    <s v="Delivered"/>
    <n v="120"/>
    <d v="2026-02-24T00:00:00"/>
    <m/>
    <m/>
    <x v="8"/>
    <x v="5"/>
  </r>
  <r>
    <n v="1374"/>
    <n v="1668"/>
    <x v="10"/>
    <n v="3"/>
    <n v="65"/>
    <n v="195"/>
    <s v="Delivered"/>
    <n v="195"/>
    <d v="2026-02-24T00:00:00"/>
    <m/>
    <m/>
    <x v="10"/>
    <x v="5"/>
  </r>
  <r>
    <n v="1375"/>
    <n v="1668"/>
    <x v="2"/>
    <n v="4"/>
    <n v="8"/>
    <n v="32"/>
    <s v="Delivered"/>
    <n v="32"/>
    <d v="2026-02-24T00:00:00"/>
    <m/>
    <m/>
    <x v="2"/>
    <x v="5"/>
  </r>
  <r>
    <n v="1376"/>
    <n v="1669"/>
    <x v="6"/>
    <n v="2"/>
    <n v="45"/>
    <n v="90"/>
    <s v="Delivered"/>
    <n v="90"/>
    <d v="2026-04-17T00:00:00"/>
    <m/>
    <m/>
    <x v="6"/>
    <x v="4"/>
  </r>
  <r>
    <n v="1377"/>
    <n v="1669"/>
    <x v="11"/>
    <n v="1"/>
    <n v="55"/>
    <n v="55"/>
    <s v="Delivered"/>
    <n v="55"/>
    <d v="2026-04-17T00:00:00"/>
    <m/>
    <m/>
    <x v="11"/>
    <x v="4"/>
  </r>
  <r>
    <n v="1378"/>
    <n v="1669"/>
    <x v="4"/>
    <n v="2"/>
    <n v="48"/>
    <n v="96"/>
    <s v="Delivered"/>
    <n v="96"/>
    <d v="2026-04-17T00:00:00"/>
    <m/>
    <m/>
    <x v="4"/>
    <x v="4"/>
  </r>
  <r>
    <n v="1379"/>
    <n v="1670"/>
    <x v="10"/>
    <n v="3"/>
    <n v="65"/>
    <n v="195"/>
    <s v="Shipped"/>
    <n v="195"/>
    <d v="2026-04-05T00:00:00"/>
    <m/>
    <m/>
    <x v="10"/>
    <x v="4"/>
  </r>
  <r>
    <n v="1380"/>
    <n v="1670"/>
    <x v="5"/>
    <n v="3"/>
    <n v="220"/>
    <n v="660"/>
    <s v="Shipped"/>
    <n v="660"/>
    <d v="2026-04-05T00:00:00"/>
    <m/>
    <m/>
    <x v="5"/>
    <x v="4"/>
  </r>
  <r>
    <n v="1381"/>
    <n v="1670"/>
    <x v="4"/>
    <n v="1"/>
    <n v="48"/>
    <n v="48"/>
    <s v="Shipped"/>
    <n v="48"/>
    <d v="2026-04-05T00:00:00"/>
    <m/>
    <m/>
    <x v="4"/>
    <x v="4"/>
  </r>
  <r>
    <n v="1382"/>
    <n v="1671"/>
    <x v="7"/>
    <n v="1"/>
    <n v="180"/>
    <n v="180"/>
    <s v="Delivered"/>
    <n v="180"/>
    <d v="2026-04-06T00:00:00"/>
    <m/>
    <m/>
    <x v="7"/>
    <x v="4"/>
  </r>
  <r>
    <n v="1383"/>
    <n v="1671"/>
    <x v="11"/>
    <n v="2"/>
    <n v="55"/>
    <n v="110"/>
    <s v="Delivered"/>
    <n v="110"/>
    <d v="2026-04-06T00:00:00"/>
    <m/>
    <m/>
    <x v="11"/>
    <x v="4"/>
  </r>
  <r>
    <n v="1384"/>
    <n v="1672"/>
    <x v="5"/>
    <n v="3"/>
    <n v="220"/>
    <n v="660"/>
    <s v="Delivered"/>
    <n v="660"/>
    <d v="2026-03-14T00:00:00"/>
    <m/>
    <m/>
    <x v="5"/>
    <x v="1"/>
  </r>
  <r>
    <n v="1385"/>
    <n v="1673"/>
    <x v="11"/>
    <n v="2"/>
    <n v="55"/>
    <n v="110"/>
    <s v="Delivered"/>
    <n v="110"/>
    <d v="2026-05-25T00:00:00"/>
    <m/>
    <m/>
    <x v="11"/>
    <x v="3"/>
  </r>
  <r>
    <n v="1386"/>
    <n v="1673"/>
    <x v="2"/>
    <n v="2"/>
    <n v="8"/>
    <n v="16"/>
    <s v="Delivered"/>
    <n v="16"/>
    <d v="2026-05-25T00:00:00"/>
    <m/>
    <m/>
    <x v="2"/>
    <x v="3"/>
  </r>
  <r>
    <n v="1387"/>
    <n v="1674"/>
    <x v="2"/>
    <n v="4"/>
    <n v="8"/>
    <n v="32"/>
    <s v="Cancelled"/>
    <n v="0"/>
    <d v="2026-02-08T00:00:00"/>
    <m/>
    <m/>
    <x v="2"/>
    <x v="5"/>
  </r>
  <r>
    <n v="1388"/>
    <n v="1675"/>
    <x v="8"/>
    <n v="4"/>
    <n v="30"/>
    <n v="120"/>
    <s v="Delivered"/>
    <n v="120"/>
    <d v="2026-04-10T00:00:00"/>
    <m/>
    <m/>
    <x v="8"/>
    <x v="4"/>
  </r>
  <r>
    <n v="1389"/>
    <n v="1675"/>
    <x v="0"/>
    <n v="3"/>
    <n v="750"/>
    <n v="2250"/>
    <s v="Delivered"/>
    <n v="2250"/>
    <d v="2026-04-10T00:00:00"/>
    <m/>
    <m/>
    <x v="0"/>
    <x v="4"/>
  </r>
  <r>
    <n v="1390"/>
    <n v="1676"/>
    <x v="4"/>
    <n v="1"/>
    <n v="48"/>
    <n v="48"/>
    <s v="Delivered"/>
    <n v="48"/>
    <d v="2026-06-11T00:00:00"/>
    <m/>
    <m/>
    <x v="4"/>
    <x v="2"/>
  </r>
  <r>
    <n v="1391"/>
    <n v="1676"/>
    <x v="5"/>
    <n v="2"/>
    <n v="220"/>
    <n v="440"/>
    <s v="Delivered"/>
    <n v="440"/>
    <d v="2026-06-11T00:00:00"/>
    <m/>
    <m/>
    <x v="5"/>
    <x v="2"/>
  </r>
  <r>
    <n v="1392"/>
    <n v="1676"/>
    <x v="8"/>
    <n v="1"/>
    <n v="30"/>
    <n v="30"/>
    <s v="Delivered"/>
    <n v="30"/>
    <d v="2026-06-11T00:00:00"/>
    <m/>
    <m/>
    <x v="8"/>
    <x v="2"/>
  </r>
  <r>
    <n v="1393"/>
    <n v="1677"/>
    <x v="0"/>
    <n v="3"/>
    <n v="750"/>
    <n v="2250"/>
    <s v="Delivered"/>
    <n v="2250"/>
    <d v="2026-01-05T00:00:00"/>
    <m/>
    <m/>
    <x v="0"/>
    <x v="0"/>
  </r>
  <r>
    <n v="1394"/>
    <n v="1678"/>
    <x v="1"/>
    <n v="1"/>
    <n v="140"/>
    <n v="140"/>
    <s v="Delivered"/>
    <n v="140"/>
    <d v="2026-04-24T00:00:00"/>
    <m/>
    <m/>
    <x v="1"/>
    <x v="4"/>
  </r>
  <r>
    <n v="1395"/>
    <n v="1678"/>
    <x v="10"/>
    <n v="4"/>
    <n v="65"/>
    <n v="260"/>
    <s v="Delivered"/>
    <n v="260"/>
    <d v="2026-04-24T00:00:00"/>
    <m/>
    <m/>
    <x v="10"/>
    <x v="4"/>
  </r>
  <r>
    <n v="1396"/>
    <n v="1678"/>
    <x v="2"/>
    <n v="1"/>
    <n v="8"/>
    <n v="8"/>
    <s v="Delivered"/>
    <n v="8"/>
    <d v="2026-04-24T00:00:00"/>
    <m/>
    <m/>
    <x v="2"/>
    <x v="4"/>
  </r>
  <r>
    <n v="1397"/>
    <n v="1679"/>
    <x v="5"/>
    <n v="2"/>
    <n v="220"/>
    <n v="440"/>
    <s v="Delivered"/>
    <n v="440"/>
    <d v="2026-03-23T00:00:00"/>
    <m/>
    <m/>
    <x v="5"/>
    <x v="1"/>
  </r>
  <r>
    <n v="1398"/>
    <n v="1680"/>
    <x v="2"/>
    <n v="3"/>
    <n v="8"/>
    <n v="24"/>
    <s v="Shipped"/>
    <n v="24"/>
    <d v="2026-03-20T00:00:00"/>
    <m/>
    <m/>
    <x v="2"/>
    <x v="1"/>
  </r>
  <r>
    <n v="1399"/>
    <n v="1681"/>
    <x v="6"/>
    <n v="3"/>
    <n v="45"/>
    <n v="135"/>
    <s v="Delivered"/>
    <n v="135"/>
    <d v="2026-01-15T00:00:00"/>
    <m/>
    <m/>
    <x v="6"/>
    <x v="0"/>
  </r>
  <r>
    <n v="1400"/>
    <n v="1681"/>
    <x v="10"/>
    <n v="3"/>
    <n v="65"/>
    <n v="195"/>
    <s v="Delivered"/>
    <n v="195"/>
    <d v="2026-01-15T00:00:00"/>
    <m/>
    <m/>
    <x v="10"/>
    <x v="0"/>
  </r>
  <r>
    <n v="1401"/>
    <n v="1682"/>
    <x v="8"/>
    <n v="4"/>
    <n v="30"/>
    <n v="120"/>
    <s v="Delivered"/>
    <n v="120"/>
    <d v="2026-03-03T00:00:00"/>
    <m/>
    <m/>
    <x v="8"/>
    <x v="1"/>
  </r>
  <r>
    <n v="1402"/>
    <n v="1682"/>
    <x v="9"/>
    <n v="1"/>
    <n v="22"/>
    <n v="22"/>
    <s v="Delivered"/>
    <n v="22"/>
    <d v="2026-03-03T00:00:00"/>
    <m/>
    <m/>
    <x v="9"/>
    <x v="1"/>
  </r>
  <r>
    <n v="1403"/>
    <n v="1683"/>
    <x v="7"/>
    <n v="1"/>
    <n v="180"/>
    <n v="180"/>
    <s v="Delivered"/>
    <n v="180"/>
    <d v="2026-05-04T00:00:00"/>
    <m/>
    <m/>
    <x v="7"/>
    <x v="3"/>
  </r>
  <r>
    <n v="1404"/>
    <n v="1684"/>
    <x v="8"/>
    <n v="3"/>
    <n v="30"/>
    <n v="90"/>
    <s v="Delivered"/>
    <n v="90"/>
    <d v="2026-05-26T00:00:00"/>
    <m/>
    <m/>
    <x v="8"/>
    <x v="3"/>
  </r>
  <r>
    <n v="1405"/>
    <n v="1684"/>
    <x v="3"/>
    <n v="2"/>
    <n v="25"/>
    <n v="50"/>
    <s v="Delivered"/>
    <n v="50"/>
    <d v="2026-05-26T00:00:00"/>
    <m/>
    <m/>
    <x v="3"/>
    <x v="3"/>
  </r>
  <r>
    <n v="1406"/>
    <n v="1684"/>
    <x v="6"/>
    <n v="2"/>
    <n v="45"/>
    <n v="90"/>
    <s v="Delivered"/>
    <n v="90"/>
    <d v="2026-05-26T00:00:00"/>
    <m/>
    <m/>
    <x v="6"/>
    <x v="3"/>
  </r>
  <r>
    <n v="1407"/>
    <n v="1685"/>
    <x v="7"/>
    <n v="1"/>
    <n v="180"/>
    <n v="180"/>
    <s v="Delivered"/>
    <n v="180"/>
    <d v="2026-01-11T00:00:00"/>
    <m/>
    <m/>
    <x v="7"/>
    <x v="0"/>
  </r>
  <r>
    <n v="1408"/>
    <n v="1685"/>
    <x v="4"/>
    <n v="1"/>
    <n v="48"/>
    <n v="48"/>
    <s v="Delivered"/>
    <n v="48"/>
    <d v="2026-01-11T00:00:00"/>
    <m/>
    <m/>
    <x v="4"/>
    <x v="0"/>
  </r>
  <r>
    <n v="1409"/>
    <n v="1685"/>
    <x v="6"/>
    <n v="4"/>
    <n v="45"/>
    <n v="180"/>
    <s v="Delivered"/>
    <n v="180"/>
    <d v="2026-01-11T00:00:00"/>
    <m/>
    <m/>
    <x v="6"/>
    <x v="0"/>
  </r>
  <r>
    <n v="1410"/>
    <n v="1686"/>
    <x v="0"/>
    <n v="1"/>
    <n v="750"/>
    <n v="750"/>
    <s v="Delivered"/>
    <n v="750"/>
    <d v="2026-06-11T00:00:00"/>
    <m/>
    <m/>
    <x v="0"/>
    <x v="2"/>
  </r>
  <r>
    <n v="1411"/>
    <n v="1686"/>
    <x v="6"/>
    <n v="3"/>
    <n v="45"/>
    <n v="135"/>
    <s v="Delivered"/>
    <n v="135"/>
    <d v="2026-06-11T00:00:00"/>
    <m/>
    <m/>
    <x v="6"/>
    <x v="2"/>
  </r>
  <r>
    <n v="1412"/>
    <n v="1687"/>
    <x v="2"/>
    <n v="3"/>
    <n v="8"/>
    <n v="24"/>
    <s v="Pending"/>
    <n v="24"/>
    <d v="2026-05-23T00:00:00"/>
    <m/>
    <m/>
    <x v="2"/>
    <x v="3"/>
  </r>
  <r>
    <n v="1413"/>
    <n v="1688"/>
    <x v="3"/>
    <n v="3"/>
    <n v="25"/>
    <n v="75"/>
    <s v="Delivered"/>
    <n v="75"/>
    <d v="2026-03-29T00:00:00"/>
    <m/>
    <m/>
    <x v="3"/>
    <x v="1"/>
  </r>
  <r>
    <n v="1414"/>
    <n v="1688"/>
    <x v="4"/>
    <n v="3"/>
    <n v="48"/>
    <n v="144"/>
    <s v="Delivered"/>
    <n v="144"/>
    <d v="2026-03-29T00:00:00"/>
    <m/>
    <m/>
    <x v="4"/>
    <x v="1"/>
  </r>
  <r>
    <n v="1415"/>
    <n v="1689"/>
    <x v="11"/>
    <n v="2"/>
    <n v="55"/>
    <n v="110"/>
    <s v="Delivered"/>
    <n v="110"/>
    <d v="2026-02-04T00:00:00"/>
    <m/>
    <m/>
    <x v="11"/>
    <x v="5"/>
  </r>
  <r>
    <n v="1416"/>
    <n v="1689"/>
    <x v="0"/>
    <n v="4"/>
    <n v="750"/>
    <n v="3000"/>
    <s v="Delivered"/>
    <n v="3000"/>
    <d v="2026-02-04T00:00:00"/>
    <m/>
    <m/>
    <x v="0"/>
    <x v="5"/>
  </r>
  <r>
    <n v="1417"/>
    <n v="1689"/>
    <x v="4"/>
    <n v="4"/>
    <n v="48"/>
    <n v="192"/>
    <s v="Delivered"/>
    <n v="192"/>
    <d v="2026-02-04T00:00:00"/>
    <m/>
    <m/>
    <x v="4"/>
    <x v="5"/>
  </r>
  <r>
    <n v="1418"/>
    <n v="1690"/>
    <x v="11"/>
    <n v="3"/>
    <n v="55"/>
    <n v="165"/>
    <s v="Delivered"/>
    <n v="165"/>
    <d v="2026-06-16T00:00:00"/>
    <m/>
    <m/>
    <x v="11"/>
    <x v="2"/>
  </r>
  <r>
    <n v="1419"/>
    <n v="1690"/>
    <x v="4"/>
    <n v="4"/>
    <n v="48"/>
    <n v="192"/>
    <s v="Delivered"/>
    <n v="192"/>
    <d v="2026-06-16T00:00:00"/>
    <m/>
    <m/>
    <x v="4"/>
    <x v="2"/>
  </r>
  <r>
    <n v="1420"/>
    <n v="1690"/>
    <x v="5"/>
    <n v="3"/>
    <n v="220"/>
    <n v="660"/>
    <s v="Delivered"/>
    <n v="660"/>
    <d v="2026-06-16T00:00:00"/>
    <m/>
    <m/>
    <x v="5"/>
    <x v="2"/>
  </r>
  <r>
    <n v="1421"/>
    <n v="1691"/>
    <x v="0"/>
    <n v="1"/>
    <n v="750"/>
    <n v="750"/>
    <s v="Delivered"/>
    <n v="750"/>
    <d v="2026-02-01T00:00:00"/>
    <m/>
    <m/>
    <x v="0"/>
    <x v="5"/>
  </r>
  <r>
    <n v="1422"/>
    <n v="1691"/>
    <x v="3"/>
    <n v="3"/>
    <n v="25"/>
    <n v="75"/>
    <s v="Delivered"/>
    <n v="75"/>
    <d v="2026-02-01T00:00:00"/>
    <m/>
    <m/>
    <x v="3"/>
    <x v="5"/>
  </r>
  <r>
    <n v="1423"/>
    <n v="1692"/>
    <x v="11"/>
    <n v="3"/>
    <n v="55"/>
    <n v="165"/>
    <s v="Delivered"/>
    <n v="165"/>
    <d v="2026-06-10T00:00:00"/>
    <m/>
    <m/>
    <x v="11"/>
    <x v="2"/>
  </r>
  <r>
    <n v="1424"/>
    <n v="1693"/>
    <x v="7"/>
    <n v="4"/>
    <n v="180"/>
    <n v="720"/>
    <s v="Delivered"/>
    <n v="720"/>
    <d v="2026-02-23T00:00:00"/>
    <m/>
    <m/>
    <x v="7"/>
    <x v="5"/>
  </r>
  <r>
    <n v="1425"/>
    <n v="1694"/>
    <x v="2"/>
    <n v="2"/>
    <n v="8"/>
    <n v="16"/>
    <s v="Delivered"/>
    <n v="16"/>
    <d v="2026-06-24T00:00:00"/>
    <m/>
    <m/>
    <x v="2"/>
    <x v="2"/>
  </r>
  <r>
    <n v="1426"/>
    <n v="1695"/>
    <x v="4"/>
    <n v="1"/>
    <n v="48"/>
    <n v="48"/>
    <s v="Delivered"/>
    <n v="48"/>
    <d v="2026-05-14T00:00:00"/>
    <m/>
    <m/>
    <x v="4"/>
    <x v="3"/>
  </r>
  <r>
    <n v="1427"/>
    <n v="1696"/>
    <x v="10"/>
    <n v="1"/>
    <n v="65"/>
    <n v="65"/>
    <s v="Delivered"/>
    <n v="65"/>
    <d v="2026-06-24T00:00:00"/>
    <m/>
    <m/>
    <x v="10"/>
    <x v="2"/>
  </r>
  <r>
    <n v="1428"/>
    <n v="1697"/>
    <x v="11"/>
    <n v="1"/>
    <n v="55"/>
    <n v="55"/>
    <s v="Delivered"/>
    <n v="55"/>
    <d v="2026-03-12T00:00:00"/>
    <m/>
    <m/>
    <x v="11"/>
    <x v="1"/>
  </r>
  <r>
    <n v="1429"/>
    <n v="1697"/>
    <x v="1"/>
    <n v="2"/>
    <n v="140"/>
    <n v="280"/>
    <s v="Delivered"/>
    <n v="280"/>
    <d v="2026-03-12T00:00:00"/>
    <m/>
    <m/>
    <x v="1"/>
    <x v="1"/>
  </r>
  <r>
    <n v="1430"/>
    <n v="1698"/>
    <x v="2"/>
    <n v="1"/>
    <n v="8"/>
    <n v="8"/>
    <s v="Delivered"/>
    <n v="8"/>
    <d v="2026-01-02T00:00:00"/>
    <m/>
    <m/>
    <x v="2"/>
    <x v="0"/>
  </r>
  <r>
    <n v="1431"/>
    <n v="1699"/>
    <x v="5"/>
    <n v="1"/>
    <n v="220"/>
    <n v="220"/>
    <s v="Delivered"/>
    <n v="220"/>
    <d v="2026-03-05T00:00:00"/>
    <m/>
    <m/>
    <x v="5"/>
    <x v="1"/>
  </r>
  <r>
    <n v="1432"/>
    <n v="1699"/>
    <x v="4"/>
    <n v="1"/>
    <n v="48"/>
    <n v="48"/>
    <s v="Delivered"/>
    <n v="48"/>
    <d v="2026-03-05T00:00:00"/>
    <m/>
    <m/>
    <x v="4"/>
    <x v="1"/>
  </r>
  <r>
    <n v="1433"/>
    <n v="1700"/>
    <x v="11"/>
    <n v="2"/>
    <n v="55"/>
    <n v="110"/>
    <s v="Delivered"/>
    <n v="110"/>
    <d v="2026-03-27T00:00:00"/>
    <m/>
    <m/>
    <x v="11"/>
    <x v="1"/>
  </r>
  <r>
    <n v="1434"/>
    <n v="1701"/>
    <x v="4"/>
    <n v="4"/>
    <n v="48"/>
    <n v="192"/>
    <s v="Shipped"/>
    <n v="192"/>
    <d v="2026-03-02T00:00:00"/>
    <m/>
    <m/>
    <x v="4"/>
    <x v="1"/>
  </r>
  <r>
    <n v="1435"/>
    <n v="1702"/>
    <x v="9"/>
    <n v="2"/>
    <n v="22"/>
    <n v="44"/>
    <s v="Shipped"/>
    <n v="44"/>
    <d v="2026-01-16T00:00:00"/>
    <m/>
    <m/>
    <x v="9"/>
    <x v="0"/>
  </r>
  <r>
    <n v="1436"/>
    <n v="1702"/>
    <x v="5"/>
    <n v="1"/>
    <n v="220"/>
    <n v="220"/>
    <s v="Shipped"/>
    <n v="220"/>
    <d v="2026-01-16T00:00:00"/>
    <m/>
    <m/>
    <x v="5"/>
    <x v="0"/>
  </r>
  <r>
    <n v="1437"/>
    <n v="1703"/>
    <x v="5"/>
    <n v="1"/>
    <n v="220"/>
    <n v="220"/>
    <s v="Delivered"/>
    <n v="220"/>
    <d v="2026-01-15T00:00:00"/>
    <m/>
    <m/>
    <x v="5"/>
    <x v="0"/>
  </r>
  <r>
    <n v="1438"/>
    <n v="1704"/>
    <x v="4"/>
    <n v="4"/>
    <n v="48"/>
    <n v="192"/>
    <s v="Delivered"/>
    <n v="192"/>
    <d v="2026-06-08T00:00:00"/>
    <m/>
    <m/>
    <x v="4"/>
    <x v="2"/>
  </r>
  <r>
    <n v="1439"/>
    <n v="1704"/>
    <x v="2"/>
    <n v="4"/>
    <n v="8"/>
    <n v="32"/>
    <s v="Delivered"/>
    <n v="32"/>
    <d v="2026-06-08T00:00:00"/>
    <m/>
    <m/>
    <x v="2"/>
    <x v="2"/>
  </r>
  <r>
    <n v="1440"/>
    <n v="1704"/>
    <x v="0"/>
    <n v="4"/>
    <n v="750"/>
    <n v="3000"/>
    <s v="Delivered"/>
    <n v="3000"/>
    <d v="2026-06-08T00:00:00"/>
    <m/>
    <m/>
    <x v="0"/>
    <x v="2"/>
  </r>
  <r>
    <n v="1441"/>
    <n v="1705"/>
    <x v="8"/>
    <n v="2"/>
    <n v="30"/>
    <n v="60"/>
    <s v="Shipped"/>
    <n v="60"/>
    <d v="2026-06-16T00:00:00"/>
    <m/>
    <m/>
    <x v="8"/>
    <x v="2"/>
  </r>
  <r>
    <n v="1442"/>
    <n v="1705"/>
    <x v="1"/>
    <n v="1"/>
    <n v="140"/>
    <n v="140"/>
    <s v="Shipped"/>
    <n v="140"/>
    <d v="2026-06-16T00:00:00"/>
    <m/>
    <m/>
    <x v="1"/>
    <x v="2"/>
  </r>
  <r>
    <n v="1443"/>
    <n v="1706"/>
    <x v="6"/>
    <n v="3"/>
    <n v="45"/>
    <n v="135"/>
    <s v="Delivered"/>
    <n v="135"/>
    <d v="2026-01-18T00:00:00"/>
    <m/>
    <m/>
    <x v="6"/>
    <x v="0"/>
  </r>
  <r>
    <n v="1444"/>
    <n v="1706"/>
    <x v="4"/>
    <n v="3"/>
    <n v="48"/>
    <n v="144"/>
    <s v="Delivered"/>
    <n v="144"/>
    <d v="2026-01-18T00:00:00"/>
    <m/>
    <m/>
    <x v="4"/>
    <x v="0"/>
  </r>
  <r>
    <n v="1445"/>
    <n v="1706"/>
    <x v="8"/>
    <n v="4"/>
    <n v="30"/>
    <n v="120"/>
    <s v="Delivered"/>
    <n v="120"/>
    <d v="2026-01-18T00:00:00"/>
    <m/>
    <m/>
    <x v="8"/>
    <x v="0"/>
  </r>
  <r>
    <n v="1446"/>
    <n v="1707"/>
    <x v="10"/>
    <n v="3"/>
    <n v="65"/>
    <n v="195"/>
    <s v="Delivered"/>
    <n v="195"/>
    <d v="2026-01-12T00:00:00"/>
    <m/>
    <m/>
    <x v="10"/>
    <x v="0"/>
  </r>
  <r>
    <n v="1447"/>
    <n v="1707"/>
    <x v="8"/>
    <n v="2"/>
    <n v="30"/>
    <n v="60"/>
    <s v="Delivered"/>
    <n v="60"/>
    <d v="2026-01-12T00:00:00"/>
    <m/>
    <m/>
    <x v="8"/>
    <x v="0"/>
  </r>
  <r>
    <n v="1448"/>
    <n v="1707"/>
    <x v="1"/>
    <n v="2"/>
    <n v="140"/>
    <n v="280"/>
    <s v="Delivered"/>
    <n v="280"/>
    <d v="2026-01-12T00:00:00"/>
    <m/>
    <m/>
    <x v="1"/>
    <x v="0"/>
  </r>
  <r>
    <n v="1449"/>
    <n v="1708"/>
    <x v="3"/>
    <n v="1"/>
    <n v="25"/>
    <n v="25"/>
    <s v="Delivered"/>
    <n v="25"/>
    <d v="2026-05-13T00:00:00"/>
    <m/>
    <m/>
    <x v="3"/>
    <x v="3"/>
  </r>
  <r>
    <n v="1450"/>
    <n v="1709"/>
    <x v="9"/>
    <n v="3"/>
    <n v="22"/>
    <n v="66"/>
    <s v="Delivered"/>
    <n v="66"/>
    <d v="2026-01-18T00:00:00"/>
    <m/>
    <m/>
    <x v="9"/>
    <x v="0"/>
  </r>
  <r>
    <n v="1451"/>
    <n v="1709"/>
    <x v="11"/>
    <n v="3"/>
    <n v="55"/>
    <n v="165"/>
    <s v="Delivered"/>
    <n v="165"/>
    <d v="2026-01-18T00:00:00"/>
    <m/>
    <m/>
    <x v="11"/>
    <x v="0"/>
  </r>
  <r>
    <n v="1452"/>
    <n v="1709"/>
    <x v="2"/>
    <n v="3"/>
    <n v="8"/>
    <n v="24"/>
    <s v="Delivered"/>
    <n v="24"/>
    <d v="2026-01-18T00:00:00"/>
    <m/>
    <m/>
    <x v="2"/>
    <x v="0"/>
  </r>
  <r>
    <n v="1453"/>
    <n v="1710"/>
    <x v="3"/>
    <n v="2"/>
    <n v="25"/>
    <n v="50"/>
    <s v="Delivered"/>
    <n v="50"/>
    <d v="2026-05-07T00:00:00"/>
    <m/>
    <m/>
    <x v="3"/>
    <x v="3"/>
  </r>
  <r>
    <n v="1454"/>
    <n v="1710"/>
    <x v="9"/>
    <n v="2"/>
    <n v="22"/>
    <n v="44"/>
    <s v="Delivered"/>
    <n v="44"/>
    <d v="2026-05-07T00:00:00"/>
    <m/>
    <m/>
    <x v="9"/>
    <x v="3"/>
  </r>
  <r>
    <n v="1455"/>
    <n v="1710"/>
    <x v="11"/>
    <n v="4"/>
    <n v="55"/>
    <n v="220"/>
    <s v="Delivered"/>
    <n v="220"/>
    <d v="2026-05-07T00:00:00"/>
    <m/>
    <m/>
    <x v="11"/>
    <x v="3"/>
  </r>
  <r>
    <n v="1456"/>
    <n v="1711"/>
    <x v="1"/>
    <n v="1"/>
    <n v="140"/>
    <n v="140"/>
    <s v="Delivered"/>
    <n v="140"/>
    <d v="2026-04-07T00:00:00"/>
    <m/>
    <m/>
    <x v="1"/>
    <x v="4"/>
  </r>
  <r>
    <n v="1457"/>
    <n v="1712"/>
    <x v="0"/>
    <n v="2"/>
    <n v="750"/>
    <n v="1500"/>
    <s v="Delivered"/>
    <n v="1500"/>
    <d v="2026-04-23T00:00:00"/>
    <m/>
    <m/>
    <x v="0"/>
    <x v="4"/>
  </r>
  <r>
    <n v="1458"/>
    <n v="1712"/>
    <x v="9"/>
    <n v="2"/>
    <n v="22"/>
    <n v="44"/>
    <s v="Delivered"/>
    <n v="44"/>
    <d v="2026-04-23T00:00:00"/>
    <m/>
    <m/>
    <x v="9"/>
    <x v="4"/>
  </r>
  <r>
    <n v="1459"/>
    <n v="1713"/>
    <x v="3"/>
    <n v="1"/>
    <n v="25"/>
    <n v="25"/>
    <s v="Delivered"/>
    <n v="25"/>
    <d v="2026-03-28T00:00:00"/>
    <m/>
    <m/>
    <x v="3"/>
    <x v="1"/>
  </r>
  <r>
    <n v="1460"/>
    <n v="1714"/>
    <x v="3"/>
    <n v="4"/>
    <n v="25"/>
    <n v="100"/>
    <s v="Delivered"/>
    <n v="100"/>
    <d v="2026-02-05T00:00:00"/>
    <m/>
    <m/>
    <x v="3"/>
    <x v="5"/>
  </r>
  <r>
    <n v="1461"/>
    <n v="1714"/>
    <x v="7"/>
    <n v="2"/>
    <n v="180"/>
    <n v="360"/>
    <s v="Delivered"/>
    <n v="360"/>
    <d v="2026-02-05T00:00:00"/>
    <m/>
    <m/>
    <x v="7"/>
    <x v="5"/>
  </r>
  <r>
    <n v="1462"/>
    <n v="1715"/>
    <x v="6"/>
    <n v="2"/>
    <n v="45"/>
    <n v="90"/>
    <s v="Cancelled"/>
    <n v="0"/>
    <d v="2026-06-09T00:00:00"/>
    <m/>
    <m/>
    <x v="6"/>
    <x v="2"/>
  </r>
  <r>
    <n v="1463"/>
    <n v="1716"/>
    <x v="1"/>
    <n v="4"/>
    <n v="140"/>
    <n v="560"/>
    <s v="Delivered"/>
    <n v="560"/>
    <d v="2026-02-18T00:00:00"/>
    <m/>
    <m/>
    <x v="1"/>
    <x v="5"/>
  </r>
  <r>
    <n v="1464"/>
    <n v="1716"/>
    <x v="9"/>
    <n v="2"/>
    <n v="22"/>
    <n v="44"/>
    <s v="Delivered"/>
    <n v="44"/>
    <d v="2026-02-18T00:00:00"/>
    <m/>
    <m/>
    <x v="9"/>
    <x v="5"/>
  </r>
  <r>
    <n v="1465"/>
    <n v="1716"/>
    <x v="2"/>
    <n v="1"/>
    <n v="8"/>
    <n v="8"/>
    <s v="Delivered"/>
    <n v="8"/>
    <d v="2026-02-18T00:00:00"/>
    <m/>
    <m/>
    <x v="2"/>
    <x v="5"/>
  </r>
  <r>
    <n v="1466"/>
    <n v="1717"/>
    <x v="7"/>
    <n v="4"/>
    <n v="180"/>
    <n v="720"/>
    <s v="Delivered"/>
    <n v="720"/>
    <d v="2026-02-08T00:00:00"/>
    <m/>
    <m/>
    <x v="7"/>
    <x v="5"/>
  </r>
  <r>
    <n v="1467"/>
    <n v="1717"/>
    <x v="6"/>
    <n v="2"/>
    <n v="45"/>
    <n v="90"/>
    <s v="Delivered"/>
    <n v="90"/>
    <d v="2026-02-08T00:00:00"/>
    <m/>
    <m/>
    <x v="6"/>
    <x v="5"/>
  </r>
  <r>
    <n v="1468"/>
    <n v="1717"/>
    <x v="8"/>
    <n v="1"/>
    <n v="30"/>
    <n v="30"/>
    <s v="Delivered"/>
    <n v="30"/>
    <d v="2026-02-08T00:00:00"/>
    <m/>
    <m/>
    <x v="8"/>
    <x v="5"/>
  </r>
  <r>
    <n v="1469"/>
    <n v="1718"/>
    <x v="11"/>
    <n v="4"/>
    <n v="55"/>
    <n v="220"/>
    <s v="Delivered"/>
    <n v="220"/>
    <d v="2026-05-11T00:00:00"/>
    <m/>
    <m/>
    <x v="11"/>
    <x v="3"/>
  </r>
  <r>
    <n v="1470"/>
    <n v="1718"/>
    <x v="8"/>
    <n v="2"/>
    <n v="30"/>
    <n v="60"/>
    <s v="Delivered"/>
    <n v="60"/>
    <d v="2026-05-11T00:00:00"/>
    <m/>
    <m/>
    <x v="8"/>
    <x v="3"/>
  </r>
  <r>
    <n v="1471"/>
    <n v="1719"/>
    <x v="4"/>
    <n v="1"/>
    <n v="48"/>
    <n v="48"/>
    <s v="Delivered"/>
    <n v="48"/>
    <d v="2026-05-07T00:00:00"/>
    <m/>
    <m/>
    <x v="4"/>
    <x v="3"/>
  </r>
  <r>
    <n v="1472"/>
    <n v="1719"/>
    <x v="2"/>
    <n v="2"/>
    <n v="8"/>
    <n v="16"/>
    <s v="Delivered"/>
    <n v="16"/>
    <d v="2026-05-07T00:00:00"/>
    <m/>
    <m/>
    <x v="2"/>
    <x v="3"/>
  </r>
  <r>
    <n v="1473"/>
    <n v="1720"/>
    <x v="6"/>
    <n v="1"/>
    <n v="45"/>
    <n v="45"/>
    <s v="Delivered"/>
    <n v="45"/>
    <d v="2026-02-25T00:00:00"/>
    <m/>
    <m/>
    <x v="6"/>
    <x v="5"/>
  </r>
  <r>
    <n v="1474"/>
    <n v="1720"/>
    <x v="1"/>
    <n v="2"/>
    <n v="140"/>
    <n v="280"/>
    <s v="Delivered"/>
    <n v="280"/>
    <d v="2026-02-25T00:00:00"/>
    <m/>
    <m/>
    <x v="1"/>
    <x v="5"/>
  </r>
  <r>
    <n v="1475"/>
    <n v="1720"/>
    <x v="7"/>
    <n v="1"/>
    <n v="180"/>
    <n v="180"/>
    <s v="Delivered"/>
    <n v="180"/>
    <d v="2026-02-25T00:00:00"/>
    <m/>
    <m/>
    <x v="7"/>
    <x v="5"/>
  </r>
  <r>
    <n v="1476"/>
    <n v="1721"/>
    <x v="11"/>
    <n v="4"/>
    <n v="55"/>
    <n v="220"/>
    <s v="Delivered"/>
    <n v="220"/>
    <d v="2026-04-30T00:00:00"/>
    <m/>
    <m/>
    <x v="11"/>
    <x v="4"/>
  </r>
  <r>
    <n v="1477"/>
    <n v="1721"/>
    <x v="9"/>
    <n v="4"/>
    <n v="22"/>
    <n v="88"/>
    <s v="Delivered"/>
    <n v="88"/>
    <d v="2026-04-30T00:00:00"/>
    <m/>
    <m/>
    <x v="9"/>
    <x v="4"/>
  </r>
  <r>
    <n v="1478"/>
    <n v="1722"/>
    <x v="5"/>
    <n v="3"/>
    <n v="220"/>
    <n v="660"/>
    <s v="Delivered"/>
    <n v="660"/>
    <d v="2026-02-15T00:00:00"/>
    <m/>
    <m/>
    <x v="5"/>
    <x v="5"/>
  </r>
  <r>
    <n v="1479"/>
    <n v="1722"/>
    <x v="1"/>
    <n v="1"/>
    <n v="140"/>
    <n v="140"/>
    <s v="Delivered"/>
    <n v="140"/>
    <d v="2026-02-15T00:00:00"/>
    <m/>
    <m/>
    <x v="1"/>
    <x v="5"/>
  </r>
  <r>
    <n v="1480"/>
    <n v="1722"/>
    <x v="9"/>
    <n v="3"/>
    <n v="22"/>
    <n v="66"/>
    <s v="Delivered"/>
    <n v="66"/>
    <d v="2026-02-15T00:00:00"/>
    <m/>
    <m/>
    <x v="9"/>
    <x v="5"/>
  </r>
  <r>
    <n v="1481"/>
    <n v="1723"/>
    <x v="1"/>
    <n v="3"/>
    <n v="140"/>
    <n v="420"/>
    <s v="Delivered"/>
    <n v="420"/>
    <d v="2026-05-20T00:00:00"/>
    <m/>
    <m/>
    <x v="1"/>
    <x v="3"/>
  </r>
  <r>
    <n v="1482"/>
    <n v="1723"/>
    <x v="7"/>
    <n v="2"/>
    <n v="180"/>
    <n v="360"/>
    <s v="Delivered"/>
    <n v="360"/>
    <d v="2026-05-20T00:00:00"/>
    <m/>
    <m/>
    <x v="7"/>
    <x v="3"/>
  </r>
  <r>
    <n v="1483"/>
    <n v="1723"/>
    <x v="4"/>
    <n v="2"/>
    <n v="48"/>
    <n v="96"/>
    <s v="Delivered"/>
    <n v="96"/>
    <d v="2026-05-20T00:00:00"/>
    <m/>
    <m/>
    <x v="4"/>
    <x v="3"/>
  </r>
  <r>
    <n v="1484"/>
    <n v="1724"/>
    <x v="10"/>
    <n v="1"/>
    <n v="65"/>
    <n v="65"/>
    <s v="Delivered"/>
    <n v="65"/>
    <d v="2026-01-03T00:00:00"/>
    <m/>
    <m/>
    <x v="10"/>
    <x v="0"/>
  </r>
  <r>
    <n v="1485"/>
    <n v="1724"/>
    <x v="9"/>
    <n v="4"/>
    <n v="22"/>
    <n v="88"/>
    <s v="Delivered"/>
    <n v="88"/>
    <d v="2026-01-03T00:00:00"/>
    <m/>
    <m/>
    <x v="9"/>
    <x v="0"/>
  </r>
  <r>
    <n v="1486"/>
    <n v="1725"/>
    <x v="3"/>
    <n v="4"/>
    <n v="25"/>
    <n v="100"/>
    <s v="Delivered"/>
    <n v="100"/>
    <d v="2026-02-28T00:00:00"/>
    <m/>
    <m/>
    <x v="3"/>
    <x v="5"/>
  </r>
  <r>
    <n v="1487"/>
    <n v="1725"/>
    <x v="8"/>
    <n v="4"/>
    <n v="30"/>
    <n v="120"/>
    <s v="Delivered"/>
    <n v="120"/>
    <d v="2026-02-28T00:00:00"/>
    <m/>
    <m/>
    <x v="8"/>
    <x v="5"/>
  </r>
  <r>
    <n v="1488"/>
    <n v="1726"/>
    <x v="8"/>
    <n v="3"/>
    <n v="30"/>
    <n v="90"/>
    <s v="Delivered"/>
    <n v="90"/>
    <d v="2026-06-28T00:00:00"/>
    <m/>
    <m/>
    <x v="8"/>
    <x v="2"/>
  </r>
  <r>
    <n v="1489"/>
    <n v="1726"/>
    <x v="0"/>
    <n v="2"/>
    <n v="750"/>
    <n v="1500"/>
    <s v="Delivered"/>
    <n v="1500"/>
    <d v="2026-06-28T00:00:00"/>
    <m/>
    <m/>
    <x v="0"/>
    <x v="2"/>
  </r>
  <r>
    <n v="1490"/>
    <n v="1727"/>
    <x v="3"/>
    <n v="4"/>
    <n v="25"/>
    <n v="100"/>
    <s v="Delivered"/>
    <n v="100"/>
    <d v="2026-05-08T00:00:00"/>
    <m/>
    <m/>
    <x v="3"/>
    <x v="3"/>
  </r>
  <r>
    <n v="1491"/>
    <n v="1727"/>
    <x v="10"/>
    <n v="4"/>
    <n v="65"/>
    <n v="260"/>
    <s v="Delivered"/>
    <n v="260"/>
    <d v="2026-05-08T00:00:00"/>
    <m/>
    <m/>
    <x v="10"/>
    <x v="3"/>
  </r>
  <r>
    <n v="1492"/>
    <n v="1728"/>
    <x v="6"/>
    <n v="3"/>
    <n v="45"/>
    <n v="135"/>
    <s v="Delivered"/>
    <n v="135"/>
    <d v="2026-01-06T00:00:00"/>
    <m/>
    <m/>
    <x v="6"/>
    <x v="0"/>
  </r>
  <r>
    <n v="1493"/>
    <n v="1729"/>
    <x v="5"/>
    <n v="4"/>
    <n v="220"/>
    <n v="880"/>
    <s v="Pending"/>
    <n v="880"/>
    <d v="2026-04-11T00:00:00"/>
    <m/>
    <m/>
    <x v="5"/>
    <x v="4"/>
  </r>
  <r>
    <n v="1494"/>
    <n v="1729"/>
    <x v="8"/>
    <n v="2"/>
    <n v="30"/>
    <n v="60"/>
    <s v="Pending"/>
    <n v="60"/>
    <d v="2026-04-11T00:00:00"/>
    <m/>
    <m/>
    <x v="8"/>
    <x v="4"/>
  </r>
  <r>
    <n v="1495"/>
    <n v="1730"/>
    <x v="7"/>
    <n v="1"/>
    <n v="180"/>
    <n v="180"/>
    <s v="Delivered"/>
    <n v="180"/>
    <d v="2026-01-28T00:00:00"/>
    <m/>
    <m/>
    <x v="7"/>
    <x v="0"/>
  </r>
  <r>
    <n v="1496"/>
    <n v="1730"/>
    <x v="5"/>
    <n v="2"/>
    <n v="220"/>
    <n v="440"/>
    <s v="Delivered"/>
    <n v="440"/>
    <d v="2026-01-28T00:00:00"/>
    <m/>
    <m/>
    <x v="5"/>
    <x v="0"/>
  </r>
  <r>
    <n v="1497"/>
    <n v="1730"/>
    <x v="6"/>
    <n v="1"/>
    <n v="45"/>
    <n v="45"/>
    <s v="Delivered"/>
    <n v="45"/>
    <d v="2026-01-28T00:00:00"/>
    <m/>
    <m/>
    <x v="6"/>
    <x v="0"/>
  </r>
  <r>
    <n v="1498"/>
    <n v="1731"/>
    <x v="3"/>
    <n v="3"/>
    <n v="25"/>
    <n v="75"/>
    <s v="Shipped"/>
    <n v="75"/>
    <d v="2026-01-18T00:00:00"/>
    <m/>
    <m/>
    <x v="3"/>
    <x v="0"/>
  </r>
  <r>
    <n v="1499"/>
    <n v="1731"/>
    <x v="9"/>
    <n v="1"/>
    <n v="22"/>
    <n v="22"/>
    <s v="Shipped"/>
    <n v="22"/>
    <d v="2026-01-18T00:00:00"/>
    <m/>
    <m/>
    <x v="9"/>
    <x v="0"/>
  </r>
  <r>
    <n v="1500"/>
    <n v="1732"/>
    <x v="10"/>
    <n v="1"/>
    <n v="65"/>
    <n v="65"/>
    <s v="Delivered"/>
    <n v="65"/>
    <d v="2026-05-13T00:00:00"/>
    <m/>
    <m/>
    <x v="10"/>
    <x v="3"/>
  </r>
  <r>
    <n v="1501"/>
    <n v="1732"/>
    <x v="6"/>
    <n v="2"/>
    <n v="45"/>
    <n v="90"/>
    <s v="Delivered"/>
    <n v="90"/>
    <d v="2026-05-13T00:00:00"/>
    <m/>
    <m/>
    <x v="6"/>
    <x v="3"/>
  </r>
  <r>
    <n v="1502"/>
    <n v="1733"/>
    <x v="9"/>
    <n v="4"/>
    <n v="22"/>
    <n v="88"/>
    <s v="Cancelled"/>
    <n v="0"/>
    <d v="2026-02-03T00:00:00"/>
    <m/>
    <m/>
    <x v="9"/>
    <x v="5"/>
  </r>
  <r>
    <n v="1503"/>
    <n v="1733"/>
    <x v="4"/>
    <n v="2"/>
    <n v="48"/>
    <n v="96"/>
    <s v="Cancelled"/>
    <n v="0"/>
    <d v="2026-02-03T00:00:00"/>
    <m/>
    <m/>
    <x v="4"/>
    <x v="5"/>
  </r>
  <r>
    <n v="1504"/>
    <n v="1734"/>
    <x v="3"/>
    <n v="3"/>
    <n v="25"/>
    <n v="75"/>
    <s v="Delivered"/>
    <n v="75"/>
    <d v="2026-06-04T00:00:00"/>
    <m/>
    <m/>
    <x v="3"/>
    <x v="2"/>
  </r>
  <r>
    <n v="1505"/>
    <n v="1734"/>
    <x v="8"/>
    <n v="2"/>
    <n v="30"/>
    <n v="60"/>
    <s v="Delivered"/>
    <n v="60"/>
    <d v="2026-06-04T00:00:00"/>
    <m/>
    <m/>
    <x v="8"/>
    <x v="2"/>
  </r>
  <r>
    <n v="1506"/>
    <n v="1734"/>
    <x v="11"/>
    <n v="1"/>
    <n v="55"/>
    <n v="55"/>
    <s v="Delivered"/>
    <n v="55"/>
    <d v="2026-06-04T00:00:00"/>
    <m/>
    <m/>
    <x v="11"/>
    <x v="2"/>
  </r>
  <r>
    <n v="1507"/>
    <n v="1735"/>
    <x v="11"/>
    <n v="1"/>
    <n v="55"/>
    <n v="55"/>
    <s v="Delivered"/>
    <n v="55"/>
    <d v="2026-03-05T00:00:00"/>
    <m/>
    <m/>
    <x v="11"/>
    <x v="1"/>
  </r>
  <r>
    <n v="1508"/>
    <n v="1735"/>
    <x v="9"/>
    <n v="1"/>
    <n v="22"/>
    <n v="22"/>
    <s v="Delivered"/>
    <n v="22"/>
    <d v="2026-03-05T00:00:00"/>
    <m/>
    <m/>
    <x v="9"/>
    <x v="1"/>
  </r>
  <r>
    <n v="1509"/>
    <n v="1736"/>
    <x v="3"/>
    <n v="4"/>
    <n v="25"/>
    <n v="100"/>
    <s v="Delivered"/>
    <n v="100"/>
    <d v="2026-03-18T00:00:00"/>
    <m/>
    <m/>
    <x v="3"/>
    <x v="1"/>
  </r>
  <r>
    <n v="1510"/>
    <n v="1736"/>
    <x v="6"/>
    <n v="4"/>
    <n v="45"/>
    <n v="180"/>
    <s v="Delivered"/>
    <n v="180"/>
    <d v="2026-03-18T00:00:00"/>
    <m/>
    <m/>
    <x v="6"/>
    <x v="1"/>
  </r>
  <r>
    <n v="1511"/>
    <n v="1737"/>
    <x v="6"/>
    <n v="3"/>
    <n v="45"/>
    <n v="135"/>
    <s v="Delivered"/>
    <n v="135"/>
    <d v="2026-04-11T00:00:00"/>
    <m/>
    <m/>
    <x v="6"/>
    <x v="4"/>
  </r>
  <r>
    <n v="1512"/>
    <n v="1738"/>
    <x v="10"/>
    <n v="1"/>
    <n v="65"/>
    <n v="65"/>
    <s v="Delivered"/>
    <n v="65"/>
    <d v="2026-06-28T00:00:00"/>
    <m/>
    <m/>
    <x v="10"/>
    <x v="2"/>
  </r>
  <r>
    <n v="1513"/>
    <n v="1738"/>
    <x v="8"/>
    <n v="3"/>
    <n v="30"/>
    <n v="90"/>
    <s v="Delivered"/>
    <n v="90"/>
    <d v="2026-06-28T00:00:00"/>
    <m/>
    <m/>
    <x v="8"/>
    <x v="2"/>
  </r>
  <r>
    <n v="1514"/>
    <n v="1739"/>
    <x v="8"/>
    <n v="1"/>
    <n v="30"/>
    <n v="30"/>
    <s v="Delivered"/>
    <n v="30"/>
    <d v="2026-04-15T00:00:00"/>
    <m/>
    <m/>
    <x v="8"/>
    <x v="4"/>
  </r>
  <r>
    <n v="1515"/>
    <n v="1740"/>
    <x v="10"/>
    <n v="1"/>
    <n v="65"/>
    <n v="65"/>
    <s v="Delivered"/>
    <n v="65"/>
    <d v="2026-04-29T00:00:00"/>
    <m/>
    <m/>
    <x v="10"/>
    <x v="4"/>
  </r>
  <r>
    <n v="1516"/>
    <n v="1741"/>
    <x v="5"/>
    <n v="2"/>
    <n v="220"/>
    <n v="440"/>
    <s v="Delivered"/>
    <n v="440"/>
    <d v="2026-06-21T00:00:00"/>
    <m/>
    <m/>
    <x v="5"/>
    <x v="2"/>
  </r>
  <r>
    <n v="1517"/>
    <n v="1741"/>
    <x v="9"/>
    <n v="4"/>
    <n v="22"/>
    <n v="88"/>
    <s v="Delivered"/>
    <n v="88"/>
    <d v="2026-06-21T00:00:00"/>
    <m/>
    <m/>
    <x v="9"/>
    <x v="2"/>
  </r>
  <r>
    <n v="1518"/>
    <n v="1742"/>
    <x v="5"/>
    <n v="4"/>
    <n v="220"/>
    <n v="880"/>
    <s v="Delivered"/>
    <n v="880"/>
    <d v="2026-01-05T00:00:00"/>
    <m/>
    <m/>
    <x v="5"/>
    <x v="0"/>
  </r>
  <r>
    <n v="1519"/>
    <n v="1742"/>
    <x v="8"/>
    <n v="2"/>
    <n v="30"/>
    <n v="60"/>
    <s v="Delivered"/>
    <n v="60"/>
    <d v="2026-01-05T00:00:00"/>
    <m/>
    <m/>
    <x v="8"/>
    <x v="0"/>
  </r>
  <r>
    <n v="1520"/>
    <n v="1743"/>
    <x v="0"/>
    <n v="2"/>
    <n v="750"/>
    <n v="1500"/>
    <s v="Delivered"/>
    <n v="1500"/>
    <d v="2026-04-23T00:00:00"/>
    <m/>
    <m/>
    <x v="0"/>
    <x v="4"/>
  </r>
  <r>
    <n v="1521"/>
    <n v="1743"/>
    <x v="4"/>
    <n v="4"/>
    <n v="48"/>
    <n v="192"/>
    <s v="Delivered"/>
    <n v="192"/>
    <d v="2026-04-23T00:00:00"/>
    <m/>
    <m/>
    <x v="4"/>
    <x v="4"/>
  </r>
  <r>
    <n v="1522"/>
    <n v="1743"/>
    <x v="8"/>
    <n v="1"/>
    <n v="30"/>
    <n v="30"/>
    <s v="Delivered"/>
    <n v="30"/>
    <d v="2026-04-23T00:00:00"/>
    <m/>
    <m/>
    <x v="8"/>
    <x v="4"/>
  </r>
  <r>
    <n v="1523"/>
    <n v="1744"/>
    <x v="7"/>
    <n v="1"/>
    <n v="180"/>
    <n v="180"/>
    <s v="Cancelled"/>
    <n v="0"/>
    <d v="2026-06-18T00:00:00"/>
    <m/>
    <m/>
    <x v="7"/>
    <x v="2"/>
  </r>
  <r>
    <n v="1524"/>
    <n v="1744"/>
    <x v="11"/>
    <n v="1"/>
    <n v="55"/>
    <n v="55"/>
    <s v="Cancelled"/>
    <n v="0"/>
    <d v="2026-06-18T00:00:00"/>
    <m/>
    <m/>
    <x v="11"/>
    <x v="2"/>
  </r>
  <r>
    <n v="1525"/>
    <n v="1744"/>
    <x v="0"/>
    <n v="4"/>
    <n v="750"/>
    <n v="3000"/>
    <s v="Cancelled"/>
    <n v="0"/>
    <d v="2026-06-18T00:00:00"/>
    <m/>
    <m/>
    <x v="0"/>
    <x v="2"/>
  </r>
  <r>
    <n v="1526"/>
    <n v="1745"/>
    <x v="3"/>
    <n v="1"/>
    <n v="25"/>
    <n v="25"/>
    <s v="Shipped"/>
    <n v="25"/>
    <d v="2026-02-21T00:00:00"/>
    <m/>
    <m/>
    <x v="3"/>
    <x v="5"/>
  </r>
  <r>
    <n v="1527"/>
    <n v="1746"/>
    <x v="4"/>
    <n v="1"/>
    <n v="48"/>
    <n v="48"/>
    <s v="Delivered"/>
    <n v="48"/>
    <d v="2026-01-04T00:00:00"/>
    <m/>
    <m/>
    <x v="4"/>
    <x v="0"/>
  </r>
  <r>
    <n v="1528"/>
    <n v="1746"/>
    <x v="5"/>
    <n v="2"/>
    <n v="220"/>
    <n v="440"/>
    <s v="Delivered"/>
    <n v="440"/>
    <d v="2026-01-04T00:00:00"/>
    <m/>
    <m/>
    <x v="5"/>
    <x v="0"/>
  </r>
  <r>
    <n v="1529"/>
    <n v="1746"/>
    <x v="3"/>
    <n v="2"/>
    <n v="25"/>
    <n v="50"/>
    <s v="Delivered"/>
    <n v="50"/>
    <d v="2026-01-04T00:00:00"/>
    <m/>
    <m/>
    <x v="3"/>
    <x v="0"/>
  </r>
  <r>
    <n v="1530"/>
    <n v="1747"/>
    <x v="10"/>
    <n v="2"/>
    <n v="65"/>
    <n v="130"/>
    <s v="Delivered"/>
    <n v="130"/>
    <d v="2026-05-24T00:00:00"/>
    <m/>
    <m/>
    <x v="10"/>
    <x v="3"/>
  </r>
  <r>
    <n v="1531"/>
    <n v="1747"/>
    <x v="9"/>
    <n v="2"/>
    <n v="22"/>
    <n v="44"/>
    <s v="Delivered"/>
    <n v="44"/>
    <d v="2026-05-24T00:00:00"/>
    <m/>
    <m/>
    <x v="9"/>
    <x v="3"/>
  </r>
  <r>
    <n v="1532"/>
    <n v="1747"/>
    <x v="5"/>
    <n v="1"/>
    <n v="220"/>
    <n v="220"/>
    <s v="Delivered"/>
    <n v="220"/>
    <d v="2026-05-24T00:00:00"/>
    <m/>
    <m/>
    <x v="5"/>
    <x v="3"/>
  </r>
  <r>
    <n v="1533"/>
    <n v="1748"/>
    <x v="5"/>
    <n v="3"/>
    <n v="220"/>
    <n v="660"/>
    <s v="Delivered"/>
    <n v="660"/>
    <d v="2026-01-04T00:00:00"/>
    <m/>
    <m/>
    <x v="5"/>
    <x v="0"/>
  </r>
  <r>
    <n v="1534"/>
    <n v="1749"/>
    <x v="9"/>
    <n v="2"/>
    <n v="22"/>
    <n v="44"/>
    <s v="Delivered"/>
    <n v="44"/>
    <d v="2026-04-16T00:00:00"/>
    <m/>
    <m/>
    <x v="9"/>
    <x v="4"/>
  </r>
  <r>
    <n v="1535"/>
    <n v="1750"/>
    <x v="6"/>
    <n v="3"/>
    <n v="45"/>
    <n v="135"/>
    <s v="Delivered"/>
    <n v="135"/>
    <d v="2026-06-28T00:00:00"/>
    <m/>
    <m/>
    <x v="6"/>
    <x v="2"/>
  </r>
  <r>
    <n v="1536"/>
    <n v="1750"/>
    <x v="4"/>
    <n v="4"/>
    <n v="48"/>
    <n v="192"/>
    <s v="Delivered"/>
    <n v="192"/>
    <d v="2026-06-28T00:00:00"/>
    <m/>
    <m/>
    <x v="4"/>
    <x v="2"/>
  </r>
  <r>
    <n v="1537"/>
    <n v="1751"/>
    <x v="2"/>
    <n v="1"/>
    <n v="8"/>
    <n v="8"/>
    <s v="Delivered"/>
    <n v="8"/>
    <d v="2026-04-08T00:00:00"/>
    <m/>
    <m/>
    <x v="2"/>
    <x v="4"/>
  </r>
  <r>
    <n v="1538"/>
    <n v="1751"/>
    <x v="0"/>
    <n v="1"/>
    <n v="750"/>
    <n v="750"/>
    <s v="Delivered"/>
    <n v="750"/>
    <d v="2026-04-08T00:00:00"/>
    <m/>
    <m/>
    <x v="0"/>
    <x v="4"/>
  </r>
  <r>
    <n v="1539"/>
    <n v="1751"/>
    <x v="3"/>
    <n v="3"/>
    <n v="25"/>
    <n v="75"/>
    <s v="Delivered"/>
    <n v="75"/>
    <d v="2026-04-08T00:00:00"/>
    <m/>
    <m/>
    <x v="3"/>
    <x v="4"/>
  </r>
  <r>
    <n v="1540"/>
    <n v="1752"/>
    <x v="3"/>
    <n v="4"/>
    <n v="25"/>
    <n v="100"/>
    <s v="Delivered"/>
    <n v="100"/>
    <d v="2026-01-16T00:00:00"/>
    <m/>
    <m/>
    <x v="3"/>
    <x v="0"/>
  </r>
  <r>
    <n v="1541"/>
    <n v="1752"/>
    <x v="6"/>
    <n v="2"/>
    <n v="45"/>
    <n v="90"/>
    <s v="Delivered"/>
    <n v="90"/>
    <d v="2026-01-16T00:00:00"/>
    <m/>
    <m/>
    <x v="6"/>
    <x v="0"/>
  </r>
  <r>
    <n v="1542"/>
    <n v="1753"/>
    <x v="0"/>
    <n v="3"/>
    <n v="750"/>
    <n v="2250"/>
    <s v="Delivered"/>
    <n v="2250"/>
    <d v="2026-03-26T00:00:00"/>
    <m/>
    <m/>
    <x v="0"/>
    <x v="1"/>
  </r>
  <r>
    <n v="1543"/>
    <n v="1753"/>
    <x v="8"/>
    <n v="1"/>
    <n v="30"/>
    <n v="30"/>
    <s v="Delivered"/>
    <n v="30"/>
    <d v="2026-03-26T00:00:00"/>
    <m/>
    <m/>
    <x v="8"/>
    <x v="1"/>
  </r>
  <r>
    <n v="1544"/>
    <n v="1753"/>
    <x v="10"/>
    <n v="2"/>
    <n v="65"/>
    <n v="130"/>
    <s v="Delivered"/>
    <n v="130"/>
    <d v="2026-03-26T00:00:00"/>
    <m/>
    <m/>
    <x v="10"/>
    <x v="1"/>
  </r>
  <r>
    <n v="1545"/>
    <n v="1754"/>
    <x v="9"/>
    <n v="4"/>
    <n v="22"/>
    <n v="88"/>
    <s v="Cancelled"/>
    <n v="0"/>
    <d v="2026-01-14T00:00:00"/>
    <m/>
    <m/>
    <x v="9"/>
    <x v="0"/>
  </r>
  <r>
    <n v="1546"/>
    <n v="1754"/>
    <x v="3"/>
    <n v="3"/>
    <n v="25"/>
    <n v="75"/>
    <s v="Cancelled"/>
    <n v="0"/>
    <d v="2026-01-14T00:00:00"/>
    <m/>
    <m/>
    <x v="3"/>
    <x v="0"/>
  </r>
  <r>
    <n v="1547"/>
    <n v="1754"/>
    <x v="2"/>
    <n v="2"/>
    <n v="8"/>
    <n v="16"/>
    <s v="Cancelled"/>
    <n v="0"/>
    <d v="2026-01-14T00:00:00"/>
    <m/>
    <m/>
    <x v="2"/>
    <x v="0"/>
  </r>
  <r>
    <n v="1548"/>
    <n v="1755"/>
    <x v="5"/>
    <n v="1"/>
    <n v="220"/>
    <n v="220"/>
    <s v="Delivered"/>
    <n v="220"/>
    <d v="2026-04-24T00:00:00"/>
    <m/>
    <m/>
    <x v="5"/>
    <x v="4"/>
  </r>
  <r>
    <n v="1549"/>
    <n v="1755"/>
    <x v="3"/>
    <n v="2"/>
    <n v="25"/>
    <n v="50"/>
    <s v="Delivered"/>
    <n v="50"/>
    <d v="2026-04-24T00:00:00"/>
    <m/>
    <m/>
    <x v="3"/>
    <x v="4"/>
  </r>
  <r>
    <n v="1550"/>
    <n v="1756"/>
    <x v="9"/>
    <n v="3"/>
    <n v="22"/>
    <n v="66"/>
    <s v="Delivered"/>
    <n v="66"/>
    <d v="2026-02-22T00:00:00"/>
    <m/>
    <m/>
    <x v="9"/>
    <x v="5"/>
  </r>
  <r>
    <n v="1551"/>
    <n v="1756"/>
    <x v="11"/>
    <n v="2"/>
    <n v="55"/>
    <n v="110"/>
    <s v="Delivered"/>
    <n v="110"/>
    <d v="2026-02-22T00:00:00"/>
    <m/>
    <m/>
    <x v="11"/>
    <x v="5"/>
  </r>
  <r>
    <n v="1552"/>
    <n v="1757"/>
    <x v="3"/>
    <n v="1"/>
    <n v="25"/>
    <n v="25"/>
    <s v="Delivered"/>
    <n v="25"/>
    <d v="2026-03-19T00:00:00"/>
    <m/>
    <m/>
    <x v="3"/>
    <x v="1"/>
  </r>
  <r>
    <n v="1553"/>
    <n v="1757"/>
    <x v="7"/>
    <n v="3"/>
    <n v="180"/>
    <n v="540"/>
    <s v="Delivered"/>
    <n v="540"/>
    <d v="2026-03-19T00:00:00"/>
    <m/>
    <m/>
    <x v="7"/>
    <x v="1"/>
  </r>
  <r>
    <n v="1554"/>
    <n v="1757"/>
    <x v="11"/>
    <n v="4"/>
    <n v="55"/>
    <n v="220"/>
    <s v="Delivered"/>
    <n v="220"/>
    <d v="2026-03-19T00:00:00"/>
    <m/>
    <m/>
    <x v="11"/>
    <x v="1"/>
  </r>
  <r>
    <n v="1555"/>
    <n v="1758"/>
    <x v="10"/>
    <n v="4"/>
    <n v="65"/>
    <n v="260"/>
    <s v="Delivered"/>
    <n v="260"/>
    <d v="2026-04-21T00:00:00"/>
    <m/>
    <m/>
    <x v="10"/>
    <x v="4"/>
  </r>
  <r>
    <n v="1556"/>
    <n v="1759"/>
    <x v="10"/>
    <n v="3"/>
    <n v="65"/>
    <n v="195"/>
    <s v="Delivered"/>
    <n v="195"/>
    <d v="2026-05-18T00:00:00"/>
    <m/>
    <m/>
    <x v="10"/>
    <x v="3"/>
  </r>
  <r>
    <n v="1557"/>
    <n v="1759"/>
    <x v="11"/>
    <n v="4"/>
    <n v="55"/>
    <n v="220"/>
    <s v="Delivered"/>
    <n v="220"/>
    <d v="2026-05-18T00:00:00"/>
    <m/>
    <m/>
    <x v="11"/>
    <x v="3"/>
  </r>
  <r>
    <n v="1558"/>
    <n v="1760"/>
    <x v="3"/>
    <n v="1"/>
    <n v="25"/>
    <n v="25"/>
    <s v="Delivered"/>
    <n v="25"/>
    <d v="2026-02-04T00:00:00"/>
    <m/>
    <m/>
    <x v="3"/>
    <x v="5"/>
  </r>
  <r>
    <n v="1559"/>
    <n v="1761"/>
    <x v="1"/>
    <n v="3"/>
    <n v="140"/>
    <n v="420"/>
    <s v="Shipped"/>
    <n v="420"/>
    <d v="2026-04-14T00:00:00"/>
    <m/>
    <m/>
    <x v="1"/>
    <x v="4"/>
  </r>
  <r>
    <n v="1560"/>
    <n v="1761"/>
    <x v="10"/>
    <n v="1"/>
    <n v="65"/>
    <n v="65"/>
    <s v="Shipped"/>
    <n v="65"/>
    <d v="2026-04-14T00:00:00"/>
    <m/>
    <m/>
    <x v="10"/>
    <x v="4"/>
  </r>
  <r>
    <n v="1561"/>
    <n v="1761"/>
    <x v="11"/>
    <n v="4"/>
    <n v="55"/>
    <n v="220"/>
    <s v="Shipped"/>
    <n v="220"/>
    <d v="2026-04-14T00:00:00"/>
    <m/>
    <m/>
    <x v="11"/>
    <x v="4"/>
  </r>
  <r>
    <n v="1562"/>
    <n v="1762"/>
    <x v="10"/>
    <n v="3"/>
    <n v="65"/>
    <n v="195"/>
    <s v="Shipped"/>
    <n v="195"/>
    <d v="2026-04-09T00:00:00"/>
    <m/>
    <m/>
    <x v="10"/>
    <x v="4"/>
  </r>
  <r>
    <n v="1563"/>
    <n v="1763"/>
    <x v="9"/>
    <n v="4"/>
    <n v="22"/>
    <n v="88"/>
    <s v="Delivered"/>
    <n v="88"/>
    <d v="2026-03-31T00:00:00"/>
    <m/>
    <m/>
    <x v="9"/>
    <x v="1"/>
  </r>
  <r>
    <n v="1564"/>
    <n v="1763"/>
    <x v="1"/>
    <n v="4"/>
    <n v="140"/>
    <n v="560"/>
    <s v="Delivered"/>
    <n v="560"/>
    <d v="2026-03-31T00:00:00"/>
    <m/>
    <m/>
    <x v="1"/>
    <x v="1"/>
  </r>
  <r>
    <n v="1565"/>
    <n v="1763"/>
    <x v="0"/>
    <n v="2"/>
    <n v="750"/>
    <n v="1500"/>
    <s v="Delivered"/>
    <n v="1500"/>
    <d v="2026-03-31T00:00:00"/>
    <m/>
    <m/>
    <x v="0"/>
    <x v="1"/>
  </r>
  <r>
    <n v="1566"/>
    <n v="1764"/>
    <x v="2"/>
    <n v="2"/>
    <n v="8"/>
    <n v="16"/>
    <s v="Delivered"/>
    <n v="16"/>
    <d v="2026-06-30T00:00:00"/>
    <m/>
    <m/>
    <x v="2"/>
    <x v="2"/>
  </r>
  <r>
    <n v="1567"/>
    <n v="1764"/>
    <x v="11"/>
    <n v="3"/>
    <n v="55"/>
    <n v="165"/>
    <s v="Delivered"/>
    <n v="165"/>
    <d v="2026-06-30T00:00:00"/>
    <m/>
    <m/>
    <x v="11"/>
    <x v="2"/>
  </r>
  <r>
    <n v="1568"/>
    <n v="1765"/>
    <x v="9"/>
    <n v="1"/>
    <n v="22"/>
    <n v="22"/>
    <s v="Delivered"/>
    <n v="22"/>
    <d v="2026-01-04T00:00:00"/>
    <m/>
    <m/>
    <x v="9"/>
    <x v="0"/>
  </r>
  <r>
    <n v="1569"/>
    <n v="1765"/>
    <x v="10"/>
    <n v="2"/>
    <n v="65"/>
    <n v="130"/>
    <s v="Delivered"/>
    <n v="130"/>
    <d v="2026-01-04T00:00:00"/>
    <m/>
    <m/>
    <x v="10"/>
    <x v="0"/>
  </r>
  <r>
    <n v="1570"/>
    <n v="1765"/>
    <x v="4"/>
    <n v="4"/>
    <n v="48"/>
    <n v="192"/>
    <s v="Delivered"/>
    <n v="192"/>
    <d v="2026-01-04T00:00:00"/>
    <m/>
    <m/>
    <x v="4"/>
    <x v="0"/>
  </r>
  <r>
    <n v="1571"/>
    <n v="1766"/>
    <x v="7"/>
    <n v="1"/>
    <n v="180"/>
    <n v="180"/>
    <s v="Delivered"/>
    <n v="180"/>
    <d v="2026-05-17T00:00:00"/>
    <m/>
    <m/>
    <x v="7"/>
    <x v="3"/>
  </r>
  <r>
    <n v="1572"/>
    <n v="1766"/>
    <x v="10"/>
    <n v="3"/>
    <n v="65"/>
    <n v="195"/>
    <s v="Delivered"/>
    <n v="195"/>
    <d v="2026-05-17T00:00:00"/>
    <m/>
    <m/>
    <x v="10"/>
    <x v="3"/>
  </r>
  <r>
    <n v="1573"/>
    <n v="1766"/>
    <x v="5"/>
    <n v="2"/>
    <n v="220"/>
    <n v="440"/>
    <s v="Delivered"/>
    <n v="440"/>
    <d v="2026-05-17T00:00:00"/>
    <m/>
    <m/>
    <x v="5"/>
    <x v="3"/>
  </r>
  <r>
    <n v="1574"/>
    <n v="1767"/>
    <x v="0"/>
    <n v="1"/>
    <n v="750"/>
    <n v="750"/>
    <s v="Delivered"/>
    <n v="750"/>
    <d v="2026-03-20T00:00:00"/>
    <m/>
    <m/>
    <x v="0"/>
    <x v="1"/>
  </r>
  <r>
    <n v="1575"/>
    <n v="1767"/>
    <x v="5"/>
    <n v="4"/>
    <n v="220"/>
    <n v="880"/>
    <s v="Delivered"/>
    <n v="880"/>
    <d v="2026-03-20T00:00:00"/>
    <m/>
    <m/>
    <x v="5"/>
    <x v="1"/>
  </r>
  <r>
    <n v="1576"/>
    <n v="1768"/>
    <x v="11"/>
    <n v="2"/>
    <n v="55"/>
    <n v="110"/>
    <s v="Delivered"/>
    <n v="110"/>
    <d v="2026-02-15T00:00:00"/>
    <m/>
    <m/>
    <x v="11"/>
    <x v="5"/>
  </r>
  <r>
    <n v="1577"/>
    <n v="1769"/>
    <x v="7"/>
    <n v="4"/>
    <n v="180"/>
    <n v="720"/>
    <s v="Delivered"/>
    <n v="720"/>
    <d v="2026-02-17T00:00:00"/>
    <m/>
    <m/>
    <x v="7"/>
    <x v="5"/>
  </r>
  <r>
    <n v="1578"/>
    <n v="1770"/>
    <x v="5"/>
    <n v="1"/>
    <n v="220"/>
    <n v="220"/>
    <s v="Delivered"/>
    <n v="220"/>
    <d v="2026-02-12T00:00:00"/>
    <m/>
    <m/>
    <x v="5"/>
    <x v="5"/>
  </r>
  <r>
    <n v="1579"/>
    <n v="1770"/>
    <x v="7"/>
    <n v="3"/>
    <n v="180"/>
    <n v="540"/>
    <s v="Delivered"/>
    <n v="540"/>
    <d v="2026-02-12T00:00:00"/>
    <m/>
    <m/>
    <x v="7"/>
    <x v="5"/>
  </r>
  <r>
    <n v="1580"/>
    <n v="1771"/>
    <x v="2"/>
    <n v="2"/>
    <n v="8"/>
    <n v="16"/>
    <s v="Delivered"/>
    <n v="16"/>
    <d v="2026-01-03T00:00:00"/>
    <m/>
    <m/>
    <x v="2"/>
    <x v="0"/>
  </r>
  <r>
    <n v="1581"/>
    <n v="1771"/>
    <x v="0"/>
    <n v="1"/>
    <n v="750"/>
    <n v="750"/>
    <s v="Delivered"/>
    <n v="750"/>
    <d v="2026-01-03T00:00:00"/>
    <m/>
    <m/>
    <x v="0"/>
    <x v="0"/>
  </r>
  <r>
    <n v="1582"/>
    <n v="1771"/>
    <x v="5"/>
    <n v="4"/>
    <n v="220"/>
    <n v="880"/>
    <s v="Delivered"/>
    <n v="880"/>
    <d v="2026-01-03T00:00:00"/>
    <m/>
    <m/>
    <x v="5"/>
    <x v="0"/>
  </r>
  <r>
    <n v="1583"/>
    <n v="1772"/>
    <x v="1"/>
    <n v="3"/>
    <n v="140"/>
    <n v="420"/>
    <s v="Delivered"/>
    <n v="420"/>
    <d v="2026-05-02T00:00:00"/>
    <m/>
    <m/>
    <x v="1"/>
    <x v="3"/>
  </r>
  <r>
    <n v="1584"/>
    <n v="1772"/>
    <x v="4"/>
    <n v="3"/>
    <n v="48"/>
    <n v="144"/>
    <s v="Delivered"/>
    <n v="144"/>
    <d v="2026-05-02T00:00:00"/>
    <m/>
    <m/>
    <x v="4"/>
    <x v="3"/>
  </r>
  <r>
    <n v="1585"/>
    <n v="1773"/>
    <x v="5"/>
    <n v="4"/>
    <n v="220"/>
    <n v="880"/>
    <s v="Delivered"/>
    <n v="880"/>
    <d v="2026-06-06T00:00:00"/>
    <m/>
    <m/>
    <x v="5"/>
    <x v="2"/>
  </r>
  <r>
    <n v="1586"/>
    <n v="1773"/>
    <x v="0"/>
    <n v="4"/>
    <n v="750"/>
    <n v="3000"/>
    <s v="Delivered"/>
    <n v="3000"/>
    <d v="2026-06-06T00:00:00"/>
    <m/>
    <m/>
    <x v="0"/>
    <x v="2"/>
  </r>
  <r>
    <n v="1587"/>
    <n v="1774"/>
    <x v="3"/>
    <n v="4"/>
    <n v="25"/>
    <n v="100"/>
    <s v="Cancelled"/>
    <n v="0"/>
    <d v="2026-02-01T00:00:00"/>
    <m/>
    <m/>
    <x v="3"/>
    <x v="5"/>
  </r>
  <r>
    <n v="1588"/>
    <n v="1774"/>
    <x v="1"/>
    <n v="4"/>
    <n v="140"/>
    <n v="560"/>
    <s v="Cancelled"/>
    <n v="0"/>
    <d v="2026-02-01T00:00:00"/>
    <m/>
    <m/>
    <x v="1"/>
    <x v="5"/>
  </r>
  <r>
    <n v="1589"/>
    <n v="1774"/>
    <x v="11"/>
    <n v="2"/>
    <n v="55"/>
    <n v="110"/>
    <s v="Cancelled"/>
    <n v="0"/>
    <d v="2026-02-01T00:00:00"/>
    <m/>
    <m/>
    <x v="11"/>
    <x v="5"/>
  </r>
  <r>
    <n v="1590"/>
    <n v="1775"/>
    <x v="4"/>
    <n v="3"/>
    <n v="48"/>
    <n v="144"/>
    <s v="Pending"/>
    <n v="144"/>
    <d v="2026-01-01T00:00:00"/>
    <m/>
    <m/>
    <x v="4"/>
    <x v="0"/>
  </r>
  <r>
    <n v="1591"/>
    <n v="1776"/>
    <x v="11"/>
    <n v="1"/>
    <n v="55"/>
    <n v="55"/>
    <s v="Delivered"/>
    <n v="55"/>
    <d v="2026-03-25T00:00:00"/>
    <m/>
    <m/>
    <x v="11"/>
    <x v="1"/>
  </r>
  <r>
    <n v="1592"/>
    <n v="1776"/>
    <x v="10"/>
    <n v="3"/>
    <n v="65"/>
    <n v="195"/>
    <s v="Delivered"/>
    <n v="195"/>
    <d v="2026-03-25T00:00:00"/>
    <m/>
    <m/>
    <x v="10"/>
    <x v="1"/>
  </r>
  <r>
    <n v="1593"/>
    <n v="1776"/>
    <x v="2"/>
    <n v="4"/>
    <n v="8"/>
    <n v="32"/>
    <s v="Delivered"/>
    <n v="32"/>
    <d v="2026-03-25T00:00:00"/>
    <m/>
    <m/>
    <x v="2"/>
    <x v="1"/>
  </r>
  <r>
    <n v="1594"/>
    <n v="1777"/>
    <x v="2"/>
    <n v="2"/>
    <n v="8"/>
    <n v="16"/>
    <s v="Cancelled"/>
    <n v="0"/>
    <d v="2026-06-29T00:00:00"/>
    <m/>
    <m/>
    <x v="2"/>
    <x v="2"/>
  </r>
  <r>
    <n v="1595"/>
    <n v="1777"/>
    <x v="3"/>
    <n v="1"/>
    <n v="25"/>
    <n v="25"/>
    <s v="Cancelled"/>
    <n v="0"/>
    <d v="2026-06-29T00:00:00"/>
    <m/>
    <m/>
    <x v="3"/>
    <x v="2"/>
  </r>
  <r>
    <n v="1596"/>
    <n v="1778"/>
    <x v="4"/>
    <n v="4"/>
    <n v="48"/>
    <n v="192"/>
    <s v="Delivered"/>
    <n v="192"/>
    <d v="2026-02-02T00:00:00"/>
    <m/>
    <m/>
    <x v="4"/>
    <x v="5"/>
  </r>
  <r>
    <n v="1597"/>
    <n v="1778"/>
    <x v="8"/>
    <n v="2"/>
    <n v="30"/>
    <n v="60"/>
    <s v="Delivered"/>
    <n v="60"/>
    <d v="2026-02-02T00:00:00"/>
    <m/>
    <m/>
    <x v="8"/>
    <x v="5"/>
  </r>
  <r>
    <n v="1598"/>
    <n v="1779"/>
    <x v="9"/>
    <n v="4"/>
    <n v="22"/>
    <n v="88"/>
    <s v="Delivered"/>
    <n v="88"/>
    <d v="2026-03-03T00:00:00"/>
    <m/>
    <m/>
    <x v="9"/>
    <x v="1"/>
  </r>
  <r>
    <n v="1599"/>
    <n v="1779"/>
    <x v="5"/>
    <n v="1"/>
    <n v="220"/>
    <n v="220"/>
    <s v="Delivered"/>
    <n v="220"/>
    <d v="2026-03-03T00:00:00"/>
    <m/>
    <m/>
    <x v="5"/>
    <x v="1"/>
  </r>
  <r>
    <n v="1600"/>
    <n v="1779"/>
    <x v="4"/>
    <n v="2"/>
    <n v="48"/>
    <n v="96"/>
    <s v="Delivered"/>
    <n v="96"/>
    <d v="2026-03-03T00:00:00"/>
    <m/>
    <m/>
    <x v="4"/>
    <x v="1"/>
  </r>
  <r>
    <n v="1601"/>
    <n v="1780"/>
    <x v="5"/>
    <n v="4"/>
    <n v="220"/>
    <n v="880"/>
    <s v="Delivered"/>
    <n v="880"/>
    <d v="2026-02-26T00:00:00"/>
    <m/>
    <m/>
    <x v="5"/>
    <x v="5"/>
  </r>
  <r>
    <n v="1602"/>
    <n v="1780"/>
    <x v="4"/>
    <n v="1"/>
    <n v="48"/>
    <n v="48"/>
    <s v="Delivered"/>
    <n v="48"/>
    <d v="2026-02-26T00:00:00"/>
    <m/>
    <m/>
    <x v="4"/>
    <x v="5"/>
  </r>
  <r>
    <n v="1603"/>
    <n v="1780"/>
    <x v="6"/>
    <n v="3"/>
    <n v="45"/>
    <n v="135"/>
    <s v="Delivered"/>
    <n v="135"/>
    <d v="2026-02-26T00:00:00"/>
    <m/>
    <m/>
    <x v="6"/>
    <x v="5"/>
  </r>
  <r>
    <n v="1604"/>
    <n v="1781"/>
    <x v="9"/>
    <n v="4"/>
    <n v="22"/>
    <n v="88"/>
    <s v="Delivered"/>
    <n v="88"/>
    <d v="2026-01-17T00:00:00"/>
    <m/>
    <m/>
    <x v="9"/>
    <x v="0"/>
  </r>
  <r>
    <n v="1605"/>
    <n v="1781"/>
    <x v="10"/>
    <n v="2"/>
    <n v="65"/>
    <n v="130"/>
    <s v="Delivered"/>
    <n v="130"/>
    <d v="2026-01-17T00:00:00"/>
    <m/>
    <m/>
    <x v="10"/>
    <x v="0"/>
  </r>
  <r>
    <n v="1606"/>
    <n v="1781"/>
    <x v="8"/>
    <n v="2"/>
    <n v="30"/>
    <n v="60"/>
    <s v="Delivered"/>
    <n v="60"/>
    <d v="2026-01-17T00:00:00"/>
    <m/>
    <m/>
    <x v="8"/>
    <x v="0"/>
  </r>
  <r>
    <n v="1607"/>
    <n v="1782"/>
    <x v="1"/>
    <n v="4"/>
    <n v="140"/>
    <n v="560"/>
    <s v="Shipped"/>
    <n v="560"/>
    <d v="2026-06-01T00:00:00"/>
    <m/>
    <m/>
    <x v="1"/>
    <x v="2"/>
  </r>
  <r>
    <n v="1608"/>
    <n v="1782"/>
    <x v="6"/>
    <n v="1"/>
    <n v="45"/>
    <n v="45"/>
    <s v="Shipped"/>
    <n v="45"/>
    <d v="2026-06-01T00:00:00"/>
    <m/>
    <m/>
    <x v="6"/>
    <x v="2"/>
  </r>
  <r>
    <n v="1609"/>
    <n v="1782"/>
    <x v="9"/>
    <n v="3"/>
    <n v="22"/>
    <n v="66"/>
    <s v="Shipped"/>
    <n v="66"/>
    <d v="2026-06-01T00:00:00"/>
    <m/>
    <m/>
    <x v="9"/>
    <x v="2"/>
  </r>
  <r>
    <n v="1610"/>
    <n v="1783"/>
    <x v="1"/>
    <n v="2"/>
    <n v="140"/>
    <n v="280"/>
    <s v="Delivered"/>
    <n v="280"/>
    <d v="2026-02-18T00:00:00"/>
    <m/>
    <m/>
    <x v="1"/>
    <x v="5"/>
  </r>
  <r>
    <n v="1611"/>
    <n v="1783"/>
    <x v="4"/>
    <n v="2"/>
    <n v="48"/>
    <n v="96"/>
    <s v="Delivered"/>
    <n v="96"/>
    <d v="2026-02-18T00:00:00"/>
    <m/>
    <m/>
    <x v="4"/>
    <x v="5"/>
  </r>
  <r>
    <n v="1612"/>
    <n v="1784"/>
    <x v="11"/>
    <n v="4"/>
    <n v="55"/>
    <n v="220"/>
    <s v="Delivered"/>
    <n v="220"/>
    <d v="2026-02-07T00:00:00"/>
    <m/>
    <m/>
    <x v="11"/>
    <x v="5"/>
  </r>
  <r>
    <n v="1613"/>
    <n v="1785"/>
    <x v="9"/>
    <n v="4"/>
    <n v="22"/>
    <n v="88"/>
    <s v="Delivered"/>
    <n v="88"/>
    <d v="2026-01-09T00:00:00"/>
    <m/>
    <m/>
    <x v="9"/>
    <x v="0"/>
  </r>
  <r>
    <n v="1614"/>
    <n v="1785"/>
    <x v="5"/>
    <n v="2"/>
    <n v="220"/>
    <n v="440"/>
    <s v="Delivered"/>
    <n v="440"/>
    <d v="2026-01-09T00:00:00"/>
    <m/>
    <m/>
    <x v="5"/>
    <x v="0"/>
  </r>
  <r>
    <n v="1615"/>
    <n v="1785"/>
    <x v="7"/>
    <n v="4"/>
    <n v="180"/>
    <n v="720"/>
    <s v="Delivered"/>
    <n v="720"/>
    <d v="2026-01-09T00:00:00"/>
    <m/>
    <m/>
    <x v="7"/>
    <x v="0"/>
  </r>
  <r>
    <n v="1616"/>
    <n v="1786"/>
    <x v="3"/>
    <n v="4"/>
    <n v="25"/>
    <n v="100"/>
    <s v="Delivered"/>
    <n v="100"/>
    <d v="2026-02-09T00:00:00"/>
    <m/>
    <m/>
    <x v="3"/>
    <x v="5"/>
  </r>
  <r>
    <n v="1617"/>
    <n v="1786"/>
    <x v="0"/>
    <n v="4"/>
    <n v="750"/>
    <n v="3000"/>
    <s v="Delivered"/>
    <n v="3000"/>
    <d v="2026-02-09T00:00:00"/>
    <m/>
    <m/>
    <x v="0"/>
    <x v="5"/>
  </r>
  <r>
    <n v="1618"/>
    <n v="1786"/>
    <x v="6"/>
    <n v="3"/>
    <n v="45"/>
    <n v="135"/>
    <s v="Delivered"/>
    <n v="135"/>
    <d v="2026-02-09T00:00:00"/>
    <m/>
    <m/>
    <x v="6"/>
    <x v="5"/>
  </r>
  <r>
    <n v="1619"/>
    <n v="1787"/>
    <x v="11"/>
    <n v="4"/>
    <n v="55"/>
    <n v="220"/>
    <s v="Delivered"/>
    <n v="220"/>
    <d v="2026-05-21T00:00:00"/>
    <m/>
    <m/>
    <x v="11"/>
    <x v="3"/>
  </r>
  <r>
    <n v="1620"/>
    <n v="1787"/>
    <x v="1"/>
    <n v="1"/>
    <n v="140"/>
    <n v="140"/>
    <s v="Delivered"/>
    <n v="140"/>
    <d v="2026-05-21T00:00:00"/>
    <m/>
    <m/>
    <x v="1"/>
    <x v="3"/>
  </r>
  <r>
    <n v="1621"/>
    <n v="1787"/>
    <x v="10"/>
    <n v="3"/>
    <n v="65"/>
    <n v="195"/>
    <s v="Delivered"/>
    <n v="195"/>
    <d v="2026-05-21T00:00:00"/>
    <m/>
    <m/>
    <x v="10"/>
    <x v="3"/>
  </r>
  <r>
    <n v="1622"/>
    <n v="1788"/>
    <x v="0"/>
    <n v="2"/>
    <n v="750"/>
    <n v="1500"/>
    <s v="Delivered"/>
    <n v="1500"/>
    <d v="2026-04-11T00:00:00"/>
    <m/>
    <m/>
    <x v="0"/>
    <x v="4"/>
  </r>
  <r>
    <n v="1623"/>
    <n v="1788"/>
    <x v="7"/>
    <n v="2"/>
    <n v="180"/>
    <n v="360"/>
    <s v="Delivered"/>
    <n v="360"/>
    <d v="2026-04-11T00:00:00"/>
    <m/>
    <m/>
    <x v="7"/>
    <x v="4"/>
  </r>
  <r>
    <n v="1624"/>
    <n v="1788"/>
    <x v="11"/>
    <n v="4"/>
    <n v="55"/>
    <n v="220"/>
    <s v="Delivered"/>
    <n v="220"/>
    <d v="2026-04-11T00:00:00"/>
    <m/>
    <m/>
    <x v="11"/>
    <x v="4"/>
  </r>
  <r>
    <n v="1625"/>
    <n v="1789"/>
    <x v="9"/>
    <n v="1"/>
    <n v="22"/>
    <n v="22"/>
    <s v="Delivered"/>
    <n v="22"/>
    <d v="2026-02-20T00:00:00"/>
    <m/>
    <m/>
    <x v="9"/>
    <x v="5"/>
  </r>
  <r>
    <n v="1626"/>
    <n v="1789"/>
    <x v="2"/>
    <n v="2"/>
    <n v="8"/>
    <n v="16"/>
    <s v="Delivered"/>
    <n v="16"/>
    <d v="2026-02-20T00:00:00"/>
    <m/>
    <m/>
    <x v="2"/>
    <x v="5"/>
  </r>
  <r>
    <n v="1627"/>
    <n v="1790"/>
    <x v="0"/>
    <n v="1"/>
    <n v="750"/>
    <n v="750"/>
    <s v="Delivered"/>
    <n v="750"/>
    <d v="2026-01-15T00:00:00"/>
    <m/>
    <m/>
    <x v="0"/>
    <x v="0"/>
  </r>
  <r>
    <n v="1628"/>
    <n v="1791"/>
    <x v="5"/>
    <n v="2"/>
    <n v="220"/>
    <n v="440"/>
    <s v="Delivered"/>
    <n v="440"/>
    <d v="2026-06-10T00:00:00"/>
    <m/>
    <m/>
    <x v="5"/>
    <x v="2"/>
  </r>
  <r>
    <n v="1629"/>
    <n v="1792"/>
    <x v="4"/>
    <n v="3"/>
    <n v="48"/>
    <n v="144"/>
    <s v="Delivered"/>
    <n v="144"/>
    <d v="2026-06-17T00:00:00"/>
    <m/>
    <m/>
    <x v="4"/>
    <x v="2"/>
  </r>
  <r>
    <n v="1630"/>
    <n v="1792"/>
    <x v="10"/>
    <n v="4"/>
    <n v="65"/>
    <n v="260"/>
    <s v="Delivered"/>
    <n v="260"/>
    <d v="2026-06-17T00:00:00"/>
    <m/>
    <m/>
    <x v="10"/>
    <x v="2"/>
  </r>
  <r>
    <n v="1631"/>
    <n v="1793"/>
    <x v="0"/>
    <n v="4"/>
    <n v="750"/>
    <n v="3000"/>
    <s v="Delivered"/>
    <n v="3000"/>
    <d v="2026-06-14T00:00:00"/>
    <m/>
    <m/>
    <x v="0"/>
    <x v="2"/>
  </r>
  <r>
    <n v="1632"/>
    <n v="1794"/>
    <x v="2"/>
    <n v="1"/>
    <n v="8"/>
    <n v="8"/>
    <s v="Delivered"/>
    <n v="8"/>
    <d v="2026-04-09T00:00:00"/>
    <m/>
    <m/>
    <x v="2"/>
    <x v="4"/>
  </r>
  <r>
    <n v="1633"/>
    <n v="1794"/>
    <x v="6"/>
    <n v="3"/>
    <n v="45"/>
    <n v="135"/>
    <s v="Delivered"/>
    <n v="135"/>
    <d v="2026-04-09T00:00:00"/>
    <m/>
    <m/>
    <x v="6"/>
    <x v="4"/>
  </r>
  <r>
    <n v="1634"/>
    <n v="1795"/>
    <x v="8"/>
    <n v="4"/>
    <n v="30"/>
    <n v="120"/>
    <s v="Delivered"/>
    <n v="120"/>
    <d v="2026-04-14T00:00:00"/>
    <m/>
    <m/>
    <x v="8"/>
    <x v="4"/>
  </r>
  <r>
    <n v="1635"/>
    <n v="1795"/>
    <x v="9"/>
    <n v="1"/>
    <n v="22"/>
    <n v="22"/>
    <s v="Delivered"/>
    <n v="22"/>
    <d v="2026-04-14T00:00:00"/>
    <m/>
    <m/>
    <x v="9"/>
    <x v="4"/>
  </r>
  <r>
    <n v="1636"/>
    <n v="1796"/>
    <x v="5"/>
    <n v="2"/>
    <n v="220"/>
    <n v="440"/>
    <s v="Delivered"/>
    <n v="440"/>
    <d v="2026-02-01T00:00:00"/>
    <m/>
    <m/>
    <x v="5"/>
    <x v="5"/>
  </r>
  <r>
    <n v="1637"/>
    <n v="1796"/>
    <x v="6"/>
    <n v="1"/>
    <n v="45"/>
    <n v="45"/>
    <s v="Delivered"/>
    <n v="45"/>
    <d v="2026-02-01T00:00:00"/>
    <m/>
    <m/>
    <x v="6"/>
    <x v="5"/>
  </r>
  <r>
    <n v="1638"/>
    <n v="1796"/>
    <x v="2"/>
    <n v="4"/>
    <n v="8"/>
    <n v="32"/>
    <s v="Delivered"/>
    <n v="32"/>
    <d v="2026-02-01T00:00:00"/>
    <m/>
    <m/>
    <x v="2"/>
    <x v="5"/>
  </r>
  <r>
    <n v="1639"/>
    <n v="1797"/>
    <x v="0"/>
    <n v="1"/>
    <n v="750"/>
    <n v="750"/>
    <s v="Delivered"/>
    <n v="750"/>
    <d v="2026-06-17T00:00:00"/>
    <m/>
    <m/>
    <x v="0"/>
    <x v="2"/>
  </r>
  <r>
    <n v="1640"/>
    <n v="1797"/>
    <x v="5"/>
    <n v="3"/>
    <n v="220"/>
    <n v="660"/>
    <s v="Delivered"/>
    <n v="660"/>
    <d v="2026-06-17T00:00:00"/>
    <m/>
    <m/>
    <x v="5"/>
    <x v="2"/>
  </r>
  <r>
    <n v="1641"/>
    <n v="1798"/>
    <x v="7"/>
    <n v="4"/>
    <n v="180"/>
    <n v="720"/>
    <s v="Delivered"/>
    <n v="720"/>
    <d v="2026-01-01T00:00:00"/>
    <m/>
    <m/>
    <x v="7"/>
    <x v="0"/>
  </r>
  <r>
    <n v="1642"/>
    <n v="1798"/>
    <x v="4"/>
    <n v="2"/>
    <n v="48"/>
    <n v="96"/>
    <s v="Delivered"/>
    <n v="96"/>
    <d v="2026-01-01T00:00:00"/>
    <m/>
    <m/>
    <x v="4"/>
    <x v="0"/>
  </r>
  <r>
    <n v="1643"/>
    <n v="1798"/>
    <x v="8"/>
    <n v="4"/>
    <n v="30"/>
    <n v="120"/>
    <s v="Delivered"/>
    <n v="120"/>
    <d v="2026-01-01T00:00:00"/>
    <m/>
    <m/>
    <x v="8"/>
    <x v="0"/>
  </r>
  <r>
    <n v="1644"/>
    <n v="1799"/>
    <x v="5"/>
    <n v="2"/>
    <n v="220"/>
    <n v="440"/>
    <s v="Delivered"/>
    <n v="440"/>
    <d v="2026-06-05T00:00:00"/>
    <m/>
    <m/>
    <x v="5"/>
    <x v="2"/>
  </r>
  <r>
    <n v="1645"/>
    <n v="1799"/>
    <x v="4"/>
    <n v="1"/>
    <n v="48"/>
    <n v="48"/>
    <s v="Delivered"/>
    <n v="48"/>
    <d v="2026-06-05T00:00:00"/>
    <m/>
    <m/>
    <x v="4"/>
    <x v="2"/>
  </r>
  <r>
    <n v="1646"/>
    <n v="1799"/>
    <x v="0"/>
    <n v="2"/>
    <n v="750"/>
    <n v="1500"/>
    <s v="Delivered"/>
    <n v="1500"/>
    <d v="2026-06-05T00:00:00"/>
    <m/>
    <m/>
    <x v="0"/>
    <x v="2"/>
  </r>
  <r>
    <n v="1647"/>
    <n v="1800"/>
    <x v="6"/>
    <n v="4"/>
    <n v="45"/>
    <n v="180"/>
    <s v="Delivered"/>
    <n v="180"/>
    <d v="2026-06-04T00:00:00"/>
    <m/>
    <m/>
    <x v="6"/>
    <x v="2"/>
  </r>
  <r>
    <n v="1648"/>
    <n v="1800"/>
    <x v="2"/>
    <n v="1"/>
    <n v="8"/>
    <n v="8"/>
    <s v="Delivered"/>
    <n v="8"/>
    <d v="2026-06-04T00:00:00"/>
    <m/>
    <m/>
    <x v="2"/>
    <x v="2"/>
  </r>
  <r>
    <n v="1649"/>
    <n v="1801"/>
    <x v="10"/>
    <n v="2"/>
    <n v="65"/>
    <n v="130"/>
    <s v="Delivered"/>
    <n v="130"/>
    <d v="2026-04-13T00:00:00"/>
    <m/>
    <m/>
    <x v="10"/>
    <x v="4"/>
  </r>
  <r>
    <n v="1650"/>
    <n v="1801"/>
    <x v="6"/>
    <n v="1"/>
    <n v="45"/>
    <n v="45"/>
    <s v="Delivered"/>
    <n v="45"/>
    <d v="2026-04-13T00:00:00"/>
    <m/>
    <m/>
    <x v="6"/>
    <x v="4"/>
  </r>
  <r>
    <n v="1651"/>
    <n v="1801"/>
    <x v="8"/>
    <n v="3"/>
    <n v="30"/>
    <n v="90"/>
    <s v="Delivered"/>
    <n v="90"/>
    <d v="2026-04-13T00:00:00"/>
    <m/>
    <m/>
    <x v="8"/>
    <x v="4"/>
  </r>
  <r>
    <n v="1652"/>
    <n v="1802"/>
    <x v="6"/>
    <n v="3"/>
    <n v="45"/>
    <n v="135"/>
    <s v="Delivered"/>
    <n v="135"/>
    <d v="2026-05-25T00:00:00"/>
    <m/>
    <m/>
    <x v="6"/>
    <x v="3"/>
  </r>
  <r>
    <n v="1653"/>
    <n v="1802"/>
    <x v="10"/>
    <n v="4"/>
    <n v="65"/>
    <n v="260"/>
    <s v="Delivered"/>
    <n v="260"/>
    <d v="2026-05-25T00:00:00"/>
    <m/>
    <m/>
    <x v="10"/>
    <x v="3"/>
  </r>
  <r>
    <n v="1654"/>
    <n v="1802"/>
    <x v="9"/>
    <n v="4"/>
    <n v="22"/>
    <n v="88"/>
    <s v="Delivered"/>
    <n v="88"/>
    <d v="2026-05-25T00:00:00"/>
    <m/>
    <m/>
    <x v="9"/>
    <x v="3"/>
  </r>
  <r>
    <n v="1655"/>
    <n v="1803"/>
    <x v="5"/>
    <n v="1"/>
    <n v="220"/>
    <n v="220"/>
    <s v="Delivered"/>
    <n v="220"/>
    <d v="2026-05-17T00:00:00"/>
    <m/>
    <m/>
    <x v="5"/>
    <x v="3"/>
  </r>
  <r>
    <n v="1656"/>
    <n v="1803"/>
    <x v="1"/>
    <n v="3"/>
    <n v="140"/>
    <n v="420"/>
    <s v="Delivered"/>
    <n v="420"/>
    <d v="2026-05-17T00:00:00"/>
    <m/>
    <m/>
    <x v="1"/>
    <x v="3"/>
  </r>
  <r>
    <n v="1657"/>
    <n v="1804"/>
    <x v="10"/>
    <n v="1"/>
    <n v="65"/>
    <n v="65"/>
    <s v="Delivered"/>
    <n v="65"/>
    <d v="2026-03-12T00:00:00"/>
    <m/>
    <m/>
    <x v="10"/>
    <x v="1"/>
  </r>
  <r>
    <n v="1658"/>
    <n v="1805"/>
    <x v="8"/>
    <n v="3"/>
    <n v="30"/>
    <n v="90"/>
    <s v="Delivered"/>
    <n v="90"/>
    <d v="2026-05-31T00:00:00"/>
    <m/>
    <m/>
    <x v="8"/>
    <x v="3"/>
  </r>
  <r>
    <n v="1659"/>
    <n v="1806"/>
    <x v="10"/>
    <n v="3"/>
    <n v="65"/>
    <n v="195"/>
    <s v="Cancelled"/>
    <n v="0"/>
    <d v="2026-01-26T00:00:00"/>
    <m/>
    <m/>
    <x v="10"/>
    <x v="0"/>
  </r>
  <r>
    <n v="1660"/>
    <n v="1806"/>
    <x v="6"/>
    <n v="4"/>
    <n v="45"/>
    <n v="180"/>
    <s v="Cancelled"/>
    <n v="0"/>
    <d v="2026-01-26T00:00:00"/>
    <m/>
    <m/>
    <x v="6"/>
    <x v="0"/>
  </r>
  <r>
    <n v="1661"/>
    <n v="1807"/>
    <x v="4"/>
    <n v="2"/>
    <n v="48"/>
    <n v="96"/>
    <s v="Delivered"/>
    <n v="96"/>
    <d v="2026-05-03T00:00:00"/>
    <m/>
    <m/>
    <x v="4"/>
    <x v="3"/>
  </r>
  <r>
    <n v="1662"/>
    <n v="1808"/>
    <x v="3"/>
    <n v="4"/>
    <n v="25"/>
    <n v="100"/>
    <s v="Shipped"/>
    <n v="100"/>
    <d v="2026-01-14T00:00:00"/>
    <m/>
    <m/>
    <x v="3"/>
    <x v="0"/>
  </r>
  <r>
    <n v="1663"/>
    <n v="1808"/>
    <x v="4"/>
    <n v="4"/>
    <n v="48"/>
    <n v="192"/>
    <s v="Shipped"/>
    <n v="192"/>
    <d v="2026-01-14T00:00:00"/>
    <m/>
    <m/>
    <x v="4"/>
    <x v="0"/>
  </r>
  <r>
    <n v="1664"/>
    <n v="1808"/>
    <x v="2"/>
    <n v="2"/>
    <n v="8"/>
    <n v="16"/>
    <s v="Shipped"/>
    <n v="16"/>
    <d v="2026-01-14T00:00:00"/>
    <m/>
    <m/>
    <x v="2"/>
    <x v="0"/>
  </r>
  <r>
    <n v="1665"/>
    <n v="1809"/>
    <x v="8"/>
    <n v="3"/>
    <n v="30"/>
    <n v="90"/>
    <s v="Delivered"/>
    <n v="90"/>
    <d v="2026-04-30T00:00:00"/>
    <m/>
    <m/>
    <x v="8"/>
    <x v="4"/>
  </r>
  <r>
    <n v="1666"/>
    <n v="1809"/>
    <x v="3"/>
    <n v="1"/>
    <n v="25"/>
    <n v="25"/>
    <s v="Delivered"/>
    <n v="25"/>
    <d v="2026-04-30T00:00:00"/>
    <m/>
    <m/>
    <x v="3"/>
    <x v="4"/>
  </r>
  <r>
    <n v="1667"/>
    <n v="1810"/>
    <x v="6"/>
    <n v="1"/>
    <n v="45"/>
    <n v="45"/>
    <s v="Delivered"/>
    <n v="45"/>
    <d v="2026-06-12T00:00:00"/>
    <m/>
    <m/>
    <x v="6"/>
    <x v="2"/>
  </r>
  <r>
    <n v="1668"/>
    <n v="1811"/>
    <x v="11"/>
    <n v="1"/>
    <n v="55"/>
    <n v="55"/>
    <s v="Delivered"/>
    <n v="55"/>
    <d v="2026-04-19T00:00:00"/>
    <m/>
    <m/>
    <x v="11"/>
    <x v="4"/>
  </r>
  <r>
    <n v="1669"/>
    <n v="1811"/>
    <x v="8"/>
    <n v="4"/>
    <n v="30"/>
    <n v="120"/>
    <s v="Delivered"/>
    <n v="120"/>
    <d v="2026-04-19T00:00:00"/>
    <m/>
    <m/>
    <x v="8"/>
    <x v="4"/>
  </r>
  <r>
    <n v="1670"/>
    <n v="1812"/>
    <x v="9"/>
    <n v="1"/>
    <n v="22"/>
    <n v="22"/>
    <s v="Delivered"/>
    <n v="22"/>
    <d v="2026-04-19T00:00:00"/>
    <m/>
    <m/>
    <x v="9"/>
    <x v="4"/>
  </r>
  <r>
    <n v="1671"/>
    <n v="1813"/>
    <x v="8"/>
    <n v="3"/>
    <n v="30"/>
    <n v="90"/>
    <s v="Delivered"/>
    <n v="90"/>
    <d v="2026-02-27T00:00:00"/>
    <m/>
    <m/>
    <x v="8"/>
    <x v="5"/>
  </r>
  <r>
    <n v="1672"/>
    <n v="1814"/>
    <x v="5"/>
    <n v="4"/>
    <n v="220"/>
    <n v="880"/>
    <s v="Delivered"/>
    <n v="880"/>
    <d v="2026-01-29T00:00:00"/>
    <m/>
    <m/>
    <x v="5"/>
    <x v="0"/>
  </r>
  <r>
    <n v="1673"/>
    <n v="1814"/>
    <x v="7"/>
    <n v="3"/>
    <n v="180"/>
    <n v="540"/>
    <s v="Delivered"/>
    <n v="540"/>
    <d v="2026-01-29T00:00:00"/>
    <m/>
    <m/>
    <x v="7"/>
    <x v="0"/>
  </r>
  <r>
    <n v="1674"/>
    <n v="1814"/>
    <x v="4"/>
    <n v="3"/>
    <n v="48"/>
    <n v="144"/>
    <s v="Delivered"/>
    <n v="144"/>
    <d v="2026-01-29T00:00:00"/>
    <m/>
    <m/>
    <x v="4"/>
    <x v="0"/>
  </r>
  <r>
    <n v="1675"/>
    <n v="1815"/>
    <x v="11"/>
    <n v="4"/>
    <n v="55"/>
    <n v="220"/>
    <s v="Shipped"/>
    <n v="220"/>
    <d v="2026-03-20T00:00:00"/>
    <m/>
    <m/>
    <x v="11"/>
    <x v="1"/>
  </r>
  <r>
    <n v="1676"/>
    <n v="1816"/>
    <x v="5"/>
    <n v="3"/>
    <n v="220"/>
    <n v="660"/>
    <s v="Delivered"/>
    <n v="660"/>
    <d v="2026-06-07T00:00:00"/>
    <m/>
    <m/>
    <x v="5"/>
    <x v="2"/>
  </r>
  <r>
    <n v="1677"/>
    <n v="1816"/>
    <x v="0"/>
    <n v="2"/>
    <n v="750"/>
    <n v="1500"/>
    <s v="Delivered"/>
    <n v="1500"/>
    <d v="2026-06-07T00:00:00"/>
    <m/>
    <m/>
    <x v="0"/>
    <x v="2"/>
  </r>
  <r>
    <n v="1678"/>
    <n v="1817"/>
    <x v="5"/>
    <n v="1"/>
    <n v="220"/>
    <n v="220"/>
    <s v="Delivered"/>
    <n v="220"/>
    <d v="2026-01-22T00:00:00"/>
    <m/>
    <m/>
    <x v="5"/>
    <x v="0"/>
  </r>
  <r>
    <n v="1679"/>
    <n v="1817"/>
    <x v="11"/>
    <n v="2"/>
    <n v="55"/>
    <n v="110"/>
    <s v="Delivered"/>
    <n v="110"/>
    <d v="2026-01-22T00:00:00"/>
    <m/>
    <m/>
    <x v="11"/>
    <x v="0"/>
  </r>
  <r>
    <n v="1680"/>
    <n v="1818"/>
    <x v="7"/>
    <n v="4"/>
    <n v="180"/>
    <n v="720"/>
    <s v="Delivered"/>
    <n v="720"/>
    <d v="2026-03-18T00:00:00"/>
    <m/>
    <m/>
    <x v="7"/>
    <x v="1"/>
  </r>
  <r>
    <n v="1681"/>
    <n v="1818"/>
    <x v="5"/>
    <n v="2"/>
    <n v="220"/>
    <n v="440"/>
    <s v="Delivered"/>
    <n v="440"/>
    <d v="2026-03-18T00:00:00"/>
    <m/>
    <m/>
    <x v="5"/>
    <x v="1"/>
  </r>
  <r>
    <n v="1682"/>
    <n v="1818"/>
    <x v="11"/>
    <n v="2"/>
    <n v="55"/>
    <n v="110"/>
    <s v="Delivered"/>
    <n v="110"/>
    <d v="2026-03-18T00:00:00"/>
    <m/>
    <m/>
    <x v="11"/>
    <x v="1"/>
  </r>
  <r>
    <n v="1683"/>
    <n v="1819"/>
    <x v="6"/>
    <n v="4"/>
    <n v="45"/>
    <n v="180"/>
    <s v="Delivered"/>
    <n v="180"/>
    <d v="2026-02-20T00:00:00"/>
    <m/>
    <m/>
    <x v="6"/>
    <x v="5"/>
  </r>
  <r>
    <n v="1684"/>
    <n v="1820"/>
    <x v="10"/>
    <n v="4"/>
    <n v="65"/>
    <n v="260"/>
    <s v="Shipped"/>
    <n v="260"/>
    <d v="2026-02-20T00:00:00"/>
    <m/>
    <m/>
    <x v="10"/>
    <x v="5"/>
  </r>
  <r>
    <n v="1685"/>
    <n v="1821"/>
    <x v="9"/>
    <n v="1"/>
    <n v="22"/>
    <n v="22"/>
    <s v="Delivered"/>
    <n v="22"/>
    <d v="2026-02-02T00:00:00"/>
    <m/>
    <m/>
    <x v="9"/>
    <x v="5"/>
  </r>
  <r>
    <n v="1686"/>
    <n v="1821"/>
    <x v="10"/>
    <n v="1"/>
    <n v="65"/>
    <n v="65"/>
    <s v="Delivered"/>
    <n v="65"/>
    <d v="2026-02-02T00:00:00"/>
    <m/>
    <m/>
    <x v="10"/>
    <x v="5"/>
  </r>
  <r>
    <n v="1687"/>
    <n v="1821"/>
    <x v="6"/>
    <n v="1"/>
    <n v="45"/>
    <n v="45"/>
    <s v="Delivered"/>
    <n v="45"/>
    <d v="2026-02-02T00:00:00"/>
    <m/>
    <m/>
    <x v="6"/>
    <x v="5"/>
  </r>
  <r>
    <n v="1688"/>
    <n v="1822"/>
    <x v="2"/>
    <n v="4"/>
    <n v="8"/>
    <n v="32"/>
    <s v="Delivered"/>
    <n v="32"/>
    <d v="2026-03-02T00:00:00"/>
    <m/>
    <m/>
    <x v="2"/>
    <x v="1"/>
  </r>
  <r>
    <n v="1689"/>
    <n v="1822"/>
    <x v="0"/>
    <n v="4"/>
    <n v="750"/>
    <n v="3000"/>
    <s v="Delivered"/>
    <n v="3000"/>
    <d v="2026-03-02T00:00:00"/>
    <m/>
    <m/>
    <x v="0"/>
    <x v="1"/>
  </r>
  <r>
    <n v="1690"/>
    <n v="1823"/>
    <x v="3"/>
    <n v="3"/>
    <n v="25"/>
    <n v="75"/>
    <s v="Delivered"/>
    <n v="75"/>
    <d v="2026-06-08T00:00:00"/>
    <m/>
    <m/>
    <x v="3"/>
    <x v="2"/>
  </r>
  <r>
    <n v="1691"/>
    <n v="1824"/>
    <x v="9"/>
    <n v="2"/>
    <n v="22"/>
    <n v="44"/>
    <s v="Delivered"/>
    <n v="44"/>
    <d v="2026-06-20T00:00:00"/>
    <m/>
    <m/>
    <x v="9"/>
    <x v="2"/>
  </r>
  <r>
    <n v="1692"/>
    <n v="1824"/>
    <x v="5"/>
    <n v="2"/>
    <n v="220"/>
    <n v="440"/>
    <s v="Delivered"/>
    <n v="440"/>
    <d v="2026-06-20T00:00:00"/>
    <m/>
    <m/>
    <x v="5"/>
    <x v="2"/>
  </r>
  <r>
    <n v="1693"/>
    <n v="1825"/>
    <x v="3"/>
    <n v="4"/>
    <n v="25"/>
    <n v="100"/>
    <s v="Delivered"/>
    <n v="100"/>
    <d v="2026-01-31T00:00:00"/>
    <m/>
    <m/>
    <x v="3"/>
    <x v="0"/>
  </r>
  <r>
    <n v="1694"/>
    <n v="1825"/>
    <x v="6"/>
    <n v="1"/>
    <n v="45"/>
    <n v="45"/>
    <s v="Delivered"/>
    <n v="45"/>
    <d v="2026-01-31T00:00:00"/>
    <m/>
    <m/>
    <x v="6"/>
    <x v="0"/>
  </r>
  <r>
    <n v="1695"/>
    <n v="1826"/>
    <x v="1"/>
    <n v="4"/>
    <n v="140"/>
    <n v="560"/>
    <s v="Delivered"/>
    <n v="560"/>
    <d v="2026-05-15T00:00:00"/>
    <m/>
    <m/>
    <x v="1"/>
    <x v="3"/>
  </r>
  <r>
    <n v="1696"/>
    <n v="1827"/>
    <x v="9"/>
    <n v="2"/>
    <n v="22"/>
    <n v="44"/>
    <s v="Delivered"/>
    <n v="44"/>
    <d v="2026-01-29T00:00:00"/>
    <m/>
    <m/>
    <x v="9"/>
    <x v="0"/>
  </r>
  <r>
    <n v="1697"/>
    <n v="1827"/>
    <x v="10"/>
    <n v="3"/>
    <n v="65"/>
    <n v="195"/>
    <s v="Delivered"/>
    <n v="195"/>
    <d v="2026-01-29T00:00:00"/>
    <m/>
    <m/>
    <x v="10"/>
    <x v="0"/>
  </r>
  <r>
    <n v="1698"/>
    <n v="1828"/>
    <x v="2"/>
    <n v="4"/>
    <n v="8"/>
    <n v="32"/>
    <s v="Delivered"/>
    <n v="32"/>
    <d v="2026-03-24T00:00:00"/>
    <m/>
    <m/>
    <x v="2"/>
    <x v="1"/>
  </r>
  <r>
    <n v="1699"/>
    <n v="1828"/>
    <x v="5"/>
    <n v="2"/>
    <n v="220"/>
    <n v="440"/>
    <s v="Delivered"/>
    <n v="440"/>
    <d v="2026-03-24T00:00:00"/>
    <m/>
    <m/>
    <x v="5"/>
    <x v="1"/>
  </r>
  <r>
    <n v="1700"/>
    <n v="1829"/>
    <x v="1"/>
    <n v="3"/>
    <n v="140"/>
    <n v="420"/>
    <s v="Delivered"/>
    <n v="420"/>
    <d v="2026-01-25T00:00:00"/>
    <m/>
    <m/>
    <x v="1"/>
    <x v="0"/>
  </r>
  <r>
    <n v="1701"/>
    <n v="1830"/>
    <x v="2"/>
    <n v="4"/>
    <n v="8"/>
    <n v="32"/>
    <s v="Delivered"/>
    <n v="32"/>
    <d v="2026-06-04T00:00:00"/>
    <m/>
    <m/>
    <x v="2"/>
    <x v="2"/>
  </r>
  <r>
    <n v="1702"/>
    <n v="1831"/>
    <x v="9"/>
    <n v="4"/>
    <n v="22"/>
    <n v="88"/>
    <s v="Delivered"/>
    <n v="88"/>
    <d v="2026-01-31T00:00:00"/>
    <m/>
    <m/>
    <x v="9"/>
    <x v="0"/>
  </r>
  <r>
    <n v="1703"/>
    <n v="1832"/>
    <x v="9"/>
    <n v="2"/>
    <n v="22"/>
    <n v="44"/>
    <s v="Delivered"/>
    <n v="44"/>
    <d v="2026-03-19T00:00:00"/>
    <m/>
    <m/>
    <x v="9"/>
    <x v="1"/>
  </r>
  <r>
    <n v="1704"/>
    <n v="1832"/>
    <x v="6"/>
    <n v="2"/>
    <n v="45"/>
    <n v="90"/>
    <s v="Delivered"/>
    <n v="90"/>
    <d v="2026-03-19T00:00:00"/>
    <m/>
    <m/>
    <x v="6"/>
    <x v="1"/>
  </r>
  <r>
    <n v="1705"/>
    <n v="1832"/>
    <x v="0"/>
    <n v="4"/>
    <n v="750"/>
    <n v="3000"/>
    <s v="Delivered"/>
    <n v="3000"/>
    <d v="2026-03-19T00:00:00"/>
    <m/>
    <m/>
    <x v="0"/>
    <x v="1"/>
  </r>
  <r>
    <n v="1706"/>
    <n v="1833"/>
    <x v="9"/>
    <n v="1"/>
    <n v="22"/>
    <n v="22"/>
    <s v="Cancelled"/>
    <n v="0"/>
    <d v="2026-03-30T00:00:00"/>
    <m/>
    <m/>
    <x v="9"/>
    <x v="1"/>
  </r>
  <r>
    <n v="1707"/>
    <n v="1833"/>
    <x v="5"/>
    <n v="4"/>
    <n v="220"/>
    <n v="880"/>
    <s v="Cancelled"/>
    <n v="0"/>
    <d v="2026-03-30T00:00:00"/>
    <m/>
    <m/>
    <x v="5"/>
    <x v="1"/>
  </r>
  <r>
    <n v="1708"/>
    <n v="1833"/>
    <x v="10"/>
    <n v="4"/>
    <n v="65"/>
    <n v="260"/>
    <s v="Cancelled"/>
    <n v="0"/>
    <d v="2026-03-30T00:00:00"/>
    <m/>
    <m/>
    <x v="10"/>
    <x v="1"/>
  </r>
  <r>
    <n v="1709"/>
    <n v="1834"/>
    <x v="6"/>
    <n v="3"/>
    <n v="45"/>
    <n v="135"/>
    <s v="Shipped"/>
    <n v="135"/>
    <d v="2026-05-15T00:00:00"/>
    <m/>
    <m/>
    <x v="6"/>
    <x v="3"/>
  </r>
  <r>
    <n v="1710"/>
    <n v="1835"/>
    <x v="9"/>
    <n v="2"/>
    <n v="22"/>
    <n v="44"/>
    <s v="Delivered"/>
    <n v="44"/>
    <d v="2026-03-16T00:00:00"/>
    <m/>
    <m/>
    <x v="9"/>
    <x v="1"/>
  </r>
  <r>
    <n v="1711"/>
    <n v="1836"/>
    <x v="8"/>
    <n v="4"/>
    <n v="30"/>
    <n v="120"/>
    <s v="Delivered"/>
    <n v="120"/>
    <d v="2026-01-20T00:00:00"/>
    <m/>
    <m/>
    <x v="8"/>
    <x v="0"/>
  </r>
  <r>
    <n v="1712"/>
    <n v="1836"/>
    <x v="10"/>
    <n v="3"/>
    <n v="65"/>
    <n v="195"/>
    <s v="Delivered"/>
    <n v="195"/>
    <d v="2026-01-20T00:00:00"/>
    <m/>
    <m/>
    <x v="10"/>
    <x v="0"/>
  </r>
  <r>
    <n v="1713"/>
    <n v="1837"/>
    <x v="8"/>
    <n v="3"/>
    <n v="30"/>
    <n v="90"/>
    <s v="Delivered"/>
    <n v="90"/>
    <d v="2026-06-28T00:00:00"/>
    <m/>
    <m/>
    <x v="8"/>
    <x v="2"/>
  </r>
  <r>
    <n v="1714"/>
    <n v="1837"/>
    <x v="9"/>
    <n v="3"/>
    <n v="22"/>
    <n v="66"/>
    <s v="Delivered"/>
    <n v="66"/>
    <d v="2026-06-28T00:00:00"/>
    <m/>
    <m/>
    <x v="9"/>
    <x v="2"/>
  </r>
  <r>
    <n v="1715"/>
    <n v="1838"/>
    <x v="7"/>
    <n v="1"/>
    <n v="180"/>
    <n v="180"/>
    <s v="Delivered"/>
    <n v="180"/>
    <d v="2026-02-13T00:00:00"/>
    <m/>
    <m/>
    <x v="7"/>
    <x v="5"/>
  </r>
  <r>
    <n v="1716"/>
    <n v="1839"/>
    <x v="3"/>
    <n v="1"/>
    <n v="25"/>
    <n v="25"/>
    <s v="Cancelled"/>
    <n v="0"/>
    <d v="2026-03-11T00:00:00"/>
    <m/>
    <m/>
    <x v="3"/>
    <x v="1"/>
  </r>
  <r>
    <n v="1717"/>
    <n v="1839"/>
    <x v="9"/>
    <n v="1"/>
    <n v="22"/>
    <n v="22"/>
    <s v="Cancelled"/>
    <n v="0"/>
    <d v="2026-03-11T00:00:00"/>
    <m/>
    <m/>
    <x v="9"/>
    <x v="1"/>
  </r>
  <r>
    <n v="1718"/>
    <n v="1839"/>
    <x v="8"/>
    <n v="3"/>
    <n v="30"/>
    <n v="90"/>
    <s v="Cancelled"/>
    <n v="0"/>
    <d v="2026-03-11T00:00:00"/>
    <m/>
    <m/>
    <x v="8"/>
    <x v="1"/>
  </r>
  <r>
    <n v="1719"/>
    <n v="1840"/>
    <x v="5"/>
    <n v="3"/>
    <n v="220"/>
    <n v="660"/>
    <s v="Delivered"/>
    <n v="660"/>
    <d v="2026-06-11T00:00:00"/>
    <m/>
    <m/>
    <x v="5"/>
    <x v="2"/>
  </r>
  <r>
    <n v="1720"/>
    <n v="1840"/>
    <x v="8"/>
    <n v="2"/>
    <n v="30"/>
    <n v="60"/>
    <s v="Delivered"/>
    <n v="60"/>
    <d v="2026-06-11T00:00:00"/>
    <m/>
    <m/>
    <x v="8"/>
    <x v="2"/>
  </r>
  <r>
    <n v="1721"/>
    <n v="1841"/>
    <x v="9"/>
    <n v="3"/>
    <n v="22"/>
    <n v="66"/>
    <s v="Delivered"/>
    <n v="66"/>
    <d v="2026-06-10T00:00:00"/>
    <m/>
    <m/>
    <x v="9"/>
    <x v="2"/>
  </r>
  <r>
    <n v="1722"/>
    <n v="1842"/>
    <x v="7"/>
    <n v="2"/>
    <n v="180"/>
    <n v="360"/>
    <s v="Delivered"/>
    <n v="360"/>
    <d v="2026-01-28T00:00:00"/>
    <m/>
    <m/>
    <x v="7"/>
    <x v="0"/>
  </r>
  <r>
    <n v="1723"/>
    <n v="1842"/>
    <x v="4"/>
    <n v="4"/>
    <n v="48"/>
    <n v="192"/>
    <s v="Delivered"/>
    <n v="192"/>
    <d v="2026-01-28T00:00:00"/>
    <m/>
    <m/>
    <x v="4"/>
    <x v="0"/>
  </r>
  <r>
    <n v="1724"/>
    <n v="1842"/>
    <x v="2"/>
    <n v="2"/>
    <n v="8"/>
    <n v="16"/>
    <s v="Delivered"/>
    <n v="16"/>
    <d v="2026-01-28T00:00:00"/>
    <m/>
    <m/>
    <x v="2"/>
    <x v="0"/>
  </r>
  <r>
    <n v="1725"/>
    <n v="1843"/>
    <x v="6"/>
    <n v="1"/>
    <n v="45"/>
    <n v="45"/>
    <s v="Delivered"/>
    <n v="45"/>
    <d v="2026-02-09T00:00:00"/>
    <m/>
    <m/>
    <x v="6"/>
    <x v="5"/>
  </r>
  <r>
    <n v="1726"/>
    <n v="1843"/>
    <x v="11"/>
    <n v="4"/>
    <n v="55"/>
    <n v="220"/>
    <s v="Delivered"/>
    <n v="220"/>
    <d v="2026-02-09T00:00:00"/>
    <m/>
    <m/>
    <x v="11"/>
    <x v="5"/>
  </r>
  <r>
    <n v="1727"/>
    <n v="1844"/>
    <x v="7"/>
    <n v="2"/>
    <n v="180"/>
    <n v="360"/>
    <s v="Delivered"/>
    <n v="360"/>
    <d v="2026-05-26T00:00:00"/>
    <m/>
    <m/>
    <x v="7"/>
    <x v="3"/>
  </r>
  <r>
    <n v="1728"/>
    <n v="1844"/>
    <x v="0"/>
    <n v="2"/>
    <n v="750"/>
    <n v="1500"/>
    <s v="Delivered"/>
    <n v="1500"/>
    <d v="2026-05-26T00:00:00"/>
    <m/>
    <m/>
    <x v="0"/>
    <x v="3"/>
  </r>
  <r>
    <n v="1729"/>
    <n v="1844"/>
    <x v="9"/>
    <n v="4"/>
    <n v="22"/>
    <n v="88"/>
    <s v="Delivered"/>
    <n v="88"/>
    <d v="2026-05-26T00:00:00"/>
    <m/>
    <m/>
    <x v="9"/>
    <x v="3"/>
  </r>
  <r>
    <n v="1730"/>
    <n v="1845"/>
    <x v="9"/>
    <n v="2"/>
    <n v="22"/>
    <n v="44"/>
    <s v="Delivered"/>
    <n v="44"/>
    <d v="2026-03-04T00:00:00"/>
    <m/>
    <m/>
    <x v="9"/>
    <x v="1"/>
  </r>
  <r>
    <n v="1731"/>
    <n v="1846"/>
    <x v="0"/>
    <n v="1"/>
    <n v="750"/>
    <n v="750"/>
    <s v="Delivered"/>
    <n v="750"/>
    <d v="2026-04-09T00:00:00"/>
    <m/>
    <m/>
    <x v="0"/>
    <x v="4"/>
  </r>
  <r>
    <n v="1732"/>
    <n v="1846"/>
    <x v="6"/>
    <n v="3"/>
    <n v="45"/>
    <n v="135"/>
    <s v="Delivered"/>
    <n v="135"/>
    <d v="2026-04-09T00:00:00"/>
    <m/>
    <m/>
    <x v="6"/>
    <x v="4"/>
  </r>
  <r>
    <n v="1733"/>
    <n v="1846"/>
    <x v="3"/>
    <n v="2"/>
    <n v="25"/>
    <n v="50"/>
    <s v="Delivered"/>
    <n v="50"/>
    <d v="2026-04-09T00:00:00"/>
    <m/>
    <m/>
    <x v="3"/>
    <x v="4"/>
  </r>
  <r>
    <n v="1734"/>
    <n v="1847"/>
    <x v="5"/>
    <n v="4"/>
    <n v="220"/>
    <n v="880"/>
    <s v="Delivered"/>
    <n v="880"/>
    <d v="2026-01-28T00:00:00"/>
    <m/>
    <m/>
    <x v="5"/>
    <x v="0"/>
  </r>
  <r>
    <n v="1735"/>
    <n v="1847"/>
    <x v="3"/>
    <n v="4"/>
    <n v="25"/>
    <n v="100"/>
    <s v="Delivered"/>
    <n v="100"/>
    <d v="2026-01-28T00:00:00"/>
    <m/>
    <m/>
    <x v="3"/>
    <x v="0"/>
  </r>
  <r>
    <n v="1736"/>
    <n v="1847"/>
    <x v="6"/>
    <n v="2"/>
    <n v="45"/>
    <n v="90"/>
    <s v="Delivered"/>
    <n v="90"/>
    <d v="2026-01-28T00:00:00"/>
    <m/>
    <m/>
    <x v="6"/>
    <x v="0"/>
  </r>
  <r>
    <n v="1737"/>
    <n v="1848"/>
    <x v="0"/>
    <n v="1"/>
    <n v="750"/>
    <n v="750"/>
    <s v="Delivered"/>
    <n v="750"/>
    <d v="2026-06-27T00:00:00"/>
    <m/>
    <m/>
    <x v="0"/>
    <x v="2"/>
  </r>
  <r>
    <n v="1738"/>
    <n v="1849"/>
    <x v="3"/>
    <n v="4"/>
    <n v="25"/>
    <n v="100"/>
    <s v="Delivered"/>
    <n v="100"/>
    <d v="2026-02-06T00:00:00"/>
    <m/>
    <m/>
    <x v="3"/>
    <x v="5"/>
  </r>
  <r>
    <n v="1739"/>
    <n v="1850"/>
    <x v="6"/>
    <n v="2"/>
    <n v="45"/>
    <n v="90"/>
    <s v="Delivered"/>
    <n v="90"/>
    <d v="2026-04-09T00:00:00"/>
    <m/>
    <m/>
    <x v="6"/>
    <x v="4"/>
  </r>
  <r>
    <n v="1740"/>
    <n v="1850"/>
    <x v="5"/>
    <n v="1"/>
    <n v="220"/>
    <n v="220"/>
    <s v="Delivered"/>
    <n v="220"/>
    <d v="2026-04-09T00:00:00"/>
    <m/>
    <m/>
    <x v="5"/>
    <x v="4"/>
  </r>
  <r>
    <n v="1741"/>
    <n v="1851"/>
    <x v="2"/>
    <n v="2"/>
    <n v="8"/>
    <n v="16"/>
    <s v="Delivered"/>
    <n v="16"/>
    <d v="2026-01-31T00:00:00"/>
    <m/>
    <m/>
    <x v="2"/>
    <x v="0"/>
  </r>
  <r>
    <n v="1742"/>
    <n v="1852"/>
    <x v="7"/>
    <n v="3"/>
    <n v="180"/>
    <n v="540"/>
    <s v="Delivered"/>
    <n v="540"/>
    <d v="2026-04-19T00:00:00"/>
    <m/>
    <m/>
    <x v="7"/>
    <x v="4"/>
  </r>
  <r>
    <n v="1743"/>
    <n v="1852"/>
    <x v="1"/>
    <n v="4"/>
    <n v="140"/>
    <n v="560"/>
    <s v="Delivered"/>
    <n v="560"/>
    <d v="2026-04-19T00:00:00"/>
    <m/>
    <m/>
    <x v="1"/>
    <x v="4"/>
  </r>
  <r>
    <n v="1744"/>
    <n v="1852"/>
    <x v="5"/>
    <n v="3"/>
    <n v="220"/>
    <n v="660"/>
    <s v="Delivered"/>
    <n v="660"/>
    <d v="2026-04-19T00:00:00"/>
    <m/>
    <m/>
    <x v="5"/>
    <x v="4"/>
  </r>
  <r>
    <n v="1745"/>
    <n v="1853"/>
    <x v="6"/>
    <n v="4"/>
    <n v="45"/>
    <n v="180"/>
    <s v="Cancelled"/>
    <n v="0"/>
    <d v="2026-01-01T00:00:00"/>
    <m/>
    <m/>
    <x v="6"/>
    <x v="0"/>
  </r>
  <r>
    <n v="1746"/>
    <n v="1853"/>
    <x v="1"/>
    <n v="4"/>
    <n v="140"/>
    <n v="560"/>
    <s v="Cancelled"/>
    <n v="0"/>
    <d v="2026-01-01T00:00:00"/>
    <m/>
    <m/>
    <x v="1"/>
    <x v="0"/>
  </r>
  <r>
    <n v="1747"/>
    <n v="1853"/>
    <x v="9"/>
    <n v="4"/>
    <n v="22"/>
    <n v="88"/>
    <s v="Cancelled"/>
    <n v="0"/>
    <d v="2026-01-01T00:00:00"/>
    <m/>
    <m/>
    <x v="9"/>
    <x v="0"/>
  </r>
  <r>
    <n v="1748"/>
    <n v="1854"/>
    <x v="7"/>
    <n v="3"/>
    <n v="180"/>
    <n v="540"/>
    <s v="Delivered"/>
    <n v="540"/>
    <d v="2026-01-18T00:00:00"/>
    <m/>
    <m/>
    <x v="7"/>
    <x v="0"/>
  </r>
  <r>
    <n v="1749"/>
    <n v="1854"/>
    <x v="6"/>
    <n v="2"/>
    <n v="45"/>
    <n v="90"/>
    <s v="Delivered"/>
    <n v="90"/>
    <d v="2026-01-18T00:00:00"/>
    <m/>
    <m/>
    <x v="6"/>
    <x v="0"/>
  </r>
  <r>
    <n v="1750"/>
    <n v="1854"/>
    <x v="5"/>
    <n v="2"/>
    <n v="220"/>
    <n v="440"/>
    <s v="Delivered"/>
    <n v="440"/>
    <d v="2026-01-18T00:00:00"/>
    <m/>
    <m/>
    <x v="5"/>
    <x v="0"/>
  </r>
  <r>
    <n v="1751"/>
    <n v="1855"/>
    <x v="4"/>
    <n v="2"/>
    <n v="48"/>
    <n v="96"/>
    <s v="Pending"/>
    <n v="96"/>
    <d v="2026-06-27T00:00:00"/>
    <m/>
    <m/>
    <x v="4"/>
    <x v="2"/>
  </r>
  <r>
    <n v="1752"/>
    <n v="1856"/>
    <x v="11"/>
    <n v="2"/>
    <n v="55"/>
    <n v="110"/>
    <s v="Delivered"/>
    <n v="110"/>
    <d v="2026-04-18T00:00:00"/>
    <m/>
    <m/>
    <x v="11"/>
    <x v="4"/>
  </r>
  <r>
    <n v="1753"/>
    <n v="1856"/>
    <x v="8"/>
    <n v="4"/>
    <n v="30"/>
    <n v="120"/>
    <s v="Delivered"/>
    <n v="120"/>
    <d v="2026-04-18T00:00:00"/>
    <m/>
    <m/>
    <x v="8"/>
    <x v="4"/>
  </r>
  <r>
    <n v="1754"/>
    <n v="1856"/>
    <x v="4"/>
    <n v="1"/>
    <n v="48"/>
    <n v="48"/>
    <s v="Delivered"/>
    <n v="48"/>
    <d v="2026-04-18T00:00:00"/>
    <m/>
    <m/>
    <x v="4"/>
    <x v="4"/>
  </r>
  <r>
    <n v="1755"/>
    <n v="1857"/>
    <x v="0"/>
    <n v="1"/>
    <n v="750"/>
    <n v="750"/>
    <s v="Delivered"/>
    <n v="750"/>
    <d v="2026-02-26T00:00:00"/>
    <m/>
    <m/>
    <x v="0"/>
    <x v="5"/>
  </r>
  <r>
    <n v="1756"/>
    <n v="1857"/>
    <x v="3"/>
    <n v="3"/>
    <n v="25"/>
    <n v="75"/>
    <s v="Delivered"/>
    <n v="75"/>
    <d v="2026-02-26T00:00:00"/>
    <m/>
    <m/>
    <x v="3"/>
    <x v="5"/>
  </r>
  <r>
    <n v="1757"/>
    <n v="1858"/>
    <x v="11"/>
    <n v="4"/>
    <n v="55"/>
    <n v="220"/>
    <s v="Delivered"/>
    <n v="220"/>
    <d v="2026-03-31T00:00:00"/>
    <m/>
    <m/>
    <x v="11"/>
    <x v="1"/>
  </r>
  <r>
    <n v="1758"/>
    <n v="1858"/>
    <x v="6"/>
    <n v="2"/>
    <n v="45"/>
    <n v="90"/>
    <s v="Delivered"/>
    <n v="90"/>
    <d v="2026-03-31T00:00:00"/>
    <m/>
    <m/>
    <x v="6"/>
    <x v="1"/>
  </r>
  <r>
    <n v="1759"/>
    <n v="1859"/>
    <x v="0"/>
    <n v="1"/>
    <n v="750"/>
    <n v="750"/>
    <s v="Delivered"/>
    <n v="750"/>
    <d v="2026-06-28T00:00:00"/>
    <m/>
    <m/>
    <x v="0"/>
    <x v="2"/>
  </r>
  <r>
    <n v="1760"/>
    <n v="1859"/>
    <x v="10"/>
    <n v="1"/>
    <n v="65"/>
    <n v="65"/>
    <s v="Delivered"/>
    <n v="65"/>
    <d v="2026-06-28T00:00:00"/>
    <m/>
    <m/>
    <x v="10"/>
    <x v="2"/>
  </r>
  <r>
    <n v="1761"/>
    <n v="1859"/>
    <x v="1"/>
    <n v="1"/>
    <n v="140"/>
    <n v="140"/>
    <s v="Delivered"/>
    <n v="140"/>
    <d v="2026-06-28T00:00:00"/>
    <m/>
    <m/>
    <x v="1"/>
    <x v="2"/>
  </r>
  <r>
    <n v="1762"/>
    <n v="1860"/>
    <x v="0"/>
    <n v="4"/>
    <n v="750"/>
    <n v="3000"/>
    <s v="Delivered"/>
    <n v="3000"/>
    <d v="2026-04-04T00:00:00"/>
    <m/>
    <m/>
    <x v="0"/>
    <x v="4"/>
  </r>
  <r>
    <n v="1763"/>
    <n v="1861"/>
    <x v="10"/>
    <n v="4"/>
    <n v="65"/>
    <n v="260"/>
    <s v="Delivered"/>
    <n v="260"/>
    <d v="2026-05-16T00:00:00"/>
    <m/>
    <m/>
    <x v="10"/>
    <x v="3"/>
  </r>
  <r>
    <n v="1764"/>
    <n v="1861"/>
    <x v="1"/>
    <n v="1"/>
    <n v="140"/>
    <n v="140"/>
    <s v="Delivered"/>
    <n v="140"/>
    <d v="2026-05-16T00:00:00"/>
    <m/>
    <m/>
    <x v="1"/>
    <x v="3"/>
  </r>
  <r>
    <n v="1765"/>
    <n v="1862"/>
    <x v="0"/>
    <n v="4"/>
    <n v="750"/>
    <n v="3000"/>
    <s v="Delivered"/>
    <n v="3000"/>
    <d v="2026-06-04T00:00:00"/>
    <m/>
    <m/>
    <x v="0"/>
    <x v="2"/>
  </r>
  <r>
    <n v="1766"/>
    <n v="1863"/>
    <x v="9"/>
    <n v="4"/>
    <n v="22"/>
    <n v="88"/>
    <s v="Shipped"/>
    <n v="88"/>
    <d v="2026-03-08T00:00:00"/>
    <m/>
    <m/>
    <x v="9"/>
    <x v="1"/>
  </r>
  <r>
    <n v="1767"/>
    <n v="1863"/>
    <x v="3"/>
    <n v="2"/>
    <n v="25"/>
    <n v="50"/>
    <s v="Shipped"/>
    <n v="50"/>
    <d v="2026-03-08T00:00:00"/>
    <m/>
    <m/>
    <x v="3"/>
    <x v="1"/>
  </r>
  <r>
    <n v="1768"/>
    <n v="1864"/>
    <x v="3"/>
    <n v="1"/>
    <n v="25"/>
    <n v="25"/>
    <s v="Delivered"/>
    <n v="25"/>
    <d v="2026-05-14T00:00:00"/>
    <m/>
    <m/>
    <x v="3"/>
    <x v="3"/>
  </r>
  <r>
    <n v="1769"/>
    <n v="1864"/>
    <x v="10"/>
    <n v="2"/>
    <n v="65"/>
    <n v="130"/>
    <s v="Delivered"/>
    <n v="130"/>
    <d v="2026-05-14T00:00:00"/>
    <m/>
    <m/>
    <x v="10"/>
    <x v="3"/>
  </r>
  <r>
    <n v="1770"/>
    <n v="1864"/>
    <x v="2"/>
    <n v="4"/>
    <n v="8"/>
    <n v="32"/>
    <s v="Delivered"/>
    <n v="32"/>
    <d v="2026-05-14T00:00:00"/>
    <m/>
    <m/>
    <x v="2"/>
    <x v="3"/>
  </r>
  <r>
    <n v="1771"/>
    <n v="1865"/>
    <x v="4"/>
    <n v="2"/>
    <n v="48"/>
    <n v="96"/>
    <s v="Delivered"/>
    <n v="96"/>
    <d v="2026-06-27T00:00:00"/>
    <m/>
    <m/>
    <x v="4"/>
    <x v="2"/>
  </r>
  <r>
    <n v="1772"/>
    <n v="1865"/>
    <x v="10"/>
    <n v="1"/>
    <n v="65"/>
    <n v="65"/>
    <s v="Delivered"/>
    <n v="65"/>
    <d v="2026-06-27T00:00:00"/>
    <m/>
    <m/>
    <x v="10"/>
    <x v="2"/>
  </r>
  <r>
    <n v="1773"/>
    <n v="1865"/>
    <x v="9"/>
    <n v="3"/>
    <n v="22"/>
    <n v="66"/>
    <s v="Delivered"/>
    <n v="66"/>
    <d v="2026-06-27T00:00:00"/>
    <m/>
    <m/>
    <x v="9"/>
    <x v="2"/>
  </r>
  <r>
    <n v="1774"/>
    <n v="1866"/>
    <x v="3"/>
    <n v="3"/>
    <n v="25"/>
    <n v="75"/>
    <s v="Delivered"/>
    <n v="75"/>
    <d v="2026-04-03T00:00:00"/>
    <m/>
    <m/>
    <x v="3"/>
    <x v="4"/>
  </r>
  <r>
    <n v="1775"/>
    <n v="1867"/>
    <x v="0"/>
    <n v="1"/>
    <n v="750"/>
    <n v="750"/>
    <s v="Delivered"/>
    <n v="750"/>
    <d v="2026-03-21T00:00:00"/>
    <m/>
    <m/>
    <x v="0"/>
    <x v="1"/>
  </r>
  <r>
    <n v="1776"/>
    <n v="1867"/>
    <x v="3"/>
    <n v="1"/>
    <n v="25"/>
    <n v="25"/>
    <s v="Delivered"/>
    <n v="25"/>
    <d v="2026-03-21T00:00:00"/>
    <m/>
    <m/>
    <x v="3"/>
    <x v="1"/>
  </r>
  <r>
    <n v="1777"/>
    <n v="1867"/>
    <x v="7"/>
    <n v="4"/>
    <n v="180"/>
    <n v="720"/>
    <s v="Delivered"/>
    <n v="720"/>
    <d v="2026-03-21T00:00:00"/>
    <m/>
    <m/>
    <x v="7"/>
    <x v="1"/>
  </r>
  <r>
    <n v="1778"/>
    <n v="1868"/>
    <x v="3"/>
    <n v="3"/>
    <n v="25"/>
    <n v="75"/>
    <s v="Delivered"/>
    <n v="75"/>
    <d v="2026-04-02T00:00:00"/>
    <m/>
    <m/>
    <x v="3"/>
    <x v="4"/>
  </r>
  <r>
    <n v="1779"/>
    <n v="1868"/>
    <x v="1"/>
    <n v="2"/>
    <n v="140"/>
    <n v="280"/>
    <s v="Delivered"/>
    <n v="280"/>
    <d v="2026-04-02T00:00:00"/>
    <m/>
    <m/>
    <x v="1"/>
    <x v="4"/>
  </r>
  <r>
    <n v="1780"/>
    <n v="1868"/>
    <x v="10"/>
    <n v="1"/>
    <n v="65"/>
    <n v="65"/>
    <s v="Delivered"/>
    <n v="65"/>
    <d v="2026-04-02T00:00:00"/>
    <m/>
    <m/>
    <x v="10"/>
    <x v="4"/>
  </r>
  <r>
    <n v="1781"/>
    <n v="1869"/>
    <x v="2"/>
    <n v="3"/>
    <n v="8"/>
    <n v="24"/>
    <s v="Delivered"/>
    <n v="24"/>
    <d v="2026-02-08T00:00:00"/>
    <m/>
    <m/>
    <x v="2"/>
    <x v="5"/>
  </r>
  <r>
    <n v="1782"/>
    <n v="1869"/>
    <x v="0"/>
    <n v="2"/>
    <n v="750"/>
    <n v="1500"/>
    <s v="Delivered"/>
    <n v="1500"/>
    <d v="2026-02-08T00:00:00"/>
    <m/>
    <m/>
    <x v="0"/>
    <x v="5"/>
  </r>
  <r>
    <n v="1783"/>
    <n v="1870"/>
    <x v="6"/>
    <n v="3"/>
    <n v="45"/>
    <n v="135"/>
    <s v="Cancelled"/>
    <n v="0"/>
    <d v="2026-03-01T00:00:00"/>
    <m/>
    <m/>
    <x v="6"/>
    <x v="1"/>
  </r>
  <r>
    <n v="1784"/>
    <n v="1870"/>
    <x v="8"/>
    <n v="4"/>
    <n v="30"/>
    <n v="120"/>
    <s v="Cancelled"/>
    <n v="0"/>
    <d v="2026-03-01T00:00:00"/>
    <m/>
    <m/>
    <x v="8"/>
    <x v="1"/>
  </r>
  <r>
    <n v="1785"/>
    <n v="1870"/>
    <x v="4"/>
    <n v="2"/>
    <n v="48"/>
    <n v="96"/>
    <s v="Cancelled"/>
    <n v="0"/>
    <d v="2026-03-01T00:00:00"/>
    <m/>
    <m/>
    <x v="4"/>
    <x v="1"/>
  </r>
  <r>
    <n v="1786"/>
    <n v="1871"/>
    <x v="9"/>
    <n v="4"/>
    <n v="22"/>
    <n v="88"/>
    <s v="Delivered"/>
    <n v="88"/>
    <d v="2026-03-28T00:00:00"/>
    <m/>
    <m/>
    <x v="9"/>
    <x v="1"/>
  </r>
  <r>
    <n v="1787"/>
    <n v="1872"/>
    <x v="0"/>
    <n v="2"/>
    <n v="750"/>
    <n v="1500"/>
    <s v="Delivered"/>
    <n v="1500"/>
    <d v="2026-05-26T00:00:00"/>
    <m/>
    <m/>
    <x v="0"/>
    <x v="3"/>
  </r>
  <r>
    <n v="1788"/>
    <n v="1873"/>
    <x v="7"/>
    <n v="2"/>
    <n v="180"/>
    <n v="360"/>
    <s v="Delivered"/>
    <n v="360"/>
    <d v="2026-05-08T00:00:00"/>
    <m/>
    <m/>
    <x v="7"/>
    <x v="3"/>
  </r>
  <r>
    <n v="1789"/>
    <n v="1874"/>
    <x v="11"/>
    <n v="4"/>
    <n v="55"/>
    <n v="220"/>
    <s v="Delivered"/>
    <n v="220"/>
    <d v="2026-02-15T00:00:00"/>
    <m/>
    <m/>
    <x v="11"/>
    <x v="5"/>
  </r>
  <r>
    <n v="1790"/>
    <n v="1874"/>
    <x v="7"/>
    <n v="2"/>
    <n v="180"/>
    <n v="360"/>
    <s v="Delivered"/>
    <n v="360"/>
    <d v="2026-02-15T00:00:00"/>
    <m/>
    <m/>
    <x v="7"/>
    <x v="5"/>
  </r>
  <r>
    <n v="1791"/>
    <n v="1875"/>
    <x v="1"/>
    <n v="3"/>
    <n v="140"/>
    <n v="420"/>
    <s v="Delivered"/>
    <n v="420"/>
    <d v="2026-03-15T00:00:00"/>
    <m/>
    <m/>
    <x v="1"/>
    <x v="1"/>
  </r>
  <r>
    <n v="1792"/>
    <n v="1875"/>
    <x v="8"/>
    <n v="3"/>
    <n v="30"/>
    <n v="90"/>
    <s v="Delivered"/>
    <n v="90"/>
    <d v="2026-03-15T00:00:00"/>
    <m/>
    <m/>
    <x v="8"/>
    <x v="1"/>
  </r>
  <r>
    <n v="1793"/>
    <n v="1876"/>
    <x v="3"/>
    <n v="2"/>
    <n v="25"/>
    <n v="50"/>
    <s v="Delivered"/>
    <n v="50"/>
    <d v="2026-01-11T00:00:00"/>
    <m/>
    <m/>
    <x v="3"/>
    <x v="0"/>
  </r>
  <r>
    <n v="1794"/>
    <n v="1876"/>
    <x v="8"/>
    <n v="1"/>
    <n v="30"/>
    <n v="30"/>
    <s v="Delivered"/>
    <n v="30"/>
    <d v="2026-01-11T00:00:00"/>
    <m/>
    <m/>
    <x v="8"/>
    <x v="0"/>
  </r>
  <r>
    <n v="1795"/>
    <n v="1876"/>
    <x v="0"/>
    <n v="3"/>
    <n v="750"/>
    <n v="2250"/>
    <s v="Delivered"/>
    <n v="2250"/>
    <d v="2026-01-11T00:00:00"/>
    <m/>
    <m/>
    <x v="0"/>
    <x v="0"/>
  </r>
  <r>
    <n v="1796"/>
    <n v="1877"/>
    <x v="11"/>
    <n v="4"/>
    <n v="55"/>
    <n v="220"/>
    <s v="Cancelled"/>
    <n v="0"/>
    <d v="2026-04-10T00:00:00"/>
    <m/>
    <m/>
    <x v="11"/>
    <x v="4"/>
  </r>
  <r>
    <n v="1797"/>
    <n v="1877"/>
    <x v="9"/>
    <n v="1"/>
    <n v="22"/>
    <n v="22"/>
    <s v="Cancelled"/>
    <n v="0"/>
    <d v="2026-04-10T00:00:00"/>
    <m/>
    <m/>
    <x v="9"/>
    <x v="4"/>
  </r>
  <r>
    <n v="1798"/>
    <n v="1878"/>
    <x v="10"/>
    <n v="4"/>
    <n v="65"/>
    <n v="260"/>
    <s v="Delivered"/>
    <n v="260"/>
    <d v="2026-01-22T00:00:00"/>
    <m/>
    <m/>
    <x v="10"/>
    <x v="0"/>
  </r>
  <r>
    <n v="1799"/>
    <n v="1878"/>
    <x v="3"/>
    <n v="3"/>
    <n v="25"/>
    <n v="75"/>
    <s v="Delivered"/>
    <n v="75"/>
    <d v="2026-01-22T00:00:00"/>
    <m/>
    <m/>
    <x v="3"/>
    <x v="0"/>
  </r>
  <r>
    <n v="1800"/>
    <n v="1879"/>
    <x v="11"/>
    <n v="2"/>
    <n v="55"/>
    <n v="110"/>
    <s v="Delivered"/>
    <n v="110"/>
    <d v="2026-06-29T00:00:00"/>
    <m/>
    <m/>
    <x v="11"/>
    <x v="2"/>
  </r>
  <r>
    <n v="1801"/>
    <n v="1879"/>
    <x v="0"/>
    <n v="4"/>
    <n v="750"/>
    <n v="3000"/>
    <s v="Delivered"/>
    <n v="3000"/>
    <d v="2026-06-29T00:00:00"/>
    <m/>
    <m/>
    <x v="0"/>
    <x v="2"/>
  </r>
  <r>
    <n v="1802"/>
    <n v="1880"/>
    <x v="11"/>
    <n v="1"/>
    <n v="55"/>
    <n v="55"/>
    <s v="Delivered"/>
    <n v="55"/>
    <d v="2026-04-08T00:00:00"/>
    <m/>
    <m/>
    <x v="11"/>
    <x v="4"/>
  </r>
  <r>
    <n v="1803"/>
    <n v="1880"/>
    <x v="3"/>
    <n v="2"/>
    <n v="25"/>
    <n v="50"/>
    <s v="Delivered"/>
    <n v="50"/>
    <d v="2026-04-08T00:00:00"/>
    <m/>
    <m/>
    <x v="3"/>
    <x v="4"/>
  </r>
  <r>
    <n v="1804"/>
    <n v="1881"/>
    <x v="5"/>
    <n v="3"/>
    <n v="220"/>
    <n v="660"/>
    <s v="Delivered"/>
    <n v="660"/>
    <d v="2026-03-06T00:00:00"/>
    <m/>
    <m/>
    <x v="5"/>
    <x v="1"/>
  </r>
  <r>
    <n v="1805"/>
    <n v="1882"/>
    <x v="0"/>
    <n v="1"/>
    <n v="750"/>
    <n v="750"/>
    <s v="Delivered"/>
    <n v="750"/>
    <d v="2026-05-15T00:00:00"/>
    <m/>
    <m/>
    <x v="0"/>
    <x v="3"/>
  </r>
  <r>
    <n v="1806"/>
    <n v="1883"/>
    <x v="11"/>
    <n v="2"/>
    <n v="55"/>
    <n v="110"/>
    <s v="Delivered"/>
    <n v="110"/>
    <d v="2026-02-12T00:00:00"/>
    <m/>
    <m/>
    <x v="11"/>
    <x v="5"/>
  </r>
  <r>
    <n v="1807"/>
    <n v="1883"/>
    <x v="8"/>
    <n v="4"/>
    <n v="30"/>
    <n v="120"/>
    <s v="Delivered"/>
    <n v="120"/>
    <d v="2026-02-12T00:00:00"/>
    <m/>
    <m/>
    <x v="8"/>
    <x v="5"/>
  </r>
  <r>
    <n v="1808"/>
    <n v="1884"/>
    <x v="9"/>
    <n v="2"/>
    <n v="22"/>
    <n v="44"/>
    <s v="Delivered"/>
    <n v="44"/>
    <d v="2026-05-24T00:00:00"/>
    <m/>
    <m/>
    <x v="9"/>
    <x v="3"/>
  </r>
  <r>
    <n v="1809"/>
    <n v="1885"/>
    <x v="11"/>
    <n v="3"/>
    <n v="55"/>
    <n v="165"/>
    <s v="Delivered"/>
    <n v="165"/>
    <d v="2026-03-23T00:00:00"/>
    <m/>
    <m/>
    <x v="11"/>
    <x v="1"/>
  </r>
  <r>
    <n v="1810"/>
    <n v="1886"/>
    <x v="11"/>
    <n v="1"/>
    <n v="55"/>
    <n v="55"/>
    <s v="Pending"/>
    <n v="55"/>
    <d v="2026-01-01T00:00:00"/>
    <m/>
    <m/>
    <x v="11"/>
    <x v="0"/>
  </r>
  <r>
    <n v="1811"/>
    <n v="1886"/>
    <x v="4"/>
    <n v="1"/>
    <n v="48"/>
    <n v="48"/>
    <s v="Pending"/>
    <n v="48"/>
    <d v="2026-01-01T00:00:00"/>
    <m/>
    <m/>
    <x v="4"/>
    <x v="0"/>
  </r>
  <r>
    <n v="1812"/>
    <n v="1886"/>
    <x v="2"/>
    <n v="2"/>
    <n v="8"/>
    <n v="16"/>
    <s v="Pending"/>
    <n v="16"/>
    <d v="2026-01-01T00:00:00"/>
    <m/>
    <m/>
    <x v="2"/>
    <x v="0"/>
  </r>
  <r>
    <n v="1813"/>
    <n v="1887"/>
    <x v="2"/>
    <n v="4"/>
    <n v="8"/>
    <n v="32"/>
    <s v="Delivered"/>
    <n v="32"/>
    <d v="2026-02-18T00:00:00"/>
    <m/>
    <m/>
    <x v="2"/>
    <x v="5"/>
  </r>
  <r>
    <n v="1814"/>
    <n v="1888"/>
    <x v="0"/>
    <n v="3"/>
    <n v="750"/>
    <n v="2250"/>
    <s v="Shipped"/>
    <n v="2250"/>
    <d v="2026-05-28T00:00:00"/>
    <m/>
    <m/>
    <x v="0"/>
    <x v="3"/>
  </r>
  <r>
    <n v="1815"/>
    <n v="1888"/>
    <x v="7"/>
    <n v="1"/>
    <n v="180"/>
    <n v="180"/>
    <s v="Shipped"/>
    <n v="180"/>
    <d v="2026-05-28T00:00:00"/>
    <m/>
    <m/>
    <x v="7"/>
    <x v="3"/>
  </r>
  <r>
    <n v="1816"/>
    <n v="1889"/>
    <x v="8"/>
    <n v="3"/>
    <n v="30"/>
    <n v="90"/>
    <s v="Delivered"/>
    <n v="90"/>
    <d v="2026-04-27T00:00:00"/>
    <m/>
    <m/>
    <x v="8"/>
    <x v="4"/>
  </r>
  <r>
    <n v="1817"/>
    <n v="1889"/>
    <x v="10"/>
    <n v="1"/>
    <n v="65"/>
    <n v="65"/>
    <s v="Delivered"/>
    <n v="65"/>
    <d v="2026-04-27T00:00:00"/>
    <m/>
    <m/>
    <x v="10"/>
    <x v="4"/>
  </r>
  <r>
    <n v="1818"/>
    <n v="1890"/>
    <x v="7"/>
    <n v="4"/>
    <n v="180"/>
    <n v="720"/>
    <s v="Delivered"/>
    <n v="720"/>
    <d v="2026-06-02T00:00:00"/>
    <m/>
    <m/>
    <x v="7"/>
    <x v="2"/>
  </r>
  <r>
    <n v="1819"/>
    <n v="1890"/>
    <x v="4"/>
    <n v="3"/>
    <n v="48"/>
    <n v="144"/>
    <s v="Delivered"/>
    <n v="144"/>
    <d v="2026-06-02T00:00:00"/>
    <m/>
    <m/>
    <x v="4"/>
    <x v="2"/>
  </r>
  <r>
    <n v="1820"/>
    <n v="1891"/>
    <x v="4"/>
    <n v="1"/>
    <n v="48"/>
    <n v="48"/>
    <s v="Delivered"/>
    <n v="48"/>
    <d v="2026-01-23T00:00:00"/>
    <m/>
    <m/>
    <x v="4"/>
    <x v="0"/>
  </r>
  <r>
    <n v="1821"/>
    <n v="1892"/>
    <x v="2"/>
    <n v="4"/>
    <n v="8"/>
    <n v="32"/>
    <s v="Delivered"/>
    <n v="32"/>
    <d v="2026-05-20T00:00:00"/>
    <m/>
    <m/>
    <x v="2"/>
    <x v="3"/>
  </r>
  <r>
    <n v="1822"/>
    <n v="1892"/>
    <x v="0"/>
    <n v="2"/>
    <n v="750"/>
    <n v="1500"/>
    <s v="Delivered"/>
    <n v="1500"/>
    <d v="2026-05-20T00:00:00"/>
    <m/>
    <m/>
    <x v="0"/>
    <x v="3"/>
  </r>
  <r>
    <n v="1823"/>
    <n v="1892"/>
    <x v="7"/>
    <n v="2"/>
    <n v="180"/>
    <n v="360"/>
    <s v="Delivered"/>
    <n v="360"/>
    <d v="2026-05-20T00:00:00"/>
    <m/>
    <m/>
    <x v="7"/>
    <x v="3"/>
  </r>
  <r>
    <n v="1824"/>
    <n v="1893"/>
    <x v="4"/>
    <n v="1"/>
    <n v="48"/>
    <n v="48"/>
    <s v="Delivered"/>
    <n v="48"/>
    <d v="2026-02-01T00:00:00"/>
    <m/>
    <m/>
    <x v="4"/>
    <x v="5"/>
  </r>
  <r>
    <n v="1825"/>
    <n v="1893"/>
    <x v="10"/>
    <n v="3"/>
    <n v="65"/>
    <n v="195"/>
    <s v="Delivered"/>
    <n v="195"/>
    <d v="2026-02-01T00:00:00"/>
    <m/>
    <m/>
    <x v="10"/>
    <x v="5"/>
  </r>
  <r>
    <n v="1826"/>
    <n v="1894"/>
    <x v="3"/>
    <n v="1"/>
    <n v="25"/>
    <n v="25"/>
    <s v="Delivered"/>
    <n v="25"/>
    <d v="2026-03-09T00:00:00"/>
    <m/>
    <m/>
    <x v="3"/>
    <x v="1"/>
  </r>
  <r>
    <n v="1827"/>
    <n v="1894"/>
    <x v="0"/>
    <n v="1"/>
    <n v="750"/>
    <n v="750"/>
    <s v="Delivered"/>
    <n v="750"/>
    <d v="2026-03-09T00:00:00"/>
    <m/>
    <m/>
    <x v="0"/>
    <x v="1"/>
  </r>
  <r>
    <n v="1828"/>
    <n v="1894"/>
    <x v="10"/>
    <n v="1"/>
    <n v="65"/>
    <n v="65"/>
    <s v="Delivered"/>
    <n v="65"/>
    <d v="2026-03-09T00:00:00"/>
    <m/>
    <m/>
    <x v="10"/>
    <x v="1"/>
  </r>
  <r>
    <n v="1829"/>
    <n v="1895"/>
    <x v="10"/>
    <n v="4"/>
    <n v="65"/>
    <n v="260"/>
    <s v="Delivered"/>
    <n v="260"/>
    <d v="2026-06-03T00:00:00"/>
    <m/>
    <m/>
    <x v="10"/>
    <x v="2"/>
  </r>
  <r>
    <n v="1830"/>
    <n v="1895"/>
    <x v="3"/>
    <n v="2"/>
    <n v="25"/>
    <n v="50"/>
    <s v="Delivered"/>
    <n v="50"/>
    <d v="2026-06-03T00:00:00"/>
    <m/>
    <m/>
    <x v="3"/>
    <x v="2"/>
  </r>
  <r>
    <n v="1831"/>
    <n v="1895"/>
    <x v="8"/>
    <n v="4"/>
    <n v="30"/>
    <n v="120"/>
    <s v="Delivered"/>
    <n v="120"/>
    <d v="2026-06-03T00:00:00"/>
    <m/>
    <m/>
    <x v="8"/>
    <x v="2"/>
  </r>
  <r>
    <n v="1832"/>
    <n v="1896"/>
    <x v="1"/>
    <n v="2"/>
    <n v="140"/>
    <n v="280"/>
    <s v="Delivered"/>
    <n v="280"/>
    <d v="2026-06-12T00:00:00"/>
    <m/>
    <m/>
    <x v="1"/>
    <x v="2"/>
  </r>
  <r>
    <n v="1833"/>
    <n v="1896"/>
    <x v="8"/>
    <n v="4"/>
    <n v="30"/>
    <n v="120"/>
    <s v="Delivered"/>
    <n v="120"/>
    <d v="2026-06-12T00:00:00"/>
    <m/>
    <m/>
    <x v="8"/>
    <x v="2"/>
  </r>
  <r>
    <n v="1834"/>
    <n v="1897"/>
    <x v="7"/>
    <n v="3"/>
    <n v="180"/>
    <n v="540"/>
    <s v="Delivered"/>
    <n v="540"/>
    <d v="2026-06-11T00:00:00"/>
    <m/>
    <m/>
    <x v="7"/>
    <x v="2"/>
  </r>
  <r>
    <n v="1835"/>
    <n v="1897"/>
    <x v="8"/>
    <n v="2"/>
    <n v="30"/>
    <n v="60"/>
    <s v="Delivered"/>
    <n v="60"/>
    <d v="2026-06-11T00:00:00"/>
    <m/>
    <m/>
    <x v="8"/>
    <x v="2"/>
  </r>
  <r>
    <n v="1836"/>
    <n v="1897"/>
    <x v="6"/>
    <n v="1"/>
    <n v="45"/>
    <n v="45"/>
    <s v="Delivered"/>
    <n v="45"/>
    <d v="2026-06-11T00:00:00"/>
    <m/>
    <m/>
    <x v="6"/>
    <x v="2"/>
  </r>
  <r>
    <n v="1837"/>
    <n v="1898"/>
    <x v="2"/>
    <n v="4"/>
    <n v="8"/>
    <n v="32"/>
    <s v="Delivered"/>
    <n v="32"/>
    <d v="2026-02-09T00:00:00"/>
    <m/>
    <m/>
    <x v="2"/>
    <x v="5"/>
  </r>
  <r>
    <n v="1838"/>
    <n v="1899"/>
    <x v="4"/>
    <n v="2"/>
    <n v="48"/>
    <n v="96"/>
    <s v="Delivered"/>
    <n v="96"/>
    <d v="2026-06-11T00:00:00"/>
    <m/>
    <m/>
    <x v="4"/>
    <x v="2"/>
  </r>
  <r>
    <n v="1839"/>
    <n v="1900"/>
    <x v="6"/>
    <n v="1"/>
    <n v="45"/>
    <n v="45"/>
    <s v="Delivered"/>
    <n v="45"/>
    <d v="2026-03-08T00:00:00"/>
    <m/>
    <m/>
    <x v="6"/>
    <x v="1"/>
  </r>
  <r>
    <n v="1840"/>
    <n v="1901"/>
    <x v="7"/>
    <n v="1"/>
    <n v="180"/>
    <n v="180"/>
    <s v="Delivered"/>
    <n v="180"/>
    <d v="2026-06-02T00:00:00"/>
    <m/>
    <m/>
    <x v="7"/>
    <x v="2"/>
  </r>
  <r>
    <n v="1841"/>
    <n v="1901"/>
    <x v="6"/>
    <n v="1"/>
    <n v="45"/>
    <n v="45"/>
    <s v="Delivered"/>
    <n v="45"/>
    <d v="2026-06-02T00:00:00"/>
    <m/>
    <m/>
    <x v="6"/>
    <x v="2"/>
  </r>
  <r>
    <n v="1842"/>
    <n v="1902"/>
    <x v="5"/>
    <n v="1"/>
    <n v="220"/>
    <n v="220"/>
    <s v="Delivered"/>
    <n v="220"/>
    <d v="2026-01-26T00:00:00"/>
    <m/>
    <m/>
    <x v="5"/>
    <x v="0"/>
  </r>
  <r>
    <n v="1843"/>
    <n v="1902"/>
    <x v="11"/>
    <n v="2"/>
    <n v="55"/>
    <n v="110"/>
    <s v="Delivered"/>
    <n v="110"/>
    <d v="2026-01-26T00:00:00"/>
    <m/>
    <m/>
    <x v="11"/>
    <x v="0"/>
  </r>
  <r>
    <n v="1844"/>
    <n v="1903"/>
    <x v="4"/>
    <n v="1"/>
    <n v="48"/>
    <n v="48"/>
    <s v="Delivered"/>
    <n v="48"/>
    <d v="2026-02-11T00:00:00"/>
    <m/>
    <m/>
    <x v="4"/>
    <x v="5"/>
  </r>
  <r>
    <n v="1845"/>
    <n v="1904"/>
    <x v="9"/>
    <n v="2"/>
    <n v="22"/>
    <n v="44"/>
    <s v="Delivered"/>
    <n v="44"/>
    <d v="2026-06-03T00:00:00"/>
    <m/>
    <m/>
    <x v="9"/>
    <x v="2"/>
  </r>
  <r>
    <n v="1846"/>
    <n v="1904"/>
    <x v="7"/>
    <n v="1"/>
    <n v="180"/>
    <n v="180"/>
    <s v="Delivered"/>
    <n v="180"/>
    <d v="2026-06-03T00:00:00"/>
    <m/>
    <m/>
    <x v="7"/>
    <x v="2"/>
  </r>
  <r>
    <n v="1847"/>
    <n v="1904"/>
    <x v="5"/>
    <n v="1"/>
    <n v="220"/>
    <n v="220"/>
    <s v="Delivered"/>
    <n v="220"/>
    <d v="2026-06-03T00:00:00"/>
    <m/>
    <m/>
    <x v="5"/>
    <x v="2"/>
  </r>
  <r>
    <n v="1848"/>
    <n v="1905"/>
    <x v="6"/>
    <n v="1"/>
    <n v="45"/>
    <n v="45"/>
    <s v="Cancelled"/>
    <n v="0"/>
    <d v="2026-01-30T00:00:00"/>
    <m/>
    <m/>
    <x v="6"/>
    <x v="0"/>
  </r>
  <r>
    <n v="1849"/>
    <n v="1905"/>
    <x v="3"/>
    <n v="2"/>
    <n v="25"/>
    <n v="50"/>
    <s v="Cancelled"/>
    <n v="0"/>
    <d v="2026-01-30T00:00:00"/>
    <m/>
    <m/>
    <x v="3"/>
    <x v="0"/>
  </r>
  <r>
    <n v="1850"/>
    <n v="1906"/>
    <x v="1"/>
    <n v="3"/>
    <n v="140"/>
    <n v="420"/>
    <s v="Delivered"/>
    <n v="420"/>
    <d v="2026-03-10T00:00:00"/>
    <m/>
    <m/>
    <x v="1"/>
    <x v="1"/>
  </r>
  <r>
    <n v="1851"/>
    <n v="1907"/>
    <x v="9"/>
    <n v="1"/>
    <n v="22"/>
    <n v="22"/>
    <s v="Delivered"/>
    <n v="22"/>
    <d v="2026-02-19T00:00:00"/>
    <m/>
    <m/>
    <x v="9"/>
    <x v="5"/>
  </r>
  <r>
    <n v="1852"/>
    <n v="1907"/>
    <x v="7"/>
    <n v="3"/>
    <n v="180"/>
    <n v="540"/>
    <s v="Delivered"/>
    <n v="540"/>
    <d v="2026-02-19T00:00:00"/>
    <m/>
    <m/>
    <x v="7"/>
    <x v="5"/>
  </r>
  <r>
    <n v="1853"/>
    <n v="1907"/>
    <x v="10"/>
    <n v="2"/>
    <n v="65"/>
    <n v="130"/>
    <s v="Delivered"/>
    <n v="130"/>
    <d v="2026-02-19T00:00:00"/>
    <m/>
    <m/>
    <x v="10"/>
    <x v="5"/>
  </r>
  <r>
    <n v="1854"/>
    <n v="1908"/>
    <x v="2"/>
    <n v="4"/>
    <n v="8"/>
    <n v="32"/>
    <s v="Delivered"/>
    <n v="32"/>
    <d v="2026-04-19T00:00:00"/>
    <m/>
    <m/>
    <x v="2"/>
    <x v="4"/>
  </r>
  <r>
    <n v="1855"/>
    <n v="1908"/>
    <x v="5"/>
    <n v="4"/>
    <n v="220"/>
    <n v="880"/>
    <s v="Delivered"/>
    <n v="880"/>
    <d v="2026-04-19T00:00:00"/>
    <m/>
    <m/>
    <x v="5"/>
    <x v="4"/>
  </r>
  <r>
    <n v="1856"/>
    <n v="1909"/>
    <x v="7"/>
    <n v="3"/>
    <n v="180"/>
    <n v="540"/>
    <s v="Delivered"/>
    <n v="540"/>
    <d v="2026-04-26T00:00:00"/>
    <m/>
    <m/>
    <x v="7"/>
    <x v="4"/>
  </r>
  <r>
    <n v="1857"/>
    <n v="1909"/>
    <x v="2"/>
    <n v="3"/>
    <n v="8"/>
    <n v="24"/>
    <s v="Delivered"/>
    <n v="24"/>
    <d v="2026-04-26T00:00:00"/>
    <m/>
    <m/>
    <x v="2"/>
    <x v="4"/>
  </r>
  <r>
    <n v="1858"/>
    <n v="1909"/>
    <x v="10"/>
    <n v="4"/>
    <n v="65"/>
    <n v="260"/>
    <s v="Delivered"/>
    <n v="260"/>
    <d v="2026-04-26T00:00:00"/>
    <m/>
    <m/>
    <x v="10"/>
    <x v="4"/>
  </r>
  <r>
    <n v="1859"/>
    <n v="1910"/>
    <x v="1"/>
    <n v="3"/>
    <n v="140"/>
    <n v="420"/>
    <s v="Delivered"/>
    <n v="420"/>
    <d v="2026-04-02T00:00:00"/>
    <m/>
    <m/>
    <x v="1"/>
    <x v="4"/>
  </r>
  <r>
    <n v="1860"/>
    <n v="1910"/>
    <x v="9"/>
    <n v="1"/>
    <n v="22"/>
    <n v="22"/>
    <s v="Delivered"/>
    <n v="22"/>
    <d v="2026-04-02T00:00:00"/>
    <m/>
    <m/>
    <x v="9"/>
    <x v="4"/>
  </r>
  <r>
    <n v="1861"/>
    <n v="1910"/>
    <x v="6"/>
    <n v="1"/>
    <n v="45"/>
    <n v="45"/>
    <s v="Delivered"/>
    <n v="45"/>
    <d v="2026-04-02T00:00:00"/>
    <m/>
    <m/>
    <x v="6"/>
    <x v="4"/>
  </r>
  <r>
    <n v="1862"/>
    <n v="1911"/>
    <x v="5"/>
    <n v="2"/>
    <n v="220"/>
    <n v="440"/>
    <s v="Delivered"/>
    <n v="440"/>
    <d v="2026-05-26T00:00:00"/>
    <m/>
    <m/>
    <x v="5"/>
    <x v="3"/>
  </r>
  <r>
    <n v="1863"/>
    <n v="1911"/>
    <x v="10"/>
    <n v="2"/>
    <n v="65"/>
    <n v="130"/>
    <s v="Delivered"/>
    <n v="130"/>
    <d v="2026-05-26T00:00:00"/>
    <m/>
    <m/>
    <x v="10"/>
    <x v="3"/>
  </r>
  <r>
    <n v="1864"/>
    <n v="1911"/>
    <x v="7"/>
    <n v="1"/>
    <n v="180"/>
    <n v="180"/>
    <s v="Delivered"/>
    <n v="180"/>
    <d v="2026-05-26T00:00:00"/>
    <m/>
    <m/>
    <x v="7"/>
    <x v="3"/>
  </r>
  <r>
    <n v="1865"/>
    <n v="1912"/>
    <x v="10"/>
    <n v="2"/>
    <n v="65"/>
    <n v="130"/>
    <s v="Delivered"/>
    <n v="130"/>
    <d v="2026-01-20T00:00:00"/>
    <m/>
    <m/>
    <x v="10"/>
    <x v="0"/>
  </r>
  <r>
    <n v="1866"/>
    <n v="1912"/>
    <x v="1"/>
    <n v="2"/>
    <n v="140"/>
    <n v="280"/>
    <s v="Delivered"/>
    <n v="280"/>
    <d v="2026-01-20T00:00:00"/>
    <m/>
    <m/>
    <x v="1"/>
    <x v="0"/>
  </r>
  <r>
    <n v="1867"/>
    <n v="1912"/>
    <x v="4"/>
    <n v="1"/>
    <n v="48"/>
    <n v="48"/>
    <s v="Delivered"/>
    <n v="48"/>
    <d v="2026-01-20T00:00:00"/>
    <m/>
    <m/>
    <x v="4"/>
    <x v="0"/>
  </r>
  <r>
    <n v="1868"/>
    <n v="1913"/>
    <x v="1"/>
    <n v="2"/>
    <n v="140"/>
    <n v="280"/>
    <s v="Delivered"/>
    <n v="280"/>
    <d v="2026-01-31T00:00:00"/>
    <m/>
    <m/>
    <x v="1"/>
    <x v="0"/>
  </r>
  <r>
    <n v="1869"/>
    <n v="1913"/>
    <x v="2"/>
    <n v="1"/>
    <n v="8"/>
    <n v="8"/>
    <s v="Delivered"/>
    <n v="8"/>
    <d v="2026-01-31T00:00:00"/>
    <m/>
    <m/>
    <x v="2"/>
    <x v="0"/>
  </r>
  <r>
    <n v="1870"/>
    <n v="1913"/>
    <x v="10"/>
    <n v="3"/>
    <n v="65"/>
    <n v="195"/>
    <s v="Delivered"/>
    <n v="195"/>
    <d v="2026-01-31T00:00:00"/>
    <m/>
    <m/>
    <x v="10"/>
    <x v="0"/>
  </r>
  <r>
    <n v="1871"/>
    <n v="1914"/>
    <x v="8"/>
    <n v="1"/>
    <n v="30"/>
    <n v="30"/>
    <s v="Delivered"/>
    <n v="30"/>
    <d v="2026-04-29T00:00:00"/>
    <m/>
    <m/>
    <x v="8"/>
    <x v="4"/>
  </r>
  <r>
    <n v="1872"/>
    <n v="1915"/>
    <x v="5"/>
    <n v="3"/>
    <n v="220"/>
    <n v="660"/>
    <s v="Delivered"/>
    <n v="660"/>
    <d v="2026-03-19T00:00:00"/>
    <m/>
    <m/>
    <x v="5"/>
    <x v="1"/>
  </r>
  <r>
    <n v="1873"/>
    <n v="1915"/>
    <x v="8"/>
    <n v="4"/>
    <n v="30"/>
    <n v="120"/>
    <s v="Delivered"/>
    <n v="120"/>
    <d v="2026-03-19T00:00:00"/>
    <m/>
    <m/>
    <x v="8"/>
    <x v="1"/>
  </r>
  <r>
    <n v="1874"/>
    <n v="1916"/>
    <x v="2"/>
    <n v="1"/>
    <n v="8"/>
    <n v="8"/>
    <s v="Delivered"/>
    <n v="8"/>
    <d v="2026-05-07T00:00:00"/>
    <m/>
    <m/>
    <x v="2"/>
    <x v="3"/>
  </r>
  <r>
    <n v="1875"/>
    <n v="1916"/>
    <x v="5"/>
    <n v="2"/>
    <n v="220"/>
    <n v="440"/>
    <s v="Delivered"/>
    <n v="440"/>
    <d v="2026-05-07T00:00:00"/>
    <m/>
    <m/>
    <x v="5"/>
    <x v="3"/>
  </r>
  <r>
    <n v="1876"/>
    <n v="1917"/>
    <x v="5"/>
    <n v="2"/>
    <n v="220"/>
    <n v="440"/>
    <s v="Delivered"/>
    <n v="440"/>
    <d v="2026-06-26T00:00:00"/>
    <m/>
    <m/>
    <x v="5"/>
    <x v="2"/>
  </r>
  <r>
    <n v="1877"/>
    <n v="1918"/>
    <x v="0"/>
    <n v="1"/>
    <n v="750"/>
    <n v="750"/>
    <s v="Shipped"/>
    <n v="750"/>
    <d v="2026-01-02T00:00:00"/>
    <m/>
    <m/>
    <x v="0"/>
    <x v="0"/>
  </r>
  <r>
    <n v="1878"/>
    <n v="1918"/>
    <x v="5"/>
    <n v="3"/>
    <n v="220"/>
    <n v="660"/>
    <s v="Shipped"/>
    <n v="660"/>
    <d v="2026-01-02T00:00:00"/>
    <m/>
    <m/>
    <x v="5"/>
    <x v="0"/>
  </r>
  <r>
    <n v="1879"/>
    <n v="1919"/>
    <x v="9"/>
    <n v="2"/>
    <n v="22"/>
    <n v="44"/>
    <s v="Delivered"/>
    <n v="44"/>
    <d v="2026-06-26T00:00:00"/>
    <m/>
    <m/>
    <x v="9"/>
    <x v="2"/>
  </r>
  <r>
    <n v="1880"/>
    <n v="1919"/>
    <x v="6"/>
    <n v="4"/>
    <n v="45"/>
    <n v="180"/>
    <s v="Delivered"/>
    <n v="180"/>
    <d v="2026-06-26T00:00:00"/>
    <m/>
    <m/>
    <x v="6"/>
    <x v="2"/>
  </r>
  <r>
    <n v="1881"/>
    <n v="1920"/>
    <x v="8"/>
    <n v="4"/>
    <n v="30"/>
    <n v="120"/>
    <s v="Delivered"/>
    <n v="120"/>
    <d v="2026-04-16T00:00:00"/>
    <m/>
    <m/>
    <x v="8"/>
    <x v="4"/>
  </r>
  <r>
    <n v="1882"/>
    <n v="1920"/>
    <x v="3"/>
    <n v="4"/>
    <n v="25"/>
    <n v="100"/>
    <s v="Delivered"/>
    <n v="100"/>
    <d v="2026-04-16T00:00:00"/>
    <m/>
    <m/>
    <x v="3"/>
    <x v="4"/>
  </r>
  <r>
    <n v="1883"/>
    <n v="1920"/>
    <x v="2"/>
    <n v="3"/>
    <n v="8"/>
    <n v="24"/>
    <s v="Delivered"/>
    <n v="24"/>
    <d v="2026-04-16T00:00:00"/>
    <m/>
    <m/>
    <x v="2"/>
    <x v="4"/>
  </r>
  <r>
    <n v="1884"/>
    <n v="1921"/>
    <x v="3"/>
    <n v="1"/>
    <n v="25"/>
    <n v="25"/>
    <s v="Delivered"/>
    <n v="25"/>
    <d v="2026-03-17T00:00:00"/>
    <m/>
    <m/>
    <x v="3"/>
    <x v="1"/>
  </r>
  <r>
    <n v="1885"/>
    <n v="1921"/>
    <x v="4"/>
    <n v="1"/>
    <n v="48"/>
    <n v="48"/>
    <s v="Delivered"/>
    <n v="48"/>
    <d v="2026-03-17T00:00:00"/>
    <m/>
    <m/>
    <x v="4"/>
    <x v="1"/>
  </r>
  <r>
    <n v="1886"/>
    <n v="1921"/>
    <x v="9"/>
    <n v="4"/>
    <n v="22"/>
    <n v="88"/>
    <s v="Delivered"/>
    <n v="88"/>
    <d v="2026-03-17T00:00:00"/>
    <m/>
    <m/>
    <x v="9"/>
    <x v="1"/>
  </r>
  <r>
    <n v="1887"/>
    <n v="1922"/>
    <x v="2"/>
    <n v="3"/>
    <n v="8"/>
    <n v="24"/>
    <s v="Delivered"/>
    <n v="24"/>
    <d v="2026-02-18T00:00:00"/>
    <m/>
    <m/>
    <x v="2"/>
    <x v="5"/>
  </r>
  <r>
    <n v="1888"/>
    <n v="1923"/>
    <x v="1"/>
    <n v="4"/>
    <n v="140"/>
    <n v="560"/>
    <s v="Delivered"/>
    <n v="560"/>
    <d v="2026-05-10T00:00:00"/>
    <m/>
    <m/>
    <x v="1"/>
    <x v="3"/>
  </r>
  <r>
    <n v="1889"/>
    <n v="1924"/>
    <x v="4"/>
    <n v="3"/>
    <n v="48"/>
    <n v="144"/>
    <s v="Delivered"/>
    <n v="144"/>
    <d v="2026-02-18T00:00:00"/>
    <m/>
    <m/>
    <x v="4"/>
    <x v="5"/>
  </r>
  <r>
    <n v="1890"/>
    <n v="1925"/>
    <x v="11"/>
    <n v="2"/>
    <n v="55"/>
    <n v="110"/>
    <s v="Delivered"/>
    <n v="110"/>
    <d v="2026-01-28T00:00:00"/>
    <m/>
    <m/>
    <x v="11"/>
    <x v="0"/>
  </r>
  <r>
    <n v="1891"/>
    <n v="1926"/>
    <x v="1"/>
    <n v="4"/>
    <n v="140"/>
    <n v="560"/>
    <s v="Delivered"/>
    <n v="560"/>
    <d v="2026-03-09T00:00:00"/>
    <m/>
    <m/>
    <x v="1"/>
    <x v="1"/>
  </r>
  <r>
    <n v="1892"/>
    <n v="1927"/>
    <x v="0"/>
    <n v="4"/>
    <n v="750"/>
    <n v="3000"/>
    <s v="Delivered"/>
    <n v="3000"/>
    <d v="2026-01-14T00:00:00"/>
    <m/>
    <m/>
    <x v="0"/>
    <x v="0"/>
  </r>
  <r>
    <n v="1893"/>
    <n v="1928"/>
    <x v="11"/>
    <n v="1"/>
    <n v="55"/>
    <n v="55"/>
    <s v="Delivered"/>
    <n v="55"/>
    <d v="2026-02-15T00:00:00"/>
    <m/>
    <m/>
    <x v="11"/>
    <x v="5"/>
  </r>
  <r>
    <n v="1894"/>
    <n v="1928"/>
    <x v="8"/>
    <n v="1"/>
    <n v="30"/>
    <n v="30"/>
    <s v="Delivered"/>
    <n v="30"/>
    <d v="2026-02-15T00:00:00"/>
    <m/>
    <m/>
    <x v="8"/>
    <x v="5"/>
  </r>
  <r>
    <n v="1895"/>
    <n v="1928"/>
    <x v="10"/>
    <n v="2"/>
    <n v="65"/>
    <n v="130"/>
    <s v="Delivered"/>
    <n v="130"/>
    <d v="2026-02-15T00:00:00"/>
    <m/>
    <m/>
    <x v="10"/>
    <x v="5"/>
  </r>
  <r>
    <n v="1896"/>
    <n v="1929"/>
    <x v="5"/>
    <n v="4"/>
    <n v="220"/>
    <n v="880"/>
    <s v="Delivered"/>
    <n v="880"/>
    <d v="2026-05-28T00:00:00"/>
    <m/>
    <m/>
    <x v="5"/>
    <x v="3"/>
  </r>
  <r>
    <n v="1897"/>
    <n v="1929"/>
    <x v="7"/>
    <n v="4"/>
    <n v="180"/>
    <n v="720"/>
    <s v="Delivered"/>
    <n v="720"/>
    <d v="2026-05-28T00:00:00"/>
    <m/>
    <m/>
    <x v="7"/>
    <x v="3"/>
  </r>
  <r>
    <n v="1898"/>
    <n v="1929"/>
    <x v="3"/>
    <n v="4"/>
    <n v="25"/>
    <n v="100"/>
    <s v="Delivered"/>
    <n v="100"/>
    <d v="2026-05-28T00:00:00"/>
    <m/>
    <m/>
    <x v="3"/>
    <x v="3"/>
  </r>
  <r>
    <n v="1899"/>
    <n v="1930"/>
    <x v="4"/>
    <n v="3"/>
    <n v="48"/>
    <n v="144"/>
    <s v="Delivered"/>
    <n v="144"/>
    <d v="2026-05-07T00:00:00"/>
    <m/>
    <m/>
    <x v="4"/>
    <x v="3"/>
  </r>
  <r>
    <n v="1900"/>
    <n v="1930"/>
    <x v="7"/>
    <n v="1"/>
    <n v="180"/>
    <n v="180"/>
    <s v="Delivered"/>
    <n v="180"/>
    <d v="2026-05-07T00:00:00"/>
    <m/>
    <m/>
    <x v="7"/>
    <x v="3"/>
  </r>
  <r>
    <n v="1901"/>
    <n v="1931"/>
    <x v="1"/>
    <n v="1"/>
    <n v="140"/>
    <n v="140"/>
    <s v="Cancelled"/>
    <n v="0"/>
    <d v="2026-03-20T00:00:00"/>
    <m/>
    <m/>
    <x v="1"/>
    <x v="1"/>
  </r>
  <r>
    <n v="1902"/>
    <n v="1932"/>
    <x v="0"/>
    <n v="4"/>
    <n v="750"/>
    <n v="3000"/>
    <s v="Delivered"/>
    <n v="3000"/>
    <d v="2026-02-12T00:00:00"/>
    <m/>
    <m/>
    <x v="0"/>
    <x v="5"/>
  </r>
  <r>
    <n v="1903"/>
    <n v="1933"/>
    <x v="1"/>
    <n v="1"/>
    <n v="140"/>
    <n v="140"/>
    <s v="Delivered"/>
    <n v="140"/>
    <d v="2026-02-13T00:00:00"/>
    <m/>
    <m/>
    <x v="1"/>
    <x v="5"/>
  </r>
  <r>
    <n v="1904"/>
    <n v="1933"/>
    <x v="11"/>
    <n v="4"/>
    <n v="55"/>
    <n v="220"/>
    <s v="Delivered"/>
    <n v="220"/>
    <d v="2026-02-13T00:00:00"/>
    <m/>
    <m/>
    <x v="11"/>
    <x v="5"/>
  </r>
  <r>
    <n v="1905"/>
    <n v="1933"/>
    <x v="2"/>
    <n v="2"/>
    <n v="8"/>
    <n v="16"/>
    <s v="Delivered"/>
    <n v="16"/>
    <d v="2026-02-13T00:00:00"/>
    <m/>
    <m/>
    <x v="2"/>
    <x v="5"/>
  </r>
  <r>
    <n v="1906"/>
    <n v="1934"/>
    <x v="6"/>
    <n v="1"/>
    <n v="45"/>
    <n v="45"/>
    <s v="Delivered"/>
    <n v="45"/>
    <d v="2026-03-16T00:00:00"/>
    <m/>
    <m/>
    <x v="6"/>
    <x v="1"/>
  </r>
  <r>
    <n v="1907"/>
    <n v="1934"/>
    <x v="9"/>
    <n v="3"/>
    <n v="22"/>
    <n v="66"/>
    <s v="Delivered"/>
    <n v="66"/>
    <d v="2026-03-16T00:00:00"/>
    <m/>
    <m/>
    <x v="9"/>
    <x v="1"/>
  </r>
  <r>
    <n v="1908"/>
    <n v="1934"/>
    <x v="5"/>
    <n v="3"/>
    <n v="220"/>
    <n v="660"/>
    <s v="Delivered"/>
    <n v="660"/>
    <d v="2026-03-16T00:00:00"/>
    <m/>
    <m/>
    <x v="5"/>
    <x v="1"/>
  </r>
  <r>
    <n v="1909"/>
    <n v="1935"/>
    <x v="0"/>
    <n v="3"/>
    <n v="750"/>
    <n v="2250"/>
    <s v="Delivered"/>
    <n v="2250"/>
    <d v="2026-06-19T00:00:00"/>
    <m/>
    <m/>
    <x v="0"/>
    <x v="2"/>
  </r>
  <r>
    <n v="1910"/>
    <n v="1935"/>
    <x v="1"/>
    <n v="3"/>
    <n v="140"/>
    <n v="420"/>
    <s v="Delivered"/>
    <n v="420"/>
    <d v="2026-06-19T00:00:00"/>
    <m/>
    <m/>
    <x v="1"/>
    <x v="2"/>
  </r>
  <r>
    <n v="1911"/>
    <n v="1936"/>
    <x v="4"/>
    <n v="4"/>
    <n v="48"/>
    <n v="192"/>
    <s v="Delivered"/>
    <n v="192"/>
    <d v="2026-05-04T00:00:00"/>
    <m/>
    <m/>
    <x v="4"/>
    <x v="3"/>
  </r>
  <r>
    <n v="1912"/>
    <n v="1936"/>
    <x v="0"/>
    <n v="2"/>
    <n v="750"/>
    <n v="1500"/>
    <s v="Delivered"/>
    <n v="1500"/>
    <d v="2026-05-04T00:00:00"/>
    <m/>
    <m/>
    <x v="0"/>
    <x v="3"/>
  </r>
  <r>
    <n v="1913"/>
    <n v="1936"/>
    <x v="6"/>
    <n v="2"/>
    <n v="45"/>
    <n v="90"/>
    <s v="Delivered"/>
    <n v="90"/>
    <d v="2026-05-04T00:00:00"/>
    <m/>
    <m/>
    <x v="6"/>
    <x v="3"/>
  </r>
  <r>
    <n v="1914"/>
    <n v="1937"/>
    <x v="10"/>
    <n v="1"/>
    <n v="65"/>
    <n v="65"/>
    <s v="Delivered"/>
    <n v="65"/>
    <d v="2026-04-21T00:00:00"/>
    <m/>
    <m/>
    <x v="10"/>
    <x v="4"/>
  </r>
  <r>
    <n v="1915"/>
    <n v="1938"/>
    <x v="10"/>
    <n v="4"/>
    <n v="65"/>
    <n v="260"/>
    <s v="Delivered"/>
    <n v="260"/>
    <d v="2026-05-15T00:00:00"/>
    <m/>
    <m/>
    <x v="10"/>
    <x v="3"/>
  </r>
  <r>
    <n v="1916"/>
    <n v="1938"/>
    <x v="2"/>
    <n v="3"/>
    <n v="8"/>
    <n v="24"/>
    <s v="Delivered"/>
    <n v="24"/>
    <d v="2026-05-15T00:00:00"/>
    <m/>
    <m/>
    <x v="2"/>
    <x v="3"/>
  </r>
  <r>
    <n v="1917"/>
    <n v="1939"/>
    <x v="1"/>
    <n v="1"/>
    <n v="140"/>
    <n v="140"/>
    <s v="Delivered"/>
    <n v="140"/>
    <d v="2026-06-06T00:00:00"/>
    <m/>
    <m/>
    <x v="1"/>
    <x v="2"/>
  </r>
  <r>
    <n v="1918"/>
    <n v="1939"/>
    <x v="7"/>
    <n v="4"/>
    <n v="180"/>
    <n v="720"/>
    <s v="Delivered"/>
    <n v="720"/>
    <d v="2026-06-06T00:00:00"/>
    <m/>
    <m/>
    <x v="7"/>
    <x v="2"/>
  </r>
  <r>
    <n v="1919"/>
    <n v="1939"/>
    <x v="5"/>
    <n v="2"/>
    <n v="220"/>
    <n v="440"/>
    <s v="Delivered"/>
    <n v="440"/>
    <d v="2026-06-06T00:00:00"/>
    <m/>
    <m/>
    <x v="5"/>
    <x v="2"/>
  </r>
  <r>
    <n v="1920"/>
    <n v="1940"/>
    <x v="7"/>
    <n v="3"/>
    <n v="180"/>
    <n v="540"/>
    <s v="Delivered"/>
    <n v="540"/>
    <d v="2026-05-23T00:00:00"/>
    <m/>
    <m/>
    <x v="7"/>
    <x v="3"/>
  </r>
  <r>
    <n v="1921"/>
    <n v="1940"/>
    <x v="5"/>
    <n v="1"/>
    <n v="220"/>
    <n v="220"/>
    <s v="Delivered"/>
    <n v="220"/>
    <d v="2026-05-23T00:00:00"/>
    <m/>
    <m/>
    <x v="5"/>
    <x v="3"/>
  </r>
  <r>
    <n v="1922"/>
    <n v="1941"/>
    <x v="1"/>
    <n v="1"/>
    <n v="140"/>
    <n v="140"/>
    <s v="Delivered"/>
    <n v="140"/>
    <d v="2026-01-14T00:00:00"/>
    <m/>
    <m/>
    <x v="1"/>
    <x v="0"/>
  </r>
  <r>
    <n v="1923"/>
    <n v="1941"/>
    <x v="4"/>
    <n v="1"/>
    <n v="48"/>
    <n v="48"/>
    <s v="Delivered"/>
    <n v="48"/>
    <d v="2026-01-14T00:00:00"/>
    <m/>
    <m/>
    <x v="4"/>
    <x v="0"/>
  </r>
  <r>
    <n v="1924"/>
    <n v="1942"/>
    <x v="5"/>
    <n v="3"/>
    <n v="220"/>
    <n v="660"/>
    <s v="Shipped"/>
    <n v="660"/>
    <d v="2026-06-20T00:00:00"/>
    <m/>
    <m/>
    <x v="5"/>
    <x v="2"/>
  </r>
  <r>
    <n v="1925"/>
    <n v="1943"/>
    <x v="3"/>
    <n v="4"/>
    <n v="25"/>
    <n v="100"/>
    <s v="Delivered"/>
    <n v="100"/>
    <d v="2026-02-20T00:00:00"/>
    <m/>
    <m/>
    <x v="3"/>
    <x v="5"/>
  </r>
  <r>
    <n v="1926"/>
    <n v="1943"/>
    <x v="0"/>
    <n v="3"/>
    <n v="750"/>
    <n v="2250"/>
    <s v="Delivered"/>
    <n v="2250"/>
    <d v="2026-02-20T00:00:00"/>
    <m/>
    <m/>
    <x v="0"/>
    <x v="5"/>
  </r>
  <r>
    <n v="1927"/>
    <n v="1944"/>
    <x v="7"/>
    <n v="4"/>
    <n v="180"/>
    <n v="720"/>
    <s v="Cancelled"/>
    <n v="0"/>
    <d v="2026-01-26T00:00:00"/>
    <m/>
    <m/>
    <x v="7"/>
    <x v="0"/>
  </r>
  <r>
    <n v="1928"/>
    <n v="1944"/>
    <x v="6"/>
    <n v="3"/>
    <n v="45"/>
    <n v="135"/>
    <s v="Cancelled"/>
    <n v="0"/>
    <d v="2026-01-26T00:00:00"/>
    <m/>
    <m/>
    <x v="6"/>
    <x v="0"/>
  </r>
  <r>
    <n v="1929"/>
    <n v="1944"/>
    <x v="2"/>
    <n v="2"/>
    <n v="8"/>
    <n v="16"/>
    <s v="Cancelled"/>
    <n v="0"/>
    <d v="2026-01-26T00:00:00"/>
    <m/>
    <m/>
    <x v="2"/>
    <x v="0"/>
  </r>
  <r>
    <n v="1930"/>
    <n v="1945"/>
    <x v="10"/>
    <n v="2"/>
    <n v="65"/>
    <n v="130"/>
    <s v="Delivered"/>
    <n v="130"/>
    <d v="2026-06-24T00:00:00"/>
    <m/>
    <m/>
    <x v="10"/>
    <x v="2"/>
  </r>
  <r>
    <n v="1931"/>
    <n v="1946"/>
    <x v="5"/>
    <n v="4"/>
    <n v="220"/>
    <n v="880"/>
    <s v="Delivered"/>
    <n v="880"/>
    <d v="2026-04-29T00:00:00"/>
    <m/>
    <m/>
    <x v="5"/>
    <x v="4"/>
  </r>
  <r>
    <n v="1932"/>
    <n v="1946"/>
    <x v="6"/>
    <n v="3"/>
    <n v="45"/>
    <n v="135"/>
    <s v="Delivered"/>
    <n v="135"/>
    <d v="2026-04-29T00:00:00"/>
    <m/>
    <m/>
    <x v="6"/>
    <x v="4"/>
  </r>
  <r>
    <n v="1933"/>
    <n v="1947"/>
    <x v="0"/>
    <n v="1"/>
    <n v="750"/>
    <n v="750"/>
    <s v="Delivered"/>
    <n v="750"/>
    <d v="2026-04-20T00:00:00"/>
    <m/>
    <m/>
    <x v="0"/>
    <x v="4"/>
  </r>
  <r>
    <n v="1934"/>
    <n v="1947"/>
    <x v="8"/>
    <n v="4"/>
    <n v="30"/>
    <n v="120"/>
    <s v="Delivered"/>
    <n v="120"/>
    <d v="2026-04-20T00:00:00"/>
    <m/>
    <m/>
    <x v="8"/>
    <x v="4"/>
  </r>
  <r>
    <n v="1935"/>
    <n v="1948"/>
    <x v="8"/>
    <n v="1"/>
    <n v="30"/>
    <n v="30"/>
    <s v="Delivered"/>
    <n v="30"/>
    <d v="2026-05-29T00:00:00"/>
    <m/>
    <m/>
    <x v="8"/>
    <x v="3"/>
  </r>
  <r>
    <n v="1936"/>
    <n v="1948"/>
    <x v="2"/>
    <n v="4"/>
    <n v="8"/>
    <n v="32"/>
    <s v="Delivered"/>
    <n v="32"/>
    <d v="2026-05-29T00:00:00"/>
    <m/>
    <m/>
    <x v="2"/>
    <x v="3"/>
  </r>
  <r>
    <n v="1937"/>
    <n v="1948"/>
    <x v="7"/>
    <n v="2"/>
    <n v="180"/>
    <n v="360"/>
    <s v="Delivered"/>
    <n v="360"/>
    <d v="2026-05-29T00:00:00"/>
    <m/>
    <m/>
    <x v="7"/>
    <x v="3"/>
  </r>
  <r>
    <n v="1938"/>
    <n v="1949"/>
    <x v="7"/>
    <n v="1"/>
    <n v="180"/>
    <n v="180"/>
    <s v="Delivered"/>
    <n v="180"/>
    <d v="2026-04-28T00:00:00"/>
    <m/>
    <m/>
    <x v="7"/>
    <x v="4"/>
  </r>
  <r>
    <n v="1939"/>
    <n v="1950"/>
    <x v="9"/>
    <n v="1"/>
    <n v="22"/>
    <n v="22"/>
    <s v="Delivered"/>
    <n v="22"/>
    <d v="2026-06-26T00:00:00"/>
    <m/>
    <m/>
    <x v="9"/>
    <x v="2"/>
  </r>
  <r>
    <n v="1940"/>
    <n v="1951"/>
    <x v="4"/>
    <n v="1"/>
    <n v="48"/>
    <n v="48"/>
    <s v="Delivered"/>
    <n v="48"/>
    <d v="2026-02-04T00:00:00"/>
    <m/>
    <m/>
    <x v="4"/>
    <x v="5"/>
  </r>
  <r>
    <n v="1941"/>
    <n v="1951"/>
    <x v="7"/>
    <n v="4"/>
    <n v="180"/>
    <n v="720"/>
    <s v="Delivered"/>
    <n v="720"/>
    <d v="2026-02-04T00:00:00"/>
    <m/>
    <m/>
    <x v="7"/>
    <x v="5"/>
  </r>
  <r>
    <n v="1942"/>
    <n v="1952"/>
    <x v="3"/>
    <n v="2"/>
    <n v="25"/>
    <n v="50"/>
    <s v="Cancelled"/>
    <n v="0"/>
    <d v="2026-06-04T00:00:00"/>
    <m/>
    <m/>
    <x v="3"/>
    <x v="2"/>
  </r>
  <r>
    <n v="1943"/>
    <n v="1953"/>
    <x v="10"/>
    <n v="1"/>
    <n v="65"/>
    <n v="65"/>
    <s v="Delivered"/>
    <n v="65"/>
    <d v="2026-01-27T00:00:00"/>
    <m/>
    <m/>
    <x v="10"/>
    <x v="0"/>
  </r>
  <r>
    <n v="1944"/>
    <n v="1953"/>
    <x v="0"/>
    <n v="3"/>
    <n v="750"/>
    <n v="2250"/>
    <s v="Delivered"/>
    <n v="2250"/>
    <d v="2026-01-27T00:00:00"/>
    <m/>
    <m/>
    <x v="0"/>
    <x v="0"/>
  </r>
  <r>
    <n v="1945"/>
    <n v="1954"/>
    <x v="2"/>
    <n v="2"/>
    <n v="8"/>
    <n v="16"/>
    <s v="Delivered"/>
    <n v="16"/>
    <d v="2026-03-08T00:00:00"/>
    <m/>
    <m/>
    <x v="2"/>
    <x v="1"/>
  </r>
  <r>
    <n v="1946"/>
    <n v="1954"/>
    <x v="5"/>
    <n v="1"/>
    <n v="220"/>
    <n v="220"/>
    <s v="Delivered"/>
    <n v="220"/>
    <d v="2026-03-08T00:00:00"/>
    <m/>
    <m/>
    <x v="5"/>
    <x v="1"/>
  </r>
  <r>
    <n v="1947"/>
    <n v="1954"/>
    <x v="10"/>
    <n v="2"/>
    <n v="65"/>
    <n v="130"/>
    <s v="Delivered"/>
    <n v="130"/>
    <d v="2026-03-08T00:00:00"/>
    <m/>
    <m/>
    <x v="10"/>
    <x v="1"/>
  </r>
  <r>
    <n v="1948"/>
    <n v="1955"/>
    <x v="7"/>
    <n v="1"/>
    <n v="180"/>
    <n v="180"/>
    <s v="Delivered"/>
    <n v="180"/>
    <d v="2026-06-29T00:00:00"/>
    <m/>
    <m/>
    <x v="7"/>
    <x v="2"/>
  </r>
  <r>
    <n v="1949"/>
    <n v="1955"/>
    <x v="9"/>
    <n v="4"/>
    <n v="22"/>
    <n v="88"/>
    <s v="Delivered"/>
    <n v="88"/>
    <d v="2026-06-29T00:00:00"/>
    <m/>
    <m/>
    <x v="9"/>
    <x v="2"/>
  </r>
  <r>
    <n v="1950"/>
    <n v="1956"/>
    <x v="0"/>
    <n v="3"/>
    <n v="750"/>
    <n v="2250"/>
    <s v="Delivered"/>
    <n v="2250"/>
    <d v="2026-04-29T00:00:00"/>
    <m/>
    <m/>
    <x v="0"/>
    <x v="4"/>
  </r>
  <r>
    <n v="1951"/>
    <n v="1957"/>
    <x v="1"/>
    <n v="2"/>
    <n v="140"/>
    <n v="280"/>
    <s v="Delivered"/>
    <n v="280"/>
    <d v="2026-01-09T00:00:00"/>
    <m/>
    <m/>
    <x v="1"/>
    <x v="0"/>
  </r>
  <r>
    <n v="1952"/>
    <n v="1958"/>
    <x v="1"/>
    <n v="4"/>
    <n v="140"/>
    <n v="560"/>
    <s v="Delivered"/>
    <n v="560"/>
    <d v="2026-04-02T00:00:00"/>
    <m/>
    <m/>
    <x v="1"/>
    <x v="4"/>
  </r>
  <r>
    <n v="1953"/>
    <n v="1959"/>
    <x v="4"/>
    <n v="4"/>
    <n v="48"/>
    <n v="192"/>
    <s v="Delivered"/>
    <n v="192"/>
    <d v="2026-05-25T00:00:00"/>
    <m/>
    <m/>
    <x v="4"/>
    <x v="3"/>
  </r>
  <r>
    <n v="1954"/>
    <n v="1959"/>
    <x v="7"/>
    <n v="1"/>
    <n v="180"/>
    <n v="180"/>
    <s v="Delivered"/>
    <n v="180"/>
    <d v="2026-05-25T00:00:00"/>
    <m/>
    <m/>
    <x v="7"/>
    <x v="3"/>
  </r>
  <r>
    <n v="1955"/>
    <n v="1960"/>
    <x v="8"/>
    <n v="3"/>
    <n v="30"/>
    <n v="90"/>
    <s v="Delivered"/>
    <n v="90"/>
    <d v="2026-06-05T00:00:00"/>
    <m/>
    <m/>
    <x v="8"/>
    <x v="2"/>
  </r>
  <r>
    <n v="1956"/>
    <n v="1960"/>
    <x v="4"/>
    <n v="2"/>
    <n v="48"/>
    <n v="96"/>
    <s v="Delivered"/>
    <n v="96"/>
    <d v="2026-06-05T00:00:00"/>
    <m/>
    <m/>
    <x v="4"/>
    <x v="2"/>
  </r>
  <r>
    <n v="1957"/>
    <n v="1960"/>
    <x v="9"/>
    <n v="3"/>
    <n v="22"/>
    <n v="66"/>
    <s v="Delivered"/>
    <n v="66"/>
    <d v="2026-06-05T00:00:00"/>
    <m/>
    <m/>
    <x v="9"/>
    <x v="2"/>
  </r>
  <r>
    <n v="1958"/>
    <n v="1961"/>
    <x v="5"/>
    <n v="1"/>
    <n v="220"/>
    <n v="220"/>
    <s v="Delivered"/>
    <n v="220"/>
    <d v="2026-01-18T00:00:00"/>
    <m/>
    <m/>
    <x v="5"/>
    <x v="0"/>
  </r>
  <r>
    <n v="1959"/>
    <n v="1962"/>
    <x v="10"/>
    <n v="1"/>
    <n v="65"/>
    <n v="65"/>
    <s v="Delivered"/>
    <n v="65"/>
    <d v="2026-03-02T00:00:00"/>
    <m/>
    <m/>
    <x v="10"/>
    <x v="1"/>
  </r>
  <r>
    <n v="1960"/>
    <n v="1962"/>
    <x v="9"/>
    <n v="3"/>
    <n v="22"/>
    <n v="66"/>
    <s v="Delivered"/>
    <n v="66"/>
    <d v="2026-03-02T00:00:00"/>
    <m/>
    <m/>
    <x v="9"/>
    <x v="1"/>
  </r>
  <r>
    <n v="1961"/>
    <n v="1962"/>
    <x v="5"/>
    <n v="1"/>
    <n v="220"/>
    <n v="220"/>
    <s v="Delivered"/>
    <n v="220"/>
    <d v="2026-03-02T00:00:00"/>
    <m/>
    <m/>
    <x v="5"/>
    <x v="1"/>
  </r>
  <r>
    <n v="1962"/>
    <n v="1963"/>
    <x v="1"/>
    <n v="1"/>
    <n v="140"/>
    <n v="140"/>
    <s v="Delivered"/>
    <n v="140"/>
    <d v="2026-06-05T00:00:00"/>
    <m/>
    <m/>
    <x v="1"/>
    <x v="2"/>
  </r>
  <r>
    <n v="1963"/>
    <n v="1964"/>
    <x v="11"/>
    <n v="3"/>
    <n v="55"/>
    <n v="165"/>
    <s v="Delivered"/>
    <n v="165"/>
    <d v="2026-05-23T00:00:00"/>
    <m/>
    <m/>
    <x v="11"/>
    <x v="3"/>
  </r>
  <r>
    <n v="1964"/>
    <n v="1964"/>
    <x v="4"/>
    <n v="2"/>
    <n v="48"/>
    <n v="96"/>
    <s v="Delivered"/>
    <n v="96"/>
    <d v="2026-05-23T00:00:00"/>
    <m/>
    <m/>
    <x v="4"/>
    <x v="3"/>
  </r>
  <r>
    <n v="1965"/>
    <n v="1965"/>
    <x v="0"/>
    <n v="2"/>
    <n v="750"/>
    <n v="1500"/>
    <s v="Delivered"/>
    <n v="1500"/>
    <d v="2026-01-23T00:00:00"/>
    <m/>
    <m/>
    <x v="0"/>
    <x v="0"/>
  </r>
  <r>
    <n v="1966"/>
    <n v="1966"/>
    <x v="3"/>
    <n v="4"/>
    <n v="25"/>
    <n v="100"/>
    <s v="Delivered"/>
    <n v="100"/>
    <d v="2026-01-19T00:00:00"/>
    <m/>
    <m/>
    <x v="3"/>
    <x v="0"/>
  </r>
  <r>
    <n v="1967"/>
    <n v="1966"/>
    <x v="9"/>
    <n v="3"/>
    <n v="22"/>
    <n v="66"/>
    <s v="Delivered"/>
    <n v="66"/>
    <d v="2026-01-19T00:00:00"/>
    <m/>
    <m/>
    <x v="9"/>
    <x v="0"/>
  </r>
  <r>
    <n v="1968"/>
    <n v="1967"/>
    <x v="2"/>
    <n v="1"/>
    <n v="8"/>
    <n v="8"/>
    <s v="Delivered"/>
    <n v="8"/>
    <d v="2026-04-23T00:00:00"/>
    <m/>
    <m/>
    <x v="2"/>
    <x v="4"/>
  </r>
  <r>
    <n v="1969"/>
    <n v="1968"/>
    <x v="0"/>
    <n v="3"/>
    <n v="750"/>
    <n v="2250"/>
    <s v="Delivered"/>
    <n v="2250"/>
    <d v="2026-03-01T00:00:00"/>
    <m/>
    <m/>
    <x v="0"/>
    <x v="1"/>
  </r>
  <r>
    <n v="1970"/>
    <n v="1968"/>
    <x v="3"/>
    <n v="3"/>
    <n v="25"/>
    <n v="75"/>
    <s v="Delivered"/>
    <n v="75"/>
    <d v="2026-03-01T00:00:00"/>
    <m/>
    <m/>
    <x v="3"/>
    <x v="1"/>
  </r>
  <r>
    <n v="1971"/>
    <n v="1969"/>
    <x v="8"/>
    <n v="3"/>
    <n v="30"/>
    <n v="90"/>
    <s v="Delivered"/>
    <n v="90"/>
    <d v="2026-03-15T00:00:00"/>
    <m/>
    <m/>
    <x v="8"/>
    <x v="1"/>
  </r>
  <r>
    <n v="1972"/>
    <n v="1970"/>
    <x v="0"/>
    <n v="4"/>
    <n v="750"/>
    <n v="3000"/>
    <s v="Delivered"/>
    <n v="3000"/>
    <d v="2026-05-30T00:00:00"/>
    <m/>
    <m/>
    <x v="0"/>
    <x v="3"/>
  </r>
  <r>
    <n v="1973"/>
    <n v="1970"/>
    <x v="9"/>
    <n v="3"/>
    <n v="22"/>
    <n v="66"/>
    <s v="Delivered"/>
    <n v="66"/>
    <d v="2026-05-30T00:00:00"/>
    <m/>
    <m/>
    <x v="9"/>
    <x v="3"/>
  </r>
  <r>
    <n v="1974"/>
    <n v="1970"/>
    <x v="1"/>
    <n v="2"/>
    <n v="140"/>
    <n v="280"/>
    <s v="Delivered"/>
    <n v="280"/>
    <d v="2026-05-30T00:00:00"/>
    <m/>
    <m/>
    <x v="1"/>
    <x v="3"/>
  </r>
  <r>
    <n v="1975"/>
    <n v="1971"/>
    <x v="11"/>
    <n v="1"/>
    <n v="55"/>
    <n v="55"/>
    <s v="Shipped"/>
    <n v="55"/>
    <d v="2026-03-26T00:00:00"/>
    <m/>
    <m/>
    <x v="11"/>
    <x v="1"/>
  </r>
  <r>
    <n v="1976"/>
    <n v="1972"/>
    <x v="5"/>
    <n v="1"/>
    <n v="220"/>
    <n v="220"/>
    <s v="Delivered"/>
    <n v="220"/>
    <d v="2026-06-06T00:00:00"/>
    <m/>
    <m/>
    <x v="5"/>
    <x v="2"/>
  </r>
  <r>
    <n v="1977"/>
    <n v="1972"/>
    <x v="10"/>
    <n v="4"/>
    <n v="65"/>
    <n v="260"/>
    <s v="Delivered"/>
    <n v="260"/>
    <d v="2026-06-06T00:00:00"/>
    <m/>
    <m/>
    <x v="10"/>
    <x v="2"/>
  </r>
  <r>
    <n v="1978"/>
    <n v="1973"/>
    <x v="11"/>
    <n v="2"/>
    <n v="55"/>
    <n v="110"/>
    <s v="Delivered"/>
    <n v="110"/>
    <d v="2026-05-08T00:00:00"/>
    <m/>
    <m/>
    <x v="11"/>
    <x v="3"/>
  </r>
  <r>
    <n v="1979"/>
    <n v="1973"/>
    <x v="7"/>
    <n v="1"/>
    <n v="180"/>
    <n v="180"/>
    <s v="Delivered"/>
    <n v="180"/>
    <d v="2026-05-08T00:00:00"/>
    <m/>
    <m/>
    <x v="7"/>
    <x v="3"/>
  </r>
  <r>
    <n v="1980"/>
    <n v="1974"/>
    <x v="4"/>
    <n v="4"/>
    <n v="48"/>
    <n v="192"/>
    <s v="Delivered"/>
    <n v="192"/>
    <d v="2026-05-17T00:00:00"/>
    <m/>
    <m/>
    <x v="4"/>
    <x v="3"/>
  </r>
  <r>
    <n v="1981"/>
    <n v="1974"/>
    <x v="0"/>
    <n v="1"/>
    <n v="750"/>
    <n v="750"/>
    <s v="Delivered"/>
    <n v="750"/>
    <d v="2026-05-17T00:00:00"/>
    <m/>
    <m/>
    <x v="0"/>
    <x v="3"/>
  </r>
  <r>
    <n v="1982"/>
    <n v="1974"/>
    <x v="8"/>
    <n v="4"/>
    <n v="30"/>
    <n v="120"/>
    <s v="Delivered"/>
    <n v="120"/>
    <d v="2026-05-17T00:00:00"/>
    <m/>
    <m/>
    <x v="8"/>
    <x v="3"/>
  </r>
  <r>
    <n v="1983"/>
    <n v="1975"/>
    <x v="2"/>
    <n v="3"/>
    <n v="8"/>
    <n v="24"/>
    <s v="Delivered"/>
    <n v="24"/>
    <d v="2026-05-21T00:00:00"/>
    <m/>
    <m/>
    <x v="2"/>
    <x v="3"/>
  </r>
  <r>
    <n v="1984"/>
    <n v="1976"/>
    <x v="10"/>
    <n v="1"/>
    <n v="65"/>
    <n v="65"/>
    <s v="Delivered"/>
    <n v="65"/>
    <d v="2026-03-01T00:00:00"/>
    <m/>
    <m/>
    <x v="10"/>
    <x v="1"/>
  </r>
  <r>
    <n v="1985"/>
    <n v="1977"/>
    <x v="7"/>
    <n v="1"/>
    <n v="180"/>
    <n v="180"/>
    <s v="Delivered"/>
    <n v="180"/>
    <d v="2026-01-20T00:00:00"/>
    <m/>
    <m/>
    <x v="7"/>
    <x v="0"/>
  </r>
  <r>
    <n v="1986"/>
    <n v="1978"/>
    <x v="5"/>
    <n v="1"/>
    <n v="220"/>
    <n v="220"/>
    <s v="Delivered"/>
    <n v="220"/>
    <d v="2026-02-03T00:00:00"/>
    <m/>
    <m/>
    <x v="5"/>
    <x v="5"/>
  </r>
  <r>
    <n v="1987"/>
    <n v="1978"/>
    <x v="4"/>
    <n v="3"/>
    <n v="48"/>
    <n v="144"/>
    <s v="Delivered"/>
    <n v="144"/>
    <d v="2026-02-03T00:00:00"/>
    <m/>
    <m/>
    <x v="4"/>
    <x v="5"/>
  </r>
  <r>
    <n v="1988"/>
    <n v="1978"/>
    <x v="9"/>
    <n v="2"/>
    <n v="22"/>
    <n v="44"/>
    <s v="Delivered"/>
    <n v="44"/>
    <d v="2026-02-03T00:00:00"/>
    <m/>
    <m/>
    <x v="9"/>
    <x v="5"/>
  </r>
  <r>
    <n v="1989"/>
    <n v="1979"/>
    <x v="7"/>
    <n v="3"/>
    <n v="180"/>
    <n v="540"/>
    <s v="Delivered"/>
    <n v="540"/>
    <d v="2026-04-24T00:00:00"/>
    <m/>
    <m/>
    <x v="7"/>
    <x v="4"/>
  </r>
  <r>
    <n v="1990"/>
    <n v="1979"/>
    <x v="4"/>
    <n v="3"/>
    <n v="48"/>
    <n v="144"/>
    <s v="Delivered"/>
    <n v="144"/>
    <d v="2026-04-24T00:00:00"/>
    <m/>
    <m/>
    <x v="4"/>
    <x v="4"/>
  </r>
  <r>
    <n v="1991"/>
    <n v="1979"/>
    <x v="3"/>
    <n v="1"/>
    <n v="25"/>
    <n v="25"/>
    <s v="Delivered"/>
    <n v="25"/>
    <d v="2026-04-24T00:00:00"/>
    <m/>
    <m/>
    <x v="3"/>
    <x v="4"/>
  </r>
  <r>
    <n v="1992"/>
    <n v="1980"/>
    <x v="8"/>
    <n v="2"/>
    <n v="30"/>
    <n v="60"/>
    <s v="Delivered"/>
    <n v="60"/>
    <d v="2026-05-05T00:00:00"/>
    <m/>
    <m/>
    <x v="8"/>
    <x v="3"/>
  </r>
  <r>
    <n v="1993"/>
    <n v="1981"/>
    <x v="11"/>
    <n v="1"/>
    <n v="55"/>
    <n v="55"/>
    <s v="Delivered"/>
    <n v="55"/>
    <d v="2026-02-06T00:00:00"/>
    <m/>
    <m/>
    <x v="11"/>
    <x v="5"/>
  </r>
  <r>
    <n v="1994"/>
    <n v="1981"/>
    <x v="4"/>
    <n v="1"/>
    <n v="48"/>
    <n v="48"/>
    <s v="Delivered"/>
    <n v="48"/>
    <d v="2026-02-06T00:00:00"/>
    <m/>
    <m/>
    <x v="4"/>
    <x v="5"/>
  </r>
  <r>
    <n v="1995"/>
    <n v="1981"/>
    <x v="9"/>
    <n v="4"/>
    <n v="22"/>
    <n v="88"/>
    <s v="Delivered"/>
    <n v="88"/>
    <d v="2026-02-06T00:00:00"/>
    <m/>
    <m/>
    <x v="9"/>
    <x v="5"/>
  </r>
  <r>
    <n v="1996"/>
    <n v="1982"/>
    <x v="0"/>
    <n v="4"/>
    <n v="750"/>
    <n v="3000"/>
    <s v="Delivered"/>
    <n v="3000"/>
    <d v="2026-01-22T00:00:00"/>
    <m/>
    <m/>
    <x v="0"/>
    <x v="0"/>
  </r>
  <r>
    <n v="1997"/>
    <n v="1982"/>
    <x v="10"/>
    <n v="4"/>
    <n v="65"/>
    <n v="260"/>
    <s v="Delivered"/>
    <n v="260"/>
    <d v="2026-01-22T00:00:00"/>
    <m/>
    <m/>
    <x v="10"/>
    <x v="0"/>
  </r>
  <r>
    <n v="1998"/>
    <n v="1983"/>
    <x v="8"/>
    <n v="3"/>
    <n v="30"/>
    <n v="90"/>
    <s v="Delivered"/>
    <n v="90"/>
    <d v="2026-05-17T00:00:00"/>
    <m/>
    <m/>
    <x v="8"/>
    <x v="3"/>
  </r>
  <r>
    <n v="1999"/>
    <n v="1984"/>
    <x v="1"/>
    <n v="4"/>
    <n v="140"/>
    <n v="560"/>
    <s v="Delivered"/>
    <n v="560"/>
    <d v="2026-03-09T00:00:00"/>
    <m/>
    <m/>
    <x v="1"/>
    <x v="1"/>
  </r>
  <r>
    <n v="2000"/>
    <n v="1985"/>
    <x v="11"/>
    <n v="3"/>
    <n v="55"/>
    <n v="165"/>
    <s v="Delivered"/>
    <n v="165"/>
    <d v="2026-01-28T00:00:00"/>
    <m/>
    <m/>
    <x v="11"/>
    <x v="0"/>
  </r>
  <r>
    <n v="2001"/>
    <n v="1985"/>
    <x v="10"/>
    <n v="2"/>
    <n v="65"/>
    <n v="130"/>
    <s v="Delivered"/>
    <n v="130"/>
    <d v="2026-01-28T00:00:00"/>
    <m/>
    <m/>
    <x v="10"/>
    <x v="0"/>
  </r>
  <r>
    <n v="2002"/>
    <n v="1985"/>
    <x v="2"/>
    <n v="4"/>
    <n v="8"/>
    <n v="32"/>
    <s v="Delivered"/>
    <n v="32"/>
    <d v="2026-01-28T00:00:00"/>
    <m/>
    <m/>
    <x v="2"/>
    <x v="0"/>
  </r>
  <r>
    <n v="2003"/>
    <n v="1986"/>
    <x v="3"/>
    <n v="3"/>
    <n v="25"/>
    <n v="75"/>
    <s v="Delivered"/>
    <n v="75"/>
    <d v="2026-03-13T00:00:00"/>
    <m/>
    <m/>
    <x v="3"/>
    <x v="1"/>
  </r>
  <r>
    <n v="2004"/>
    <n v="1987"/>
    <x v="7"/>
    <n v="3"/>
    <n v="180"/>
    <n v="540"/>
    <s v="Delivered"/>
    <n v="540"/>
    <d v="2026-03-10T00:00:00"/>
    <m/>
    <m/>
    <x v="7"/>
    <x v="1"/>
  </r>
  <r>
    <n v="2005"/>
    <n v="1988"/>
    <x v="11"/>
    <n v="2"/>
    <n v="55"/>
    <n v="110"/>
    <s v="Delivered"/>
    <n v="110"/>
    <d v="2026-04-23T00:00:00"/>
    <m/>
    <m/>
    <x v="11"/>
    <x v="4"/>
  </r>
  <r>
    <n v="2006"/>
    <n v="1988"/>
    <x v="4"/>
    <n v="4"/>
    <n v="48"/>
    <n v="192"/>
    <s v="Delivered"/>
    <n v="192"/>
    <d v="2026-04-23T00:00:00"/>
    <m/>
    <m/>
    <x v="4"/>
    <x v="4"/>
  </r>
  <r>
    <n v="2007"/>
    <n v="1989"/>
    <x v="6"/>
    <n v="3"/>
    <n v="45"/>
    <n v="135"/>
    <s v="Delivered"/>
    <n v="135"/>
    <d v="2026-05-22T00:00:00"/>
    <m/>
    <m/>
    <x v="6"/>
    <x v="3"/>
  </r>
  <r>
    <n v="2008"/>
    <n v="1989"/>
    <x v="7"/>
    <n v="3"/>
    <n v="180"/>
    <n v="540"/>
    <s v="Delivered"/>
    <n v="540"/>
    <d v="2026-05-22T00:00:00"/>
    <m/>
    <m/>
    <x v="7"/>
    <x v="3"/>
  </r>
  <r>
    <n v="2009"/>
    <n v="1990"/>
    <x v="4"/>
    <n v="1"/>
    <n v="48"/>
    <n v="48"/>
    <s v="Delivered"/>
    <n v="48"/>
    <d v="2026-06-08T00:00:00"/>
    <m/>
    <m/>
    <x v="4"/>
    <x v="2"/>
  </r>
  <r>
    <n v="2010"/>
    <n v="1991"/>
    <x v="9"/>
    <n v="3"/>
    <n v="22"/>
    <n v="66"/>
    <s v="Delivered"/>
    <n v="66"/>
    <d v="2026-01-11T00:00:00"/>
    <m/>
    <m/>
    <x v="9"/>
    <x v="0"/>
  </r>
  <r>
    <n v="2011"/>
    <n v="1992"/>
    <x v="5"/>
    <n v="4"/>
    <n v="220"/>
    <n v="880"/>
    <s v="Delivered"/>
    <n v="880"/>
    <d v="2026-05-19T00:00:00"/>
    <m/>
    <m/>
    <x v="5"/>
    <x v="3"/>
  </r>
  <r>
    <n v="2012"/>
    <n v="1992"/>
    <x v="9"/>
    <n v="1"/>
    <n v="22"/>
    <n v="22"/>
    <s v="Delivered"/>
    <n v="22"/>
    <d v="2026-05-19T00:00:00"/>
    <m/>
    <m/>
    <x v="9"/>
    <x v="3"/>
  </r>
  <r>
    <n v="2013"/>
    <n v="1993"/>
    <x v="6"/>
    <n v="3"/>
    <n v="45"/>
    <n v="135"/>
    <s v="Delivered"/>
    <n v="135"/>
    <d v="2026-06-24T00:00:00"/>
    <m/>
    <m/>
    <x v="6"/>
    <x v="2"/>
  </r>
  <r>
    <n v="2014"/>
    <n v="1993"/>
    <x v="0"/>
    <n v="3"/>
    <n v="750"/>
    <n v="2250"/>
    <s v="Delivered"/>
    <n v="2250"/>
    <d v="2026-06-24T00:00:00"/>
    <m/>
    <m/>
    <x v="0"/>
    <x v="2"/>
  </r>
  <r>
    <n v="2015"/>
    <n v="1994"/>
    <x v="0"/>
    <n v="2"/>
    <n v="750"/>
    <n v="1500"/>
    <s v="Delivered"/>
    <n v="1500"/>
    <d v="2026-03-17T00:00:00"/>
    <m/>
    <m/>
    <x v="0"/>
    <x v="1"/>
  </r>
  <r>
    <n v="2016"/>
    <n v="1994"/>
    <x v="7"/>
    <n v="1"/>
    <n v="180"/>
    <n v="180"/>
    <s v="Delivered"/>
    <n v="180"/>
    <d v="2026-03-17T00:00:00"/>
    <m/>
    <m/>
    <x v="7"/>
    <x v="1"/>
  </r>
  <r>
    <n v="2017"/>
    <n v="1995"/>
    <x v="10"/>
    <n v="1"/>
    <n v="65"/>
    <n v="65"/>
    <s v="Delivered"/>
    <n v="65"/>
    <d v="2026-05-11T00:00:00"/>
    <m/>
    <m/>
    <x v="10"/>
    <x v="3"/>
  </r>
  <r>
    <n v="2018"/>
    <n v="1996"/>
    <x v="8"/>
    <n v="4"/>
    <n v="30"/>
    <n v="120"/>
    <s v="Shipped"/>
    <n v="120"/>
    <d v="2026-01-21T00:00:00"/>
    <m/>
    <m/>
    <x v="8"/>
    <x v="0"/>
  </r>
  <r>
    <n v="2019"/>
    <n v="1996"/>
    <x v="2"/>
    <n v="1"/>
    <n v="8"/>
    <n v="8"/>
    <s v="Shipped"/>
    <n v="8"/>
    <d v="2026-01-21T00:00:00"/>
    <m/>
    <m/>
    <x v="2"/>
    <x v="0"/>
  </r>
  <r>
    <n v="2020"/>
    <n v="1996"/>
    <x v="9"/>
    <n v="1"/>
    <n v="22"/>
    <n v="22"/>
    <s v="Shipped"/>
    <n v="22"/>
    <d v="2026-01-21T00:00:00"/>
    <m/>
    <m/>
    <x v="9"/>
    <x v="0"/>
  </r>
  <r>
    <n v="2021"/>
    <n v="1997"/>
    <x v="3"/>
    <n v="3"/>
    <n v="25"/>
    <n v="75"/>
    <s v="Delivered"/>
    <n v="75"/>
    <d v="2026-05-15T00:00:00"/>
    <m/>
    <m/>
    <x v="3"/>
    <x v="3"/>
  </r>
  <r>
    <n v="2022"/>
    <n v="1997"/>
    <x v="2"/>
    <n v="2"/>
    <n v="8"/>
    <n v="16"/>
    <s v="Delivered"/>
    <n v="16"/>
    <d v="2026-05-15T00:00:00"/>
    <m/>
    <m/>
    <x v="2"/>
    <x v="3"/>
  </r>
  <r>
    <n v="2023"/>
    <n v="1998"/>
    <x v="3"/>
    <n v="3"/>
    <n v="25"/>
    <n v="75"/>
    <s v="Delivered"/>
    <n v="75"/>
    <d v="2026-04-27T00:00:00"/>
    <m/>
    <m/>
    <x v="3"/>
    <x v="4"/>
  </r>
  <r>
    <n v="2024"/>
    <n v="1998"/>
    <x v="11"/>
    <n v="1"/>
    <n v="55"/>
    <n v="55"/>
    <s v="Delivered"/>
    <n v="55"/>
    <d v="2026-04-27T00:00:00"/>
    <m/>
    <m/>
    <x v="11"/>
    <x v="4"/>
  </r>
  <r>
    <n v="2025"/>
    <n v="1998"/>
    <x v="10"/>
    <n v="3"/>
    <n v="65"/>
    <n v="195"/>
    <s v="Delivered"/>
    <n v="195"/>
    <d v="2026-04-27T00:00:00"/>
    <m/>
    <m/>
    <x v="10"/>
    <x v="4"/>
  </r>
  <r>
    <n v="2026"/>
    <n v="1999"/>
    <x v="2"/>
    <n v="2"/>
    <n v="8"/>
    <n v="16"/>
    <s v="Delivered"/>
    <n v="16"/>
    <d v="2026-06-04T00:00:00"/>
    <m/>
    <m/>
    <x v="2"/>
    <x v="2"/>
  </r>
  <r>
    <n v="2027"/>
    <n v="2000"/>
    <x v="1"/>
    <n v="1"/>
    <n v="140"/>
    <n v="140"/>
    <s v="Delivered"/>
    <n v="140"/>
    <d v="2026-05-30T00:00:00"/>
    <m/>
    <m/>
    <x v="1"/>
    <x v="3"/>
  </r>
  <r>
    <n v="2028"/>
    <n v="2000"/>
    <x v="9"/>
    <n v="1"/>
    <n v="22"/>
    <n v="22"/>
    <s v="Delivered"/>
    <n v="22"/>
    <d v="2026-05-30T00:00:00"/>
    <m/>
    <m/>
    <x v="9"/>
    <x v="3"/>
  </r>
  <r>
    <n v="2029"/>
    <n v="2001"/>
    <x v="11"/>
    <n v="1"/>
    <n v="55"/>
    <n v="55"/>
    <s v="Cancelled"/>
    <n v="0"/>
    <d v="2026-06-11T00:00:00"/>
    <m/>
    <m/>
    <x v="11"/>
    <x v="2"/>
  </r>
  <r>
    <n v="2030"/>
    <n v="2002"/>
    <x v="9"/>
    <n v="2"/>
    <n v="22"/>
    <n v="44"/>
    <s v="Delivered"/>
    <n v="44"/>
    <d v="2026-02-12T00:00:00"/>
    <m/>
    <m/>
    <x v="9"/>
    <x v="5"/>
  </r>
  <r>
    <n v="2031"/>
    <n v="2002"/>
    <x v="11"/>
    <n v="1"/>
    <n v="55"/>
    <n v="55"/>
    <s v="Delivered"/>
    <n v="55"/>
    <d v="2026-02-12T00:00:00"/>
    <m/>
    <m/>
    <x v="11"/>
    <x v="5"/>
  </r>
  <r>
    <n v="2032"/>
    <n v="2002"/>
    <x v="5"/>
    <n v="4"/>
    <n v="220"/>
    <n v="880"/>
    <s v="Delivered"/>
    <n v="880"/>
    <d v="2026-02-12T00:00:00"/>
    <m/>
    <m/>
    <x v="5"/>
    <x v="5"/>
  </r>
  <r>
    <n v="2033"/>
    <n v="2003"/>
    <x v="6"/>
    <n v="2"/>
    <n v="45"/>
    <n v="90"/>
    <s v="Shipped"/>
    <n v="90"/>
    <d v="2026-05-16T00:00:00"/>
    <m/>
    <m/>
    <x v="6"/>
    <x v="3"/>
  </r>
  <r>
    <n v="2034"/>
    <n v="2003"/>
    <x v="10"/>
    <n v="3"/>
    <n v="65"/>
    <n v="195"/>
    <s v="Shipped"/>
    <n v="195"/>
    <d v="2026-05-16T00:00:00"/>
    <m/>
    <m/>
    <x v="10"/>
    <x v="3"/>
  </r>
  <r>
    <n v="2035"/>
    <n v="2004"/>
    <x v="0"/>
    <n v="4"/>
    <n v="750"/>
    <n v="3000"/>
    <s v="Delivered"/>
    <n v="3000"/>
    <d v="2026-06-01T00:00:00"/>
    <m/>
    <m/>
    <x v="0"/>
    <x v="2"/>
  </r>
  <r>
    <n v="2036"/>
    <n v="2004"/>
    <x v="5"/>
    <n v="4"/>
    <n v="220"/>
    <n v="880"/>
    <s v="Delivered"/>
    <n v="880"/>
    <d v="2026-06-01T00:00:00"/>
    <m/>
    <m/>
    <x v="5"/>
    <x v="2"/>
  </r>
  <r>
    <n v="2037"/>
    <n v="2004"/>
    <x v="1"/>
    <n v="4"/>
    <n v="140"/>
    <n v="560"/>
    <s v="Delivered"/>
    <n v="560"/>
    <d v="2026-06-01T00:00:00"/>
    <m/>
    <m/>
    <x v="1"/>
    <x v="2"/>
  </r>
  <r>
    <n v="2038"/>
    <n v="2005"/>
    <x v="6"/>
    <n v="1"/>
    <n v="45"/>
    <n v="45"/>
    <s v="Delivered"/>
    <n v="45"/>
    <d v="2026-02-04T00:00:00"/>
    <m/>
    <m/>
    <x v="6"/>
    <x v="5"/>
  </r>
  <r>
    <n v="2039"/>
    <n v="2006"/>
    <x v="2"/>
    <n v="2"/>
    <n v="8"/>
    <n v="16"/>
    <s v="Delivered"/>
    <n v="16"/>
    <d v="2026-03-24T00:00:00"/>
    <m/>
    <m/>
    <x v="2"/>
    <x v="1"/>
  </r>
  <r>
    <n v="2040"/>
    <n v="2006"/>
    <x v="7"/>
    <n v="3"/>
    <n v="180"/>
    <n v="540"/>
    <s v="Delivered"/>
    <n v="540"/>
    <d v="2026-03-24T00:00:00"/>
    <m/>
    <m/>
    <x v="7"/>
    <x v="1"/>
  </r>
  <r>
    <n v="2041"/>
    <n v="2006"/>
    <x v="5"/>
    <n v="4"/>
    <n v="220"/>
    <n v="880"/>
    <s v="Delivered"/>
    <n v="880"/>
    <d v="2026-03-24T00:00:00"/>
    <m/>
    <m/>
    <x v="5"/>
    <x v="1"/>
  </r>
  <r>
    <n v="2042"/>
    <n v="2007"/>
    <x v="1"/>
    <n v="3"/>
    <n v="140"/>
    <n v="420"/>
    <s v="Delivered"/>
    <n v="420"/>
    <d v="2026-05-11T00:00:00"/>
    <m/>
    <m/>
    <x v="1"/>
    <x v="3"/>
  </r>
  <r>
    <n v="2043"/>
    <n v="2007"/>
    <x v="10"/>
    <n v="2"/>
    <n v="65"/>
    <n v="130"/>
    <s v="Delivered"/>
    <n v="130"/>
    <d v="2026-05-11T00:00:00"/>
    <m/>
    <m/>
    <x v="10"/>
    <x v="3"/>
  </r>
  <r>
    <n v="2044"/>
    <n v="2008"/>
    <x v="2"/>
    <n v="3"/>
    <n v="8"/>
    <n v="24"/>
    <s v="Delivered"/>
    <n v="24"/>
    <d v="2026-02-23T00:00:00"/>
    <m/>
    <m/>
    <x v="2"/>
    <x v="5"/>
  </r>
  <r>
    <n v="2045"/>
    <n v="2008"/>
    <x v="1"/>
    <n v="3"/>
    <n v="140"/>
    <n v="420"/>
    <s v="Delivered"/>
    <n v="420"/>
    <d v="2026-02-23T00:00:00"/>
    <m/>
    <m/>
    <x v="1"/>
    <x v="5"/>
  </r>
  <r>
    <n v="2046"/>
    <n v="2008"/>
    <x v="5"/>
    <n v="2"/>
    <n v="220"/>
    <n v="440"/>
    <s v="Delivered"/>
    <n v="440"/>
    <d v="2026-02-23T00:00:00"/>
    <m/>
    <m/>
    <x v="5"/>
    <x v="5"/>
  </r>
  <r>
    <n v="2047"/>
    <n v="2009"/>
    <x v="5"/>
    <n v="2"/>
    <n v="220"/>
    <n v="440"/>
    <s v="Shipped"/>
    <n v="440"/>
    <d v="2026-03-15T00:00:00"/>
    <m/>
    <m/>
    <x v="5"/>
    <x v="1"/>
  </r>
  <r>
    <n v="2048"/>
    <n v="2009"/>
    <x v="3"/>
    <n v="1"/>
    <n v="25"/>
    <n v="25"/>
    <s v="Shipped"/>
    <n v="25"/>
    <d v="2026-03-15T00:00:00"/>
    <m/>
    <m/>
    <x v="3"/>
    <x v="1"/>
  </r>
  <r>
    <n v="2049"/>
    <n v="2009"/>
    <x v="7"/>
    <n v="2"/>
    <n v="180"/>
    <n v="360"/>
    <s v="Shipped"/>
    <n v="360"/>
    <d v="2026-03-15T00:00:00"/>
    <m/>
    <m/>
    <x v="7"/>
    <x v="1"/>
  </r>
  <r>
    <n v="2050"/>
    <n v="2010"/>
    <x v="8"/>
    <n v="4"/>
    <n v="30"/>
    <n v="120"/>
    <s v="Delivered"/>
    <n v="120"/>
    <d v="2026-02-13T00:00:00"/>
    <m/>
    <m/>
    <x v="8"/>
    <x v="5"/>
  </r>
  <r>
    <n v="2051"/>
    <n v="2010"/>
    <x v="3"/>
    <n v="1"/>
    <n v="25"/>
    <n v="25"/>
    <s v="Delivered"/>
    <n v="25"/>
    <d v="2026-02-13T00:00:00"/>
    <m/>
    <m/>
    <x v="3"/>
    <x v="5"/>
  </r>
  <r>
    <n v="2052"/>
    <n v="2010"/>
    <x v="0"/>
    <n v="3"/>
    <n v="750"/>
    <n v="2250"/>
    <s v="Delivered"/>
    <n v="2250"/>
    <d v="2026-02-13T00:00:00"/>
    <m/>
    <m/>
    <x v="0"/>
    <x v="5"/>
  </r>
  <r>
    <n v="2053"/>
    <n v="2011"/>
    <x v="5"/>
    <n v="4"/>
    <n v="220"/>
    <n v="880"/>
    <s v="Delivered"/>
    <n v="880"/>
    <d v="2026-04-24T00:00:00"/>
    <m/>
    <m/>
    <x v="5"/>
    <x v="4"/>
  </r>
  <r>
    <n v="2054"/>
    <n v="2011"/>
    <x v="9"/>
    <n v="4"/>
    <n v="22"/>
    <n v="88"/>
    <s v="Delivered"/>
    <n v="88"/>
    <d v="2026-04-24T00:00:00"/>
    <m/>
    <m/>
    <x v="9"/>
    <x v="4"/>
  </r>
  <r>
    <n v="2055"/>
    <n v="2012"/>
    <x v="9"/>
    <n v="2"/>
    <n v="22"/>
    <n v="44"/>
    <s v="Delivered"/>
    <n v="44"/>
    <d v="2026-06-21T00:00:00"/>
    <m/>
    <m/>
    <x v="9"/>
    <x v="2"/>
  </r>
  <r>
    <n v="2056"/>
    <n v="2013"/>
    <x v="5"/>
    <n v="4"/>
    <n v="220"/>
    <n v="880"/>
    <s v="Delivered"/>
    <n v="880"/>
    <d v="2026-04-27T00:00:00"/>
    <m/>
    <m/>
    <x v="5"/>
    <x v="4"/>
  </r>
  <r>
    <n v="2057"/>
    <n v="2013"/>
    <x v="1"/>
    <n v="1"/>
    <n v="140"/>
    <n v="140"/>
    <s v="Delivered"/>
    <n v="140"/>
    <d v="2026-04-27T00:00:00"/>
    <m/>
    <m/>
    <x v="1"/>
    <x v="4"/>
  </r>
  <r>
    <n v="2058"/>
    <n v="2013"/>
    <x v="0"/>
    <n v="3"/>
    <n v="750"/>
    <n v="2250"/>
    <s v="Delivered"/>
    <n v="2250"/>
    <d v="2026-04-27T00:00:00"/>
    <m/>
    <m/>
    <x v="0"/>
    <x v="4"/>
  </r>
  <r>
    <n v="2059"/>
    <n v="2014"/>
    <x v="6"/>
    <n v="4"/>
    <n v="45"/>
    <n v="180"/>
    <s v="Shipped"/>
    <n v="180"/>
    <d v="2026-01-10T00:00:00"/>
    <m/>
    <m/>
    <x v="6"/>
    <x v="0"/>
  </r>
  <r>
    <n v="2060"/>
    <n v="2015"/>
    <x v="11"/>
    <n v="2"/>
    <n v="55"/>
    <n v="110"/>
    <s v="Delivered"/>
    <n v="110"/>
    <d v="2026-06-22T00:00:00"/>
    <m/>
    <m/>
    <x v="11"/>
    <x v="2"/>
  </r>
  <r>
    <n v="2061"/>
    <n v="2016"/>
    <x v="10"/>
    <n v="1"/>
    <n v="65"/>
    <n v="65"/>
    <s v="Cancelled"/>
    <n v="0"/>
    <d v="2026-05-13T00:00:00"/>
    <m/>
    <m/>
    <x v="10"/>
    <x v="3"/>
  </r>
  <r>
    <n v="2062"/>
    <n v="2017"/>
    <x v="6"/>
    <n v="3"/>
    <n v="45"/>
    <n v="135"/>
    <s v="Delivered"/>
    <n v="135"/>
    <d v="2026-05-06T00:00:00"/>
    <m/>
    <m/>
    <x v="6"/>
    <x v="3"/>
  </r>
  <r>
    <n v="2063"/>
    <n v="2017"/>
    <x v="0"/>
    <n v="4"/>
    <n v="750"/>
    <n v="3000"/>
    <s v="Delivered"/>
    <n v="3000"/>
    <d v="2026-05-06T00:00:00"/>
    <m/>
    <m/>
    <x v="0"/>
    <x v="3"/>
  </r>
  <r>
    <n v="2064"/>
    <n v="2017"/>
    <x v="10"/>
    <n v="2"/>
    <n v="65"/>
    <n v="130"/>
    <s v="Delivered"/>
    <n v="130"/>
    <d v="2026-05-06T00:00:00"/>
    <m/>
    <m/>
    <x v="10"/>
    <x v="3"/>
  </r>
  <r>
    <n v="2065"/>
    <n v="2018"/>
    <x v="11"/>
    <n v="3"/>
    <n v="55"/>
    <n v="165"/>
    <s v="Delivered"/>
    <n v="165"/>
    <d v="2026-03-18T00:00:00"/>
    <m/>
    <m/>
    <x v="11"/>
    <x v="1"/>
  </r>
  <r>
    <n v="2066"/>
    <n v="2018"/>
    <x v="9"/>
    <n v="4"/>
    <n v="22"/>
    <n v="88"/>
    <s v="Delivered"/>
    <n v="88"/>
    <d v="2026-03-18T00:00:00"/>
    <m/>
    <m/>
    <x v="9"/>
    <x v="1"/>
  </r>
  <r>
    <n v="2067"/>
    <n v="2018"/>
    <x v="10"/>
    <n v="3"/>
    <n v="65"/>
    <n v="195"/>
    <s v="Delivered"/>
    <n v="195"/>
    <d v="2026-03-18T00:00:00"/>
    <m/>
    <m/>
    <x v="10"/>
    <x v="1"/>
  </r>
  <r>
    <n v="2068"/>
    <n v="2019"/>
    <x v="4"/>
    <n v="4"/>
    <n v="48"/>
    <n v="192"/>
    <s v="Shipped"/>
    <n v="192"/>
    <d v="2026-04-18T00:00:00"/>
    <m/>
    <m/>
    <x v="4"/>
    <x v="4"/>
  </r>
  <r>
    <n v="2069"/>
    <n v="2020"/>
    <x v="10"/>
    <n v="4"/>
    <n v="65"/>
    <n v="260"/>
    <s v="Delivered"/>
    <n v="260"/>
    <d v="2026-03-23T00:00:00"/>
    <m/>
    <m/>
    <x v="10"/>
    <x v="1"/>
  </r>
  <r>
    <n v="2070"/>
    <n v="2020"/>
    <x v="6"/>
    <n v="4"/>
    <n v="45"/>
    <n v="180"/>
    <s v="Delivered"/>
    <n v="180"/>
    <d v="2026-03-23T00:00:00"/>
    <m/>
    <m/>
    <x v="6"/>
    <x v="1"/>
  </r>
  <r>
    <n v="2071"/>
    <n v="2020"/>
    <x v="11"/>
    <n v="2"/>
    <n v="55"/>
    <n v="110"/>
    <s v="Delivered"/>
    <n v="110"/>
    <d v="2026-03-23T00:00:00"/>
    <m/>
    <m/>
    <x v="11"/>
    <x v="1"/>
  </r>
  <r>
    <n v="2072"/>
    <n v="2021"/>
    <x v="4"/>
    <n v="4"/>
    <n v="48"/>
    <n v="192"/>
    <s v="Delivered"/>
    <n v="192"/>
    <d v="2026-01-16T00:00:00"/>
    <m/>
    <m/>
    <x v="4"/>
    <x v="0"/>
  </r>
  <r>
    <n v="2073"/>
    <n v="2021"/>
    <x v="1"/>
    <n v="4"/>
    <n v="140"/>
    <n v="560"/>
    <s v="Delivered"/>
    <n v="560"/>
    <d v="2026-01-16T00:00:00"/>
    <m/>
    <m/>
    <x v="1"/>
    <x v="0"/>
  </r>
  <r>
    <n v="2074"/>
    <n v="2022"/>
    <x v="4"/>
    <n v="3"/>
    <n v="48"/>
    <n v="144"/>
    <s v="Delivered"/>
    <n v="144"/>
    <d v="2026-03-10T00:00:00"/>
    <m/>
    <m/>
    <x v="4"/>
    <x v="1"/>
  </r>
  <r>
    <n v="2075"/>
    <n v="2022"/>
    <x v="0"/>
    <n v="4"/>
    <n v="750"/>
    <n v="3000"/>
    <s v="Delivered"/>
    <n v="3000"/>
    <d v="2026-03-10T00:00:00"/>
    <m/>
    <m/>
    <x v="0"/>
    <x v="1"/>
  </r>
  <r>
    <n v="2076"/>
    <n v="2023"/>
    <x v="2"/>
    <n v="1"/>
    <n v="8"/>
    <n v="8"/>
    <s v="Delivered"/>
    <n v="8"/>
    <d v="2026-06-10T00:00:00"/>
    <m/>
    <m/>
    <x v="2"/>
    <x v="2"/>
  </r>
  <r>
    <n v="2077"/>
    <n v="2024"/>
    <x v="4"/>
    <n v="1"/>
    <n v="48"/>
    <n v="48"/>
    <s v="Shipped"/>
    <n v="48"/>
    <d v="2026-03-27T00:00:00"/>
    <m/>
    <m/>
    <x v="4"/>
    <x v="1"/>
  </r>
  <r>
    <n v="2078"/>
    <n v="2025"/>
    <x v="10"/>
    <n v="2"/>
    <n v="65"/>
    <n v="130"/>
    <s v="Delivered"/>
    <n v="130"/>
    <d v="2026-05-18T00:00:00"/>
    <m/>
    <m/>
    <x v="10"/>
    <x v="3"/>
  </r>
  <r>
    <n v="2079"/>
    <n v="2025"/>
    <x v="3"/>
    <n v="3"/>
    <n v="25"/>
    <n v="75"/>
    <s v="Delivered"/>
    <n v="75"/>
    <d v="2026-05-18T00:00:00"/>
    <m/>
    <m/>
    <x v="3"/>
    <x v="3"/>
  </r>
  <r>
    <n v="2080"/>
    <n v="2025"/>
    <x v="7"/>
    <n v="3"/>
    <n v="180"/>
    <n v="540"/>
    <s v="Delivered"/>
    <n v="540"/>
    <d v="2026-05-18T00:00:00"/>
    <m/>
    <m/>
    <x v="7"/>
    <x v="3"/>
  </r>
  <r>
    <n v="2081"/>
    <n v="2026"/>
    <x v="8"/>
    <n v="4"/>
    <n v="30"/>
    <n v="120"/>
    <s v="Delivered"/>
    <n v="120"/>
    <d v="2026-01-10T00:00:00"/>
    <m/>
    <m/>
    <x v="8"/>
    <x v="0"/>
  </r>
  <r>
    <n v="2082"/>
    <n v="2027"/>
    <x v="7"/>
    <n v="1"/>
    <n v="180"/>
    <n v="180"/>
    <s v="Delivered"/>
    <n v="180"/>
    <d v="2026-02-28T00:00:00"/>
    <m/>
    <m/>
    <x v="7"/>
    <x v="5"/>
  </r>
  <r>
    <n v="2083"/>
    <n v="2028"/>
    <x v="8"/>
    <n v="4"/>
    <n v="30"/>
    <n v="120"/>
    <s v="Cancelled"/>
    <n v="0"/>
    <d v="2026-03-11T00:00:00"/>
    <m/>
    <m/>
    <x v="8"/>
    <x v="1"/>
  </r>
  <r>
    <n v="2084"/>
    <n v="2029"/>
    <x v="6"/>
    <n v="4"/>
    <n v="45"/>
    <n v="180"/>
    <s v="Delivered"/>
    <n v="180"/>
    <d v="2026-01-06T00:00:00"/>
    <m/>
    <m/>
    <x v="6"/>
    <x v="0"/>
  </r>
  <r>
    <n v="2085"/>
    <n v="2029"/>
    <x v="5"/>
    <n v="2"/>
    <n v="220"/>
    <n v="440"/>
    <s v="Delivered"/>
    <n v="440"/>
    <d v="2026-01-06T00:00:00"/>
    <m/>
    <m/>
    <x v="5"/>
    <x v="0"/>
  </r>
  <r>
    <n v="2086"/>
    <n v="2029"/>
    <x v="2"/>
    <n v="3"/>
    <n v="8"/>
    <n v="24"/>
    <s v="Delivered"/>
    <n v="24"/>
    <d v="2026-01-06T00:00:00"/>
    <m/>
    <m/>
    <x v="2"/>
    <x v="0"/>
  </r>
  <r>
    <n v="2087"/>
    <n v="2030"/>
    <x v="4"/>
    <n v="4"/>
    <n v="48"/>
    <n v="192"/>
    <s v="Delivered"/>
    <n v="192"/>
    <d v="2026-03-12T00:00:00"/>
    <m/>
    <m/>
    <x v="4"/>
    <x v="1"/>
  </r>
  <r>
    <n v="2088"/>
    <n v="2030"/>
    <x v="2"/>
    <n v="4"/>
    <n v="8"/>
    <n v="32"/>
    <s v="Delivered"/>
    <n v="32"/>
    <d v="2026-03-12T00:00:00"/>
    <m/>
    <m/>
    <x v="2"/>
    <x v="1"/>
  </r>
  <r>
    <n v="2089"/>
    <n v="2031"/>
    <x v="3"/>
    <n v="4"/>
    <n v="25"/>
    <n v="100"/>
    <s v="Delivered"/>
    <n v="100"/>
    <d v="2026-03-13T00:00:00"/>
    <m/>
    <m/>
    <x v="3"/>
    <x v="1"/>
  </r>
  <r>
    <n v="2090"/>
    <n v="2031"/>
    <x v="10"/>
    <n v="4"/>
    <n v="65"/>
    <n v="260"/>
    <s v="Delivered"/>
    <n v="260"/>
    <d v="2026-03-13T00:00:00"/>
    <m/>
    <m/>
    <x v="10"/>
    <x v="1"/>
  </r>
  <r>
    <n v="2091"/>
    <n v="2031"/>
    <x v="0"/>
    <n v="3"/>
    <n v="750"/>
    <n v="2250"/>
    <s v="Delivered"/>
    <n v="2250"/>
    <d v="2026-03-13T00:00:00"/>
    <m/>
    <m/>
    <x v="0"/>
    <x v="1"/>
  </r>
  <r>
    <n v="2092"/>
    <n v="2032"/>
    <x v="1"/>
    <n v="1"/>
    <n v="140"/>
    <n v="140"/>
    <s v="Delivered"/>
    <n v="140"/>
    <d v="2026-01-07T00:00:00"/>
    <m/>
    <m/>
    <x v="1"/>
    <x v="0"/>
  </r>
  <r>
    <n v="2093"/>
    <n v="2032"/>
    <x v="11"/>
    <n v="3"/>
    <n v="55"/>
    <n v="165"/>
    <s v="Delivered"/>
    <n v="165"/>
    <d v="2026-01-07T00:00:00"/>
    <m/>
    <m/>
    <x v="11"/>
    <x v="0"/>
  </r>
  <r>
    <n v="2094"/>
    <n v="2033"/>
    <x v="3"/>
    <n v="4"/>
    <n v="25"/>
    <n v="100"/>
    <s v="Delivered"/>
    <n v="100"/>
    <d v="2026-05-24T00:00:00"/>
    <m/>
    <m/>
    <x v="3"/>
    <x v="3"/>
  </r>
  <r>
    <n v="2095"/>
    <n v="2033"/>
    <x v="5"/>
    <n v="4"/>
    <n v="220"/>
    <n v="880"/>
    <s v="Delivered"/>
    <n v="880"/>
    <d v="2026-05-24T00:00:00"/>
    <m/>
    <m/>
    <x v="5"/>
    <x v="3"/>
  </r>
  <r>
    <n v="2096"/>
    <n v="2033"/>
    <x v="6"/>
    <n v="2"/>
    <n v="45"/>
    <n v="90"/>
    <s v="Delivered"/>
    <n v="90"/>
    <d v="2026-05-24T00:00:00"/>
    <m/>
    <m/>
    <x v="6"/>
    <x v="3"/>
  </r>
  <r>
    <n v="2097"/>
    <n v="2034"/>
    <x v="9"/>
    <n v="4"/>
    <n v="22"/>
    <n v="88"/>
    <s v="Delivered"/>
    <n v="88"/>
    <d v="2026-03-28T00:00:00"/>
    <m/>
    <m/>
    <x v="9"/>
    <x v="1"/>
  </r>
  <r>
    <n v="2098"/>
    <n v="2034"/>
    <x v="2"/>
    <n v="1"/>
    <n v="8"/>
    <n v="8"/>
    <s v="Delivered"/>
    <n v="8"/>
    <d v="2026-03-28T00:00:00"/>
    <m/>
    <m/>
    <x v="2"/>
    <x v="1"/>
  </r>
  <r>
    <n v="2099"/>
    <n v="2035"/>
    <x v="11"/>
    <n v="1"/>
    <n v="55"/>
    <n v="55"/>
    <s v="Delivered"/>
    <n v="55"/>
    <d v="2026-05-20T00:00:00"/>
    <m/>
    <m/>
    <x v="11"/>
    <x v="3"/>
  </r>
  <r>
    <n v="2100"/>
    <n v="2035"/>
    <x v="9"/>
    <n v="1"/>
    <n v="22"/>
    <n v="22"/>
    <s v="Delivered"/>
    <n v="22"/>
    <d v="2026-05-20T00:00:00"/>
    <m/>
    <m/>
    <x v="9"/>
    <x v="3"/>
  </r>
  <r>
    <n v="2101"/>
    <n v="2036"/>
    <x v="3"/>
    <n v="4"/>
    <n v="25"/>
    <n v="100"/>
    <s v="Delivered"/>
    <n v="100"/>
    <d v="2026-02-11T00:00:00"/>
    <m/>
    <m/>
    <x v="3"/>
    <x v="5"/>
  </r>
  <r>
    <n v="2102"/>
    <n v="2037"/>
    <x v="6"/>
    <n v="4"/>
    <n v="45"/>
    <n v="180"/>
    <s v="Delivered"/>
    <n v="180"/>
    <d v="2026-02-13T00:00:00"/>
    <m/>
    <m/>
    <x v="6"/>
    <x v="5"/>
  </r>
  <r>
    <n v="2103"/>
    <n v="2037"/>
    <x v="8"/>
    <n v="4"/>
    <n v="30"/>
    <n v="120"/>
    <s v="Delivered"/>
    <n v="120"/>
    <d v="2026-02-13T00:00:00"/>
    <m/>
    <m/>
    <x v="8"/>
    <x v="5"/>
  </r>
  <r>
    <n v="2104"/>
    <n v="2038"/>
    <x v="1"/>
    <n v="2"/>
    <n v="140"/>
    <n v="280"/>
    <s v="Delivered"/>
    <n v="280"/>
    <d v="2026-06-23T00:00:00"/>
    <m/>
    <m/>
    <x v="1"/>
    <x v="2"/>
  </r>
  <r>
    <n v="2105"/>
    <n v="2038"/>
    <x v="2"/>
    <n v="3"/>
    <n v="8"/>
    <n v="24"/>
    <s v="Delivered"/>
    <n v="24"/>
    <d v="2026-06-23T00:00:00"/>
    <m/>
    <m/>
    <x v="2"/>
    <x v="2"/>
  </r>
  <r>
    <n v="2106"/>
    <n v="2038"/>
    <x v="6"/>
    <n v="2"/>
    <n v="45"/>
    <n v="90"/>
    <s v="Delivered"/>
    <n v="90"/>
    <d v="2026-06-23T00:00:00"/>
    <m/>
    <m/>
    <x v="6"/>
    <x v="2"/>
  </r>
  <r>
    <n v="2107"/>
    <n v="2039"/>
    <x v="9"/>
    <n v="2"/>
    <n v="22"/>
    <n v="44"/>
    <s v="Delivered"/>
    <n v="44"/>
    <d v="2026-03-06T00:00:00"/>
    <m/>
    <m/>
    <x v="9"/>
    <x v="1"/>
  </r>
  <r>
    <n v="2108"/>
    <n v="2039"/>
    <x v="6"/>
    <n v="4"/>
    <n v="45"/>
    <n v="180"/>
    <s v="Delivered"/>
    <n v="180"/>
    <d v="2026-03-06T00:00:00"/>
    <m/>
    <m/>
    <x v="6"/>
    <x v="1"/>
  </r>
  <r>
    <n v="2109"/>
    <n v="2040"/>
    <x v="9"/>
    <n v="1"/>
    <n v="22"/>
    <n v="22"/>
    <s v="Delivered"/>
    <n v="22"/>
    <d v="2026-01-02T00:00:00"/>
    <m/>
    <m/>
    <x v="9"/>
    <x v="0"/>
  </r>
  <r>
    <n v="2110"/>
    <n v="2041"/>
    <x v="8"/>
    <n v="1"/>
    <n v="30"/>
    <n v="30"/>
    <s v="Delivered"/>
    <n v="30"/>
    <d v="2026-06-02T00:00:00"/>
    <m/>
    <m/>
    <x v="8"/>
    <x v="2"/>
  </r>
  <r>
    <n v="2111"/>
    <n v="2041"/>
    <x v="3"/>
    <n v="2"/>
    <n v="25"/>
    <n v="50"/>
    <s v="Delivered"/>
    <n v="50"/>
    <d v="2026-06-02T00:00:00"/>
    <m/>
    <m/>
    <x v="3"/>
    <x v="2"/>
  </r>
  <r>
    <n v="2112"/>
    <n v="2041"/>
    <x v="1"/>
    <n v="3"/>
    <n v="140"/>
    <n v="420"/>
    <s v="Delivered"/>
    <n v="420"/>
    <d v="2026-06-02T00:00:00"/>
    <m/>
    <m/>
    <x v="1"/>
    <x v="2"/>
  </r>
  <r>
    <n v="2113"/>
    <n v="2042"/>
    <x v="8"/>
    <n v="2"/>
    <n v="30"/>
    <n v="60"/>
    <s v="Delivered"/>
    <n v="60"/>
    <d v="2026-03-20T00:00:00"/>
    <m/>
    <m/>
    <x v="8"/>
    <x v="1"/>
  </r>
  <r>
    <n v="2114"/>
    <n v="2042"/>
    <x v="9"/>
    <n v="1"/>
    <n v="22"/>
    <n v="22"/>
    <s v="Delivered"/>
    <n v="22"/>
    <d v="2026-03-20T00:00:00"/>
    <m/>
    <m/>
    <x v="9"/>
    <x v="1"/>
  </r>
  <r>
    <n v="2115"/>
    <n v="2043"/>
    <x v="2"/>
    <n v="3"/>
    <n v="8"/>
    <n v="24"/>
    <s v="Delivered"/>
    <n v="24"/>
    <d v="2026-03-09T00:00:00"/>
    <m/>
    <m/>
    <x v="2"/>
    <x v="1"/>
  </r>
  <r>
    <n v="2116"/>
    <n v="2043"/>
    <x v="4"/>
    <n v="3"/>
    <n v="48"/>
    <n v="144"/>
    <s v="Delivered"/>
    <n v="144"/>
    <d v="2026-03-09T00:00:00"/>
    <m/>
    <m/>
    <x v="4"/>
    <x v="1"/>
  </r>
  <r>
    <n v="2117"/>
    <n v="2043"/>
    <x v="10"/>
    <n v="4"/>
    <n v="65"/>
    <n v="260"/>
    <s v="Delivered"/>
    <n v="260"/>
    <d v="2026-03-09T00:00:00"/>
    <m/>
    <m/>
    <x v="10"/>
    <x v="1"/>
  </r>
  <r>
    <n v="2118"/>
    <n v="2044"/>
    <x v="6"/>
    <n v="4"/>
    <n v="45"/>
    <n v="180"/>
    <s v="Shipped"/>
    <n v="180"/>
    <d v="2026-01-24T00:00:00"/>
    <m/>
    <m/>
    <x v="6"/>
    <x v="0"/>
  </r>
  <r>
    <n v="2119"/>
    <n v="2045"/>
    <x v="8"/>
    <n v="4"/>
    <n v="30"/>
    <n v="120"/>
    <s v="Cancelled"/>
    <n v="0"/>
    <d v="2026-01-20T00:00:00"/>
    <m/>
    <m/>
    <x v="8"/>
    <x v="0"/>
  </r>
  <r>
    <n v="2120"/>
    <n v="2046"/>
    <x v="8"/>
    <n v="2"/>
    <n v="30"/>
    <n v="60"/>
    <s v="Delivered"/>
    <n v="60"/>
    <d v="2026-04-19T00:00:00"/>
    <m/>
    <m/>
    <x v="8"/>
    <x v="4"/>
  </r>
  <r>
    <n v="2121"/>
    <n v="2046"/>
    <x v="5"/>
    <n v="4"/>
    <n v="220"/>
    <n v="880"/>
    <s v="Delivered"/>
    <n v="880"/>
    <d v="2026-04-19T00:00:00"/>
    <m/>
    <m/>
    <x v="5"/>
    <x v="4"/>
  </r>
  <r>
    <n v="2122"/>
    <n v="2047"/>
    <x v="3"/>
    <n v="2"/>
    <n v="25"/>
    <n v="50"/>
    <s v="Delivered"/>
    <n v="50"/>
    <d v="2026-05-14T00:00:00"/>
    <m/>
    <m/>
    <x v="3"/>
    <x v="3"/>
  </r>
  <r>
    <n v="2123"/>
    <n v="2047"/>
    <x v="6"/>
    <n v="4"/>
    <n v="45"/>
    <n v="180"/>
    <s v="Delivered"/>
    <n v="180"/>
    <d v="2026-05-14T00:00:00"/>
    <m/>
    <m/>
    <x v="6"/>
    <x v="3"/>
  </r>
  <r>
    <n v="2124"/>
    <n v="2047"/>
    <x v="7"/>
    <n v="4"/>
    <n v="180"/>
    <n v="720"/>
    <s v="Delivered"/>
    <n v="720"/>
    <d v="2026-05-14T00:00:00"/>
    <m/>
    <m/>
    <x v="7"/>
    <x v="3"/>
  </r>
  <r>
    <n v="2125"/>
    <n v="2048"/>
    <x v="1"/>
    <n v="4"/>
    <n v="140"/>
    <n v="560"/>
    <s v="Delivered"/>
    <n v="560"/>
    <d v="2026-04-22T00:00:00"/>
    <m/>
    <m/>
    <x v="1"/>
    <x v="4"/>
  </r>
  <r>
    <n v="2126"/>
    <n v="2049"/>
    <x v="1"/>
    <n v="1"/>
    <n v="140"/>
    <n v="140"/>
    <s v="Cancelled"/>
    <n v="0"/>
    <d v="2026-05-24T00:00:00"/>
    <m/>
    <m/>
    <x v="1"/>
    <x v="3"/>
  </r>
  <r>
    <n v="2127"/>
    <n v="2049"/>
    <x v="6"/>
    <n v="2"/>
    <n v="45"/>
    <n v="90"/>
    <s v="Cancelled"/>
    <n v="0"/>
    <d v="2026-05-24T00:00:00"/>
    <m/>
    <m/>
    <x v="6"/>
    <x v="3"/>
  </r>
  <r>
    <n v="2128"/>
    <n v="2050"/>
    <x v="2"/>
    <n v="3"/>
    <n v="8"/>
    <n v="24"/>
    <s v="Delivered"/>
    <n v="24"/>
    <d v="2026-04-24T00:00:00"/>
    <m/>
    <m/>
    <x v="2"/>
    <x v="4"/>
  </r>
  <r>
    <n v="2129"/>
    <n v="2051"/>
    <x v="7"/>
    <n v="4"/>
    <n v="180"/>
    <n v="720"/>
    <s v="Delivered"/>
    <n v="720"/>
    <d v="2026-01-04T00:00:00"/>
    <m/>
    <m/>
    <x v="7"/>
    <x v="0"/>
  </r>
  <r>
    <n v="2130"/>
    <n v="2051"/>
    <x v="4"/>
    <n v="1"/>
    <n v="48"/>
    <n v="48"/>
    <s v="Delivered"/>
    <n v="48"/>
    <d v="2026-01-04T00:00:00"/>
    <m/>
    <m/>
    <x v="4"/>
    <x v="0"/>
  </r>
  <r>
    <n v="2131"/>
    <n v="2051"/>
    <x v="11"/>
    <n v="3"/>
    <n v="55"/>
    <n v="165"/>
    <s v="Delivered"/>
    <n v="165"/>
    <d v="2026-01-04T00:00:00"/>
    <m/>
    <m/>
    <x v="11"/>
    <x v="0"/>
  </r>
  <r>
    <n v="2132"/>
    <n v="2052"/>
    <x v="6"/>
    <n v="1"/>
    <n v="45"/>
    <n v="45"/>
    <s v="Pending"/>
    <n v="45"/>
    <d v="2026-05-01T00:00:00"/>
    <m/>
    <m/>
    <x v="6"/>
    <x v="3"/>
  </r>
  <r>
    <n v="2133"/>
    <n v="2052"/>
    <x v="11"/>
    <n v="1"/>
    <n v="55"/>
    <n v="55"/>
    <s v="Pending"/>
    <n v="55"/>
    <d v="2026-05-01T00:00:00"/>
    <m/>
    <m/>
    <x v="11"/>
    <x v="3"/>
  </r>
  <r>
    <n v="2134"/>
    <n v="2053"/>
    <x v="9"/>
    <n v="1"/>
    <n v="22"/>
    <n v="22"/>
    <s v="Delivered"/>
    <n v="22"/>
    <d v="2026-01-08T00:00:00"/>
    <m/>
    <m/>
    <x v="9"/>
    <x v="0"/>
  </r>
  <r>
    <n v="2135"/>
    <n v="2053"/>
    <x v="6"/>
    <n v="4"/>
    <n v="45"/>
    <n v="180"/>
    <s v="Delivered"/>
    <n v="180"/>
    <d v="2026-01-08T00:00:00"/>
    <m/>
    <m/>
    <x v="6"/>
    <x v="0"/>
  </r>
  <r>
    <n v="2136"/>
    <n v="2053"/>
    <x v="4"/>
    <n v="1"/>
    <n v="48"/>
    <n v="48"/>
    <s v="Delivered"/>
    <n v="48"/>
    <d v="2026-01-08T00:00:00"/>
    <m/>
    <m/>
    <x v="4"/>
    <x v="0"/>
  </r>
  <r>
    <n v="2137"/>
    <n v="2054"/>
    <x v="2"/>
    <n v="3"/>
    <n v="8"/>
    <n v="24"/>
    <s v="Delivered"/>
    <n v="24"/>
    <d v="2026-05-20T00:00:00"/>
    <m/>
    <m/>
    <x v="2"/>
    <x v="3"/>
  </r>
  <r>
    <n v="2138"/>
    <n v="2054"/>
    <x v="0"/>
    <n v="2"/>
    <n v="750"/>
    <n v="1500"/>
    <s v="Delivered"/>
    <n v="1500"/>
    <d v="2026-05-20T00:00:00"/>
    <m/>
    <m/>
    <x v="0"/>
    <x v="3"/>
  </r>
  <r>
    <n v="2139"/>
    <n v="2054"/>
    <x v="1"/>
    <n v="3"/>
    <n v="140"/>
    <n v="420"/>
    <s v="Delivered"/>
    <n v="420"/>
    <d v="2026-05-20T00:00:00"/>
    <m/>
    <m/>
    <x v="1"/>
    <x v="3"/>
  </r>
  <r>
    <n v="2140"/>
    <n v="2055"/>
    <x v="6"/>
    <n v="2"/>
    <n v="45"/>
    <n v="90"/>
    <s v="Delivered"/>
    <n v="90"/>
    <d v="2026-06-21T00:00:00"/>
    <m/>
    <m/>
    <x v="6"/>
    <x v="2"/>
  </r>
  <r>
    <n v="2141"/>
    <n v="2055"/>
    <x v="7"/>
    <n v="4"/>
    <n v="180"/>
    <n v="720"/>
    <s v="Delivered"/>
    <n v="720"/>
    <d v="2026-06-21T00:00:00"/>
    <m/>
    <m/>
    <x v="7"/>
    <x v="2"/>
  </r>
  <r>
    <n v="2142"/>
    <n v="2055"/>
    <x v="5"/>
    <n v="1"/>
    <n v="220"/>
    <n v="220"/>
    <s v="Delivered"/>
    <n v="220"/>
    <d v="2026-06-21T00:00:00"/>
    <m/>
    <m/>
    <x v="5"/>
    <x v="2"/>
  </r>
  <r>
    <n v="2143"/>
    <n v="2056"/>
    <x v="7"/>
    <n v="3"/>
    <n v="180"/>
    <n v="540"/>
    <s v="Delivered"/>
    <n v="540"/>
    <d v="2026-06-12T00:00:00"/>
    <m/>
    <m/>
    <x v="7"/>
    <x v="2"/>
  </r>
  <r>
    <n v="2144"/>
    <n v="2056"/>
    <x v="8"/>
    <n v="1"/>
    <n v="30"/>
    <n v="30"/>
    <s v="Delivered"/>
    <n v="30"/>
    <d v="2026-06-12T00:00:00"/>
    <m/>
    <m/>
    <x v="8"/>
    <x v="2"/>
  </r>
  <r>
    <n v="2145"/>
    <n v="2057"/>
    <x v="9"/>
    <n v="1"/>
    <n v="22"/>
    <n v="22"/>
    <s v="Delivered"/>
    <n v="22"/>
    <d v="2026-04-29T00:00:00"/>
    <m/>
    <m/>
    <x v="9"/>
    <x v="4"/>
  </r>
  <r>
    <n v="2146"/>
    <n v="2058"/>
    <x v="5"/>
    <n v="3"/>
    <n v="220"/>
    <n v="660"/>
    <s v="Delivered"/>
    <n v="660"/>
    <d v="2026-01-03T00:00:00"/>
    <m/>
    <m/>
    <x v="5"/>
    <x v="0"/>
  </r>
  <r>
    <n v="2147"/>
    <n v="2058"/>
    <x v="3"/>
    <n v="2"/>
    <n v="25"/>
    <n v="50"/>
    <s v="Delivered"/>
    <n v="50"/>
    <d v="2026-01-03T00:00:00"/>
    <m/>
    <m/>
    <x v="3"/>
    <x v="0"/>
  </r>
  <r>
    <n v="2148"/>
    <n v="2059"/>
    <x v="2"/>
    <n v="3"/>
    <n v="8"/>
    <n v="24"/>
    <s v="Delivered"/>
    <n v="24"/>
    <d v="2026-06-30T00:00:00"/>
    <m/>
    <m/>
    <x v="2"/>
    <x v="2"/>
  </r>
  <r>
    <n v="2149"/>
    <n v="2060"/>
    <x v="11"/>
    <n v="4"/>
    <n v="55"/>
    <n v="220"/>
    <s v="Pending"/>
    <n v="220"/>
    <d v="2026-02-15T00:00:00"/>
    <m/>
    <m/>
    <x v="11"/>
    <x v="5"/>
  </r>
  <r>
    <n v="2150"/>
    <n v="2060"/>
    <x v="7"/>
    <n v="3"/>
    <n v="180"/>
    <n v="540"/>
    <s v="Pending"/>
    <n v="540"/>
    <d v="2026-02-15T00:00:00"/>
    <m/>
    <m/>
    <x v="7"/>
    <x v="5"/>
  </r>
  <r>
    <n v="2151"/>
    <n v="2060"/>
    <x v="5"/>
    <n v="3"/>
    <n v="220"/>
    <n v="660"/>
    <s v="Pending"/>
    <n v="660"/>
    <d v="2026-02-15T00:00:00"/>
    <m/>
    <m/>
    <x v="5"/>
    <x v="5"/>
  </r>
  <r>
    <n v="2152"/>
    <n v="2061"/>
    <x v="2"/>
    <n v="4"/>
    <n v="8"/>
    <n v="32"/>
    <s v="Delivered"/>
    <n v="32"/>
    <d v="2026-06-14T00:00:00"/>
    <m/>
    <m/>
    <x v="2"/>
    <x v="2"/>
  </r>
  <r>
    <n v="2153"/>
    <n v="2062"/>
    <x v="1"/>
    <n v="3"/>
    <n v="140"/>
    <n v="420"/>
    <s v="Delivered"/>
    <n v="420"/>
    <d v="2026-03-30T00:00:00"/>
    <m/>
    <m/>
    <x v="1"/>
    <x v="1"/>
  </r>
  <r>
    <n v="2154"/>
    <n v="2063"/>
    <x v="4"/>
    <n v="4"/>
    <n v="48"/>
    <n v="192"/>
    <s v="Delivered"/>
    <n v="192"/>
    <d v="2026-03-08T00:00:00"/>
    <m/>
    <m/>
    <x v="4"/>
    <x v="1"/>
  </r>
  <r>
    <n v="2155"/>
    <n v="2063"/>
    <x v="9"/>
    <n v="2"/>
    <n v="22"/>
    <n v="44"/>
    <s v="Delivered"/>
    <n v="44"/>
    <d v="2026-03-08T00:00:00"/>
    <m/>
    <m/>
    <x v="9"/>
    <x v="1"/>
  </r>
  <r>
    <n v="2156"/>
    <n v="2063"/>
    <x v="6"/>
    <n v="4"/>
    <n v="45"/>
    <n v="180"/>
    <s v="Delivered"/>
    <n v="180"/>
    <d v="2026-03-08T00:00:00"/>
    <m/>
    <m/>
    <x v="6"/>
    <x v="1"/>
  </r>
  <r>
    <n v="2157"/>
    <n v="2064"/>
    <x v="1"/>
    <n v="4"/>
    <n v="140"/>
    <n v="560"/>
    <s v="Delivered"/>
    <n v="560"/>
    <d v="2026-01-09T00:00:00"/>
    <m/>
    <m/>
    <x v="1"/>
    <x v="0"/>
  </r>
  <r>
    <n v="2158"/>
    <n v="2064"/>
    <x v="0"/>
    <n v="4"/>
    <n v="750"/>
    <n v="3000"/>
    <s v="Delivered"/>
    <n v="3000"/>
    <d v="2026-01-09T00:00:00"/>
    <m/>
    <m/>
    <x v="0"/>
    <x v="0"/>
  </r>
  <r>
    <n v="2159"/>
    <n v="2064"/>
    <x v="6"/>
    <n v="3"/>
    <n v="45"/>
    <n v="135"/>
    <s v="Delivered"/>
    <n v="135"/>
    <d v="2026-01-09T00:00:00"/>
    <m/>
    <m/>
    <x v="6"/>
    <x v="0"/>
  </r>
  <r>
    <n v="2160"/>
    <n v="2065"/>
    <x v="0"/>
    <n v="4"/>
    <n v="750"/>
    <n v="3000"/>
    <s v="Delivered"/>
    <n v="3000"/>
    <d v="2026-03-20T00:00:00"/>
    <m/>
    <m/>
    <x v="0"/>
    <x v="1"/>
  </r>
  <r>
    <n v="2161"/>
    <n v="2066"/>
    <x v="9"/>
    <n v="3"/>
    <n v="22"/>
    <n v="66"/>
    <s v="Delivered"/>
    <n v="66"/>
    <d v="2026-04-13T00:00:00"/>
    <m/>
    <m/>
    <x v="9"/>
    <x v="4"/>
  </r>
  <r>
    <n v="2162"/>
    <n v="2066"/>
    <x v="1"/>
    <n v="4"/>
    <n v="140"/>
    <n v="560"/>
    <s v="Delivered"/>
    <n v="560"/>
    <d v="2026-04-13T00:00:00"/>
    <m/>
    <m/>
    <x v="1"/>
    <x v="4"/>
  </r>
  <r>
    <n v="2163"/>
    <n v="2067"/>
    <x v="2"/>
    <n v="1"/>
    <n v="8"/>
    <n v="8"/>
    <s v="Delivered"/>
    <n v="8"/>
    <d v="2026-05-10T00:00:00"/>
    <m/>
    <m/>
    <x v="2"/>
    <x v="3"/>
  </r>
  <r>
    <n v="2164"/>
    <n v="2067"/>
    <x v="10"/>
    <n v="2"/>
    <n v="65"/>
    <n v="130"/>
    <s v="Delivered"/>
    <n v="130"/>
    <d v="2026-05-10T00:00:00"/>
    <m/>
    <m/>
    <x v="10"/>
    <x v="3"/>
  </r>
  <r>
    <n v="2165"/>
    <n v="2068"/>
    <x v="6"/>
    <n v="3"/>
    <n v="45"/>
    <n v="135"/>
    <s v="Delivered"/>
    <n v="135"/>
    <d v="2026-05-15T00:00:00"/>
    <m/>
    <m/>
    <x v="6"/>
    <x v="3"/>
  </r>
  <r>
    <n v="2166"/>
    <n v="2069"/>
    <x v="0"/>
    <n v="2"/>
    <n v="750"/>
    <n v="1500"/>
    <s v="Delivered"/>
    <n v="1500"/>
    <d v="2026-03-30T00:00:00"/>
    <m/>
    <m/>
    <x v="0"/>
    <x v="1"/>
  </r>
  <r>
    <n v="2167"/>
    <n v="2069"/>
    <x v="4"/>
    <n v="2"/>
    <n v="48"/>
    <n v="96"/>
    <s v="Delivered"/>
    <n v="96"/>
    <d v="2026-03-30T00:00:00"/>
    <m/>
    <m/>
    <x v="4"/>
    <x v="1"/>
  </r>
  <r>
    <n v="2168"/>
    <n v="2070"/>
    <x v="4"/>
    <n v="3"/>
    <n v="48"/>
    <n v="144"/>
    <s v="Delivered"/>
    <n v="144"/>
    <d v="2026-02-22T00:00:00"/>
    <m/>
    <m/>
    <x v="4"/>
    <x v="5"/>
  </r>
  <r>
    <n v="2169"/>
    <n v="2071"/>
    <x v="4"/>
    <n v="4"/>
    <n v="48"/>
    <n v="192"/>
    <s v="Delivered"/>
    <n v="192"/>
    <d v="2026-06-25T00:00:00"/>
    <m/>
    <m/>
    <x v="4"/>
    <x v="2"/>
  </r>
  <r>
    <n v="2170"/>
    <n v="2071"/>
    <x v="10"/>
    <n v="2"/>
    <n v="65"/>
    <n v="130"/>
    <s v="Delivered"/>
    <n v="130"/>
    <d v="2026-06-25T00:00:00"/>
    <m/>
    <m/>
    <x v="10"/>
    <x v="2"/>
  </r>
  <r>
    <n v="2171"/>
    <n v="2072"/>
    <x v="9"/>
    <n v="4"/>
    <n v="22"/>
    <n v="88"/>
    <s v="Delivered"/>
    <n v="88"/>
    <d v="2026-04-13T00:00:00"/>
    <m/>
    <m/>
    <x v="9"/>
    <x v="4"/>
  </r>
  <r>
    <n v="2172"/>
    <n v="2072"/>
    <x v="10"/>
    <n v="1"/>
    <n v="65"/>
    <n v="65"/>
    <s v="Delivered"/>
    <n v="65"/>
    <d v="2026-04-13T00:00:00"/>
    <m/>
    <m/>
    <x v="10"/>
    <x v="4"/>
  </r>
  <r>
    <n v="2173"/>
    <n v="2072"/>
    <x v="2"/>
    <n v="3"/>
    <n v="8"/>
    <n v="24"/>
    <s v="Delivered"/>
    <n v="24"/>
    <d v="2026-04-13T00:00:00"/>
    <m/>
    <m/>
    <x v="2"/>
    <x v="4"/>
  </r>
  <r>
    <n v="2174"/>
    <n v="2073"/>
    <x v="1"/>
    <n v="1"/>
    <n v="140"/>
    <n v="140"/>
    <s v="Delivered"/>
    <n v="140"/>
    <d v="2026-06-05T00:00:00"/>
    <m/>
    <m/>
    <x v="1"/>
    <x v="2"/>
  </r>
  <r>
    <n v="2175"/>
    <n v="2073"/>
    <x v="9"/>
    <n v="4"/>
    <n v="22"/>
    <n v="88"/>
    <s v="Delivered"/>
    <n v="88"/>
    <d v="2026-06-05T00:00:00"/>
    <m/>
    <m/>
    <x v="9"/>
    <x v="2"/>
  </r>
  <r>
    <n v="2176"/>
    <n v="2074"/>
    <x v="1"/>
    <n v="4"/>
    <n v="140"/>
    <n v="560"/>
    <s v="Delivered"/>
    <n v="560"/>
    <d v="2026-01-12T00:00:00"/>
    <m/>
    <m/>
    <x v="1"/>
    <x v="0"/>
  </r>
  <r>
    <n v="2177"/>
    <n v="2075"/>
    <x v="10"/>
    <n v="2"/>
    <n v="65"/>
    <n v="130"/>
    <s v="Delivered"/>
    <n v="130"/>
    <d v="2026-06-22T00:00:00"/>
    <m/>
    <m/>
    <x v="10"/>
    <x v="2"/>
  </r>
  <r>
    <n v="2178"/>
    <n v="2075"/>
    <x v="6"/>
    <n v="4"/>
    <n v="45"/>
    <n v="180"/>
    <s v="Delivered"/>
    <n v="180"/>
    <d v="2026-06-22T00:00:00"/>
    <m/>
    <m/>
    <x v="6"/>
    <x v="2"/>
  </r>
  <r>
    <n v="2179"/>
    <n v="2076"/>
    <x v="10"/>
    <n v="3"/>
    <n v="65"/>
    <n v="195"/>
    <s v="Delivered"/>
    <n v="195"/>
    <d v="2026-03-30T00:00:00"/>
    <m/>
    <m/>
    <x v="10"/>
    <x v="1"/>
  </r>
  <r>
    <n v="2180"/>
    <n v="2076"/>
    <x v="0"/>
    <n v="2"/>
    <n v="750"/>
    <n v="1500"/>
    <s v="Delivered"/>
    <n v="1500"/>
    <d v="2026-03-30T00:00:00"/>
    <m/>
    <m/>
    <x v="0"/>
    <x v="1"/>
  </r>
  <r>
    <n v="2181"/>
    <n v="2076"/>
    <x v="6"/>
    <n v="4"/>
    <n v="45"/>
    <n v="180"/>
    <s v="Delivered"/>
    <n v="180"/>
    <d v="2026-03-30T00:00:00"/>
    <m/>
    <m/>
    <x v="6"/>
    <x v="1"/>
  </r>
  <r>
    <n v="2182"/>
    <n v="2077"/>
    <x v="10"/>
    <n v="1"/>
    <n v="65"/>
    <n v="65"/>
    <s v="Delivered"/>
    <n v="65"/>
    <d v="2026-04-13T00:00:00"/>
    <m/>
    <m/>
    <x v="10"/>
    <x v="4"/>
  </r>
  <r>
    <n v="2183"/>
    <n v="2077"/>
    <x v="7"/>
    <n v="4"/>
    <n v="180"/>
    <n v="720"/>
    <s v="Delivered"/>
    <n v="720"/>
    <d v="2026-04-13T00:00:00"/>
    <m/>
    <m/>
    <x v="7"/>
    <x v="4"/>
  </r>
  <r>
    <n v="2184"/>
    <n v="2078"/>
    <x v="8"/>
    <n v="1"/>
    <n v="30"/>
    <n v="30"/>
    <s v="Delivered"/>
    <n v="30"/>
    <d v="2026-04-04T00:00:00"/>
    <m/>
    <m/>
    <x v="8"/>
    <x v="4"/>
  </r>
  <r>
    <n v="2185"/>
    <n v="2078"/>
    <x v="10"/>
    <n v="2"/>
    <n v="65"/>
    <n v="130"/>
    <s v="Delivered"/>
    <n v="130"/>
    <d v="2026-04-04T00:00:00"/>
    <m/>
    <m/>
    <x v="10"/>
    <x v="4"/>
  </r>
  <r>
    <n v="2186"/>
    <n v="2079"/>
    <x v="0"/>
    <n v="3"/>
    <n v="750"/>
    <n v="2250"/>
    <s v="Delivered"/>
    <n v="2250"/>
    <d v="2026-02-20T00:00:00"/>
    <m/>
    <m/>
    <x v="0"/>
    <x v="5"/>
  </r>
  <r>
    <n v="2187"/>
    <n v="2079"/>
    <x v="11"/>
    <n v="1"/>
    <n v="55"/>
    <n v="55"/>
    <s v="Delivered"/>
    <n v="55"/>
    <d v="2026-02-20T00:00:00"/>
    <m/>
    <m/>
    <x v="11"/>
    <x v="5"/>
  </r>
  <r>
    <n v="2188"/>
    <n v="2080"/>
    <x v="4"/>
    <n v="1"/>
    <n v="48"/>
    <n v="48"/>
    <s v="Delivered"/>
    <n v="48"/>
    <d v="2026-06-25T00:00:00"/>
    <m/>
    <m/>
    <x v="4"/>
    <x v="2"/>
  </r>
  <r>
    <n v="2189"/>
    <n v="2080"/>
    <x v="7"/>
    <n v="3"/>
    <n v="180"/>
    <n v="540"/>
    <s v="Delivered"/>
    <n v="540"/>
    <d v="2026-06-25T00:00:00"/>
    <m/>
    <m/>
    <x v="7"/>
    <x v="2"/>
  </r>
  <r>
    <n v="2190"/>
    <n v="2081"/>
    <x v="9"/>
    <n v="4"/>
    <n v="22"/>
    <n v="88"/>
    <s v="Delivered"/>
    <n v="88"/>
    <d v="2026-03-18T00:00:00"/>
    <m/>
    <m/>
    <x v="9"/>
    <x v="1"/>
  </r>
  <r>
    <n v="2191"/>
    <n v="2081"/>
    <x v="0"/>
    <n v="2"/>
    <n v="750"/>
    <n v="1500"/>
    <s v="Delivered"/>
    <n v="1500"/>
    <d v="2026-03-18T00:00:00"/>
    <m/>
    <m/>
    <x v="0"/>
    <x v="1"/>
  </r>
  <r>
    <n v="2192"/>
    <n v="2082"/>
    <x v="11"/>
    <n v="2"/>
    <n v="55"/>
    <n v="110"/>
    <s v="Delivered"/>
    <n v="110"/>
    <d v="2026-06-12T00:00:00"/>
    <m/>
    <m/>
    <x v="11"/>
    <x v="2"/>
  </r>
  <r>
    <n v="2193"/>
    <n v="2082"/>
    <x v="2"/>
    <n v="4"/>
    <n v="8"/>
    <n v="32"/>
    <s v="Delivered"/>
    <n v="32"/>
    <d v="2026-06-12T00:00:00"/>
    <m/>
    <m/>
    <x v="2"/>
    <x v="2"/>
  </r>
  <r>
    <n v="2194"/>
    <n v="2083"/>
    <x v="8"/>
    <n v="3"/>
    <n v="30"/>
    <n v="90"/>
    <s v="Delivered"/>
    <n v="90"/>
    <d v="2026-06-13T00:00:00"/>
    <m/>
    <m/>
    <x v="8"/>
    <x v="2"/>
  </r>
  <r>
    <n v="2195"/>
    <n v="2083"/>
    <x v="5"/>
    <n v="3"/>
    <n v="220"/>
    <n v="660"/>
    <s v="Delivered"/>
    <n v="660"/>
    <d v="2026-06-13T00:00:00"/>
    <m/>
    <m/>
    <x v="5"/>
    <x v="2"/>
  </r>
  <r>
    <n v="2196"/>
    <n v="2084"/>
    <x v="5"/>
    <n v="3"/>
    <n v="220"/>
    <n v="660"/>
    <s v="Delivered"/>
    <n v="660"/>
    <d v="2026-06-17T00:00:00"/>
    <m/>
    <m/>
    <x v="5"/>
    <x v="2"/>
  </r>
  <r>
    <n v="2197"/>
    <n v="2084"/>
    <x v="3"/>
    <n v="3"/>
    <n v="25"/>
    <n v="75"/>
    <s v="Delivered"/>
    <n v="75"/>
    <d v="2026-06-17T00:00:00"/>
    <m/>
    <m/>
    <x v="3"/>
    <x v="2"/>
  </r>
  <r>
    <n v="2198"/>
    <n v="2085"/>
    <x v="10"/>
    <n v="3"/>
    <n v="65"/>
    <n v="195"/>
    <s v="Delivered"/>
    <n v="195"/>
    <d v="2026-01-13T00:00:00"/>
    <m/>
    <m/>
    <x v="10"/>
    <x v="0"/>
  </r>
  <r>
    <n v="2199"/>
    <n v="2086"/>
    <x v="7"/>
    <n v="4"/>
    <n v="180"/>
    <n v="720"/>
    <s v="Delivered"/>
    <n v="720"/>
    <d v="2026-01-12T00:00:00"/>
    <m/>
    <m/>
    <x v="7"/>
    <x v="0"/>
  </r>
  <r>
    <n v="2200"/>
    <n v="2086"/>
    <x v="9"/>
    <n v="2"/>
    <n v="22"/>
    <n v="44"/>
    <s v="Delivered"/>
    <n v="44"/>
    <d v="2026-01-12T00:00:00"/>
    <m/>
    <m/>
    <x v="9"/>
    <x v="0"/>
  </r>
  <r>
    <n v="2201"/>
    <n v="2086"/>
    <x v="0"/>
    <n v="1"/>
    <n v="750"/>
    <n v="750"/>
    <s v="Delivered"/>
    <n v="750"/>
    <d v="2026-01-12T00:00:00"/>
    <m/>
    <m/>
    <x v="0"/>
    <x v="0"/>
  </r>
  <r>
    <n v="2202"/>
    <n v="2087"/>
    <x v="3"/>
    <n v="2"/>
    <n v="25"/>
    <n v="50"/>
    <s v="Delivered"/>
    <n v="50"/>
    <d v="2026-06-03T00:00:00"/>
    <m/>
    <m/>
    <x v="3"/>
    <x v="2"/>
  </r>
  <r>
    <n v="2203"/>
    <n v="2088"/>
    <x v="2"/>
    <n v="4"/>
    <n v="8"/>
    <n v="32"/>
    <s v="Delivered"/>
    <n v="32"/>
    <d v="2026-06-05T00:00:00"/>
    <m/>
    <m/>
    <x v="2"/>
    <x v="2"/>
  </r>
  <r>
    <n v="2204"/>
    <n v="2088"/>
    <x v="1"/>
    <n v="4"/>
    <n v="140"/>
    <n v="560"/>
    <s v="Delivered"/>
    <n v="560"/>
    <d v="2026-06-05T00:00:00"/>
    <m/>
    <m/>
    <x v="1"/>
    <x v="2"/>
  </r>
  <r>
    <n v="2205"/>
    <n v="2088"/>
    <x v="8"/>
    <n v="1"/>
    <n v="30"/>
    <n v="30"/>
    <s v="Delivered"/>
    <n v="30"/>
    <d v="2026-06-05T00:00:00"/>
    <m/>
    <m/>
    <x v="8"/>
    <x v="2"/>
  </r>
  <r>
    <n v="2206"/>
    <n v="2089"/>
    <x v="8"/>
    <n v="2"/>
    <n v="30"/>
    <n v="60"/>
    <s v="Cancelled"/>
    <n v="0"/>
    <d v="2026-04-29T00:00:00"/>
    <m/>
    <m/>
    <x v="8"/>
    <x v="4"/>
  </r>
  <r>
    <n v="2207"/>
    <n v="2090"/>
    <x v="4"/>
    <n v="1"/>
    <n v="48"/>
    <n v="48"/>
    <s v="Delivered"/>
    <n v="48"/>
    <d v="2026-06-22T00:00:00"/>
    <m/>
    <m/>
    <x v="4"/>
    <x v="2"/>
  </r>
  <r>
    <n v="2208"/>
    <n v="2091"/>
    <x v="11"/>
    <n v="4"/>
    <n v="55"/>
    <n v="220"/>
    <s v="Delivered"/>
    <n v="220"/>
    <d v="2026-05-16T00:00:00"/>
    <m/>
    <m/>
    <x v="11"/>
    <x v="3"/>
  </r>
  <r>
    <n v="2209"/>
    <n v="2091"/>
    <x v="4"/>
    <n v="1"/>
    <n v="48"/>
    <n v="48"/>
    <s v="Delivered"/>
    <n v="48"/>
    <d v="2026-05-16T00:00:00"/>
    <m/>
    <m/>
    <x v="4"/>
    <x v="3"/>
  </r>
  <r>
    <n v="2210"/>
    <n v="2092"/>
    <x v="8"/>
    <n v="2"/>
    <n v="30"/>
    <n v="60"/>
    <s v="Delivered"/>
    <n v="60"/>
    <d v="2026-04-21T00:00:00"/>
    <m/>
    <m/>
    <x v="8"/>
    <x v="4"/>
  </r>
  <r>
    <n v="2211"/>
    <n v="2092"/>
    <x v="11"/>
    <n v="4"/>
    <n v="55"/>
    <n v="220"/>
    <s v="Delivered"/>
    <n v="220"/>
    <d v="2026-04-21T00:00:00"/>
    <m/>
    <m/>
    <x v="11"/>
    <x v="4"/>
  </r>
  <r>
    <n v="2212"/>
    <n v="2093"/>
    <x v="2"/>
    <n v="3"/>
    <n v="8"/>
    <n v="24"/>
    <s v="Delivered"/>
    <n v="24"/>
    <d v="2026-01-25T00:00:00"/>
    <m/>
    <m/>
    <x v="2"/>
    <x v="0"/>
  </r>
  <r>
    <n v="2213"/>
    <n v="2094"/>
    <x v="10"/>
    <n v="3"/>
    <n v="65"/>
    <n v="195"/>
    <s v="Delivered"/>
    <n v="195"/>
    <d v="2026-04-13T00:00:00"/>
    <m/>
    <m/>
    <x v="10"/>
    <x v="4"/>
  </r>
  <r>
    <n v="2214"/>
    <n v="2095"/>
    <x v="8"/>
    <n v="2"/>
    <n v="30"/>
    <n v="60"/>
    <s v="Delivered"/>
    <n v="60"/>
    <d v="2026-06-12T00:00:00"/>
    <m/>
    <m/>
    <x v="8"/>
    <x v="2"/>
  </r>
  <r>
    <n v="2215"/>
    <n v="2095"/>
    <x v="9"/>
    <n v="4"/>
    <n v="22"/>
    <n v="88"/>
    <s v="Delivered"/>
    <n v="88"/>
    <d v="2026-06-12T00:00:00"/>
    <m/>
    <m/>
    <x v="9"/>
    <x v="2"/>
  </r>
  <r>
    <n v="2216"/>
    <n v="2095"/>
    <x v="10"/>
    <n v="4"/>
    <n v="65"/>
    <n v="260"/>
    <s v="Delivered"/>
    <n v="260"/>
    <d v="2026-06-12T00:00:00"/>
    <m/>
    <m/>
    <x v="10"/>
    <x v="2"/>
  </r>
  <r>
    <n v="2217"/>
    <n v="2096"/>
    <x v="1"/>
    <n v="1"/>
    <n v="140"/>
    <n v="140"/>
    <s v="Delivered"/>
    <n v="140"/>
    <d v="2026-02-15T00:00:00"/>
    <m/>
    <m/>
    <x v="1"/>
    <x v="5"/>
  </r>
  <r>
    <n v="2218"/>
    <n v="2096"/>
    <x v="11"/>
    <n v="4"/>
    <n v="55"/>
    <n v="220"/>
    <s v="Delivered"/>
    <n v="220"/>
    <d v="2026-02-15T00:00:00"/>
    <m/>
    <m/>
    <x v="11"/>
    <x v="5"/>
  </r>
  <r>
    <n v="2219"/>
    <n v="2096"/>
    <x v="6"/>
    <n v="4"/>
    <n v="45"/>
    <n v="180"/>
    <s v="Delivered"/>
    <n v="180"/>
    <d v="2026-02-15T00:00:00"/>
    <m/>
    <m/>
    <x v="6"/>
    <x v="5"/>
  </r>
  <r>
    <n v="2220"/>
    <n v="2097"/>
    <x v="2"/>
    <n v="4"/>
    <n v="8"/>
    <n v="32"/>
    <s v="Delivered"/>
    <n v="32"/>
    <d v="2026-02-27T00:00:00"/>
    <m/>
    <m/>
    <x v="2"/>
    <x v="5"/>
  </r>
  <r>
    <n v="2221"/>
    <n v="2098"/>
    <x v="0"/>
    <n v="4"/>
    <n v="750"/>
    <n v="3000"/>
    <s v="Delivered"/>
    <n v="3000"/>
    <d v="2026-06-10T00:00:00"/>
    <m/>
    <m/>
    <x v="0"/>
    <x v="2"/>
  </r>
  <r>
    <n v="2222"/>
    <n v="2098"/>
    <x v="2"/>
    <n v="2"/>
    <n v="8"/>
    <n v="16"/>
    <s v="Delivered"/>
    <n v="16"/>
    <d v="2026-06-10T00:00:00"/>
    <m/>
    <m/>
    <x v="2"/>
    <x v="2"/>
  </r>
  <r>
    <n v="2223"/>
    <n v="2099"/>
    <x v="6"/>
    <n v="1"/>
    <n v="45"/>
    <n v="45"/>
    <s v="Delivered"/>
    <n v="45"/>
    <d v="2026-02-14T00:00:00"/>
    <m/>
    <m/>
    <x v="6"/>
    <x v="5"/>
  </r>
  <r>
    <n v="2224"/>
    <n v="2099"/>
    <x v="7"/>
    <n v="1"/>
    <n v="180"/>
    <n v="180"/>
    <s v="Delivered"/>
    <n v="180"/>
    <d v="2026-02-14T00:00:00"/>
    <m/>
    <m/>
    <x v="7"/>
    <x v="5"/>
  </r>
  <r>
    <n v="2225"/>
    <n v="2100"/>
    <x v="8"/>
    <n v="1"/>
    <n v="30"/>
    <n v="30"/>
    <s v="Pending"/>
    <n v="30"/>
    <d v="2026-04-24T00:00:00"/>
    <m/>
    <m/>
    <x v="8"/>
    <x v="4"/>
  </r>
  <r>
    <n v="2226"/>
    <n v="2100"/>
    <x v="4"/>
    <n v="3"/>
    <n v="48"/>
    <n v="144"/>
    <s v="Pending"/>
    <n v="144"/>
    <d v="2026-04-24T00:00:00"/>
    <m/>
    <m/>
    <x v="4"/>
    <x v="4"/>
  </r>
  <r>
    <n v="2227"/>
    <n v="2101"/>
    <x v="9"/>
    <n v="1"/>
    <n v="22"/>
    <n v="22"/>
    <s v="Delivered"/>
    <n v="22"/>
    <d v="2026-03-04T00:00:00"/>
    <m/>
    <m/>
    <x v="9"/>
    <x v="1"/>
  </r>
  <r>
    <n v="2228"/>
    <n v="2102"/>
    <x v="9"/>
    <n v="1"/>
    <n v="22"/>
    <n v="22"/>
    <s v="Delivered"/>
    <n v="22"/>
    <d v="2026-04-09T00:00:00"/>
    <m/>
    <m/>
    <x v="9"/>
    <x v="4"/>
  </r>
  <r>
    <n v="2229"/>
    <n v="2102"/>
    <x v="8"/>
    <n v="1"/>
    <n v="30"/>
    <n v="30"/>
    <s v="Delivered"/>
    <n v="30"/>
    <d v="2026-04-09T00:00:00"/>
    <m/>
    <m/>
    <x v="8"/>
    <x v="4"/>
  </r>
  <r>
    <n v="2230"/>
    <n v="2103"/>
    <x v="4"/>
    <n v="1"/>
    <n v="48"/>
    <n v="48"/>
    <s v="Delivered"/>
    <n v="48"/>
    <d v="2026-01-11T00:00:00"/>
    <m/>
    <m/>
    <x v="4"/>
    <x v="0"/>
  </r>
  <r>
    <n v="2231"/>
    <n v="2103"/>
    <x v="11"/>
    <n v="1"/>
    <n v="55"/>
    <n v="55"/>
    <s v="Delivered"/>
    <n v="55"/>
    <d v="2026-01-11T00:00:00"/>
    <m/>
    <m/>
    <x v="11"/>
    <x v="0"/>
  </r>
  <r>
    <n v="2232"/>
    <n v="2103"/>
    <x v="10"/>
    <n v="2"/>
    <n v="65"/>
    <n v="130"/>
    <s v="Delivered"/>
    <n v="130"/>
    <d v="2026-01-11T00:00:00"/>
    <m/>
    <m/>
    <x v="10"/>
    <x v="0"/>
  </r>
  <r>
    <n v="2233"/>
    <n v="2104"/>
    <x v="3"/>
    <n v="4"/>
    <n v="25"/>
    <n v="100"/>
    <s v="Delivered"/>
    <n v="100"/>
    <d v="2026-02-13T00:00:00"/>
    <m/>
    <m/>
    <x v="3"/>
    <x v="5"/>
  </r>
  <r>
    <n v="2234"/>
    <n v="2105"/>
    <x v="7"/>
    <n v="3"/>
    <n v="180"/>
    <n v="540"/>
    <s v="Cancelled"/>
    <n v="0"/>
    <d v="2026-04-28T00:00:00"/>
    <m/>
    <m/>
    <x v="7"/>
    <x v="4"/>
  </r>
  <r>
    <n v="2235"/>
    <n v="2106"/>
    <x v="9"/>
    <n v="3"/>
    <n v="22"/>
    <n v="66"/>
    <s v="Delivered"/>
    <n v="66"/>
    <d v="2026-03-17T00:00:00"/>
    <m/>
    <m/>
    <x v="9"/>
    <x v="1"/>
  </r>
  <r>
    <n v="2236"/>
    <n v="2106"/>
    <x v="7"/>
    <n v="1"/>
    <n v="180"/>
    <n v="180"/>
    <s v="Delivered"/>
    <n v="180"/>
    <d v="2026-03-17T00:00:00"/>
    <m/>
    <m/>
    <x v="7"/>
    <x v="1"/>
  </r>
  <r>
    <n v="2237"/>
    <n v="2107"/>
    <x v="9"/>
    <n v="3"/>
    <n v="22"/>
    <n v="66"/>
    <s v="Delivered"/>
    <n v="66"/>
    <d v="2026-04-05T00:00:00"/>
    <m/>
    <m/>
    <x v="9"/>
    <x v="4"/>
  </r>
  <r>
    <n v="2238"/>
    <n v="2107"/>
    <x v="6"/>
    <n v="4"/>
    <n v="45"/>
    <n v="180"/>
    <s v="Delivered"/>
    <n v="180"/>
    <d v="2026-04-05T00:00:00"/>
    <m/>
    <m/>
    <x v="6"/>
    <x v="4"/>
  </r>
  <r>
    <n v="2239"/>
    <n v="2108"/>
    <x v="7"/>
    <n v="2"/>
    <n v="180"/>
    <n v="360"/>
    <s v="Delivered"/>
    <n v="360"/>
    <d v="2026-02-02T00:00:00"/>
    <m/>
    <m/>
    <x v="7"/>
    <x v="5"/>
  </r>
  <r>
    <n v="2240"/>
    <n v="2108"/>
    <x v="4"/>
    <n v="1"/>
    <n v="48"/>
    <n v="48"/>
    <s v="Delivered"/>
    <n v="48"/>
    <d v="2026-02-02T00:00:00"/>
    <m/>
    <m/>
    <x v="4"/>
    <x v="5"/>
  </r>
  <r>
    <n v="2241"/>
    <n v="2109"/>
    <x v="8"/>
    <n v="2"/>
    <n v="30"/>
    <n v="60"/>
    <s v="Delivered"/>
    <n v="60"/>
    <d v="2026-03-08T00:00:00"/>
    <m/>
    <m/>
    <x v="8"/>
    <x v="1"/>
  </r>
  <r>
    <n v="2242"/>
    <n v="2109"/>
    <x v="10"/>
    <n v="3"/>
    <n v="65"/>
    <n v="195"/>
    <s v="Delivered"/>
    <n v="195"/>
    <d v="2026-03-08T00:00:00"/>
    <m/>
    <m/>
    <x v="10"/>
    <x v="1"/>
  </r>
  <r>
    <n v="2243"/>
    <n v="2109"/>
    <x v="11"/>
    <n v="2"/>
    <n v="55"/>
    <n v="110"/>
    <s v="Delivered"/>
    <n v="110"/>
    <d v="2026-03-08T00:00:00"/>
    <m/>
    <m/>
    <x v="11"/>
    <x v="1"/>
  </r>
  <r>
    <n v="2244"/>
    <n v="2110"/>
    <x v="6"/>
    <n v="4"/>
    <n v="45"/>
    <n v="180"/>
    <s v="Delivered"/>
    <n v="180"/>
    <d v="2026-05-05T00:00:00"/>
    <m/>
    <m/>
    <x v="6"/>
    <x v="3"/>
  </r>
  <r>
    <n v="2245"/>
    <n v="2110"/>
    <x v="11"/>
    <n v="1"/>
    <n v="55"/>
    <n v="55"/>
    <s v="Delivered"/>
    <n v="55"/>
    <d v="2026-05-05T00:00:00"/>
    <m/>
    <m/>
    <x v="11"/>
    <x v="3"/>
  </r>
  <r>
    <n v="2246"/>
    <n v="2111"/>
    <x v="3"/>
    <n v="4"/>
    <n v="25"/>
    <n v="100"/>
    <s v="Delivered"/>
    <n v="100"/>
    <d v="2026-02-27T00:00:00"/>
    <m/>
    <m/>
    <x v="3"/>
    <x v="5"/>
  </r>
  <r>
    <n v="2247"/>
    <n v="2111"/>
    <x v="1"/>
    <n v="1"/>
    <n v="140"/>
    <n v="140"/>
    <s v="Delivered"/>
    <n v="140"/>
    <d v="2026-02-27T00:00:00"/>
    <m/>
    <m/>
    <x v="1"/>
    <x v="5"/>
  </r>
  <r>
    <n v="2248"/>
    <n v="2111"/>
    <x v="11"/>
    <n v="2"/>
    <n v="55"/>
    <n v="110"/>
    <s v="Delivered"/>
    <n v="110"/>
    <d v="2026-02-27T00:00:00"/>
    <m/>
    <m/>
    <x v="11"/>
    <x v="5"/>
  </r>
  <r>
    <n v="2249"/>
    <n v="2112"/>
    <x v="7"/>
    <n v="1"/>
    <n v="180"/>
    <n v="180"/>
    <s v="Shipped"/>
    <n v="180"/>
    <d v="2026-01-26T00:00:00"/>
    <m/>
    <m/>
    <x v="7"/>
    <x v="0"/>
  </r>
  <r>
    <n v="2250"/>
    <n v="2113"/>
    <x v="7"/>
    <n v="2"/>
    <n v="180"/>
    <n v="360"/>
    <s v="Delivered"/>
    <n v="360"/>
    <d v="2026-04-25T00:00:00"/>
    <m/>
    <m/>
    <x v="7"/>
    <x v="4"/>
  </r>
  <r>
    <n v="2251"/>
    <n v="2114"/>
    <x v="7"/>
    <n v="1"/>
    <n v="180"/>
    <n v="180"/>
    <s v="Delivered"/>
    <n v="180"/>
    <d v="2026-04-27T00:00:00"/>
    <m/>
    <m/>
    <x v="7"/>
    <x v="4"/>
  </r>
  <r>
    <n v="2252"/>
    <n v="2114"/>
    <x v="5"/>
    <n v="2"/>
    <n v="220"/>
    <n v="440"/>
    <s v="Delivered"/>
    <n v="440"/>
    <d v="2026-04-27T00:00:00"/>
    <m/>
    <m/>
    <x v="5"/>
    <x v="4"/>
  </r>
  <r>
    <n v="2253"/>
    <n v="2114"/>
    <x v="3"/>
    <n v="3"/>
    <n v="25"/>
    <n v="75"/>
    <s v="Delivered"/>
    <n v="75"/>
    <d v="2026-04-27T00:00:00"/>
    <m/>
    <m/>
    <x v="3"/>
    <x v="4"/>
  </r>
  <r>
    <n v="2254"/>
    <n v="2115"/>
    <x v="1"/>
    <n v="1"/>
    <n v="140"/>
    <n v="140"/>
    <s v="Delivered"/>
    <n v="140"/>
    <d v="2026-05-03T00:00:00"/>
    <m/>
    <m/>
    <x v="1"/>
    <x v="3"/>
  </r>
  <r>
    <n v="2255"/>
    <n v="2116"/>
    <x v="11"/>
    <n v="1"/>
    <n v="55"/>
    <n v="55"/>
    <s v="Delivered"/>
    <n v="55"/>
    <d v="2026-01-26T00:00:00"/>
    <m/>
    <m/>
    <x v="11"/>
    <x v="0"/>
  </r>
  <r>
    <n v="2256"/>
    <n v="2116"/>
    <x v="7"/>
    <n v="4"/>
    <n v="180"/>
    <n v="720"/>
    <s v="Delivered"/>
    <n v="720"/>
    <d v="2026-01-26T00:00:00"/>
    <m/>
    <m/>
    <x v="7"/>
    <x v="0"/>
  </r>
  <r>
    <n v="2257"/>
    <n v="2116"/>
    <x v="2"/>
    <n v="1"/>
    <n v="8"/>
    <n v="8"/>
    <s v="Delivered"/>
    <n v="8"/>
    <d v="2026-01-26T00:00:00"/>
    <m/>
    <m/>
    <x v="2"/>
    <x v="0"/>
  </r>
  <r>
    <n v="2258"/>
    <n v="2117"/>
    <x v="7"/>
    <n v="4"/>
    <n v="180"/>
    <n v="720"/>
    <s v="Delivered"/>
    <n v="720"/>
    <d v="2026-06-12T00:00:00"/>
    <m/>
    <m/>
    <x v="7"/>
    <x v="2"/>
  </r>
  <r>
    <n v="2259"/>
    <n v="2118"/>
    <x v="8"/>
    <n v="3"/>
    <n v="30"/>
    <n v="90"/>
    <s v="Delivered"/>
    <n v="90"/>
    <d v="2026-05-04T00:00:00"/>
    <m/>
    <m/>
    <x v="8"/>
    <x v="3"/>
  </r>
  <r>
    <n v="2260"/>
    <n v="2118"/>
    <x v="3"/>
    <n v="3"/>
    <n v="25"/>
    <n v="75"/>
    <s v="Delivered"/>
    <n v="75"/>
    <d v="2026-05-04T00:00:00"/>
    <m/>
    <m/>
    <x v="3"/>
    <x v="3"/>
  </r>
  <r>
    <n v="2261"/>
    <n v="2119"/>
    <x v="11"/>
    <n v="2"/>
    <n v="55"/>
    <n v="110"/>
    <s v="Delivered"/>
    <n v="110"/>
    <d v="2026-02-16T00:00:00"/>
    <m/>
    <m/>
    <x v="11"/>
    <x v="5"/>
  </r>
  <r>
    <n v="2262"/>
    <n v="2119"/>
    <x v="9"/>
    <n v="1"/>
    <n v="22"/>
    <n v="22"/>
    <s v="Delivered"/>
    <n v="22"/>
    <d v="2026-02-16T00:00:00"/>
    <m/>
    <m/>
    <x v="9"/>
    <x v="5"/>
  </r>
  <r>
    <n v="2263"/>
    <n v="2119"/>
    <x v="6"/>
    <n v="4"/>
    <n v="45"/>
    <n v="180"/>
    <s v="Delivered"/>
    <n v="180"/>
    <d v="2026-02-16T00:00:00"/>
    <m/>
    <m/>
    <x v="6"/>
    <x v="5"/>
  </r>
  <r>
    <n v="2264"/>
    <n v="2120"/>
    <x v="5"/>
    <n v="2"/>
    <n v="220"/>
    <n v="440"/>
    <s v="Delivered"/>
    <n v="440"/>
    <d v="2026-06-13T00:00:00"/>
    <m/>
    <m/>
    <x v="5"/>
    <x v="2"/>
  </r>
  <r>
    <n v="2265"/>
    <n v="2121"/>
    <x v="3"/>
    <n v="3"/>
    <n v="25"/>
    <n v="75"/>
    <s v="Delivered"/>
    <n v="75"/>
    <d v="2026-05-01T00:00:00"/>
    <m/>
    <m/>
    <x v="3"/>
    <x v="3"/>
  </r>
  <r>
    <n v="2266"/>
    <n v="2121"/>
    <x v="2"/>
    <n v="2"/>
    <n v="8"/>
    <n v="16"/>
    <s v="Delivered"/>
    <n v="16"/>
    <d v="2026-05-01T00:00:00"/>
    <m/>
    <m/>
    <x v="2"/>
    <x v="3"/>
  </r>
  <r>
    <n v="2267"/>
    <n v="2121"/>
    <x v="6"/>
    <n v="2"/>
    <n v="45"/>
    <n v="90"/>
    <s v="Delivered"/>
    <n v="90"/>
    <d v="2026-05-01T00:00:00"/>
    <m/>
    <m/>
    <x v="6"/>
    <x v="3"/>
  </r>
  <r>
    <n v="2268"/>
    <n v="2122"/>
    <x v="4"/>
    <n v="4"/>
    <n v="48"/>
    <n v="192"/>
    <s v="Delivered"/>
    <n v="192"/>
    <d v="2026-06-19T00:00:00"/>
    <m/>
    <m/>
    <x v="4"/>
    <x v="2"/>
  </r>
  <r>
    <n v="2269"/>
    <n v="2122"/>
    <x v="2"/>
    <n v="3"/>
    <n v="8"/>
    <n v="24"/>
    <s v="Delivered"/>
    <n v="24"/>
    <d v="2026-06-19T00:00:00"/>
    <m/>
    <m/>
    <x v="2"/>
    <x v="2"/>
  </r>
  <r>
    <n v="2270"/>
    <n v="2123"/>
    <x v="1"/>
    <n v="3"/>
    <n v="140"/>
    <n v="420"/>
    <s v="Delivered"/>
    <n v="420"/>
    <d v="2026-04-05T00:00:00"/>
    <m/>
    <m/>
    <x v="1"/>
    <x v="4"/>
  </r>
  <r>
    <n v="2271"/>
    <n v="2123"/>
    <x v="9"/>
    <n v="4"/>
    <n v="22"/>
    <n v="88"/>
    <s v="Delivered"/>
    <n v="88"/>
    <d v="2026-04-05T00:00:00"/>
    <m/>
    <m/>
    <x v="9"/>
    <x v="4"/>
  </r>
  <r>
    <n v="2272"/>
    <n v="2123"/>
    <x v="11"/>
    <n v="4"/>
    <n v="55"/>
    <n v="220"/>
    <s v="Delivered"/>
    <n v="220"/>
    <d v="2026-04-05T00:00:00"/>
    <m/>
    <m/>
    <x v="11"/>
    <x v="4"/>
  </r>
  <r>
    <n v="2273"/>
    <n v="2124"/>
    <x v="7"/>
    <n v="2"/>
    <n v="180"/>
    <n v="360"/>
    <s v="Delivered"/>
    <n v="360"/>
    <d v="2026-04-15T00:00:00"/>
    <m/>
    <m/>
    <x v="7"/>
    <x v="4"/>
  </r>
  <r>
    <n v="2274"/>
    <n v="2124"/>
    <x v="0"/>
    <n v="2"/>
    <n v="750"/>
    <n v="1500"/>
    <s v="Delivered"/>
    <n v="1500"/>
    <d v="2026-04-15T00:00:00"/>
    <m/>
    <m/>
    <x v="0"/>
    <x v="4"/>
  </r>
  <r>
    <n v="2275"/>
    <n v="2125"/>
    <x v="8"/>
    <n v="2"/>
    <n v="30"/>
    <n v="60"/>
    <s v="Delivered"/>
    <n v="60"/>
    <d v="2026-03-24T00:00:00"/>
    <m/>
    <m/>
    <x v="8"/>
    <x v="1"/>
  </r>
  <r>
    <n v="2276"/>
    <n v="2125"/>
    <x v="9"/>
    <n v="2"/>
    <n v="22"/>
    <n v="44"/>
    <s v="Delivered"/>
    <n v="44"/>
    <d v="2026-03-24T00:00:00"/>
    <m/>
    <m/>
    <x v="9"/>
    <x v="1"/>
  </r>
  <r>
    <n v="2277"/>
    <n v="2126"/>
    <x v="2"/>
    <n v="4"/>
    <n v="8"/>
    <n v="32"/>
    <s v="Delivered"/>
    <n v="32"/>
    <d v="2026-03-04T00:00:00"/>
    <m/>
    <m/>
    <x v="2"/>
    <x v="1"/>
  </r>
  <r>
    <n v="2278"/>
    <n v="2126"/>
    <x v="11"/>
    <n v="4"/>
    <n v="55"/>
    <n v="220"/>
    <s v="Delivered"/>
    <n v="220"/>
    <d v="2026-03-04T00:00:00"/>
    <m/>
    <m/>
    <x v="11"/>
    <x v="1"/>
  </r>
  <r>
    <n v="2279"/>
    <n v="2126"/>
    <x v="0"/>
    <n v="2"/>
    <n v="750"/>
    <n v="1500"/>
    <s v="Delivered"/>
    <n v="1500"/>
    <d v="2026-03-04T00:00:00"/>
    <m/>
    <m/>
    <x v="0"/>
    <x v="1"/>
  </r>
  <r>
    <n v="2280"/>
    <n v="2127"/>
    <x v="1"/>
    <n v="1"/>
    <n v="140"/>
    <n v="140"/>
    <s v="Delivered"/>
    <n v="140"/>
    <d v="2026-01-15T00:00:00"/>
    <m/>
    <m/>
    <x v="1"/>
    <x v="0"/>
  </r>
  <r>
    <n v="2281"/>
    <n v="2127"/>
    <x v="11"/>
    <n v="4"/>
    <n v="55"/>
    <n v="220"/>
    <s v="Delivered"/>
    <n v="220"/>
    <d v="2026-01-15T00:00:00"/>
    <m/>
    <m/>
    <x v="11"/>
    <x v="0"/>
  </r>
  <r>
    <n v="2282"/>
    <n v="2127"/>
    <x v="7"/>
    <n v="2"/>
    <n v="180"/>
    <n v="360"/>
    <s v="Delivered"/>
    <n v="360"/>
    <d v="2026-01-15T00:00:00"/>
    <m/>
    <m/>
    <x v="7"/>
    <x v="0"/>
  </r>
  <r>
    <n v="2283"/>
    <n v="2128"/>
    <x v="7"/>
    <n v="1"/>
    <n v="180"/>
    <n v="180"/>
    <s v="Delivered"/>
    <n v="180"/>
    <d v="2026-04-16T00:00:00"/>
    <m/>
    <m/>
    <x v="7"/>
    <x v="4"/>
  </r>
  <r>
    <n v="2284"/>
    <n v="2128"/>
    <x v="2"/>
    <n v="4"/>
    <n v="8"/>
    <n v="32"/>
    <s v="Delivered"/>
    <n v="32"/>
    <d v="2026-04-16T00:00:00"/>
    <m/>
    <m/>
    <x v="2"/>
    <x v="4"/>
  </r>
  <r>
    <n v="2285"/>
    <n v="2128"/>
    <x v="3"/>
    <n v="2"/>
    <n v="25"/>
    <n v="50"/>
    <s v="Delivered"/>
    <n v="50"/>
    <d v="2026-04-16T00:00:00"/>
    <m/>
    <m/>
    <x v="3"/>
    <x v="4"/>
  </r>
  <r>
    <n v="2286"/>
    <n v="2129"/>
    <x v="5"/>
    <n v="3"/>
    <n v="220"/>
    <n v="660"/>
    <s v="Delivered"/>
    <n v="660"/>
    <d v="2026-05-16T00:00:00"/>
    <m/>
    <m/>
    <x v="5"/>
    <x v="3"/>
  </r>
  <r>
    <n v="2287"/>
    <n v="2130"/>
    <x v="11"/>
    <n v="3"/>
    <n v="55"/>
    <n v="165"/>
    <s v="Delivered"/>
    <n v="165"/>
    <d v="2026-02-24T00:00:00"/>
    <m/>
    <m/>
    <x v="11"/>
    <x v="5"/>
  </r>
  <r>
    <n v="2288"/>
    <n v="2131"/>
    <x v="5"/>
    <n v="4"/>
    <n v="220"/>
    <n v="880"/>
    <s v="Delivered"/>
    <n v="880"/>
    <d v="2026-06-04T00:00:00"/>
    <m/>
    <m/>
    <x v="5"/>
    <x v="2"/>
  </r>
  <r>
    <n v="2289"/>
    <n v="2132"/>
    <x v="0"/>
    <n v="4"/>
    <n v="750"/>
    <n v="3000"/>
    <s v="Shipped"/>
    <n v="3000"/>
    <d v="2026-01-16T00:00:00"/>
    <m/>
    <m/>
    <x v="0"/>
    <x v="0"/>
  </r>
  <r>
    <n v="2290"/>
    <n v="2132"/>
    <x v="2"/>
    <n v="1"/>
    <n v="8"/>
    <n v="8"/>
    <s v="Shipped"/>
    <n v="8"/>
    <d v="2026-01-16T00:00:00"/>
    <m/>
    <m/>
    <x v="2"/>
    <x v="0"/>
  </r>
  <r>
    <n v="2291"/>
    <n v="2133"/>
    <x v="4"/>
    <n v="1"/>
    <n v="48"/>
    <n v="48"/>
    <s v="Delivered"/>
    <n v="48"/>
    <d v="2026-05-18T00:00:00"/>
    <m/>
    <m/>
    <x v="4"/>
    <x v="3"/>
  </r>
  <r>
    <n v="2292"/>
    <n v="2133"/>
    <x v="5"/>
    <n v="1"/>
    <n v="220"/>
    <n v="220"/>
    <s v="Delivered"/>
    <n v="220"/>
    <d v="2026-05-18T00:00:00"/>
    <m/>
    <m/>
    <x v="5"/>
    <x v="3"/>
  </r>
  <r>
    <n v="2293"/>
    <n v="2134"/>
    <x v="4"/>
    <n v="4"/>
    <n v="48"/>
    <n v="192"/>
    <s v="Delivered"/>
    <n v="192"/>
    <d v="2026-01-23T00:00:00"/>
    <m/>
    <m/>
    <x v="4"/>
    <x v="0"/>
  </r>
  <r>
    <n v="2294"/>
    <n v="2134"/>
    <x v="3"/>
    <n v="3"/>
    <n v="25"/>
    <n v="75"/>
    <s v="Delivered"/>
    <n v="75"/>
    <d v="2026-01-23T00:00:00"/>
    <m/>
    <m/>
    <x v="3"/>
    <x v="0"/>
  </r>
  <r>
    <n v="2295"/>
    <n v="2134"/>
    <x v="5"/>
    <n v="4"/>
    <n v="220"/>
    <n v="880"/>
    <s v="Delivered"/>
    <n v="880"/>
    <d v="2026-01-23T00:00:00"/>
    <m/>
    <m/>
    <x v="5"/>
    <x v="0"/>
  </r>
  <r>
    <n v="2296"/>
    <n v="2135"/>
    <x v="11"/>
    <n v="4"/>
    <n v="55"/>
    <n v="220"/>
    <s v="Delivered"/>
    <n v="220"/>
    <d v="2026-03-26T00:00:00"/>
    <m/>
    <m/>
    <x v="11"/>
    <x v="1"/>
  </r>
  <r>
    <n v="2297"/>
    <n v="2135"/>
    <x v="8"/>
    <n v="1"/>
    <n v="30"/>
    <n v="30"/>
    <s v="Delivered"/>
    <n v="30"/>
    <d v="2026-03-26T00:00:00"/>
    <m/>
    <m/>
    <x v="8"/>
    <x v="1"/>
  </r>
  <r>
    <n v="2298"/>
    <n v="2136"/>
    <x v="6"/>
    <n v="2"/>
    <n v="45"/>
    <n v="90"/>
    <s v="Delivered"/>
    <n v="90"/>
    <d v="2026-01-05T00:00:00"/>
    <m/>
    <m/>
    <x v="6"/>
    <x v="0"/>
  </r>
  <r>
    <n v="2299"/>
    <n v="2136"/>
    <x v="7"/>
    <n v="3"/>
    <n v="180"/>
    <n v="540"/>
    <s v="Delivered"/>
    <n v="540"/>
    <d v="2026-01-05T00:00:00"/>
    <m/>
    <m/>
    <x v="7"/>
    <x v="0"/>
  </r>
  <r>
    <n v="2300"/>
    <n v="2137"/>
    <x v="3"/>
    <n v="2"/>
    <n v="25"/>
    <n v="50"/>
    <s v="Cancelled"/>
    <n v="0"/>
    <d v="2026-04-01T00:00:00"/>
    <m/>
    <m/>
    <x v="3"/>
    <x v="4"/>
  </r>
  <r>
    <n v="2301"/>
    <n v="2138"/>
    <x v="8"/>
    <n v="1"/>
    <n v="30"/>
    <n v="30"/>
    <s v="Delivered"/>
    <n v="30"/>
    <d v="2026-02-22T00:00:00"/>
    <m/>
    <m/>
    <x v="8"/>
    <x v="5"/>
  </r>
  <r>
    <n v="2302"/>
    <n v="2139"/>
    <x v="7"/>
    <n v="2"/>
    <n v="180"/>
    <n v="360"/>
    <s v="Shipped"/>
    <n v="360"/>
    <d v="2026-03-22T00:00:00"/>
    <m/>
    <m/>
    <x v="7"/>
    <x v="1"/>
  </r>
  <r>
    <n v="2303"/>
    <n v="2140"/>
    <x v="0"/>
    <n v="4"/>
    <n v="750"/>
    <n v="3000"/>
    <s v="Shipped"/>
    <n v="3000"/>
    <d v="2026-03-01T00:00:00"/>
    <m/>
    <m/>
    <x v="0"/>
    <x v="1"/>
  </r>
  <r>
    <n v="2304"/>
    <n v="2140"/>
    <x v="6"/>
    <n v="1"/>
    <n v="45"/>
    <n v="45"/>
    <s v="Shipped"/>
    <n v="45"/>
    <d v="2026-03-01T00:00:00"/>
    <m/>
    <m/>
    <x v="6"/>
    <x v="1"/>
  </r>
  <r>
    <n v="2305"/>
    <n v="2141"/>
    <x v="0"/>
    <n v="4"/>
    <n v="750"/>
    <n v="3000"/>
    <s v="Delivered"/>
    <n v="3000"/>
    <d v="2026-01-07T00:00:00"/>
    <m/>
    <m/>
    <x v="0"/>
    <x v="0"/>
  </r>
  <r>
    <n v="2306"/>
    <n v="2141"/>
    <x v="11"/>
    <n v="4"/>
    <n v="55"/>
    <n v="220"/>
    <s v="Delivered"/>
    <n v="220"/>
    <d v="2026-01-07T00:00:00"/>
    <m/>
    <m/>
    <x v="11"/>
    <x v="0"/>
  </r>
  <r>
    <n v="2307"/>
    <n v="2142"/>
    <x v="9"/>
    <n v="2"/>
    <n v="22"/>
    <n v="44"/>
    <s v="Shipped"/>
    <n v="44"/>
    <d v="2026-01-24T00:00:00"/>
    <m/>
    <m/>
    <x v="9"/>
    <x v="0"/>
  </r>
  <r>
    <n v="2308"/>
    <n v="2142"/>
    <x v="8"/>
    <n v="2"/>
    <n v="30"/>
    <n v="60"/>
    <s v="Shipped"/>
    <n v="60"/>
    <d v="2026-01-24T00:00:00"/>
    <m/>
    <m/>
    <x v="8"/>
    <x v="0"/>
  </r>
  <r>
    <n v="2309"/>
    <n v="2142"/>
    <x v="5"/>
    <n v="1"/>
    <n v="220"/>
    <n v="220"/>
    <s v="Shipped"/>
    <n v="220"/>
    <d v="2026-01-24T00:00:00"/>
    <m/>
    <m/>
    <x v="5"/>
    <x v="0"/>
  </r>
  <r>
    <n v="2310"/>
    <n v="2143"/>
    <x v="3"/>
    <n v="1"/>
    <n v="25"/>
    <n v="25"/>
    <s v="Delivered"/>
    <n v="25"/>
    <d v="2026-06-04T00:00:00"/>
    <m/>
    <m/>
    <x v="3"/>
    <x v="2"/>
  </r>
  <r>
    <n v="2311"/>
    <n v="2143"/>
    <x v="9"/>
    <n v="3"/>
    <n v="22"/>
    <n v="66"/>
    <s v="Delivered"/>
    <n v="66"/>
    <d v="2026-06-04T00:00:00"/>
    <m/>
    <m/>
    <x v="9"/>
    <x v="2"/>
  </r>
  <r>
    <n v="2312"/>
    <n v="2144"/>
    <x v="5"/>
    <n v="3"/>
    <n v="220"/>
    <n v="660"/>
    <s v="Delivered"/>
    <n v="660"/>
    <d v="2026-01-02T00:00:00"/>
    <m/>
    <m/>
    <x v="5"/>
    <x v="0"/>
  </r>
  <r>
    <n v="2313"/>
    <n v="2144"/>
    <x v="1"/>
    <n v="3"/>
    <n v="140"/>
    <n v="420"/>
    <s v="Delivered"/>
    <n v="420"/>
    <d v="2026-01-02T00:00:00"/>
    <m/>
    <m/>
    <x v="1"/>
    <x v="0"/>
  </r>
  <r>
    <n v="2314"/>
    <n v="2145"/>
    <x v="4"/>
    <n v="1"/>
    <n v="48"/>
    <n v="48"/>
    <s v="Pending"/>
    <n v="48"/>
    <d v="2026-02-28T00:00:00"/>
    <m/>
    <m/>
    <x v="4"/>
    <x v="5"/>
  </r>
  <r>
    <n v="2315"/>
    <n v="2145"/>
    <x v="10"/>
    <n v="3"/>
    <n v="65"/>
    <n v="195"/>
    <s v="Pending"/>
    <n v="195"/>
    <d v="2026-02-28T00:00:00"/>
    <m/>
    <m/>
    <x v="10"/>
    <x v="5"/>
  </r>
  <r>
    <n v="2316"/>
    <n v="2145"/>
    <x v="11"/>
    <n v="3"/>
    <n v="55"/>
    <n v="165"/>
    <s v="Pending"/>
    <n v="165"/>
    <d v="2026-02-28T00:00:00"/>
    <m/>
    <m/>
    <x v="11"/>
    <x v="5"/>
  </r>
  <r>
    <n v="2317"/>
    <n v="2146"/>
    <x v="0"/>
    <n v="2"/>
    <n v="750"/>
    <n v="1500"/>
    <s v="Delivered"/>
    <n v="1500"/>
    <d v="2026-02-06T00:00:00"/>
    <m/>
    <m/>
    <x v="0"/>
    <x v="5"/>
  </r>
  <r>
    <n v="2318"/>
    <n v="2146"/>
    <x v="6"/>
    <n v="2"/>
    <n v="45"/>
    <n v="90"/>
    <s v="Delivered"/>
    <n v="90"/>
    <d v="2026-02-06T00:00:00"/>
    <m/>
    <m/>
    <x v="6"/>
    <x v="5"/>
  </r>
  <r>
    <n v="2319"/>
    <n v="2146"/>
    <x v="8"/>
    <n v="4"/>
    <n v="30"/>
    <n v="120"/>
    <s v="Delivered"/>
    <n v="120"/>
    <d v="2026-02-06T00:00:00"/>
    <m/>
    <m/>
    <x v="8"/>
    <x v="5"/>
  </r>
  <r>
    <n v="2320"/>
    <n v="2147"/>
    <x v="10"/>
    <n v="2"/>
    <n v="65"/>
    <n v="130"/>
    <s v="Delivered"/>
    <n v="130"/>
    <d v="2026-06-19T00:00:00"/>
    <m/>
    <m/>
    <x v="10"/>
    <x v="2"/>
  </r>
  <r>
    <n v="2321"/>
    <n v="2148"/>
    <x v="0"/>
    <n v="4"/>
    <n v="750"/>
    <n v="3000"/>
    <s v="Delivered"/>
    <n v="3000"/>
    <d v="2026-02-16T00:00:00"/>
    <m/>
    <m/>
    <x v="0"/>
    <x v="5"/>
  </r>
  <r>
    <n v="2322"/>
    <n v="2149"/>
    <x v="0"/>
    <n v="1"/>
    <n v="750"/>
    <n v="750"/>
    <s v="Delivered"/>
    <n v="750"/>
    <d v="2026-06-09T00:00:00"/>
    <m/>
    <m/>
    <x v="0"/>
    <x v="2"/>
  </r>
  <r>
    <n v="2323"/>
    <n v="2149"/>
    <x v="11"/>
    <n v="2"/>
    <n v="55"/>
    <n v="110"/>
    <s v="Delivered"/>
    <n v="110"/>
    <d v="2026-06-09T00:00:00"/>
    <m/>
    <m/>
    <x v="11"/>
    <x v="2"/>
  </r>
  <r>
    <n v="2324"/>
    <n v="2150"/>
    <x v="1"/>
    <n v="2"/>
    <n v="140"/>
    <n v="280"/>
    <s v="Delivered"/>
    <n v="280"/>
    <d v="2026-05-15T00:00:00"/>
    <m/>
    <m/>
    <x v="1"/>
    <x v="3"/>
  </r>
  <r>
    <n v="2325"/>
    <n v="2151"/>
    <x v="6"/>
    <n v="1"/>
    <n v="45"/>
    <n v="45"/>
    <s v="Pending"/>
    <n v="45"/>
    <d v="2026-04-29T00:00:00"/>
    <m/>
    <m/>
    <x v="6"/>
    <x v="4"/>
  </r>
  <r>
    <n v="2326"/>
    <n v="2151"/>
    <x v="2"/>
    <n v="3"/>
    <n v="8"/>
    <n v="24"/>
    <s v="Pending"/>
    <n v="24"/>
    <d v="2026-04-29T00:00:00"/>
    <m/>
    <m/>
    <x v="2"/>
    <x v="4"/>
  </r>
  <r>
    <n v="2327"/>
    <n v="2152"/>
    <x v="1"/>
    <n v="3"/>
    <n v="140"/>
    <n v="420"/>
    <s v="Cancelled"/>
    <n v="0"/>
    <d v="2026-05-01T00:00:00"/>
    <m/>
    <m/>
    <x v="1"/>
    <x v="3"/>
  </r>
  <r>
    <n v="2328"/>
    <n v="2153"/>
    <x v="11"/>
    <n v="2"/>
    <n v="55"/>
    <n v="110"/>
    <s v="Delivered"/>
    <n v="110"/>
    <d v="2026-06-07T00:00:00"/>
    <m/>
    <m/>
    <x v="11"/>
    <x v="2"/>
  </r>
  <r>
    <n v="2329"/>
    <n v="2153"/>
    <x v="2"/>
    <n v="2"/>
    <n v="8"/>
    <n v="16"/>
    <s v="Delivered"/>
    <n v="16"/>
    <d v="2026-06-07T00:00:00"/>
    <m/>
    <m/>
    <x v="2"/>
    <x v="2"/>
  </r>
  <r>
    <n v="2330"/>
    <n v="2154"/>
    <x v="10"/>
    <n v="1"/>
    <n v="65"/>
    <n v="65"/>
    <s v="Delivered"/>
    <n v="65"/>
    <d v="2026-06-18T00:00:00"/>
    <m/>
    <m/>
    <x v="10"/>
    <x v="2"/>
  </r>
  <r>
    <n v="2331"/>
    <n v="2154"/>
    <x v="7"/>
    <n v="2"/>
    <n v="180"/>
    <n v="360"/>
    <s v="Delivered"/>
    <n v="360"/>
    <d v="2026-06-18T00:00:00"/>
    <m/>
    <m/>
    <x v="7"/>
    <x v="2"/>
  </r>
  <r>
    <n v="2332"/>
    <n v="2154"/>
    <x v="2"/>
    <n v="2"/>
    <n v="8"/>
    <n v="16"/>
    <s v="Delivered"/>
    <n v="16"/>
    <d v="2026-06-18T00:00:00"/>
    <m/>
    <m/>
    <x v="2"/>
    <x v="2"/>
  </r>
  <r>
    <n v="2333"/>
    <n v="2155"/>
    <x v="2"/>
    <n v="3"/>
    <n v="8"/>
    <n v="24"/>
    <s v="Delivered"/>
    <n v="24"/>
    <d v="2026-04-29T00:00:00"/>
    <m/>
    <m/>
    <x v="2"/>
    <x v="4"/>
  </r>
  <r>
    <n v="2334"/>
    <n v="2155"/>
    <x v="7"/>
    <n v="4"/>
    <n v="180"/>
    <n v="720"/>
    <s v="Delivered"/>
    <n v="720"/>
    <d v="2026-04-29T00:00:00"/>
    <m/>
    <m/>
    <x v="7"/>
    <x v="4"/>
  </r>
  <r>
    <n v="2335"/>
    <n v="2155"/>
    <x v="6"/>
    <n v="3"/>
    <n v="45"/>
    <n v="135"/>
    <s v="Delivered"/>
    <n v="135"/>
    <d v="2026-04-29T00:00:00"/>
    <m/>
    <m/>
    <x v="6"/>
    <x v="4"/>
  </r>
  <r>
    <n v="2336"/>
    <n v="2156"/>
    <x v="0"/>
    <n v="2"/>
    <n v="750"/>
    <n v="1500"/>
    <s v="Delivered"/>
    <n v="1500"/>
    <d v="2026-04-09T00:00:00"/>
    <m/>
    <m/>
    <x v="0"/>
    <x v="4"/>
  </r>
  <r>
    <n v="2337"/>
    <n v="2157"/>
    <x v="1"/>
    <n v="4"/>
    <n v="140"/>
    <n v="560"/>
    <s v="Delivered"/>
    <n v="560"/>
    <d v="2026-03-24T00:00:00"/>
    <m/>
    <m/>
    <x v="1"/>
    <x v="1"/>
  </r>
  <r>
    <n v="2338"/>
    <n v="2157"/>
    <x v="3"/>
    <n v="4"/>
    <n v="25"/>
    <n v="100"/>
    <s v="Delivered"/>
    <n v="100"/>
    <d v="2026-03-24T00:00:00"/>
    <m/>
    <m/>
    <x v="3"/>
    <x v="1"/>
  </r>
  <r>
    <n v="2339"/>
    <n v="2158"/>
    <x v="1"/>
    <n v="3"/>
    <n v="140"/>
    <n v="420"/>
    <s v="Delivered"/>
    <n v="420"/>
    <d v="2026-01-31T00:00:00"/>
    <m/>
    <m/>
    <x v="1"/>
    <x v="0"/>
  </r>
  <r>
    <n v="2340"/>
    <n v="2158"/>
    <x v="6"/>
    <n v="3"/>
    <n v="45"/>
    <n v="135"/>
    <s v="Delivered"/>
    <n v="135"/>
    <d v="2026-01-31T00:00:00"/>
    <m/>
    <m/>
    <x v="6"/>
    <x v="0"/>
  </r>
  <r>
    <n v="2341"/>
    <n v="2159"/>
    <x v="7"/>
    <n v="4"/>
    <n v="180"/>
    <n v="720"/>
    <s v="Delivered"/>
    <n v="720"/>
    <d v="2026-01-25T00:00:00"/>
    <m/>
    <m/>
    <x v="7"/>
    <x v="0"/>
  </r>
  <r>
    <n v="2342"/>
    <n v="2159"/>
    <x v="5"/>
    <n v="1"/>
    <n v="220"/>
    <n v="220"/>
    <s v="Delivered"/>
    <n v="220"/>
    <d v="2026-01-25T00:00:00"/>
    <m/>
    <m/>
    <x v="5"/>
    <x v="0"/>
  </r>
  <r>
    <n v="2343"/>
    <n v="2159"/>
    <x v="1"/>
    <n v="2"/>
    <n v="140"/>
    <n v="280"/>
    <s v="Delivered"/>
    <n v="280"/>
    <d v="2026-01-25T00:00:00"/>
    <m/>
    <m/>
    <x v="1"/>
    <x v="0"/>
  </r>
  <r>
    <n v="2344"/>
    <n v="2160"/>
    <x v="7"/>
    <n v="4"/>
    <n v="180"/>
    <n v="720"/>
    <s v="Delivered"/>
    <n v="720"/>
    <d v="2026-05-21T00:00:00"/>
    <m/>
    <m/>
    <x v="7"/>
    <x v="3"/>
  </r>
  <r>
    <n v="2345"/>
    <n v="2160"/>
    <x v="11"/>
    <n v="1"/>
    <n v="55"/>
    <n v="55"/>
    <s v="Delivered"/>
    <n v="55"/>
    <d v="2026-05-21T00:00:00"/>
    <m/>
    <m/>
    <x v="11"/>
    <x v="3"/>
  </r>
  <r>
    <n v="2346"/>
    <n v="2161"/>
    <x v="3"/>
    <n v="3"/>
    <n v="25"/>
    <n v="75"/>
    <s v="Delivered"/>
    <n v="75"/>
    <d v="2026-02-19T00:00:00"/>
    <m/>
    <m/>
    <x v="3"/>
    <x v="5"/>
  </r>
  <r>
    <n v="2347"/>
    <n v="2162"/>
    <x v="8"/>
    <n v="2"/>
    <n v="30"/>
    <n v="60"/>
    <s v="Delivered"/>
    <n v="60"/>
    <d v="2026-05-15T00:00:00"/>
    <m/>
    <m/>
    <x v="8"/>
    <x v="3"/>
  </r>
  <r>
    <n v="2348"/>
    <n v="2162"/>
    <x v="3"/>
    <n v="3"/>
    <n v="25"/>
    <n v="75"/>
    <s v="Delivered"/>
    <n v="75"/>
    <d v="2026-05-15T00:00:00"/>
    <m/>
    <m/>
    <x v="3"/>
    <x v="3"/>
  </r>
  <r>
    <n v="2349"/>
    <n v="2163"/>
    <x v="2"/>
    <n v="3"/>
    <n v="8"/>
    <n v="24"/>
    <s v="Delivered"/>
    <n v="24"/>
    <d v="2026-02-27T00:00:00"/>
    <m/>
    <m/>
    <x v="2"/>
    <x v="5"/>
  </r>
  <r>
    <n v="2350"/>
    <n v="2163"/>
    <x v="10"/>
    <n v="1"/>
    <n v="65"/>
    <n v="65"/>
    <s v="Delivered"/>
    <n v="65"/>
    <d v="2026-02-27T00:00:00"/>
    <m/>
    <m/>
    <x v="10"/>
    <x v="5"/>
  </r>
  <r>
    <n v="2351"/>
    <n v="2163"/>
    <x v="3"/>
    <n v="4"/>
    <n v="25"/>
    <n v="100"/>
    <s v="Delivered"/>
    <n v="100"/>
    <d v="2026-02-27T00:00:00"/>
    <m/>
    <m/>
    <x v="3"/>
    <x v="5"/>
  </r>
  <r>
    <n v="2352"/>
    <n v="2164"/>
    <x v="5"/>
    <n v="3"/>
    <n v="220"/>
    <n v="660"/>
    <s v="Delivered"/>
    <n v="660"/>
    <d v="2026-04-30T00:00:00"/>
    <m/>
    <m/>
    <x v="5"/>
    <x v="4"/>
  </r>
  <r>
    <n v="2353"/>
    <n v="2165"/>
    <x v="10"/>
    <n v="2"/>
    <n v="65"/>
    <n v="130"/>
    <s v="Delivered"/>
    <n v="130"/>
    <d v="2026-06-06T00:00:00"/>
    <m/>
    <m/>
    <x v="10"/>
    <x v="2"/>
  </r>
  <r>
    <n v="2354"/>
    <n v="2166"/>
    <x v="2"/>
    <n v="2"/>
    <n v="8"/>
    <n v="16"/>
    <s v="Delivered"/>
    <n v="16"/>
    <d v="2026-04-11T00:00:00"/>
    <m/>
    <m/>
    <x v="2"/>
    <x v="4"/>
  </r>
  <r>
    <n v="2355"/>
    <n v="2166"/>
    <x v="3"/>
    <n v="3"/>
    <n v="25"/>
    <n v="75"/>
    <s v="Delivered"/>
    <n v="75"/>
    <d v="2026-04-11T00:00:00"/>
    <m/>
    <m/>
    <x v="3"/>
    <x v="4"/>
  </r>
  <r>
    <n v="2356"/>
    <n v="2167"/>
    <x v="6"/>
    <n v="2"/>
    <n v="45"/>
    <n v="90"/>
    <s v="Delivered"/>
    <n v="90"/>
    <d v="2026-02-01T00:00:00"/>
    <m/>
    <m/>
    <x v="6"/>
    <x v="5"/>
  </r>
  <r>
    <n v="2357"/>
    <n v="2167"/>
    <x v="3"/>
    <n v="3"/>
    <n v="25"/>
    <n v="75"/>
    <s v="Delivered"/>
    <n v="75"/>
    <d v="2026-02-01T00:00:00"/>
    <m/>
    <m/>
    <x v="3"/>
    <x v="5"/>
  </r>
  <r>
    <n v="2358"/>
    <n v="2167"/>
    <x v="11"/>
    <n v="3"/>
    <n v="55"/>
    <n v="165"/>
    <s v="Delivered"/>
    <n v="165"/>
    <d v="2026-02-01T00:00:00"/>
    <m/>
    <m/>
    <x v="11"/>
    <x v="5"/>
  </r>
  <r>
    <n v="2359"/>
    <n v="2168"/>
    <x v="11"/>
    <n v="4"/>
    <n v="55"/>
    <n v="220"/>
    <s v="Delivered"/>
    <n v="220"/>
    <d v="2026-06-10T00:00:00"/>
    <m/>
    <m/>
    <x v="11"/>
    <x v="2"/>
  </r>
  <r>
    <n v="2360"/>
    <n v="2168"/>
    <x v="7"/>
    <n v="2"/>
    <n v="180"/>
    <n v="360"/>
    <s v="Delivered"/>
    <n v="360"/>
    <d v="2026-06-10T00:00:00"/>
    <m/>
    <m/>
    <x v="7"/>
    <x v="2"/>
  </r>
  <r>
    <n v="2361"/>
    <n v="2168"/>
    <x v="5"/>
    <n v="1"/>
    <n v="220"/>
    <n v="220"/>
    <s v="Delivered"/>
    <n v="220"/>
    <d v="2026-06-10T00:00:00"/>
    <m/>
    <m/>
    <x v="5"/>
    <x v="2"/>
  </r>
  <r>
    <n v="2362"/>
    <n v="2169"/>
    <x v="4"/>
    <n v="4"/>
    <n v="48"/>
    <n v="192"/>
    <s v="Delivered"/>
    <n v="192"/>
    <d v="2026-01-11T00:00:00"/>
    <m/>
    <m/>
    <x v="4"/>
    <x v="0"/>
  </r>
  <r>
    <n v="2363"/>
    <n v="2170"/>
    <x v="9"/>
    <n v="3"/>
    <n v="22"/>
    <n v="66"/>
    <s v="Delivered"/>
    <n v="66"/>
    <d v="2026-03-16T00:00:00"/>
    <m/>
    <m/>
    <x v="9"/>
    <x v="1"/>
  </r>
  <r>
    <n v="2364"/>
    <n v="2171"/>
    <x v="9"/>
    <n v="3"/>
    <n v="22"/>
    <n v="66"/>
    <s v="Delivered"/>
    <n v="66"/>
    <d v="2026-04-21T00:00:00"/>
    <m/>
    <m/>
    <x v="9"/>
    <x v="4"/>
  </r>
  <r>
    <n v="2365"/>
    <n v="2171"/>
    <x v="7"/>
    <n v="3"/>
    <n v="180"/>
    <n v="540"/>
    <s v="Delivered"/>
    <n v="540"/>
    <d v="2026-04-21T00:00:00"/>
    <m/>
    <m/>
    <x v="7"/>
    <x v="4"/>
  </r>
  <r>
    <n v="2366"/>
    <n v="2172"/>
    <x v="2"/>
    <n v="4"/>
    <n v="8"/>
    <n v="32"/>
    <s v="Delivered"/>
    <n v="32"/>
    <d v="2026-01-04T00:00:00"/>
    <m/>
    <m/>
    <x v="2"/>
    <x v="0"/>
  </r>
  <r>
    <n v="2367"/>
    <n v="2173"/>
    <x v="2"/>
    <n v="4"/>
    <n v="8"/>
    <n v="32"/>
    <s v="Delivered"/>
    <n v="32"/>
    <d v="2026-05-05T00:00:00"/>
    <m/>
    <m/>
    <x v="2"/>
    <x v="3"/>
  </r>
  <r>
    <n v="2368"/>
    <n v="2173"/>
    <x v="8"/>
    <n v="1"/>
    <n v="30"/>
    <n v="30"/>
    <s v="Delivered"/>
    <n v="30"/>
    <d v="2026-05-05T00:00:00"/>
    <m/>
    <m/>
    <x v="8"/>
    <x v="3"/>
  </r>
  <r>
    <n v="2369"/>
    <n v="2174"/>
    <x v="2"/>
    <n v="4"/>
    <n v="8"/>
    <n v="32"/>
    <s v="Delivered"/>
    <n v="32"/>
    <d v="2026-05-28T00:00:00"/>
    <m/>
    <m/>
    <x v="2"/>
    <x v="3"/>
  </r>
  <r>
    <n v="2370"/>
    <n v="2174"/>
    <x v="4"/>
    <n v="4"/>
    <n v="48"/>
    <n v="192"/>
    <s v="Delivered"/>
    <n v="192"/>
    <d v="2026-05-28T00:00:00"/>
    <m/>
    <m/>
    <x v="4"/>
    <x v="3"/>
  </r>
  <r>
    <n v="2371"/>
    <n v="2175"/>
    <x v="10"/>
    <n v="4"/>
    <n v="65"/>
    <n v="260"/>
    <s v="Delivered"/>
    <n v="260"/>
    <d v="2026-04-28T00:00:00"/>
    <m/>
    <m/>
    <x v="10"/>
    <x v="4"/>
  </r>
  <r>
    <n v="2372"/>
    <n v="2176"/>
    <x v="10"/>
    <n v="4"/>
    <n v="65"/>
    <n v="260"/>
    <s v="Shipped"/>
    <n v="260"/>
    <d v="2026-06-11T00:00:00"/>
    <m/>
    <m/>
    <x v="10"/>
    <x v="2"/>
  </r>
  <r>
    <n v="2373"/>
    <n v="2176"/>
    <x v="0"/>
    <n v="3"/>
    <n v="750"/>
    <n v="2250"/>
    <s v="Shipped"/>
    <n v="2250"/>
    <d v="2026-06-11T00:00:00"/>
    <m/>
    <m/>
    <x v="0"/>
    <x v="2"/>
  </r>
  <r>
    <n v="2374"/>
    <n v="2177"/>
    <x v="11"/>
    <n v="3"/>
    <n v="55"/>
    <n v="165"/>
    <s v="Delivered"/>
    <n v="165"/>
    <d v="2026-03-30T00:00:00"/>
    <m/>
    <m/>
    <x v="11"/>
    <x v="1"/>
  </r>
  <r>
    <n v="2375"/>
    <n v="2177"/>
    <x v="0"/>
    <n v="4"/>
    <n v="750"/>
    <n v="3000"/>
    <s v="Delivered"/>
    <n v="3000"/>
    <d v="2026-03-30T00:00:00"/>
    <m/>
    <m/>
    <x v="0"/>
    <x v="1"/>
  </r>
  <r>
    <n v="2376"/>
    <n v="2178"/>
    <x v="1"/>
    <n v="2"/>
    <n v="140"/>
    <n v="280"/>
    <s v="Delivered"/>
    <n v="280"/>
    <d v="2026-02-23T00:00:00"/>
    <m/>
    <m/>
    <x v="1"/>
    <x v="5"/>
  </r>
  <r>
    <n v="2377"/>
    <n v="2178"/>
    <x v="10"/>
    <n v="4"/>
    <n v="65"/>
    <n v="260"/>
    <s v="Delivered"/>
    <n v="260"/>
    <d v="2026-02-23T00:00:00"/>
    <m/>
    <m/>
    <x v="10"/>
    <x v="5"/>
  </r>
  <r>
    <n v="2378"/>
    <n v="2178"/>
    <x v="9"/>
    <n v="1"/>
    <n v="22"/>
    <n v="22"/>
    <s v="Delivered"/>
    <n v="22"/>
    <d v="2026-02-23T00:00:00"/>
    <m/>
    <m/>
    <x v="9"/>
    <x v="5"/>
  </r>
  <r>
    <n v="2379"/>
    <n v="2179"/>
    <x v="5"/>
    <n v="3"/>
    <n v="220"/>
    <n v="660"/>
    <s v="Delivered"/>
    <n v="660"/>
    <d v="2026-03-23T00:00:00"/>
    <m/>
    <m/>
    <x v="5"/>
    <x v="1"/>
  </r>
  <r>
    <n v="2380"/>
    <n v="2179"/>
    <x v="4"/>
    <n v="4"/>
    <n v="48"/>
    <n v="192"/>
    <s v="Delivered"/>
    <n v="192"/>
    <d v="2026-03-23T00:00:00"/>
    <m/>
    <m/>
    <x v="4"/>
    <x v="1"/>
  </r>
  <r>
    <n v="2381"/>
    <n v="2179"/>
    <x v="10"/>
    <n v="2"/>
    <n v="65"/>
    <n v="130"/>
    <s v="Delivered"/>
    <n v="130"/>
    <d v="2026-03-23T00:00:00"/>
    <m/>
    <m/>
    <x v="10"/>
    <x v="1"/>
  </r>
  <r>
    <n v="2382"/>
    <n v="2180"/>
    <x v="6"/>
    <n v="3"/>
    <n v="45"/>
    <n v="135"/>
    <s v="Delivered"/>
    <n v="135"/>
    <d v="2026-03-31T00:00:00"/>
    <m/>
    <m/>
    <x v="6"/>
    <x v="1"/>
  </r>
  <r>
    <n v="2383"/>
    <n v="2180"/>
    <x v="9"/>
    <n v="1"/>
    <n v="22"/>
    <n v="22"/>
    <s v="Delivered"/>
    <n v="22"/>
    <d v="2026-03-31T00:00:00"/>
    <m/>
    <m/>
    <x v="9"/>
    <x v="1"/>
  </r>
  <r>
    <n v="2384"/>
    <n v="2181"/>
    <x v="6"/>
    <n v="1"/>
    <n v="45"/>
    <n v="45"/>
    <s v="Delivered"/>
    <n v="45"/>
    <d v="2026-06-14T00:00:00"/>
    <m/>
    <m/>
    <x v="6"/>
    <x v="2"/>
  </r>
  <r>
    <n v="2385"/>
    <n v="2181"/>
    <x v="10"/>
    <n v="2"/>
    <n v="65"/>
    <n v="130"/>
    <s v="Delivered"/>
    <n v="130"/>
    <d v="2026-06-14T00:00:00"/>
    <m/>
    <m/>
    <x v="10"/>
    <x v="2"/>
  </r>
  <r>
    <n v="2386"/>
    <n v="2181"/>
    <x v="2"/>
    <n v="1"/>
    <n v="8"/>
    <n v="8"/>
    <s v="Delivered"/>
    <n v="8"/>
    <d v="2026-06-14T00:00:00"/>
    <m/>
    <m/>
    <x v="2"/>
    <x v="2"/>
  </r>
  <r>
    <n v="2387"/>
    <n v="2182"/>
    <x v="1"/>
    <n v="4"/>
    <n v="140"/>
    <n v="560"/>
    <s v="Delivered"/>
    <n v="560"/>
    <d v="2026-03-09T00:00:00"/>
    <m/>
    <m/>
    <x v="1"/>
    <x v="1"/>
  </r>
  <r>
    <n v="2388"/>
    <n v="2182"/>
    <x v="10"/>
    <n v="1"/>
    <n v="65"/>
    <n v="65"/>
    <s v="Delivered"/>
    <n v="65"/>
    <d v="2026-03-09T00:00:00"/>
    <m/>
    <m/>
    <x v="10"/>
    <x v="1"/>
  </r>
  <r>
    <n v="2389"/>
    <n v="2182"/>
    <x v="6"/>
    <n v="3"/>
    <n v="45"/>
    <n v="135"/>
    <s v="Delivered"/>
    <n v="135"/>
    <d v="2026-03-09T00:00:00"/>
    <m/>
    <m/>
    <x v="6"/>
    <x v="1"/>
  </r>
  <r>
    <n v="2390"/>
    <n v="2183"/>
    <x v="6"/>
    <n v="1"/>
    <n v="45"/>
    <n v="45"/>
    <s v="Delivered"/>
    <n v="45"/>
    <d v="2026-04-24T00:00:00"/>
    <m/>
    <m/>
    <x v="6"/>
    <x v="4"/>
  </r>
  <r>
    <n v="2391"/>
    <n v="2183"/>
    <x v="4"/>
    <n v="4"/>
    <n v="48"/>
    <n v="192"/>
    <s v="Delivered"/>
    <n v="192"/>
    <d v="2026-04-24T00:00:00"/>
    <m/>
    <m/>
    <x v="4"/>
    <x v="4"/>
  </r>
  <r>
    <n v="2392"/>
    <n v="2183"/>
    <x v="7"/>
    <n v="2"/>
    <n v="180"/>
    <n v="360"/>
    <s v="Delivered"/>
    <n v="360"/>
    <d v="2026-04-24T00:00:00"/>
    <m/>
    <m/>
    <x v="7"/>
    <x v="4"/>
  </r>
  <r>
    <n v="2393"/>
    <n v="2184"/>
    <x v="0"/>
    <n v="3"/>
    <n v="750"/>
    <n v="2250"/>
    <s v="Delivered"/>
    <n v="2250"/>
    <d v="2026-04-23T00:00:00"/>
    <m/>
    <m/>
    <x v="0"/>
    <x v="4"/>
  </r>
  <r>
    <n v="2394"/>
    <n v="2185"/>
    <x v="10"/>
    <n v="2"/>
    <n v="65"/>
    <n v="130"/>
    <s v="Delivered"/>
    <n v="130"/>
    <d v="2026-04-17T00:00:00"/>
    <m/>
    <m/>
    <x v="10"/>
    <x v="4"/>
  </r>
  <r>
    <n v="2395"/>
    <n v="2186"/>
    <x v="10"/>
    <n v="3"/>
    <n v="65"/>
    <n v="195"/>
    <s v="Delivered"/>
    <n v="195"/>
    <d v="2026-03-08T00:00:00"/>
    <m/>
    <m/>
    <x v="10"/>
    <x v="1"/>
  </r>
  <r>
    <n v="2396"/>
    <n v="2186"/>
    <x v="1"/>
    <n v="2"/>
    <n v="140"/>
    <n v="280"/>
    <s v="Delivered"/>
    <n v="280"/>
    <d v="2026-03-08T00:00:00"/>
    <m/>
    <m/>
    <x v="1"/>
    <x v="1"/>
  </r>
  <r>
    <n v="2397"/>
    <n v="2187"/>
    <x v="2"/>
    <n v="4"/>
    <n v="8"/>
    <n v="32"/>
    <s v="Cancelled"/>
    <n v="0"/>
    <d v="2026-03-24T00:00:00"/>
    <m/>
    <m/>
    <x v="2"/>
    <x v="1"/>
  </r>
  <r>
    <n v="2398"/>
    <n v="2187"/>
    <x v="6"/>
    <n v="3"/>
    <n v="45"/>
    <n v="135"/>
    <s v="Cancelled"/>
    <n v="0"/>
    <d v="2026-03-24T00:00:00"/>
    <m/>
    <m/>
    <x v="6"/>
    <x v="1"/>
  </r>
  <r>
    <n v="2399"/>
    <n v="2187"/>
    <x v="5"/>
    <n v="1"/>
    <n v="220"/>
    <n v="220"/>
    <s v="Cancelled"/>
    <n v="0"/>
    <d v="2026-03-24T00:00:00"/>
    <m/>
    <m/>
    <x v="5"/>
    <x v="1"/>
  </r>
  <r>
    <n v="2400"/>
    <n v="2188"/>
    <x v="9"/>
    <n v="2"/>
    <n v="22"/>
    <n v="44"/>
    <s v="Delivered"/>
    <n v="44"/>
    <d v="2026-06-04T00:00:00"/>
    <m/>
    <m/>
    <x v="9"/>
    <x v="2"/>
  </r>
  <r>
    <n v="2401"/>
    <n v="2188"/>
    <x v="4"/>
    <n v="4"/>
    <n v="48"/>
    <n v="192"/>
    <s v="Delivered"/>
    <n v="192"/>
    <d v="2026-06-04T00:00:00"/>
    <m/>
    <m/>
    <x v="4"/>
    <x v="2"/>
  </r>
  <r>
    <n v="2402"/>
    <n v="2188"/>
    <x v="8"/>
    <n v="3"/>
    <n v="30"/>
    <n v="90"/>
    <s v="Delivered"/>
    <n v="90"/>
    <d v="2026-06-04T00:00:00"/>
    <m/>
    <m/>
    <x v="8"/>
    <x v="2"/>
  </r>
  <r>
    <n v="2403"/>
    <n v="2189"/>
    <x v="8"/>
    <n v="4"/>
    <n v="30"/>
    <n v="120"/>
    <s v="Delivered"/>
    <n v="120"/>
    <d v="2026-06-01T00:00:00"/>
    <m/>
    <m/>
    <x v="8"/>
    <x v="2"/>
  </r>
  <r>
    <n v="2404"/>
    <n v="2190"/>
    <x v="9"/>
    <n v="3"/>
    <n v="22"/>
    <n v="66"/>
    <s v="Delivered"/>
    <n v="66"/>
    <d v="2026-02-07T00:00:00"/>
    <m/>
    <m/>
    <x v="9"/>
    <x v="5"/>
  </r>
  <r>
    <n v="2405"/>
    <n v="2191"/>
    <x v="3"/>
    <n v="4"/>
    <n v="25"/>
    <n v="100"/>
    <s v="Delivered"/>
    <n v="100"/>
    <d v="2026-06-03T00:00:00"/>
    <m/>
    <m/>
    <x v="3"/>
    <x v="2"/>
  </r>
  <r>
    <n v="2406"/>
    <n v="2191"/>
    <x v="4"/>
    <n v="3"/>
    <n v="48"/>
    <n v="144"/>
    <s v="Delivered"/>
    <n v="144"/>
    <d v="2026-06-03T00:00:00"/>
    <m/>
    <m/>
    <x v="4"/>
    <x v="2"/>
  </r>
  <r>
    <n v="2407"/>
    <n v="2192"/>
    <x v="4"/>
    <n v="1"/>
    <n v="48"/>
    <n v="48"/>
    <s v="Shipped"/>
    <n v="48"/>
    <d v="2026-05-11T00:00:00"/>
    <m/>
    <m/>
    <x v="4"/>
    <x v="3"/>
  </r>
  <r>
    <n v="2408"/>
    <n v="2192"/>
    <x v="2"/>
    <n v="1"/>
    <n v="8"/>
    <n v="8"/>
    <s v="Shipped"/>
    <n v="8"/>
    <d v="2026-05-11T00:00:00"/>
    <m/>
    <m/>
    <x v="2"/>
    <x v="3"/>
  </r>
  <r>
    <n v="2409"/>
    <n v="2192"/>
    <x v="1"/>
    <n v="3"/>
    <n v="140"/>
    <n v="420"/>
    <s v="Shipped"/>
    <n v="420"/>
    <d v="2026-05-11T00:00:00"/>
    <m/>
    <m/>
    <x v="1"/>
    <x v="3"/>
  </r>
  <r>
    <n v="2410"/>
    <n v="2193"/>
    <x v="6"/>
    <n v="2"/>
    <n v="45"/>
    <n v="90"/>
    <s v="Delivered"/>
    <n v="90"/>
    <d v="2026-06-07T00:00:00"/>
    <m/>
    <m/>
    <x v="6"/>
    <x v="2"/>
  </r>
  <r>
    <n v="2411"/>
    <n v="2193"/>
    <x v="3"/>
    <n v="2"/>
    <n v="25"/>
    <n v="50"/>
    <s v="Delivered"/>
    <n v="50"/>
    <d v="2026-06-07T00:00:00"/>
    <m/>
    <m/>
    <x v="3"/>
    <x v="2"/>
  </r>
  <r>
    <n v="2412"/>
    <n v="2193"/>
    <x v="4"/>
    <n v="1"/>
    <n v="48"/>
    <n v="48"/>
    <s v="Delivered"/>
    <n v="48"/>
    <d v="2026-06-07T00:00:00"/>
    <m/>
    <m/>
    <x v="4"/>
    <x v="2"/>
  </r>
  <r>
    <n v="2413"/>
    <n v="2194"/>
    <x v="4"/>
    <n v="4"/>
    <n v="48"/>
    <n v="192"/>
    <s v="Shipped"/>
    <n v="192"/>
    <d v="2026-01-25T00:00:00"/>
    <m/>
    <m/>
    <x v="4"/>
    <x v="0"/>
  </r>
  <r>
    <n v="2414"/>
    <n v="2194"/>
    <x v="10"/>
    <n v="4"/>
    <n v="65"/>
    <n v="260"/>
    <s v="Shipped"/>
    <n v="260"/>
    <d v="2026-01-25T00:00:00"/>
    <m/>
    <m/>
    <x v="10"/>
    <x v="0"/>
  </r>
  <r>
    <n v="2415"/>
    <n v="2194"/>
    <x v="9"/>
    <n v="2"/>
    <n v="22"/>
    <n v="44"/>
    <s v="Shipped"/>
    <n v="44"/>
    <d v="2026-01-25T00:00:00"/>
    <m/>
    <m/>
    <x v="9"/>
    <x v="0"/>
  </r>
  <r>
    <n v="2416"/>
    <n v="2195"/>
    <x v="10"/>
    <n v="1"/>
    <n v="65"/>
    <n v="65"/>
    <s v="Delivered"/>
    <n v="65"/>
    <d v="2026-01-25T00:00:00"/>
    <m/>
    <m/>
    <x v="10"/>
    <x v="0"/>
  </r>
  <r>
    <n v="2417"/>
    <n v="2195"/>
    <x v="7"/>
    <n v="2"/>
    <n v="180"/>
    <n v="360"/>
    <s v="Delivered"/>
    <n v="360"/>
    <d v="2026-01-25T00:00:00"/>
    <m/>
    <m/>
    <x v="7"/>
    <x v="0"/>
  </r>
  <r>
    <n v="2418"/>
    <n v="2195"/>
    <x v="11"/>
    <n v="3"/>
    <n v="55"/>
    <n v="165"/>
    <s v="Delivered"/>
    <n v="165"/>
    <d v="2026-01-25T00:00:00"/>
    <m/>
    <m/>
    <x v="11"/>
    <x v="0"/>
  </r>
  <r>
    <n v="2419"/>
    <n v="2196"/>
    <x v="7"/>
    <n v="1"/>
    <n v="180"/>
    <n v="180"/>
    <s v="Delivered"/>
    <n v="180"/>
    <d v="2026-01-21T00:00:00"/>
    <m/>
    <m/>
    <x v="7"/>
    <x v="0"/>
  </r>
  <r>
    <n v="2420"/>
    <n v="2196"/>
    <x v="0"/>
    <n v="1"/>
    <n v="750"/>
    <n v="750"/>
    <s v="Delivered"/>
    <n v="750"/>
    <d v="2026-01-21T00:00:00"/>
    <m/>
    <m/>
    <x v="0"/>
    <x v="0"/>
  </r>
  <r>
    <n v="2421"/>
    <n v="2196"/>
    <x v="2"/>
    <n v="3"/>
    <n v="8"/>
    <n v="24"/>
    <s v="Delivered"/>
    <n v="24"/>
    <d v="2026-01-21T00:00:00"/>
    <m/>
    <m/>
    <x v="2"/>
    <x v="0"/>
  </r>
  <r>
    <n v="2422"/>
    <n v="2197"/>
    <x v="2"/>
    <n v="3"/>
    <n v="8"/>
    <n v="24"/>
    <s v="Delivered"/>
    <n v="24"/>
    <d v="2026-01-02T00:00:00"/>
    <m/>
    <m/>
    <x v="2"/>
    <x v="0"/>
  </r>
  <r>
    <n v="2423"/>
    <n v="2198"/>
    <x v="5"/>
    <n v="2"/>
    <n v="220"/>
    <n v="440"/>
    <s v="Delivered"/>
    <n v="440"/>
    <d v="2026-05-08T00:00:00"/>
    <m/>
    <m/>
    <x v="5"/>
    <x v="3"/>
  </r>
  <r>
    <n v="2424"/>
    <n v="2198"/>
    <x v="4"/>
    <n v="3"/>
    <n v="48"/>
    <n v="144"/>
    <s v="Delivered"/>
    <n v="144"/>
    <d v="2026-05-08T00:00:00"/>
    <m/>
    <m/>
    <x v="4"/>
    <x v="3"/>
  </r>
  <r>
    <n v="2425"/>
    <n v="2199"/>
    <x v="2"/>
    <n v="1"/>
    <n v="8"/>
    <n v="8"/>
    <s v="Delivered"/>
    <n v="8"/>
    <d v="2026-05-10T00:00:00"/>
    <m/>
    <m/>
    <x v="2"/>
    <x v="3"/>
  </r>
  <r>
    <n v="2426"/>
    <n v="2200"/>
    <x v="4"/>
    <n v="2"/>
    <n v="48"/>
    <n v="96"/>
    <s v="Shipped"/>
    <n v="96"/>
    <d v="2026-03-21T00:00:00"/>
    <m/>
    <m/>
    <x v="4"/>
    <x v="1"/>
  </r>
  <r>
    <n v="2427"/>
    <n v="2200"/>
    <x v="6"/>
    <n v="1"/>
    <n v="45"/>
    <n v="45"/>
    <s v="Shipped"/>
    <n v="45"/>
    <d v="2026-03-21T00:00:00"/>
    <m/>
    <m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96F8A-84EF-41AC-915F-9439AC006EA3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6">
    <pivotField dataField="1" showAll="0"/>
    <pivotField showAll="0"/>
    <pivotField axis="axisRow" numFmtId="14" showAll="0">
      <items count="182">
        <item x="140"/>
        <item x="96"/>
        <item x="127"/>
        <item x="46"/>
        <item x="82"/>
        <item x="119"/>
        <item x="21"/>
        <item x="131"/>
        <item x="33"/>
        <item x="6"/>
        <item x="1"/>
        <item x="112"/>
        <item x="106"/>
        <item x="62"/>
        <item x="108"/>
        <item x="107"/>
        <item x="125"/>
        <item x="133"/>
        <item x="117"/>
        <item x="0"/>
        <item x="92"/>
        <item x="111"/>
        <item x="88"/>
        <item x="36"/>
        <item x="60"/>
        <item x="47"/>
        <item x="128"/>
        <item x="23"/>
        <item x="80"/>
        <item x="87"/>
        <item x="136"/>
        <item x="8"/>
        <item x="165"/>
        <item x="90"/>
        <item x="42"/>
        <item x="123"/>
        <item x="34"/>
        <item x="48"/>
        <item x="16"/>
        <item x="114"/>
        <item x="99"/>
        <item x="163"/>
        <item x="18"/>
        <item x="109"/>
        <item x="56"/>
        <item x="29"/>
        <item x="169"/>
        <item x="81"/>
        <item x="44"/>
        <item x="78"/>
        <item x="11"/>
        <item x="171"/>
        <item x="39"/>
        <item x="32"/>
        <item x="25"/>
        <item x="178"/>
        <item x="13"/>
        <item x="153"/>
        <item x="104"/>
        <item x="49"/>
        <item x="2"/>
        <item x="177"/>
        <item x="24"/>
        <item x="138"/>
        <item x="79"/>
        <item x="67"/>
        <item x="149"/>
        <item x="57"/>
        <item x="115"/>
        <item x="132"/>
        <item x="148"/>
        <item x="5"/>
        <item x="43"/>
        <item x="83"/>
        <item x="41"/>
        <item x="85"/>
        <item x="174"/>
        <item x="98"/>
        <item x="93"/>
        <item x="40"/>
        <item x="28"/>
        <item x="176"/>
        <item x="58"/>
        <item x="19"/>
        <item x="37"/>
        <item x="97"/>
        <item x="146"/>
        <item x="64"/>
        <item x="50"/>
        <item x="20"/>
        <item x="110"/>
        <item x="180"/>
        <item x="116"/>
        <item x="172"/>
        <item x="55"/>
        <item x="61"/>
        <item x="113"/>
        <item x="45"/>
        <item x="159"/>
        <item x="175"/>
        <item x="103"/>
        <item x="145"/>
        <item x="161"/>
        <item x="124"/>
        <item x="162"/>
        <item x="166"/>
        <item x="54"/>
        <item x="105"/>
        <item x="179"/>
        <item x="126"/>
        <item x="118"/>
        <item x="7"/>
        <item x="77"/>
        <item x="65"/>
        <item x="100"/>
        <item x="150"/>
        <item x="94"/>
        <item x="144"/>
        <item x="137"/>
        <item x="10"/>
        <item x="4"/>
        <item x="142"/>
        <item x="160"/>
        <item x="52"/>
        <item x="164"/>
        <item x="26"/>
        <item x="122"/>
        <item x="84"/>
        <item x="35"/>
        <item x="74"/>
        <item x="89"/>
        <item x="38"/>
        <item x="130"/>
        <item x="15"/>
        <item x="66"/>
        <item x="170"/>
        <item x="151"/>
        <item x="17"/>
        <item x="101"/>
        <item x="134"/>
        <item x="154"/>
        <item x="173"/>
        <item x="75"/>
        <item x="68"/>
        <item x="63"/>
        <item x="147"/>
        <item x="73"/>
        <item x="69"/>
        <item x="27"/>
        <item x="158"/>
        <item x="95"/>
        <item x="71"/>
        <item x="14"/>
        <item x="157"/>
        <item x="59"/>
        <item x="31"/>
        <item x="129"/>
        <item x="86"/>
        <item x="121"/>
        <item x="155"/>
        <item x="168"/>
        <item x="120"/>
        <item x="167"/>
        <item x="30"/>
        <item x="91"/>
        <item x="72"/>
        <item x="141"/>
        <item x="76"/>
        <item x="51"/>
        <item x="156"/>
        <item x="143"/>
        <item x="3"/>
        <item x="53"/>
        <item x="9"/>
        <item x="102"/>
        <item x="22"/>
        <item x="70"/>
        <item x="152"/>
        <item x="12"/>
        <item x="135"/>
        <item x="139"/>
        <item t="default"/>
      </items>
    </pivotField>
    <pivotField axis="axisPage" multipleItemSelectionAllowed="1" showAll="0">
      <items count="5">
        <item h="1" x="1"/>
        <item x="2"/>
        <item x="3"/>
        <item x="0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5"/>
    <field x="4"/>
    <field x="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3" hier="-1"/>
  </pageFields>
  <dataFields count="1">
    <dataField name="Count of OrderID" fld="0" subtotal="count" baseField="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09DC2-AE43-43F4-BC7B-7ED72E51F85A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70" showAll="0">
      <items count="182">
        <item x="140"/>
        <item x="96"/>
        <item x="127"/>
        <item x="46"/>
        <item x="82"/>
        <item x="119"/>
        <item x="21"/>
        <item x="131"/>
        <item x="33"/>
        <item x="6"/>
        <item x="1"/>
        <item x="112"/>
        <item x="106"/>
        <item x="62"/>
        <item x="108"/>
        <item x="107"/>
        <item x="125"/>
        <item x="133"/>
        <item x="117"/>
        <item x="0"/>
        <item x="92"/>
        <item x="111"/>
        <item x="88"/>
        <item x="36"/>
        <item x="60"/>
        <item x="47"/>
        <item x="128"/>
        <item x="23"/>
        <item x="80"/>
        <item x="87"/>
        <item x="136"/>
        <item x="8"/>
        <item x="165"/>
        <item x="90"/>
        <item x="42"/>
        <item x="123"/>
        <item x="34"/>
        <item x="48"/>
        <item x="16"/>
        <item x="114"/>
        <item x="99"/>
        <item x="163"/>
        <item x="18"/>
        <item x="109"/>
        <item x="56"/>
        <item x="29"/>
        <item x="169"/>
        <item x="81"/>
        <item x="44"/>
        <item x="78"/>
        <item x="11"/>
        <item x="171"/>
        <item x="39"/>
        <item x="32"/>
        <item x="25"/>
        <item x="178"/>
        <item x="13"/>
        <item x="153"/>
        <item x="104"/>
        <item x="49"/>
        <item x="2"/>
        <item x="177"/>
        <item x="24"/>
        <item x="138"/>
        <item x="79"/>
        <item x="67"/>
        <item x="149"/>
        <item x="57"/>
        <item x="115"/>
        <item x="132"/>
        <item x="148"/>
        <item x="5"/>
        <item x="43"/>
        <item x="83"/>
        <item x="41"/>
        <item x="85"/>
        <item x="174"/>
        <item x="98"/>
        <item x="93"/>
        <item x="40"/>
        <item x="28"/>
        <item x="176"/>
        <item x="58"/>
        <item x="19"/>
        <item x="37"/>
        <item x="97"/>
        <item x="146"/>
        <item x="64"/>
        <item x="50"/>
        <item x="20"/>
        <item x="110"/>
        <item x="180"/>
        <item x="116"/>
        <item x="172"/>
        <item x="55"/>
        <item x="61"/>
        <item x="113"/>
        <item x="45"/>
        <item x="159"/>
        <item x="175"/>
        <item x="103"/>
        <item x="145"/>
        <item x="161"/>
        <item x="124"/>
        <item x="162"/>
        <item x="166"/>
        <item x="54"/>
        <item x="105"/>
        <item x="179"/>
        <item x="126"/>
        <item x="118"/>
        <item x="7"/>
        <item x="77"/>
        <item x="65"/>
        <item x="100"/>
        <item x="150"/>
        <item x="94"/>
        <item x="144"/>
        <item x="137"/>
        <item x="10"/>
        <item x="4"/>
        <item x="142"/>
        <item x="160"/>
        <item x="52"/>
        <item x="164"/>
        <item x="26"/>
        <item x="122"/>
        <item x="84"/>
        <item x="35"/>
        <item x="74"/>
        <item x="89"/>
        <item x="38"/>
        <item x="130"/>
        <item x="15"/>
        <item x="66"/>
        <item x="170"/>
        <item x="151"/>
        <item x="17"/>
        <item x="101"/>
        <item x="134"/>
        <item x="154"/>
        <item x="173"/>
        <item x="75"/>
        <item x="68"/>
        <item x="63"/>
        <item x="147"/>
        <item x="73"/>
        <item x="69"/>
        <item x="27"/>
        <item x="158"/>
        <item x="95"/>
        <item x="71"/>
        <item x="14"/>
        <item x="157"/>
        <item x="59"/>
        <item x="31"/>
        <item x="129"/>
        <item x="86"/>
        <item x="121"/>
        <item x="155"/>
        <item x="168"/>
        <item x="120"/>
        <item x="167"/>
        <item x="30"/>
        <item x="91"/>
        <item x="72"/>
        <item x="141"/>
        <item x="76"/>
        <item x="51"/>
        <item x="156"/>
        <item x="143"/>
        <item x="3"/>
        <item x="53"/>
        <item x="9"/>
        <item x="102"/>
        <item x="22"/>
        <item x="70"/>
        <item x="152"/>
        <item x="12"/>
        <item x="135"/>
        <item x="139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9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IncludedLine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461F9-7828-4FFA-8F50-32507BFB84A0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7" firstHeaderRow="1" firstDataRow="2" firstDataCol="1"/>
  <pivotFields count="13">
    <pivotField showAll="0"/>
    <pivotField showAll="0"/>
    <pivotField showAll="0">
      <items count="13">
        <item x="0"/>
        <item x="5"/>
        <item x="6"/>
        <item x="3"/>
        <item x="7"/>
        <item x="1"/>
        <item x="10"/>
        <item x="11"/>
        <item x="8"/>
        <item x="2"/>
        <item x="4"/>
        <item x="9"/>
        <item t="default"/>
      </items>
    </pivotField>
    <pivotField showAll="0"/>
    <pivotField showAll="0"/>
    <pivotField showAll="0"/>
    <pivotField showAll="0"/>
    <pivotField dataField="1" showAll="0"/>
    <pivotField numFmtId="170" showAll="0"/>
    <pivotField showAll="0"/>
    <pivotField showAll="0"/>
    <pivotField axis="axisRow" showAll="0">
      <items count="13">
        <item x="4"/>
        <item x="1"/>
        <item x="7"/>
        <item x="10"/>
        <item x="6"/>
        <item x="8"/>
        <item x="0"/>
        <item x="5"/>
        <item x="3"/>
        <item x="2"/>
        <item x="9"/>
        <item x="11"/>
        <item t="default"/>
      </items>
    </pivotField>
    <pivotField axis="axisCol" showAll="0">
      <items count="7">
        <item h="1" x="0"/>
        <item h="1" x="5"/>
        <item h="1" x="1"/>
        <item h="1" x="4"/>
        <item x="3"/>
        <item x="2"/>
        <item t="default"/>
      </items>
    </pivotField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2"/>
  </colFields>
  <colItems count="3">
    <i>
      <x v="4"/>
    </i>
    <i>
      <x v="5"/>
    </i>
    <i t="grand">
      <x/>
    </i>
  </colItems>
  <dataFields count="1">
    <dataField name="Sum of IncludedLineSales" fld="7" baseField="11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3E9912-9EEF-460E-B01F-3756D93304A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" firstHeaderRow="1" firstDataRow="2" firstDataCol="1"/>
  <pivotFields count="11"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axis="axisCol" showAll="0">
      <items count="5">
        <item x="2"/>
        <item x="0"/>
        <item x="3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E7CA3-A849-4BDB-BE3F-5F16D316576D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" firstHeaderRow="1" firstDataRow="2" firstDataCol="1" rowPageCount="1" colPageCount="1"/>
  <pivotFields count="12">
    <pivotField dataField="1" showAll="0"/>
    <pivotField showAll="0"/>
    <pivotField numFmtId="14" showAll="0"/>
    <pivotField showAll="0"/>
    <pivotField numFmtId="14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axis="axisCol" showAll="0">
      <items count="5">
        <item x="2"/>
        <item x="0"/>
        <item x="3"/>
        <item x="1"/>
        <item t="default"/>
      </items>
    </pivotField>
    <pivotField axis="axisPage" showAll="0">
      <items count="4">
        <item x="1"/>
        <item x="2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pageFields count="1">
    <pageField fld="11" item="2" hier="-1"/>
  </pageFields>
  <dataFields count="1">
    <dataField name="Row Labels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" customWidth="1"/>
    <col min="2" max="2" width="14" customWidth="1"/>
    <col min="3" max="3" width="9" customWidth="1"/>
  </cols>
  <sheetData>
    <row r="1" spans="1:4">
      <c r="A1" t="s">
        <v>0</v>
      </c>
      <c r="B1" t="s">
        <v>1</v>
      </c>
      <c r="C1" t="s">
        <v>2</v>
      </c>
      <c r="D1" t="s">
        <v>360</v>
      </c>
    </row>
    <row r="2" spans="1:4">
      <c r="A2">
        <v>1</v>
      </c>
      <c r="B2" t="s">
        <v>3</v>
      </c>
      <c r="C2" t="s">
        <v>4</v>
      </c>
      <c r="D2" t="str">
        <f>IF(C2="","",PROPER(TRIM(C2)))</f>
        <v>North</v>
      </c>
    </row>
    <row r="3" spans="1:4">
      <c r="A3">
        <v>2</v>
      </c>
      <c r="B3" t="s">
        <v>5</v>
      </c>
      <c r="C3" t="s">
        <v>4</v>
      </c>
      <c r="D3" t="str">
        <f t="shared" ref="D3:D66" si="0">IF(C3="","",PROPER(TRIM(C3)))</f>
        <v>North</v>
      </c>
    </row>
    <row r="4" spans="1:4">
      <c r="A4">
        <v>3</v>
      </c>
      <c r="B4" t="s">
        <v>6</v>
      </c>
      <c r="C4" t="s">
        <v>7</v>
      </c>
      <c r="D4" t="str">
        <f t="shared" si="0"/>
        <v>East</v>
      </c>
    </row>
    <row r="5" spans="1:4">
      <c r="A5">
        <v>4</v>
      </c>
      <c r="B5" t="s">
        <v>8</v>
      </c>
      <c r="C5" t="s">
        <v>9</v>
      </c>
      <c r="D5" t="str">
        <f t="shared" si="0"/>
        <v>South</v>
      </c>
    </row>
    <row r="6" spans="1:4">
      <c r="A6">
        <v>5</v>
      </c>
      <c r="B6" t="s">
        <v>10</v>
      </c>
      <c r="C6" t="s">
        <v>9</v>
      </c>
      <c r="D6" t="str">
        <f t="shared" si="0"/>
        <v>South</v>
      </c>
    </row>
    <row r="7" spans="1:4">
      <c r="A7">
        <v>6</v>
      </c>
      <c r="B7" t="s">
        <v>11</v>
      </c>
      <c r="C7" t="s">
        <v>9</v>
      </c>
      <c r="D7" t="str">
        <f t="shared" si="0"/>
        <v>South</v>
      </c>
    </row>
    <row r="8" spans="1:4">
      <c r="A8">
        <v>7</v>
      </c>
      <c r="B8" t="s">
        <v>12</v>
      </c>
      <c r="C8" t="s">
        <v>4</v>
      </c>
      <c r="D8" t="str">
        <f t="shared" si="0"/>
        <v>North</v>
      </c>
    </row>
    <row r="9" spans="1:4">
      <c r="A9">
        <v>8</v>
      </c>
      <c r="B9" t="s">
        <v>13</v>
      </c>
      <c r="C9" t="s">
        <v>4</v>
      </c>
      <c r="D9" t="str">
        <f t="shared" si="0"/>
        <v>North</v>
      </c>
    </row>
    <row r="10" spans="1:4">
      <c r="A10">
        <v>9</v>
      </c>
      <c r="B10" t="s">
        <v>14</v>
      </c>
      <c r="C10" t="s">
        <v>15</v>
      </c>
      <c r="D10" t="str">
        <f t="shared" si="0"/>
        <v>West</v>
      </c>
    </row>
    <row r="11" spans="1:4">
      <c r="A11">
        <v>10</v>
      </c>
      <c r="B11" t="s">
        <v>16</v>
      </c>
      <c r="C11" t="s">
        <v>4</v>
      </c>
      <c r="D11" t="str">
        <f t="shared" si="0"/>
        <v>North</v>
      </c>
    </row>
    <row r="12" spans="1:4">
      <c r="A12">
        <v>11</v>
      </c>
      <c r="B12" t="s">
        <v>17</v>
      </c>
      <c r="C12" t="s">
        <v>4</v>
      </c>
      <c r="D12" t="str">
        <f t="shared" si="0"/>
        <v>North</v>
      </c>
    </row>
    <row r="13" spans="1:4">
      <c r="A13">
        <v>12</v>
      </c>
      <c r="B13" t="s">
        <v>18</v>
      </c>
      <c r="C13" t="s">
        <v>19</v>
      </c>
      <c r="D13" t="str">
        <f t="shared" si="0"/>
        <v>North</v>
      </c>
    </row>
    <row r="14" spans="1:4">
      <c r="A14">
        <v>13</v>
      </c>
      <c r="B14" t="s">
        <v>20</v>
      </c>
      <c r="C14" t="s">
        <v>9</v>
      </c>
      <c r="D14" t="str">
        <f t="shared" si="0"/>
        <v>South</v>
      </c>
    </row>
    <row r="15" spans="1:4">
      <c r="A15">
        <v>14</v>
      </c>
      <c r="B15" t="s">
        <v>21</v>
      </c>
      <c r="C15" t="s">
        <v>9</v>
      </c>
      <c r="D15" t="str">
        <f t="shared" si="0"/>
        <v>South</v>
      </c>
    </row>
    <row r="16" spans="1:4">
      <c r="A16">
        <v>15</v>
      </c>
      <c r="B16" t="s">
        <v>22</v>
      </c>
      <c r="C16" t="s">
        <v>4</v>
      </c>
      <c r="D16" t="str">
        <f t="shared" si="0"/>
        <v>North</v>
      </c>
    </row>
    <row r="17" spans="1:4">
      <c r="A17">
        <v>16</v>
      </c>
      <c r="B17" t="s">
        <v>23</v>
      </c>
      <c r="C17" t="s">
        <v>9</v>
      </c>
      <c r="D17" t="str">
        <f t="shared" si="0"/>
        <v>South</v>
      </c>
    </row>
    <row r="18" spans="1:4">
      <c r="A18">
        <v>17</v>
      </c>
      <c r="B18" t="s">
        <v>24</v>
      </c>
      <c r="C18" t="s">
        <v>15</v>
      </c>
      <c r="D18" t="str">
        <f t="shared" si="0"/>
        <v>West</v>
      </c>
    </row>
    <row r="19" spans="1:4">
      <c r="A19">
        <v>18</v>
      </c>
      <c r="B19" t="s">
        <v>25</v>
      </c>
      <c r="C19" t="s">
        <v>9</v>
      </c>
      <c r="D19" t="str">
        <f t="shared" si="0"/>
        <v>South</v>
      </c>
    </row>
    <row r="20" spans="1:4">
      <c r="A20">
        <v>19</v>
      </c>
      <c r="B20" t="s">
        <v>26</v>
      </c>
      <c r="C20" t="s">
        <v>15</v>
      </c>
      <c r="D20" t="str">
        <f t="shared" si="0"/>
        <v>West</v>
      </c>
    </row>
    <row r="21" spans="1:4">
      <c r="A21">
        <v>20</v>
      </c>
      <c r="B21" t="s">
        <v>27</v>
      </c>
      <c r="C21" t="s">
        <v>7</v>
      </c>
      <c r="D21" t="str">
        <f t="shared" si="0"/>
        <v>East</v>
      </c>
    </row>
    <row r="22" spans="1:4">
      <c r="A22">
        <v>21</v>
      </c>
      <c r="B22" t="s">
        <v>28</v>
      </c>
      <c r="C22" t="s">
        <v>4</v>
      </c>
      <c r="D22" t="str">
        <f t="shared" si="0"/>
        <v>North</v>
      </c>
    </row>
    <row r="23" spans="1:4">
      <c r="A23">
        <v>22</v>
      </c>
      <c r="B23" t="s">
        <v>29</v>
      </c>
      <c r="C23" t="s">
        <v>9</v>
      </c>
      <c r="D23" t="str">
        <f t="shared" si="0"/>
        <v>South</v>
      </c>
    </row>
    <row r="24" spans="1:4">
      <c r="A24">
        <v>23</v>
      </c>
      <c r="B24" t="s">
        <v>30</v>
      </c>
      <c r="C24" t="s">
        <v>15</v>
      </c>
      <c r="D24" t="str">
        <f t="shared" si="0"/>
        <v>West</v>
      </c>
    </row>
    <row r="25" spans="1:4">
      <c r="A25">
        <v>24</v>
      </c>
      <c r="B25" t="s">
        <v>31</v>
      </c>
      <c r="C25" t="s">
        <v>7</v>
      </c>
      <c r="D25" t="str">
        <f t="shared" si="0"/>
        <v>East</v>
      </c>
    </row>
    <row r="26" spans="1:4">
      <c r="A26">
        <v>25</v>
      </c>
      <c r="B26" t="s">
        <v>32</v>
      </c>
      <c r="C26" t="s">
        <v>7</v>
      </c>
      <c r="D26" t="str">
        <f t="shared" si="0"/>
        <v>East</v>
      </c>
    </row>
    <row r="27" spans="1:4">
      <c r="A27">
        <v>26</v>
      </c>
      <c r="B27" t="s">
        <v>33</v>
      </c>
      <c r="C27" t="s">
        <v>9</v>
      </c>
      <c r="D27" t="str">
        <f t="shared" si="0"/>
        <v>South</v>
      </c>
    </row>
    <row r="28" spans="1:4">
      <c r="A28">
        <v>27</v>
      </c>
      <c r="B28" t="s">
        <v>34</v>
      </c>
      <c r="C28" t="s">
        <v>9</v>
      </c>
      <c r="D28" t="str">
        <f t="shared" si="0"/>
        <v>South</v>
      </c>
    </row>
    <row r="29" spans="1:4">
      <c r="A29">
        <v>28</v>
      </c>
      <c r="B29" t="s">
        <v>35</v>
      </c>
      <c r="C29" t="s">
        <v>7</v>
      </c>
      <c r="D29" t="str">
        <f t="shared" si="0"/>
        <v>East</v>
      </c>
    </row>
    <row r="30" spans="1:4">
      <c r="A30">
        <v>29</v>
      </c>
      <c r="B30" t="s">
        <v>36</v>
      </c>
      <c r="C30" t="s">
        <v>4</v>
      </c>
      <c r="D30" t="str">
        <f t="shared" si="0"/>
        <v>North</v>
      </c>
    </row>
    <row r="31" spans="1:4">
      <c r="A31">
        <v>30</v>
      </c>
      <c r="B31" t="s">
        <v>37</v>
      </c>
      <c r="C31" t="s">
        <v>4</v>
      </c>
      <c r="D31" t="str">
        <f t="shared" si="0"/>
        <v>North</v>
      </c>
    </row>
    <row r="32" spans="1:4">
      <c r="A32">
        <v>31</v>
      </c>
      <c r="B32" t="s">
        <v>38</v>
      </c>
      <c r="C32" t="s">
        <v>15</v>
      </c>
      <c r="D32" t="str">
        <f t="shared" si="0"/>
        <v>West</v>
      </c>
    </row>
    <row r="33" spans="1:4">
      <c r="A33">
        <v>32</v>
      </c>
      <c r="B33" t="s">
        <v>39</v>
      </c>
      <c r="C33" t="s">
        <v>4</v>
      </c>
      <c r="D33" t="str">
        <f t="shared" si="0"/>
        <v>North</v>
      </c>
    </row>
    <row r="34" spans="1:4">
      <c r="A34">
        <v>33</v>
      </c>
      <c r="B34" t="s">
        <v>40</v>
      </c>
      <c r="C34" t="s">
        <v>7</v>
      </c>
      <c r="D34" t="str">
        <f t="shared" si="0"/>
        <v>East</v>
      </c>
    </row>
    <row r="35" spans="1:4">
      <c r="A35">
        <v>34</v>
      </c>
      <c r="B35" t="s">
        <v>41</v>
      </c>
      <c r="C35" t="s">
        <v>7</v>
      </c>
      <c r="D35" t="str">
        <f t="shared" si="0"/>
        <v>East</v>
      </c>
    </row>
    <row r="36" spans="1:4">
      <c r="A36">
        <v>35</v>
      </c>
      <c r="B36" t="s">
        <v>42</v>
      </c>
      <c r="C36" t="s">
        <v>7</v>
      </c>
      <c r="D36" t="str">
        <f t="shared" si="0"/>
        <v>East</v>
      </c>
    </row>
    <row r="37" spans="1:4">
      <c r="A37">
        <v>36</v>
      </c>
      <c r="B37" t="s">
        <v>43</v>
      </c>
      <c r="C37" t="s">
        <v>4</v>
      </c>
      <c r="D37" t="str">
        <f t="shared" si="0"/>
        <v>North</v>
      </c>
    </row>
    <row r="38" spans="1:4">
      <c r="A38">
        <v>37</v>
      </c>
      <c r="B38" t="s">
        <v>44</v>
      </c>
      <c r="C38" t="s">
        <v>15</v>
      </c>
      <c r="D38" t="str">
        <f t="shared" si="0"/>
        <v>West</v>
      </c>
    </row>
    <row r="39" spans="1:4">
      <c r="A39">
        <v>38</v>
      </c>
      <c r="B39" t="s">
        <v>45</v>
      </c>
      <c r="C39" t="s">
        <v>4</v>
      </c>
      <c r="D39" t="str">
        <f t="shared" si="0"/>
        <v>North</v>
      </c>
    </row>
    <row r="40" spans="1:4">
      <c r="A40">
        <v>39</v>
      </c>
      <c r="B40" t="s">
        <v>46</v>
      </c>
      <c r="C40" t="s">
        <v>15</v>
      </c>
      <c r="D40" t="str">
        <f t="shared" si="0"/>
        <v>West</v>
      </c>
    </row>
    <row r="41" spans="1:4">
      <c r="A41">
        <v>40</v>
      </c>
      <c r="B41" t="s">
        <v>47</v>
      </c>
      <c r="C41" t="s">
        <v>4</v>
      </c>
      <c r="D41" t="str">
        <f t="shared" si="0"/>
        <v>North</v>
      </c>
    </row>
    <row r="42" spans="1:4">
      <c r="A42">
        <v>41</v>
      </c>
      <c r="B42" t="s">
        <v>48</v>
      </c>
      <c r="C42" t="s">
        <v>7</v>
      </c>
      <c r="D42" t="str">
        <f t="shared" si="0"/>
        <v>East</v>
      </c>
    </row>
    <row r="43" spans="1:4">
      <c r="A43">
        <v>42</v>
      </c>
      <c r="B43" t="s">
        <v>49</v>
      </c>
      <c r="C43" t="s">
        <v>7</v>
      </c>
      <c r="D43" t="str">
        <f t="shared" si="0"/>
        <v>East</v>
      </c>
    </row>
    <row r="44" spans="1:4">
      <c r="A44">
        <v>43</v>
      </c>
      <c r="B44" t="s">
        <v>50</v>
      </c>
      <c r="C44" t="s">
        <v>9</v>
      </c>
      <c r="D44" t="str">
        <f t="shared" si="0"/>
        <v>South</v>
      </c>
    </row>
    <row r="45" spans="1:4">
      <c r="A45">
        <v>44</v>
      </c>
      <c r="B45" t="s">
        <v>51</v>
      </c>
      <c r="C45" t="s">
        <v>4</v>
      </c>
      <c r="D45" t="str">
        <f t="shared" si="0"/>
        <v>North</v>
      </c>
    </row>
    <row r="46" spans="1:4">
      <c r="A46">
        <v>45</v>
      </c>
      <c r="B46" t="s">
        <v>52</v>
      </c>
      <c r="C46" t="s">
        <v>53</v>
      </c>
      <c r="D46" t="str">
        <f t="shared" si="0"/>
        <v>South</v>
      </c>
    </row>
    <row r="47" spans="1:4">
      <c r="A47">
        <v>46</v>
      </c>
      <c r="B47" t="s">
        <v>54</v>
      </c>
      <c r="C47" t="s">
        <v>9</v>
      </c>
      <c r="D47" t="str">
        <f t="shared" si="0"/>
        <v>South</v>
      </c>
    </row>
    <row r="48" spans="1:4">
      <c r="A48">
        <v>47</v>
      </c>
      <c r="B48" t="s">
        <v>55</v>
      </c>
      <c r="C48" t="s">
        <v>7</v>
      </c>
      <c r="D48" t="str">
        <f t="shared" si="0"/>
        <v>East</v>
      </c>
    </row>
    <row r="49" spans="1:4">
      <c r="A49">
        <v>48</v>
      </c>
      <c r="B49" t="s">
        <v>56</v>
      </c>
      <c r="C49" t="s">
        <v>4</v>
      </c>
      <c r="D49" t="str">
        <f t="shared" si="0"/>
        <v>North</v>
      </c>
    </row>
    <row r="50" spans="1:4">
      <c r="A50">
        <v>49</v>
      </c>
      <c r="B50" t="s">
        <v>57</v>
      </c>
      <c r="C50" t="s">
        <v>9</v>
      </c>
      <c r="D50" t="str">
        <f t="shared" si="0"/>
        <v>South</v>
      </c>
    </row>
    <row r="51" spans="1:4">
      <c r="A51">
        <v>50</v>
      </c>
      <c r="B51" t="s">
        <v>58</v>
      </c>
      <c r="C51" t="s">
        <v>4</v>
      </c>
      <c r="D51" t="str">
        <f t="shared" si="0"/>
        <v>North</v>
      </c>
    </row>
    <row r="52" spans="1:4">
      <c r="A52">
        <v>51</v>
      </c>
      <c r="B52" t="s">
        <v>59</v>
      </c>
      <c r="C52" t="s">
        <v>15</v>
      </c>
      <c r="D52" t="str">
        <f t="shared" si="0"/>
        <v>West</v>
      </c>
    </row>
    <row r="53" spans="1:4">
      <c r="A53">
        <v>52</v>
      </c>
      <c r="B53" t="s">
        <v>60</v>
      </c>
      <c r="C53" t="s">
        <v>7</v>
      </c>
      <c r="D53" t="str">
        <f t="shared" si="0"/>
        <v>East</v>
      </c>
    </row>
    <row r="54" spans="1:4">
      <c r="A54">
        <v>53</v>
      </c>
      <c r="B54" t="s">
        <v>61</v>
      </c>
      <c r="C54" t="s">
        <v>15</v>
      </c>
      <c r="D54" t="str">
        <f t="shared" si="0"/>
        <v>West</v>
      </c>
    </row>
    <row r="55" spans="1:4">
      <c r="A55">
        <v>54</v>
      </c>
      <c r="B55" t="s">
        <v>62</v>
      </c>
      <c r="C55" t="s">
        <v>7</v>
      </c>
      <c r="D55" t="str">
        <f t="shared" si="0"/>
        <v>East</v>
      </c>
    </row>
    <row r="56" spans="1:4">
      <c r="A56">
        <v>55</v>
      </c>
      <c r="B56" t="s">
        <v>63</v>
      </c>
      <c r="C56" t="s">
        <v>9</v>
      </c>
      <c r="D56" t="str">
        <f t="shared" si="0"/>
        <v>South</v>
      </c>
    </row>
    <row r="57" spans="1:4">
      <c r="A57">
        <v>56</v>
      </c>
      <c r="B57" t="s">
        <v>64</v>
      </c>
      <c r="C57" t="s">
        <v>7</v>
      </c>
      <c r="D57" t="str">
        <f t="shared" si="0"/>
        <v>East</v>
      </c>
    </row>
    <row r="58" spans="1:4">
      <c r="A58">
        <v>57</v>
      </c>
      <c r="B58" t="s">
        <v>65</v>
      </c>
      <c r="C58" t="s">
        <v>7</v>
      </c>
      <c r="D58" t="str">
        <f t="shared" si="0"/>
        <v>East</v>
      </c>
    </row>
    <row r="59" spans="1:4">
      <c r="A59">
        <v>58</v>
      </c>
      <c r="B59" t="s">
        <v>66</v>
      </c>
      <c r="C59" t="s">
        <v>9</v>
      </c>
      <c r="D59" t="str">
        <f t="shared" si="0"/>
        <v>South</v>
      </c>
    </row>
    <row r="60" spans="1:4">
      <c r="A60">
        <v>59</v>
      </c>
      <c r="B60" t="s">
        <v>67</v>
      </c>
      <c r="C60" t="s">
        <v>7</v>
      </c>
      <c r="D60" t="str">
        <f t="shared" si="0"/>
        <v>East</v>
      </c>
    </row>
    <row r="61" spans="1:4">
      <c r="A61">
        <v>60</v>
      </c>
      <c r="B61" t="s">
        <v>68</v>
      </c>
      <c r="C61" t="s">
        <v>4</v>
      </c>
      <c r="D61" t="str">
        <f t="shared" si="0"/>
        <v>North</v>
      </c>
    </row>
    <row r="62" spans="1:4">
      <c r="A62">
        <v>61</v>
      </c>
      <c r="B62" t="s">
        <v>69</v>
      </c>
      <c r="C62" t="s">
        <v>9</v>
      </c>
      <c r="D62" t="str">
        <f t="shared" si="0"/>
        <v>South</v>
      </c>
    </row>
    <row r="63" spans="1:4">
      <c r="A63">
        <v>62</v>
      </c>
      <c r="B63" t="s">
        <v>70</v>
      </c>
      <c r="C63" t="s">
        <v>9</v>
      </c>
      <c r="D63" t="str">
        <f t="shared" si="0"/>
        <v>South</v>
      </c>
    </row>
    <row r="64" spans="1:4">
      <c r="A64">
        <v>63</v>
      </c>
      <c r="B64" t="s">
        <v>71</v>
      </c>
      <c r="C64" t="s">
        <v>9</v>
      </c>
      <c r="D64" t="str">
        <f t="shared" si="0"/>
        <v>South</v>
      </c>
    </row>
    <row r="65" spans="1:4">
      <c r="A65">
        <v>64</v>
      </c>
      <c r="B65" t="s">
        <v>72</v>
      </c>
      <c r="C65" t="s">
        <v>15</v>
      </c>
      <c r="D65" t="str">
        <f t="shared" si="0"/>
        <v>West</v>
      </c>
    </row>
    <row r="66" spans="1:4">
      <c r="A66">
        <v>65</v>
      </c>
      <c r="B66" t="s">
        <v>73</v>
      </c>
      <c r="C66" t="s">
        <v>15</v>
      </c>
      <c r="D66" t="str">
        <f t="shared" si="0"/>
        <v>West</v>
      </c>
    </row>
    <row r="67" spans="1:4">
      <c r="A67">
        <v>66</v>
      </c>
      <c r="B67" t="s">
        <v>74</v>
      </c>
      <c r="C67" t="s">
        <v>7</v>
      </c>
      <c r="D67" t="str">
        <f t="shared" ref="D67:D130" si="1">IF(C67="","",PROPER(TRIM(C67)))</f>
        <v>East</v>
      </c>
    </row>
    <row r="68" spans="1:4">
      <c r="A68">
        <v>67</v>
      </c>
      <c r="B68" t="s">
        <v>75</v>
      </c>
      <c r="C68" t="s">
        <v>9</v>
      </c>
      <c r="D68" t="str">
        <f t="shared" si="1"/>
        <v>South</v>
      </c>
    </row>
    <row r="69" spans="1:4">
      <c r="A69">
        <v>68</v>
      </c>
      <c r="B69" t="s">
        <v>76</v>
      </c>
      <c r="C69" t="s">
        <v>7</v>
      </c>
      <c r="D69" t="str">
        <f t="shared" si="1"/>
        <v>East</v>
      </c>
    </row>
    <row r="70" spans="1:4">
      <c r="A70">
        <v>69</v>
      </c>
      <c r="B70" t="s">
        <v>77</v>
      </c>
      <c r="C70" t="s">
        <v>4</v>
      </c>
      <c r="D70" t="str">
        <f t="shared" si="1"/>
        <v>North</v>
      </c>
    </row>
    <row r="71" spans="1:4">
      <c r="A71">
        <v>70</v>
      </c>
      <c r="B71" t="s">
        <v>78</v>
      </c>
      <c r="C71" t="s">
        <v>9</v>
      </c>
      <c r="D71" t="str">
        <f t="shared" si="1"/>
        <v>South</v>
      </c>
    </row>
    <row r="72" spans="1:4">
      <c r="A72">
        <v>71</v>
      </c>
      <c r="B72" t="s">
        <v>79</v>
      </c>
      <c r="C72" t="s">
        <v>4</v>
      </c>
      <c r="D72" t="str">
        <f t="shared" si="1"/>
        <v>North</v>
      </c>
    </row>
    <row r="73" spans="1:4">
      <c r="A73">
        <v>72</v>
      </c>
      <c r="B73" t="s">
        <v>80</v>
      </c>
      <c r="C73" t="s">
        <v>7</v>
      </c>
      <c r="D73" t="str">
        <f t="shared" si="1"/>
        <v>East</v>
      </c>
    </row>
    <row r="74" spans="1:4">
      <c r="A74">
        <v>73</v>
      </c>
      <c r="B74" t="s">
        <v>81</v>
      </c>
      <c r="C74" t="s">
        <v>15</v>
      </c>
      <c r="D74" t="str">
        <f t="shared" si="1"/>
        <v>West</v>
      </c>
    </row>
    <row r="75" spans="1:4">
      <c r="A75">
        <v>74</v>
      </c>
      <c r="B75" t="s">
        <v>82</v>
      </c>
      <c r="C75" t="s">
        <v>7</v>
      </c>
      <c r="D75" t="str">
        <f t="shared" si="1"/>
        <v>East</v>
      </c>
    </row>
    <row r="76" spans="1:4">
      <c r="A76">
        <v>75</v>
      </c>
      <c r="B76" t="s">
        <v>83</v>
      </c>
      <c r="C76" t="s">
        <v>4</v>
      </c>
      <c r="D76" t="str">
        <f t="shared" si="1"/>
        <v>North</v>
      </c>
    </row>
    <row r="77" spans="1:4">
      <c r="A77">
        <v>76</v>
      </c>
      <c r="B77" t="s">
        <v>84</v>
      </c>
      <c r="C77" t="s">
        <v>9</v>
      </c>
      <c r="D77" t="str">
        <f t="shared" si="1"/>
        <v>South</v>
      </c>
    </row>
    <row r="78" spans="1:4">
      <c r="A78">
        <v>77</v>
      </c>
      <c r="B78" t="s">
        <v>85</v>
      </c>
      <c r="C78" t="s">
        <v>7</v>
      </c>
      <c r="D78" t="str">
        <f t="shared" si="1"/>
        <v>East</v>
      </c>
    </row>
    <row r="79" spans="1:4">
      <c r="A79">
        <v>78</v>
      </c>
      <c r="B79" t="s">
        <v>86</v>
      </c>
      <c r="D79" t="str">
        <f t="shared" si="1"/>
        <v/>
      </c>
    </row>
    <row r="80" spans="1:4">
      <c r="A80">
        <v>79</v>
      </c>
      <c r="B80" t="s">
        <v>87</v>
      </c>
      <c r="C80" t="s">
        <v>15</v>
      </c>
      <c r="D80" t="str">
        <f t="shared" si="1"/>
        <v>West</v>
      </c>
    </row>
    <row r="81" spans="1:4">
      <c r="A81">
        <v>80</v>
      </c>
      <c r="B81" t="s">
        <v>88</v>
      </c>
      <c r="C81" t="s">
        <v>15</v>
      </c>
      <c r="D81" t="str">
        <f t="shared" si="1"/>
        <v>West</v>
      </c>
    </row>
    <row r="82" spans="1:4">
      <c r="A82">
        <v>81</v>
      </c>
      <c r="B82" t="s">
        <v>89</v>
      </c>
      <c r="C82" t="s">
        <v>15</v>
      </c>
      <c r="D82" t="str">
        <f t="shared" si="1"/>
        <v>West</v>
      </c>
    </row>
    <row r="83" spans="1:4">
      <c r="A83">
        <v>82</v>
      </c>
      <c r="B83" t="s">
        <v>90</v>
      </c>
      <c r="C83" t="s">
        <v>9</v>
      </c>
      <c r="D83" t="str">
        <f t="shared" si="1"/>
        <v>South</v>
      </c>
    </row>
    <row r="84" spans="1:4">
      <c r="A84">
        <v>83</v>
      </c>
      <c r="B84" t="s">
        <v>91</v>
      </c>
      <c r="C84" t="s">
        <v>7</v>
      </c>
      <c r="D84" t="str">
        <f t="shared" si="1"/>
        <v>East</v>
      </c>
    </row>
    <row r="85" spans="1:4">
      <c r="A85">
        <v>84</v>
      </c>
      <c r="B85" t="s">
        <v>92</v>
      </c>
      <c r="C85" t="s">
        <v>9</v>
      </c>
      <c r="D85" t="str">
        <f t="shared" si="1"/>
        <v>South</v>
      </c>
    </row>
    <row r="86" spans="1:4">
      <c r="A86">
        <v>85</v>
      </c>
      <c r="B86" t="s">
        <v>93</v>
      </c>
      <c r="C86" t="s">
        <v>9</v>
      </c>
      <c r="D86" t="str">
        <f t="shared" si="1"/>
        <v>South</v>
      </c>
    </row>
    <row r="87" spans="1:4">
      <c r="A87">
        <v>86</v>
      </c>
      <c r="B87" t="s">
        <v>94</v>
      </c>
      <c r="C87" t="s">
        <v>7</v>
      </c>
      <c r="D87" t="str">
        <f t="shared" si="1"/>
        <v>East</v>
      </c>
    </row>
    <row r="88" spans="1:4">
      <c r="A88">
        <v>87</v>
      </c>
      <c r="B88" t="s">
        <v>95</v>
      </c>
      <c r="C88" t="s">
        <v>15</v>
      </c>
      <c r="D88" t="str">
        <f t="shared" si="1"/>
        <v>West</v>
      </c>
    </row>
    <row r="89" spans="1:4">
      <c r="A89">
        <v>88</v>
      </c>
      <c r="B89" t="s">
        <v>96</v>
      </c>
      <c r="C89" t="s">
        <v>15</v>
      </c>
      <c r="D89" t="str">
        <f t="shared" si="1"/>
        <v>West</v>
      </c>
    </row>
    <row r="90" spans="1:4">
      <c r="A90">
        <v>89</v>
      </c>
      <c r="B90" t="s">
        <v>97</v>
      </c>
      <c r="C90" t="s">
        <v>7</v>
      </c>
      <c r="D90" t="str">
        <f t="shared" si="1"/>
        <v>East</v>
      </c>
    </row>
    <row r="91" spans="1:4">
      <c r="A91">
        <v>90</v>
      </c>
      <c r="B91" t="s">
        <v>98</v>
      </c>
      <c r="C91" t="s">
        <v>9</v>
      </c>
      <c r="D91" t="str">
        <f t="shared" si="1"/>
        <v>South</v>
      </c>
    </row>
    <row r="92" spans="1:4">
      <c r="A92">
        <v>91</v>
      </c>
      <c r="B92" t="s">
        <v>99</v>
      </c>
      <c r="C92" t="s">
        <v>9</v>
      </c>
      <c r="D92" t="str">
        <f t="shared" si="1"/>
        <v>South</v>
      </c>
    </row>
    <row r="93" spans="1:4">
      <c r="A93">
        <v>92</v>
      </c>
      <c r="B93" t="s">
        <v>100</v>
      </c>
      <c r="C93" t="s">
        <v>15</v>
      </c>
      <c r="D93" t="str">
        <f t="shared" si="1"/>
        <v>West</v>
      </c>
    </row>
    <row r="94" spans="1:4">
      <c r="A94">
        <v>93</v>
      </c>
      <c r="B94" t="s">
        <v>101</v>
      </c>
      <c r="C94" t="s">
        <v>4</v>
      </c>
      <c r="D94" t="str">
        <f t="shared" si="1"/>
        <v>North</v>
      </c>
    </row>
    <row r="95" spans="1:4">
      <c r="A95">
        <v>94</v>
      </c>
      <c r="B95" t="s">
        <v>102</v>
      </c>
      <c r="C95" t="s">
        <v>4</v>
      </c>
      <c r="D95" t="str">
        <f t="shared" si="1"/>
        <v>North</v>
      </c>
    </row>
    <row r="96" spans="1:4">
      <c r="A96">
        <v>95</v>
      </c>
      <c r="B96" t="s">
        <v>103</v>
      </c>
      <c r="C96" t="s">
        <v>4</v>
      </c>
      <c r="D96" t="str">
        <f t="shared" si="1"/>
        <v>North</v>
      </c>
    </row>
    <row r="97" spans="1:4">
      <c r="A97">
        <v>96</v>
      </c>
      <c r="B97" t="s">
        <v>104</v>
      </c>
      <c r="C97" t="s">
        <v>9</v>
      </c>
      <c r="D97" t="str">
        <f t="shared" si="1"/>
        <v>South</v>
      </c>
    </row>
    <row r="98" spans="1:4">
      <c r="A98">
        <v>97</v>
      </c>
      <c r="B98" t="s">
        <v>105</v>
      </c>
      <c r="C98" t="s">
        <v>9</v>
      </c>
      <c r="D98" t="str">
        <f t="shared" si="1"/>
        <v>South</v>
      </c>
    </row>
    <row r="99" spans="1:4">
      <c r="A99">
        <v>98</v>
      </c>
      <c r="B99" t="s">
        <v>106</v>
      </c>
      <c r="C99" t="s">
        <v>15</v>
      </c>
      <c r="D99" t="str">
        <f t="shared" si="1"/>
        <v>West</v>
      </c>
    </row>
    <row r="100" spans="1:4">
      <c r="A100">
        <v>99</v>
      </c>
      <c r="B100" t="s">
        <v>107</v>
      </c>
      <c r="C100" t="s">
        <v>4</v>
      </c>
      <c r="D100" t="str">
        <f t="shared" si="1"/>
        <v>North</v>
      </c>
    </row>
    <row r="101" spans="1:4">
      <c r="A101">
        <v>100</v>
      </c>
      <c r="B101" t="s">
        <v>108</v>
      </c>
      <c r="C101" t="s">
        <v>15</v>
      </c>
      <c r="D101" t="str">
        <f t="shared" si="1"/>
        <v>West</v>
      </c>
    </row>
    <row r="102" spans="1:4">
      <c r="A102">
        <v>101</v>
      </c>
      <c r="B102" t="s">
        <v>109</v>
      </c>
      <c r="C102" t="s">
        <v>15</v>
      </c>
      <c r="D102" t="str">
        <f t="shared" si="1"/>
        <v>West</v>
      </c>
    </row>
    <row r="103" spans="1:4">
      <c r="A103">
        <v>102</v>
      </c>
      <c r="B103" t="s">
        <v>110</v>
      </c>
      <c r="C103" t="s">
        <v>15</v>
      </c>
      <c r="D103" t="str">
        <f t="shared" si="1"/>
        <v>West</v>
      </c>
    </row>
    <row r="104" spans="1:4">
      <c r="A104">
        <v>103</v>
      </c>
      <c r="B104" t="s">
        <v>111</v>
      </c>
      <c r="C104" t="s">
        <v>7</v>
      </c>
      <c r="D104" t="str">
        <f t="shared" si="1"/>
        <v>East</v>
      </c>
    </row>
    <row r="105" spans="1:4">
      <c r="A105">
        <v>104</v>
      </c>
      <c r="B105" t="s">
        <v>112</v>
      </c>
      <c r="C105" t="s">
        <v>4</v>
      </c>
      <c r="D105" t="str">
        <f t="shared" si="1"/>
        <v>North</v>
      </c>
    </row>
    <row r="106" spans="1:4">
      <c r="A106">
        <v>105</v>
      </c>
      <c r="B106" t="s">
        <v>113</v>
      </c>
      <c r="C106" t="s">
        <v>4</v>
      </c>
      <c r="D106" t="str">
        <f t="shared" si="1"/>
        <v>North</v>
      </c>
    </row>
    <row r="107" spans="1:4">
      <c r="A107">
        <v>106</v>
      </c>
      <c r="B107" t="s">
        <v>114</v>
      </c>
      <c r="C107" t="s">
        <v>7</v>
      </c>
      <c r="D107" t="str">
        <f t="shared" si="1"/>
        <v>East</v>
      </c>
    </row>
    <row r="108" spans="1:4">
      <c r="A108">
        <v>107</v>
      </c>
      <c r="B108" t="s">
        <v>115</v>
      </c>
      <c r="C108" t="s">
        <v>7</v>
      </c>
      <c r="D108" t="str">
        <f t="shared" si="1"/>
        <v>East</v>
      </c>
    </row>
    <row r="109" spans="1:4">
      <c r="A109">
        <v>108</v>
      </c>
      <c r="B109" t="s">
        <v>116</v>
      </c>
      <c r="C109" t="s">
        <v>4</v>
      </c>
      <c r="D109" t="str">
        <f t="shared" si="1"/>
        <v>North</v>
      </c>
    </row>
    <row r="110" spans="1:4">
      <c r="A110">
        <v>109</v>
      </c>
      <c r="B110" t="s">
        <v>117</v>
      </c>
      <c r="C110" t="s">
        <v>7</v>
      </c>
      <c r="D110" t="str">
        <f t="shared" si="1"/>
        <v>East</v>
      </c>
    </row>
    <row r="111" spans="1:4">
      <c r="A111">
        <v>110</v>
      </c>
      <c r="B111" t="s">
        <v>118</v>
      </c>
      <c r="C111" t="s">
        <v>15</v>
      </c>
      <c r="D111" t="str">
        <f t="shared" si="1"/>
        <v>West</v>
      </c>
    </row>
    <row r="112" spans="1:4">
      <c r="A112">
        <v>111</v>
      </c>
      <c r="B112" t="s">
        <v>119</v>
      </c>
      <c r="C112" t="s">
        <v>9</v>
      </c>
      <c r="D112" t="str">
        <f t="shared" si="1"/>
        <v>South</v>
      </c>
    </row>
    <row r="113" spans="1:4">
      <c r="A113">
        <v>112</v>
      </c>
      <c r="B113" t="s">
        <v>120</v>
      </c>
      <c r="C113" t="s">
        <v>15</v>
      </c>
      <c r="D113" t="str">
        <f t="shared" si="1"/>
        <v>West</v>
      </c>
    </row>
    <row r="114" spans="1:4">
      <c r="A114">
        <v>113</v>
      </c>
      <c r="B114" t="s">
        <v>121</v>
      </c>
      <c r="C114" t="s">
        <v>4</v>
      </c>
      <c r="D114" t="str">
        <f t="shared" si="1"/>
        <v>North</v>
      </c>
    </row>
    <row r="115" spans="1:4">
      <c r="A115">
        <v>114</v>
      </c>
      <c r="B115" t="s">
        <v>122</v>
      </c>
      <c r="C115" t="s">
        <v>7</v>
      </c>
      <c r="D115" t="str">
        <f t="shared" si="1"/>
        <v>East</v>
      </c>
    </row>
    <row r="116" spans="1:4">
      <c r="A116">
        <v>115</v>
      </c>
      <c r="B116" t="s">
        <v>123</v>
      </c>
      <c r="C116" t="s">
        <v>9</v>
      </c>
      <c r="D116" t="str">
        <f t="shared" si="1"/>
        <v>South</v>
      </c>
    </row>
    <row r="117" spans="1:4">
      <c r="A117">
        <v>116</v>
      </c>
      <c r="B117" t="s">
        <v>124</v>
      </c>
      <c r="C117" t="s">
        <v>4</v>
      </c>
      <c r="D117" t="str">
        <f t="shared" si="1"/>
        <v>North</v>
      </c>
    </row>
    <row r="118" spans="1:4">
      <c r="A118">
        <v>117</v>
      </c>
      <c r="B118" t="s">
        <v>125</v>
      </c>
      <c r="C118" t="s">
        <v>7</v>
      </c>
      <c r="D118" t="str">
        <f t="shared" si="1"/>
        <v>East</v>
      </c>
    </row>
    <row r="119" spans="1:4">
      <c r="A119">
        <v>118</v>
      </c>
      <c r="B119" t="s">
        <v>126</v>
      </c>
      <c r="C119" t="s">
        <v>9</v>
      </c>
      <c r="D119" t="str">
        <f t="shared" si="1"/>
        <v>South</v>
      </c>
    </row>
    <row r="120" spans="1:4">
      <c r="A120">
        <v>119</v>
      </c>
      <c r="B120" t="s">
        <v>127</v>
      </c>
      <c r="C120" t="s">
        <v>9</v>
      </c>
      <c r="D120" t="str">
        <f t="shared" si="1"/>
        <v>South</v>
      </c>
    </row>
    <row r="121" spans="1:4">
      <c r="A121">
        <v>120</v>
      </c>
      <c r="B121" t="s">
        <v>128</v>
      </c>
      <c r="C121" t="s">
        <v>7</v>
      </c>
      <c r="D121" t="str">
        <f t="shared" si="1"/>
        <v>East</v>
      </c>
    </row>
    <row r="122" spans="1:4">
      <c r="A122">
        <v>121</v>
      </c>
      <c r="B122" t="s">
        <v>129</v>
      </c>
      <c r="C122" t="s">
        <v>9</v>
      </c>
      <c r="D122" t="str">
        <f t="shared" si="1"/>
        <v>South</v>
      </c>
    </row>
    <row r="123" spans="1:4">
      <c r="A123">
        <v>122</v>
      </c>
      <c r="B123" t="s">
        <v>130</v>
      </c>
      <c r="C123" t="s">
        <v>4</v>
      </c>
      <c r="D123" t="str">
        <f t="shared" si="1"/>
        <v>North</v>
      </c>
    </row>
    <row r="124" spans="1:4">
      <c r="A124">
        <v>123</v>
      </c>
      <c r="B124" t="s">
        <v>131</v>
      </c>
      <c r="C124" t="s">
        <v>7</v>
      </c>
      <c r="D124" t="str">
        <f t="shared" si="1"/>
        <v>East</v>
      </c>
    </row>
    <row r="125" spans="1:4">
      <c r="A125">
        <v>124</v>
      </c>
      <c r="B125" t="s">
        <v>132</v>
      </c>
      <c r="C125" t="s">
        <v>15</v>
      </c>
      <c r="D125" t="str">
        <f t="shared" si="1"/>
        <v>West</v>
      </c>
    </row>
    <row r="126" spans="1:4">
      <c r="A126">
        <v>125</v>
      </c>
      <c r="B126" t="s">
        <v>133</v>
      </c>
      <c r="C126" t="s">
        <v>4</v>
      </c>
      <c r="D126" t="str">
        <f t="shared" si="1"/>
        <v>North</v>
      </c>
    </row>
    <row r="127" spans="1:4">
      <c r="A127">
        <v>126</v>
      </c>
      <c r="B127" t="s">
        <v>134</v>
      </c>
      <c r="C127" t="s">
        <v>4</v>
      </c>
      <c r="D127" t="str">
        <f t="shared" si="1"/>
        <v>North</v>
      </c>
    </row>
    <row r="128" spans="1:4">
      <c r="A128">
        <v>127</v>
      </c>
      <c r="B128" t="s">
        <v>135</v>
      </c>
      <c r="C128" t="s">
        <v>7</v>
      </c>
      <c r="D128" t="str">
        <f t="shared" si="1"/>
        <v>East</v>
      </c>
    </row>
    <row r="129" spans="1:4">
      <c r="A129">
        <v>128</v>
      </c>
      <c r="B129" t="s">
        <v>136</v>
      </c>
      <c r="C129" t="s">
        <v>7</v>
      </c>
      <c r="D129" t="str">
        <f t="shared" si="1"/>
        <v>East</v>
      </c>
    </row>
    <row r="130" spans="1:4">
      <c r="A130">
        <v>129</v>
      </c>
      <c r="B130" t="s">
        <v>137</v>
      </c>
      <c r="C130" t="s">
        <v>9</v>
      </c>
      <c r="D130" t="str">
        <f t="shared" si="1"/>
        <v>South</v>
      </c>
    </row>
    <row r="131" spans="1:4">
      <c r="A131">
        <v>130</v>
      </c>
      <c r="B131" t="s">
        <v>138</v>
      </c>
      <c r="C131" t="s">
        <v>4</v>
      </c>
      <c r="D131" t="str">
        <f t="shared" ref="D131:D194" si="2">IF(C131="","",PROPER(TRIM(C131)))</f>
        <v>North</v>
      </c>
    </row>
    <row r="132" spans="1:4">
      <c r="A132">
        <v>131</v>
      </c>
      <c r="B132" t="s">
        <v>139</v>
      </c>
      <c r="C132" t="s">
        <v>9</v>
      </c>
      <c r="D132" t="str">
        <f t="shared" si="2"/>
        <v>South</v>
      </c>
    </row>
    <row r="133" spans="1:4">
      <c r="A133">
        <v>132</v>
      </c>
      <c r="B133" t="s">
        <v>140</v>
      </c>
      <c r="C133" t="s">
        <v>4</v>
      </c>
      <c r="D133" t="str">
        <f t="shared" si="2"/>
        <v>North</v>
      </c>
    </row>
    <row r="134" spans="1:4">
      <c r="A134">
        <v>133</v>
      </c>
      <c r="B134" t="s">
        <v>141</v>
      </c>
      <c r="C134" t="s">
        <v>4</v>
      </c>
      <c r="D134" t="str">
        <f t="shared" si="2"/>
        <v>North</v>
      </c>
    </row>
    <row r="135" spans="1:4">
      <c r="A135">
        <v>134</v>
      </c>
      <c r="B135" t="s">
        <v>142</v>
      </c>
      <c r="C135" t="s">
        <v>15</v>
      </c>
      <c r="D135" t="str">
        <f t="shared" si="2"/>
        <v>West</v>
      </c>
    </row>
    <row r="136" spans="1:4">
      <c r="A136">
        <v>135</v>
      </c>
      <c r="B136" t="s">
        <v>143</v>
      </c>
      <c r="C136" t="s">
        <v>4</v>
      </c>
      <c r="D136" t="str">
        <f t="shared" si="2"/>
        <v>North</v>
      </c>
    </row>
    <row r="137" spans="1:4">
      <c r="A137">
        <v>136</v>
      </c>
      <c r="B137" t="s">
        <v>144</v>
      </c>
      <c r="C137" t="s">
        <v>9</v>
      </c>
      <c r="D137" t="str">
        <f t="shared" si="2"/>
        <v>South</v>
      </c>
    </row>
    <row r="138" spans="1:4">
      <c r="A138">
        <v>137</v>
      </c>
      <c r="B138" t="s">
        <v>145</v>
      </c>
      <c r="C138" t="s">
        <v>9</v>
      </c>
      <c r="D138" t="str">
        <f t="shared" si="2"/>
        <v>South</v>
      </c>
    </row>
    <row r="139" spans="1:4">
      <c r="A139">
        <v>138</v>
      </c>
      <c r="B139" t="s">
        <v>146</v>
      </c>
      <c r="C139" t="s">
        <v>15</v>
      </c>
      <c r="D139" t="str">
        <f t="shared" si="2"/>
        <v>West</v>
      </c>
    </row>
    <row r="140" spans="1:4">
      <c r="A140">
        <v>139</v>
      </c>
      <c r="B140" t="s">
        <v>147</v>
      </c>
      <c r="C140" t="s">
        <v>9</v>
      </c>
      <c r="D140" t="str">
        <f t="shared" si="2"/>
        <v>South</v>
      </c>
    </row>
    <row r="141" spans="1:4">
      <c r="A141">
        <v>140</v>
      </c>
      <c r="B141" t="s">
        <v>148</v>
      </c>
      <c r="C141" t="s">
        <v>7</v>
      </c>
      <c r="D141" t="str">
        <f t="shared" si="2"/>
        <v>East</v>
      </c>
    </row>
    <row r="142" spans="1:4">
      <c r="A142">
        <v>141</v>
      </c>
      <c r="B142" t="s">
        <v>149</v>
      </c>
      <c r="C142" t="s">
        <v>15</v>
      </c>
      <c r="D142" t="str">
        <f t="shared" si="2"/>
        <v>West</v>
      </c>
    </row>
    <row r="143" spans="1:4">
      <c r="A143">
        <v>142</v>
      </c>
      <c r="B143" t="s">
        <v>150</v>
      </c>
      <c r="C143" t="s">
        <v>9</v>
      </c>
      <c r="D143" t="str">
        <f t="shared" si="2"/>
        <v>South</v>
      </c>
    </row>
    <row r="144" spans="1:4">
      <c r="A144">
        <v>143</v>
      </c>
      <c r="B144" t="s">
        <v>151</v>
      </c>
      <c r="C144" t="s">
        <v>9</v>
      </c>
      <c r="D144" t="str">
        <f t="shared" si="2"/>
        <v>South</v>
      </c>
    </row>
    <row r="145" spans="1:4">
      <c r="A145">
        <v>144</v>
      </c>
      <c r="B145" t="s">
        <v>152</v>
      </c>
      <c r="C145" t="s">
        <v>7</v>
      </c>
      <c r="D145" t="str">
        <f t="shared" si="2"/>
        <v>East</v>
      </c>
    </row>
    <row r="146" spans="1:4">
      <c r="A146">
        <v>145</v>
      </c>
      <c r="B146" t="s">
        <v>153</v>
      </c>
      <c r="C146" t="s">
        <v>15</v>
      </c>
      <c r="D146" t="str">
        <f t="shared" si="2"/>
        <v>West</v>
      </c>
    </row>
    <row r="147" spans="1:4">
      <c r="A147">
        <v>146</v>
      </c>
      <c r="B147" t="s">
        <v>154</v>
      </c>
      <c r="C147" t="s">
        <v>7</v>
      </c>
      <c r="D147" t="str">
        <f t="shared" si="2"/>
        <v>East</v>
      </c>
    </row>
    <row r="148" spans="1:4">
      <c r="A148">
        <v>147</v>
      </c>
      <c r="B148" t="s">
        <v>155</v>
      </c>
      <c r="C148" t="s">
        <v>15</v>
      </c>
      <c r="D148" t="str">
        <f t="shared" si="2"/>
        <v>West</v>
      </c>
    </row>
    <row r="149" spans="1:4">
      <c r="A149">
        <v>148</v>
      </c>
      <c r="B149" t="s">
        <v>156</v>
      </c>
      <c r="C149" t="s">
        <v>15</v>
      </c>
      <c r="D149" t="str">
        <f t="shared" si="2"/>
        <v>West</v>
      </c>
    </row>
    <row r="150" spans="1:4">
      <c r="A150">
        <v>149</v>
      </c>
      <c r="B150" t="s">
        <v>157</v>
      </c>
      <c r="C150" t="s">
        <v>4</v>
      </c>
      <c r="D150" t="str">
        <f t="shared" si="2"/>
        <v>North</v>
      </c>
    </row>
    <row r="151" spans="1:4">
      <c r="A151">
        <v>150</v>
      </c>
      <c r="B151" t="s">
        <v>158</v>
      </c>
      <c r="C151" t="s">
        <v>9</v>
      </c>
      <c r="D151" t="str">
        <f t="shared" si="2"/>
        <v>South</v>
      </c>
    </row>
    <row r="152" spans="1:4">
      <c r="A152">
        <v>151</v>
      </c>
      <c r="B152" t="s">
        <v>159</v>
      </c>
      <c r="C152" t="s">
        <v>9</v>
      </c>
      <c r="D152" t="str">
        <f t="shared" si="2"/>
        <v>South</v>
      </c>
    </row>
    <row r="153" spans="1:4">
      <c r="A153">
        <v>152</v>
      </c>
      <c r="B153" t="s">
        <v>160</v>
      </c>
      <c r="C153" t="s">
        <v>4</v>
      </c>
      <c r="D153" t="str">
        <f t="shared" si="2"/>
        <v>North</v>
      </c>
    </row>
    <row r="154" spans="1:4">
      <c r="A154">
        <v>153</v>
      </c>
      <c r="B154" t="s">
        <v>161</v>
      </c>
      <c r="C154" t="s">
        <v>7</v>
      </c>
      <c r="D154" t="str">
        <f t="shared" si="2"/>
        <v>East</v>
      </c>
    </row>
    <row r="155" spans="1:4">
      <c r="A155">
        <v>154</v>
      </c>
      <c r="B155" t="s">
        <v>162</v>
      </c>
      <c r="C155" t="s">
        <v>4</v>
      </c>
      <c r="D155" t="str">
        <f t="shared" si="2"/>
        <v>North</v>
      </c>
    </row>
    <row r="156" spans="1:4">
      <c r="A156">
        <v>155</v>
      </c>
      <c r="B156" t="s">
        <v>163</v>
      </c>
      <c r="C156" t="s">
        <v>9</v>
      </c>
      <c r="D156" t="str">
        <f t="shared" si="2"/>
        <v>South</v>
      </c>
    </row>
    <row r="157" spans="1:4">
      <c r="A157">
        <v>156</v>
      </c>
      <c r="B157" t="s">
        <v>164</v>
      </c>
      <c r="C157" t="s">
        <v>9</v>
      </c>
      <c r="D157" t="str">
        <f t="shared" si="2"/>
        <v>South</v>
      </c>
    </row>
    <row r="158" spans="1:4">
      <c r="A158">
        <v>157</v>
      </c>
      <c r="B158" t="s">
        <v>165</v>
      </c>
      <c r="C158" t="s">
        <v>4</v>
      </c>
      <c r="D158" t="str">
        <f t="shared" si="2"/>
        <v>North</v>
      </c>
    </row>
    <row r="159" spans="1:4">
      <c r="A159">
        <v>158</v>
      </c>
      <c r="B159" t="s">
        <v>166</v>
      </c>
      <c r="C159" t="s">
        <v>4</v>
      </c>
      <c r="D159" t="str">
        <f t="shared" si="2"/>
        <v>North</v>
      </c>
    </row>
    <row r="160" spans="1:4">
      <c r="A160">
        <v>159</v>
      </c>
      <c r="B160" t="s">
        <v>167</v>
      </c>
      <c r="C160" t="s">
        <v>4</v>
      </c>
      <c r="D160" t="str">
        <f t="shared" si="2"/>
        <v>North</v>
      </c>
    </row>
    <row r="161" spans="1:4">
      <c r="A161">
        <v>160</v>
      </c>
      <c r="B161" t="s">
        <v>168</v>
      </c>
      <c r="C161" t="s">
        <v>9</v>
      </c>
      <c r="D161" t="str">
        <f t="shared" si="2"/>
        <v>South</v>
      </c>
    </row>
    <row r="162" spans="1:4">
      <c r="A162">
        <v>161</v>
      </c>
      <c r="B162" t="s">
        <v>169</v>
      </c>
      <c r="C162" t="s">
        <v>4</v>
      </c>
      <c r="D162" t="str">
        <f t="shared" si="2"/>
        <v>North</v>
      </c>
    </row>
    <row r="163" spans="1:4">
      <c r="A163">
        <v>162</v>
      </c>
      <c r="B163" t="s">
        <v>170</v>
      </c>
      <c r="C163" t="s">
        <v>4</v>
      </c>
      <c r="D163" t="str">
        <f t="shared" si="2"/>
        <v>North</v>
      </c>
    </row>
    <row r="164" spans="1:4">
      <c r="A164">
        <v>163</v>
      </c>
      <c r="B164" t="s">
        <v>171</v>
      </c>
      <c r="C164" t="s">
        <v>7</v>
      </c>
      <c r="D164" t="str">
        <f t="shared" si="2"/>
        <v>East</v>
      </c>
    </row>
    <row r="165" spans="1:4">
      <c r="A165">
        <v>164</v>
      </c>
      <c r="B165" t="s">
        <v>172</v>
      </c>
      <c r="C165" t="s">
        <v>4</v>
      </c>
      <c r="D165" t="str">
        <f t="shared" si="2"/>
        <v>North</v>
      </c>
    </row>
    <row r="166" spans="1:4">
      <c r="A166">
        <v>165</v>
      </c>
      <c r="B166" t="s">
        <v>173</v>
      </c>
      <c r="C166" t="s">
        <v>9</v>
      </c>
      <c r="D166" t="str">
        <f t="shared" si="2"/>
        <v>South</v>
      </c>
    </row>
    <row r="167" spans="1:4">
      <c r="A167">
        <v>166</v>
      </c>
      <c r="B167" t="s">
        <v>174</v>
      </c>
      <c r="C167" t="s">
        <v>7</v>
      </c>
      <c r="D167" t="str">
        <f t="shared" si="2"/>
        <v>East</v>
      </c>
    </row>
    <row r="168" spans="1:4">
      <c r="A168">
        <v>167</v>
      </c>
      <c r="B168" t="s">
        <v>175</v>
      </c>
      <c r="C168" t="s">
        <v>15</v>
      </c>
      <c r="D168" t="str">
        <f t="shared" si="2"/>
        <v>West</v>
      </c>
    </row>
    <row r="169" spans="1:4">
      <c r="A169">
        <v>168</v>
      </c>
      <c r="B169" t="s">
        <v>176</v>
      </c>
      <c r="C169" t="s">
        <v>9</v>
      </c>
      <c r="D169" t="str">
        <f t="shared" si="2"/>
        <v>South</v>
      </c>
    </row>
    <row r="170" spans="1:4">
      <c r="A170">
        <v>169</v>
      </c>
      <c r="B170" t="s">
        <v>177</v>
      </c>
      <c r="C170" t="s">
        <v>9</v>
      </c>
      <c r="D170" t="str">
        <f t="shared" si="2"/>
        <v>South</v>
      </c>
    </row>
    <row r="171" spans="1:4">
      <c r="A171">
        <v>170</v>
      </c>
      <c r="B171" t="s">
        <v>178</v>
      </c>
      <c r="C171" t="s">
        <v>15</v>
      </c>
      <c r="D171" t="str">
        <f t="shared" si="2"/>
        <v>West</v>
      </c>
    </row>
    <row r="172" spans="1:4">
      <c r="A172">
        <v>171</v>
      </c>
      <c r="B172" t="s">
        <v>179</v>
      </c>
      <c r="C172" t="s">
        <v>9</v>
      </c>
      <c r="D172" t="str">
        <f t="shared" si="2"/>
        <v>South</v>
      </c>
    </row>
    <row r="173" spans="1:4">
      <c r="A173">
        <v>172</v>
      </c>
      <c r="B173" t="s">
        <v>180</v>
      </c>
      <c r="C173" t="s">
        <v>15</v>
      </c>
      <c r="D173" t="str">
        <f t="shared" si="2"/>
        <v>West</v>
      </c>
    </row>
    <row r="174" spans="1:4">
      <c r="A174">
        <v>173</v>
      </c>
      <c r="B174" t="s">
        <v>181</v>
      </c>
      <c r="C174" t="s">
        <v>15</v>
      </c>
      <c r="D174" t="str">
        <f t="shared" si="2"/>
        <v>West</v>
      </c>
    </row>
    <row r="175" spans="1:4">
      <c r="A175">
        <v>174</v>
      </c>
      <c r="B175" t="s">
        <v>182</v>
      </c>
      <c r="C175" t="s">
        <v>9</v>
      </c>
      <c r="D175" t="str">
        <f t="shared" si="2"/>
        <v>South</v>
      </c>
    </row>
    <row r="176" spans="1:4">
      <c r="A176">
        <v>175</v>
      </c>
      <c r="B176" t="s">
        <v>183</v>
      </c>
      <c r="C176" t="s">
        <v>4</v>
      </c>
      <c r="D176" t="str">
        <f t="shared" si="2"/>
        <v>North</v>
      </c>
    </row>
    <row r="177" spans="1:4">
      <c r="A177">
        <v>176</v>
      </c>
      <c r="B177" t="s">
        <v>184</v>
      </c>
      <c r="C177" t="s">
        <v>4</v>
      </c>
      <c r="D177" t="str">
        <f t="shared" si="2"/>
        <v>North</v>
      </c>
    </row>
    <row r="178" spans="1:4">
      <c r="A178">
        <v>177</v>
      </c>
      <c r="B178" t="s">
        <v>185</v>
      </c>
      <c r="C178" t="s">
        <v>15</v>
      </c>
      <c r="D178" t="str">
        <f t="shared" si="2"/>
        <v>West</v>
      </c>
    </row>
    <row r="179" spans="1:4">
      <c r="A179">
        <v>178</v>
      </c>
      <c r="B179" t="s">
        <v>186</v>
      </c>
      <c r="C179" t="s">
        <v>7</v>
      </c>
      <c r="D179" t="str">
        <f t="shared" si="2"/>
        <v>East</v>
      </c>
    </row>
    <row r="180" spans="1:4">
      <c r="A180">
        <v>179</v>
      </c>
      <c r="B180" t="s">
        <v>187</v>
      </c>
      <c r="C180" t="s">
        <v>15</v>
      </c>
      <c r="D180" t="str">
        <f t="shared" si="2"/>
        <v>West</v>
      </c>
    </row>
    <row r="181" spans="1:4">
      <c r="A181">
        <v>180</v>
      </c>
      <c r="B181" t="s">
        <v>188</v>
      </c>
      <c r="C181" t="s">
        <v>15</v>
      </c>
      <c r="D181" t="str">
        <f t="shared" si="2"/>
        <v>West</v>
      </c>
    </row>
    <row r="182" spans="1:4">
      <c r="A182">
        <v>181</v>
      </c>
      <c r="B182" t="s">
        <v>189</v>
      </c>
      <c r="C182" t="s">
        <v>15</v>
      </c>
      <c r="D182" t="str">
        <f t="shared" si="2"/>
        <v>West</v>
      </c>
    </row>
    <row r="183" spans="1:4">
      <c r="A183">
        <v>182</v>
      </c>
      <c r="B183" t="s">
        <v>190</v>
      </c>
      <c r="C183" t="s">
        <v>4</v>
      </c>
      <c r="D183" t="str">
        <f t="shared" si="2"/>
        <v>North</v>
      </c>
    </row>
    <row r="184" spans="1:4">
      <c r="A184">
        <v>183</v>
      </c>
      <c r="B184" t="s">
        <v>191</v>
      </c>
      <c r="C184" t="s">
        <v>4</v>
      </c>
      <c r="D184" t="str">
        <f t="shared" si="2"/>
        <v>North</v>
      </c>
    </row>
    <row r="185" spans="1:4">
      <c r="A185">
        <v>184</v>
      </c>
      <c r="B185" t="s">
        <v>192</v>
      </c>
      <c r="C185" t="s">
        <v>4</v>
      </c>
      <c r="D185" t="str">
        <f t="shared" si="2"/>
        <v>North</v>
      </c>
    </row>
    <row r="186" spans="1:4">
      <c r="A186">
        <v>185</v>
      </c>
      <c r="B186" t="s">
        <v>193</v>
      </c>
      <c r="C186" t="s">
        <v>15</v>
      </c>
      <c r="D186" t="str">
        <f t="shared" si="2"/>
        <v>West</v>
      </c>
    </row>
    <row r="187" spans="1:4">
      <c r="A187">
        <v>186</v>
      </c>
      <c r="B187" t="s">
        <v>194</v>
      </c>
      <c r="C187" t="s">
        <v>7</v>
      </c>
      <c r="D187" t="str">
        <f t="shared" si="2"/>
        <v>East</v>
      </c>
    </row>
    <row r="188" spans="1:4">
      <c r="A188">
        <v>187</v>
      </c>
      <c r="B188" t="s">
        <v>195</v>
      </c>
      <c r="C188" t="s">
        <v>4</v>
      </c>
      <c r="D188" t="str">
        <f t="shared" si="2"/>
        <v>North</v>
      </c>
    </row>
    <row r="189" spans="1:4">
      <c r="A189">
        <v>188</v>
      </c>
      <c r="B189" t="s">
        <v>196</v>
      </c>
      <c r="C189" t="s">
        <v>9</v>
      </c>
      <c r="D189" t="str">
        <f t="shared" si="2"/>
        <v>South</v>
      </c>
    </row>
    <row r="190" spans="1:4">
      <c r="A190">
        <v>189</v>
      </c>
      <c r="B190" t="s">
        <v>197</v>
      </c>
      <c r="C190" t="s">
        <v>9</v>
      </c>
      <c r="D190" t="str">
        <f t="shared" si="2"/>
        <v>South</v>
      </c>
    </row>
    <row r="191" spans="1:4">
      <c r="A191">
        <v>190</v>
      </c>
      <c r="B191" t="s">
        <v>198</v>
      </c>
      <c r="C191" t="s">
        <v>9</v>
      </c>
      <c r="D191" t="str">
        <f t="shared" si="2"/>
        <v>South</v>
      </c>
    </row>
    <row r="192" spans="1:4">
      <c r="A192">
        <v>191</v>
      </c>
      <c r="B192" t="s">
        <v>199</v>
      </c>
      <c r="C192" t="s">
        <v>15</v>
      </c>
      <c r="D192" t="str">
        <f t="shared" si="2"/>
        <v>West</v>
      </c>
    </row>
    <row r="193" spans="1:4">
      <c r="A193">
        <v>192</v>
      </c>
      <c r="B193" t="s">
        <v>200</v>
      </c>
      <c r="C193" t="s">
        <v>9</v>
      </c>
      <c r="D193" t="str">
        <f t="shared" si="2"/>
        <v>South</v>
      </c>
    </row>
    <row r="194" spans="1:4">
      <c r="A194">
        <v>193</v>
      </c>
      <c r="B194" t="s">
        <v>201</v>
      </c>
      <c r="C194" t="s">
        <v>15</v>
      </c>
      <c r="D194" t="str">
        <f t="shared" si="2"/>
        <v>West</v>
      </c>
    </row>
    <row r="195" spans="1:4">
      <c r="A195">
        <v>194</v>
      </c>
      <c r="B195" t="s">
        <v>202</v>
      </c>
      <c r="C195" t="s">
        <v>9</v>
      </c>
      <c r="D195" t="str">
        <f t="shared" ref="D195:D258" si="3">IF(C195="","",PROPER(TRIM(C195)))</f>
        <v>South</v>
      </c>
    </row>
    <row r="196" spans="1:4">
      <c r="A196">
        <v>195</v>
      </c>
      <c r="B196" t="s">
        <v>203</v>
      </c>
      <c r="C196" t="s">
        <v>7</v>
      </c>
      <c r="D196" t="str">
        <f t="shared" si="3"/>
        <v>East</v>
      </c>
    </row>
    <row r="197" spans="1:4">
      <c r="A197">
        <v>196</v>
      </c>
      <c r="B197" t="s">
        <v>204</v>
      </c>
      <c r="C197" t="s">
        <v>15</v>
      </c>
      <c r="D197" t="str">
        <f t="shared" si="3"/>
        <v>West</v>
      </c>
    </row>
    <row r="198" spans="1:4">
      <c r="A198">
        <v>197</v>
      </c>
      <c r="B198" t="s">
        <v>205</v>
      </c>
      <c r="C198" t="s">
        <v>9</v>
      </c>
      <c r="D198" t="str">
        <f t="shared" si="3"/>
        <v>South</v>
      </c>
    </row>
    <row r="199" spans="1:4">
      <c r="A199">
        <v>198</v>
      </c>
      <c r="B199" t="s">
        <v>206</v>
      </c>
      <c r="C199" t="s">
        <v>4</v>
      </c>
      <c r="D199" t="str">
        <f t="shared" si="3"/>
        <v>North</v>
      </c>
    </row>
    <row r="200" spans="1:4">
      <c r="A200">
        <v>199</v>
      </c>
      <c r="B200" t="s">
        <v>207</v>
      </c>
      <c r="C200" t="s">
        <v>15</v>
      </c>
      <c r="D200" t="str">
        <f t="shared" si="3"/>
        <v>West</v>
      </c>
    </row>
    <row r="201" spans="1:4">
      <c r="A201">
        <v>200</v>
      </c>
      <c r="B201" t="s">
        <v>208</v>
      </c>
      <c r="C201" t="s">
        <v>4</v>
      </c>
      <c r="D201" t="str">
        <f t="shared" si="3"/>
        <v>North</v>
      </c>
    </row>
    <row r="202" spans="1:4">
      <c r="A202">
        <v>201</v>
      </c>
      <c r="B202" t="s">
        <v>209</v>
      </c>
      <c r="C202" t="s">
        <v>4</v>
      </c>
      <c r="D202" t="str">
        <f t="shared" si="3"/>
        <v>North</v>
      </c>
    </row>
    <row r="203" spans="1:4">
      <c r="A203">
        <v>202</v>
      </c>
      <c r="B203" t="s">
        <v>210</v>
      </c>
      <c r="C203" t="s">
        <v>4</v>
      </c>
      <c r="D203" t="str">
        <f t="shared" si="3"/>
        <v>North</v>
      </c>
    </row>
    <row r="204" spans="1:4">
      <c r="A204">
        <v>203</v>
      </c>
      <c r="B204" t="s">
        <v>211</v>
      </c>
      <c r="C204" t="s">
        <v>4</v>
      </c>
      <c r="D204" t="str">
        <f t="shared" si="3"/>
        <v>North</v>
      </c>
    </row>
    <row r="205" spans="1:4">
      <c r="A205">
        <v>204</v>
      </c>
      <c r="B205" t="s">
        <v>212</v>
      </c>
      <c r="C205" t="s">
        <v>9</v>
      </c>
      <c r="D205" t="str">
        <f t="shared" si="3"/>
        <v>South</v>
      </c>
    </row>
    <row r="206" spans="1:4">
      <c r="A206">
        <v>205</v>
      </c>
      <c r="B206" t="s">
        <v>213</v>
      </c>
      <c r="C206" t="s">
        <v>9</v>
      </c>
      <c r="D206" t="str">
        <f t="shared" si="3"/>
        <v>South</v>
      </c>
    </row>
    <row r="207" spans="1:4">
      <c r="A207">
        <v>206</v>
      </c>
      <c r="B207" t="s">
        <v>214</v>
      </c>
      <c r="C207" t="s">
        <v>15</v>
      </c>
      <c r="D207" t="str">
        <f t="shared" si="3"/>
        <v>West</v>
      </c>
    </row>
    <row r="208" spans="1:4">
      <c r="A208">
        <v>207</v>
      </c>
      <c r="B208" t="s">
        <v>215</v>
      </c>
      <c r="C208" t="s">
        <v>15</v>
      </c>
      <c r="D208" t="str">
        <f t="shared" si="3"/>
        <v>West</v>
      </c>
    </row>
    <row r="209" spans="1:4">
      <c r="A209">
        <v>208</v>
      </c>
      <c r="B209" t="s">
        <v>216</v>
      </c>
      <c r="C209" t="s">
        <v>15</v>
      </c>
      <c r="D209" t="str">
        <f t="shared" si="3"/>
        <v>West</v>
      </c>
    </row>
    <row r="210" spans="1:4">
      <c r="A210">
        <v>209</v>
      </c>
      <c r="B210" t="s">
        <v>217</v>
      </c>
      <c r="C210" t="s">
        <v>9</v>
      </c>
      <c r="D210" t="str">
        <f t="shared" si="3"/>
        <v>South</v>
      </c>
    </row>
    <row r="211" spans="1:4">
      <c r="A211">
        <v>210</v>
      </c>
      <c r="B211" t="s">
        <v>218</v>
      </c>
      <c r="C211" t="s">
        <v>15</v>
      </c>
      <c r="D211" t="str">
        <f t="shared" si="3"/>
        <v>West</v>
      </c>
    </row>
    <row r="212" spans="1:4">
      <c r="A212">
        <v>211</v>
      </c>
      <c r="B212" t="s">
        <v>219</v>
      </c>
      <c r="C212" t="s">
        <v>4</v>
      </c>
      <c r="D212" t="str">
        <f t="shared" si="3"/>
        <v>North</v>
      </c>
    </row>
    <row r="213" spans="1:4">
      <c r="A213">
        <v>212</v>
      </c>
      <c r="B213" t="s">
        <v>220</v>
      </c>
      <c r="C213" t="s">
        <v>9</v>
      </c>
      <c r="D213" t="str">
        <f t="shared" si="3"/>
        <v>South</v>
      </c>
    </row>
    <row r="214" spans="1:4">
      <c r="A214">
        <v>213</v>
      </c>
      <c r="B214" t="s">
        <v>221</v>
      </c>
      <c r="C214" t="s">
        <v>15</v>
      </c>
      <c r="D214" t="str">
        <f t="shared" si="3"/>
        <v>West</v>
      </c>
    </row>
    <row r="215" spans="1:4">
      <c r="A215">
        <v>214</v>
      </c>
      <c r="B215" t="s">
        <v>222</v>
      </c>
      <c r="C215" t="s">
        <v>4</v>
      </c>
      <c r="D215" t="str">
        <f t="shared" si="3"/>
        <v>North</v>
      </c>
    </row>
    <row r="216" spans="1:4">
      <c r="A216">
        <v>215</v>
      </c>
      <c r="B216" t="s">
        <v>223</v>
      </c>
      <c r="C216" t="s">
        <v>15</v>
      </c>
      <c r="D216" t="str">
        <f t="shared" si="3"/>
        <v>West</v>
      </c>
    </row>
    <row r="217" spans="1:4">
      <c r="A217">
        <v>216</v>
      </c>
      <c r="B217" t="s">
        <v>224</v>
      </c>
      <c r="C217" t="s">
        <v>7</v>
      </c>
      <c r="D217" t="str">
        <f t="shared" si="3"/>
        <v>East</v>
      </c>
    </row>
    <row r="218" spans="1:4">
      <c r="A218">
        <v>217</v>
      </c>
      <c r="B218" t="s">
        <v>225</v>
      </c>
      <c r="C218" t="s">
        <v>15</v>
      </c>
      <c r="D218" t="str">
        <f t="shared" si="3"/>
        <v>West</v>
      </c>
    </row>
    <row r="219" spans="1:4">
      <c r="A219">
        <v>218</v>
      </c>
      <c r="B219" t="s">
        <v>226</v>
      </c>
      <c r="C219" t="s">
        <v>7</v>
      </c>
      <c r="D219" t="str">
        <f t="shared" si="3"/>
        <v>East</v>
      </c>
    </row>
    <row r="220" spans="1:4">
      <c r="A220">
        <v>219</v>
      </c>
      <c r="B220" t="s">
        <v>227</v>
      </c>
      <c r="C220" t="s">
        <v>15</v>
      </c>
      <c r="D220" t="str">
        <f t="shared" si="3"/>
        <v>West</v>
      </c>
    </row>
    <row r="221" spans="1:4">
      <c r="A221">
        <v>220</v>
      </c>
      <c r="B221" t="s">
        <v>228</v>
      </c>
      <c r="C221" t="s">
        <v>15</v>
      </c>
      <c r="D221" t="str">
        <f t="shared" si="3"/>
        <v>West</v>
      </c>
    </row>
    <row r="222" spans="1:4">
      <c r="A222">
        <v>221</v>
      </c>
      <c r="B222" t="s">
        <v>229</v>
      </c>
      <c r="C222" t="s">
        <v>9</v>
      </c>
      <c r="D222" t="str">
        <f t="shared" si="3"/>
        <v>South</v>
      </c>
    </row>
    <row r="223" spans="1:4">
      <c r="A223">
        <v>222</v>
      </c>
      <c r="B223" t="s">
        <v>230</v>
      </c>
      <c r="C223" t="s">
        <v>9</v>
      </c>
      <c r="D223" t="str">
        <f t="shared" si="3"/>
        <v>South</v>
      </c>
    </row>
    <row r="224" spans="1:4">
      <c r="A224">
        <v>223</v>
      </c>
      <c r="B224" t="s">
        <v>231</v>
      </c>
      <c r="C224" t="s">
        <v>7</v>
      </c>
      <c r="D224" t="str">
        <f t="shared" si="3"/>
        <v>East</v>
      </c>
    </row>
    <row r="225" spans="1:4">
      <c r="A225">
        <v>224</v>
      </c>
      <c r="B225" t="s">
        <v>232</v>
      </c>
      <c r="C225" t="s">
        <v>9</v>
      </c>
      <c r="D225" t="str">
        <f t="shared" si="3"/>
        <v>South</v>
      </c>
    </row>
    <row r="226" spans="1:4">
      <c r="A226">
        <v>225</v>
      </c>
      <c r="B226" t="s">
        <v>233</v>
      </c>
      <c r="C226" t="s">
        <v>4</v>
      </c>
      <c r="D226" t="str">
        <f t="shared" si="3"/>
        <v>North</v>
      </c>
    </row>
    <row r="227" spans="1:4">
      <c r="A227">
        <v>226</v>
      </c>
      <c r="B227" t="s">
        <v>234</v>
      </c>
      <c r="C227" t="s">
        <v>4</v>
      </c>
      <c r="D227" t="str">
        <f t="shared" si="3"/>
        <v>North</v>
      </c>
    </row>
    <row r="228" spans="1:4">
      <c r="A228">
        <v>227</v>
      </c>
      <c r="B228" t="s">
        <v>235</v>
      </c>
      <c r="C228" t="s">
        <v>7</v>
      </c>
      <c r="D228" t="str">
        <f t="shared" si="3"/>
        <v>East</v>
      </c>
    </row>
    <row r="229" spans="1:4">
      <c r="A229">
        <v>228</v>
      </c>
      <c r="B229" t="s">
        <v>236</v>
      </c>
      <c r="C229" t="s">
        <v>4</v>
      </c>
      <c r="D229" t="str">
        <f t="shared" si="3"/>
        <v>North</v>
      </c>
    </row>
    <row r="230" spans="1:4">
      <c r="A230">
        <v>229</v>
      </c>
      <c r="B230" t="s">
        <v>237</v>
      </c>
      <c r="C230" t="s">
        <v>4</v>
      </c>
      <c r="D230" t="str">
        <f t="shared" si="3"/>
        <v>North</v>
      </c>
    </row>
    <row r="231" spans="1:4">
      <c r="A231">
        <v>230</v>
      </c>
      <c r="B231" t="s">
        <v>238</v>
      </c>
      <c r="C231" t="s">
        <v>15</v>
      </c>
      <c r="D231" t="str">
        <f t="shared" si="3"/>
        <v>West</v>
      </c>
    </row>
    <row r="232" spans="1:4">
      <c r="A232">
        <v>231</v>
      </c>
      <c r="B232" t="s">
        <v>239</v>
      </c>
      <c r="C232" t="s">
        <v>9</v>
      </c>
      <c r="D232" t="str">
        <f t="shared" si="3"/>
        <v>South</v>
      </c>
    </row>
    <row r="233" spans="1:4">
      <c r="A233">
        <v>232</v>
      </c>
      <c r="B233" t="s">
        <v>240</v>
      </c>
      <c r="C233" t="s">
        <v>4</v>
      </c>
      <c r="D233" t="str">
        <f t="shared" si="3"/>
        <v>North</v>
      </c>
    </row>
    <row r="234" spans="1:4">
      <c r="A234">
        <v>233</v>
      </c>
      <c r="B234" t="s">
        <v>241</v>
      </c>
      <c r="C234" t="s">
        <v>4</v>
      </c>
      <c r="D234" t="str">
        <f t="shared" si="3"/>
        <v>North</v>
      </c>
    </row>
    <row r="235" spans="1:4">
      <c r="A235">
        <v>234</v>
      </c>
      <c r="B235" t="s">
        <v>242</v>
      </c>
      <c r="C235" t="s">
        <v>9</v>
      </c>
      <c r="D235" t="str">
        <f t="shared" si="3"/>
        <v>South</v>
      </c>
    </row>
    <row r="236" spans="1:4">
      <c r="A236">
        <v>235</v>
      </c>
      <c r="B236" t="s">
        <v>243</v>
      </c>
      <c r="C236" t="s">
        <v>4</v>
      </c>
      <c r="D236" t="str">
        <f t="shared" si="3"/>
        <v>North</v>
      </c>
    </row>
    <row r="237" spans="1:4">
      <c r="A237">
        <v>236</v>
      </c>
      <c r="B237" t="s">
        <v>244</v>
      </c>
      <c r="C237" t="s">
        <v>4</v>
      </c>
      <c r="D237" t="str">
        <f t="shared" si="3"/>
        <v>North</v>
      </c>
    </row>
    <row r="238" spans="1:4">
      <c r="A238">
        <v>237</v>
      </c>
      <c r="B238" t="s">
        <v>245</v>
      </c>
      <c r="C238" t="s">
        <v>9</v>
      </c>
      <c r="D238" t="str">
        <f t="shared" si="3"/>
        <v>South</v>
      </c>
    </row>
    <row r="239" spans="1:4">
      <c r="A239">
        <v>238</v>
      </c>
      <c r="B239" t="s">
        <v>246</v>
      </c>
      <c r="C239" t="s">
        <v>15</v>
      </c>
      <c r="D239" t="str">
        <f t="shared" si="3"/>
        <v>West</v>
      </c>
    </row>
    <row r="240" spans="1:4">
      <c r="A240">
        <v>239</v>
      </c>
      <c r="B240" t="s">
        <v>247</v>
      </c>
      <c r="C240" t="s">
        <v>4</v>
      </c>
      <c r="D240" t="str">
        <f t="shared" si="3"/>
        <v>North</v>
      </c>
    </row>
    <row r="241" spans="1:4">
      <c r="A241">
        <v>240</v>
      </c>
      <c r="B241" t="s">
        <v>248</v>
      </c>
      <c r="C241" t="s">
        <v>9</v>
      </c>
      <c r="D241" t="str">
        <f t="shared" si="3"/>
        <v>South</v>
      </c>
    </row>
    <row r="242" spans="1:4">
      <c r="A242">
        <v>241</v>
      </c>
      <c r="B242" t="s">
        <v>249</v>
      </c>
      <c r="C242" t="s">
        <v>4</v>
      </c>
      <c r="D242" t="str">
        <f t="shared" si="3"/>
        <v>North</v>
      </c>
    </row>
    <row r="243" spans="1:4">
      <c r="A243">
        <v>242</v>
      </c>
      <c r="B243" t="s">
        <v>250</v>
      </c>
      <c r="C243" t="s">
        <v>4</v>
      </c>
      <c r="D243" t="str">
        <f t="shared" si="3"/>
        <v>North</v>
      </c>
    </row>
    <row r="244" spans="1:4">
      <c r="A244">
        <v>243</v>
      </c>
      <c r="B244" t="s">
        <v>251</v>
      </c>
      <c r="C244" t="s">
        <v>15</v>
      </c>
      <c r="D244" t="str">
        <f t="shared" si="3"/>
        <v>West</v>
      </c>
    </row>
    <row r="245" spans="1:4">
      <c r="A245">
        <v>244</v>
      </c>
      <c r="B245" t="s">
        <v>252</v>
      </c>
      <c r="C245" t="s">
        <v>7</v>
      </c>
      <c r="D245" t="str">
        <f t="shared" si="3"/>
        <v>East</v>
      </c>
    </row>
    <row r="246" spans="1:4">
      <c r="A246">
        <v>245</v>
      </c>
      <c r="B246" t="s">
        <v>253</v>
      </c>
      <c r="C246" t="s">
        <v>7</v>
      </c>
      <c r="D246" t="str">
        <f t="shared" si="3"/>
        <v>East</v>
      </c>
    </row>
    <row r="247" spans="1:4">
      <c r="A247">
        <v>246</v>
      </c>
      <c r="B247" t="s">
        <v>254</v>
      </c>
      <c r="C247" t="s">
        <v>9</v>
      </c>
      <c r="D247" t="str">
        <f t="shared" si="3"/>
        <v>South</v>
      </c>
    </row>
    <row r="248" spans="1:4">
      <c r="A248">
        <v>247</v>
      </c>
      <c r="B248" t="s">
        <v>255</v>
      </c>
      <c r="C248" t="s">
        <v>7</v>
      </c>
      <c r="D248" t="str">
        <f t="shared" si="3"/>
        <v>East</v>
      </c>
    </row>
    <row r="249" spans="1:4">
      <c r="A249">
        <v>248</v>
      </c>
      <c r="B249" t="s">
        <v>256</v>
      </c>
      <c r="C249" t="s">
        <v>9</v>
      </c>
      <c r="D249" t="str">
        <f t="shared" si="3"/>
        <v>South</v>
      </c>
    </row>
    <row r="250" spans="1:4">
      <c r="A250">
        <v>249</v>
      </c>
      <c r="B250" t="s">
        <v>257</v>
      </c>
      <c r="C250" t="s">
        <v>7</v>
      </c>
      <c r="D250" t="str">
        <f t="shared" si="3"/>
        <v>East</v>
      </c>
    </row>
    <row r="251" spans="1:4">
      <c r="A251">
        <v>250</v>
      </c>
      <c r="B251" t="s">
        <v>258</v>
      </c>
      <c r="C251" t="s">
        <v>15</v>
      </c>
      <c r="D251" t="str">
        <f t="shared" si="3"/>
        <v>West</v>
      </c>
    </row>
    <row r="252" spans="1:4">
      <c r="A252">
        <v>251</v>
      </c>
      <c r="B252" t="s">
        <v>259</v>
      </c>
      <c r="C252" t="s">
        <v>9</v>
      </c>
      <c r="D252" t="str">
        <f t="shared" si="3"/>
        <v>South</v>
      </c>
    </row>
    <row r="253" spans="1:4">
      <c r="A253">
        <v>252</v>
      </c>
      <c r="B253" t="s">
        <v>260</v>
      </c>
      <c r="C253" t="s">
        <v>7</v>
      </c>
      <c r="D253" t="str">
        <f t="shared" si="3"/>
        <v>East</v>
      </c>
    </row>
    <row r="254" spans="1:4">
      <c r="A254">
        <v>253</v>
      </c>
      <c r="B254" t="s">
        <v>261</v>
      </c>
      <c r="C254" t="s">
        <v>15</v>
      </c>
      <c r="D254" t="str">
        <f t="shared" si="3"/>
        <v>West</v>
      </c>
    </row>
    <row r="255" spans="1:4">
      <c r="A255">
        <v>254</v>
      </c>
      <c r="B255" t="s">
        <v>262</v>
      </c>
      <c r="C255" t="s">
        <v>7</v>
      </c>
      <c r="D255" t="str">
        <f t="shared" si="3"/>
        <v>East</v>
      </c>
    </row>
    <row r="256" spans="1:4">
      <c r="A256">
        <v>255</v>
      </c>
      <c r="B256" t="s">
        <v>263</v>
      </c>
      <c r="C256" t="s">
        <v>4</v>
      </c>
      <c r="D256" t="str">
        <f t="shared" si="3"/>
        <v>North</v>
      </c>
    </row>
    <row r="257" spans="1:4">
      <c r="A257">
        <v>256</v>
      </c>
      <c r="B257" t="s">
        <v>264</v>
      </c>
      <c r="C257" t="s">
        <v>4</v>
      </c>
      <c r="D257" t="str">
        <f t="shared" si="3"/>
        <v>North</v>
      </c>
    </row>
    <row r="258" spans="1:4">
      <c r="A258">
        <v>257</v>
      </c>
      <c r="B258" t="s">
        <v>265</v>
      </c>
      <c r="C258" t="s">
        <v>15</v>
      </c>
      <c r="D258" t="str">
        <f t="shared" si="3"/>
        <v>West</v>
      </c>
    </row>
    <row r="259" spans="1:4">
      <c r="A259">
        <v>258</v>
      </c>
      <c r="B259" t="s">
        <v>266</v>
      </c>
      <c r="C259" t="s">
        <v>4</v>
      </c>
      <c r="D259" t="str">
        <f t="shared" ref="D259:D301" si="4">IF(C259="","",PROPER(TRIM(C259)))</f>
        <v>North</v>
      </c>
    </row>
    <row r="260" spans="1:4">
      <c r="A260">
        <v>259</v>
      </c>
      <c r="B260" t="s">
        <v>267</v>
      </c>
      <c r="C260" t="s">
        <v>4</v>
      </c>
      <c r="D260" t="str">
        <f t="shared" si="4"/>
        <v>North</v>
      </c>
    </row>
    <row r="261" spans="1:4">
      <c r="A261">
        <v>260</v>
      </c>
      <c r="B261" t="s">
        <v>268</v>
      </c>
      <c r="C261" t="s">
        <v>9</v>
      </c>
      <c r="D261" t="str">
        <f t="shared" si="4"/>
        <v>South</v>
      </c>
    </row>
    <row r="262" spans="1:4">
      <c r="A262">
        <v>261</v>
      </c>
      <c r="B262" t="s">
        <v>269</v>
      </c>
      <c r="C262" t="s">
        <v>7</v>
      </c>
      <c r="D262" t="str">
        <f t="shared" si="4"/>
        <v>East</v>
      </c>
    </row>
    <row r="263" spans="1:4">
      <c r="A263">
        <v>262</v>
      </c>
      <c r="B263" t="s">
        <v>270</v>
      </c>
      <c r="C263" t="s">
        <v>9</v>
      </c>
      <c r="D263" t="str">
        <f t="shared" si="4"/>
        <v>South</v>
      </c>
    </row>
    <row r="264" spans="1:4">
      <c r="A264">
        <v>263</v>
      </c>
      <c r="B264" t="s">
        <v>271</v>
      </c>
      <c r="C264" t="s">
        <v>7</v>
      </c>
      <c r="D264" t="str">
        <f t="shared" si="4"/>
        <v>East</v>
      </c>
    </row>
    <row r="265" spans="1:4">
      <c r="A265">
        <v>264</v>
      </c>
      <c r="B265" t="s">
        <v>272</v>
      </c>
      <c r="C265" t="s">
        <v>4</v>
      </c>
      <c r="D265" t="str">
        <f t="shared" si="4"/>
        <v>North</v>
      </c>
    </row>
    <row r="266" spans="1:4">
      <c r="A266">
        <v>265</v>
      </c>
      <c r="B266" t="s">
        <v>273</v>
      </c>
      <c r="C266" t="s">
        <v>9</v>
      </c>
      <c r="D266" t="str">
        <f t="shared" si="4"/>
        <v>South</v>
      </c>
    </row>
    <row r="267" spans="1:4">
      <c r="A267">
        <v>266</v>
      </c>
      <c r="B267" t="s">
        <v>274</v>
      </c>
      <c r="C267" t="s">
        <v>7</v>
      </c>
      <c r="D267" t="str">
        <f t="shared" si="4"/>
        <v>East</v>
      </c>
    </row>
    <row r="268" spans="1:4">
      <c r="A268">
        <v>267</v>
      </c>
      <c r="B268" t="s">
        <v>275</v>
      </c>
      <c r="C268" t="s">
        <v>7</v>
      </c>
      <c r="D268" t="str">
        <f t="shared" si="4"/>
        <v>East</v>
      </c>
    </row>
    <row r="269" spans="1:4">
      <c r="A269">
        <v>268</v>
      </c>
      <c r="B269" t="s">
        <v>276</v>
      </c>
      <c r="C269" t="s">
        <v>9</v>
      </c>
      <c r="D269" t="str">
        <f t="shared" si="4"/>
        <v>South</v>
      </c>
    </row>
    <row r="270" spans="1:4">
      <c r="A270">
        <v>269</v>
      </c>
      <c r="B270" t="s">
        <v>277</v>
      </c>
      <c r="C270" t="s">
        <v>15</v>
      </c>
      <c r="D270" t="str">
        <f t="shared" si="4"/>
        <v>West</v>
      </c>
    </row>
    <row r="271" spans="1:4">
      <c r="A271">
        <v>270</v>
      </c>
      <c r="B271" t="s">
        <v>278</v>
      </c>
      <c r="C271" t="s">
        <v>7</v>
      </c>
      <c r="D271" t="str">
        <f t="shared" si="4"/>
        <v>East</v>
      </c>
    </row>
    <row r="272" spans="1:4">
      <c r="A272">
        <v>271</v>
      </c>
      <c r="B272" t="s">
        <v>279</v>
      </c>
      <c r="C272" t="s">
        <v>4</v>
      </c>
      <c r="D272" t="str">
        <f t="shared" si="4"/>
        <v>North</v>
      </c>
    </row>
    <row r="273" spans="1:4">
      <c r="A273">
        <v>272</v>
      </c>
      <c r="B273" t="s">
        <v>280</v>
      </c>
      <c r="C273" t="s">
        <v>7</v>
      </c>
      <c r="D273" t="str">
        <f t="shared" si="4"/>
        <v>East</v>
      </c>
    </row>
    <row r="274" spans="1:4">
      <c r="A274">
        <v>273</v>
      </c>
      <c r="B274" t="s">
        <v>281</v>
      </c>
      <c r="C274" t="s">
        <v>4</v>
      </c>
      <c r="D274" t="str">
        <f t="shared" si="4"/>
        <v>North</v>
      </c>
    </row>
    <row r="275" spans="1:4">
      <c r="A275">
        <v>274</v>
      </c>
      <c r="B275" t="s">
        <v>282</v>
      </c>
      <c r="C275" t="s">
        <v>9</v>
      </c>
      <c r="D275" t="str">
        <f t="shared" si="4"/>
        <v>South</v>
      </c>
    </row>
    <row r="276" spans="1:4">
      <c r="A276">
        <v>275</v>
      </c>
      <c r="B276" t="s">
        <v>283</v>
      </c>
      <c r="C276" t="s">
        <v>7</v>
      </c>
      <c r="D276" t="str">
        <f t="shared" si="4"/>
        <v>East</v>
      </c>
    </row>
    <row r="277" spans="1:4">
      <c r="A277">
        <v>276</v>
      </c>
      <c r="B277" t="s">
        <v>284</v>
      </c>
      <c r="C277" t="s">
        <v>4</v>
      </c>
      <c r="D277" t="str">
        <f t="shared" si="4"/>
        <v>North</v>
      </c>
    </row>
    <row r="278" spans="1:4">
      <c r="A278">
        <v>277</v>
      </c>
      <c r="B278" t="s">
        <v>285</v>
      </c>
      <c r="C278" t="s">
        <v>4</v>
      </c>
      <c r="D278" t="str">
        <f t="shared" si="4"/>
        <v>North</v>
      </c>
    </row>
    <row r="279" spans="1:4">
      <c r="A279">
        <v>278</v>
      </c>
      <c r="B279" t="s">
        <v>286</v>
      </c>
      <c r="C279" t="s">
        <v>9</v>
      </c>
      <c r="D279" t="str">
        <f t="shared" si="4"/>
        <v>South</v>
      </c>
    </row>
    <row r="280" spans="1:4">
      <c r="A280">
        <v>279</v>
      </c>
      <c r="B280" t="s">
        <v>287</v>
      </c>
      <c r="C280" t="s">
        <v>7</v>
      </c>
      <c r="D280" t="str">
        <f t="shared" si="4"/>
        <v>East</v>
      </c>
    </row>
    <row r="281" spans="1:4">
      <c r="A281">
        <v>280</v>
      </c>
      <c r="B281" t="s">
        <v>288</v>
      </c>
      <c r="C281" t="s">
        <v>7</v>
      </c>
      <c r="D281" t="str">
        <f t="shared" si="4"/>
        <v>East</v>
      </c>
    </row>
    <row r="282" spans="1:4">
      <c r="A282">
        <v>281</v>
      </c>
      <c r="B282" t="s">
        <v>289</v>
      </c>
      <c r="C282" t="s">
        <v>9</v>
      </c>
      <c r="D282" t="str">
        <f t="shared" si="4"/>
        <v>South</v>
      </c>
    </row>
    <row r="283" spans="1:4">
      <c r="A283">
        <v>282</v>
      </c>
      <c r="B283" t="s">
        <v>290</v>
      </c>
      <c r="C283" t="s">
        <v>7</v>
      </c>
      <c r="D283" t="str">
        <f t="shared" si="4"/>
        <v>East</v>
      </c>
    </row>
    <row r="284" spans="1:4">
      <c r="A284">
        <v>283</v>
      </c>
      <c r="B284" t="s">
        <v>291</v>
      </c>
      <c r="C284" t="s">
        <v>9</v>
      </c>
      <c r="D284" t="str">
        <f t="shared" si="4"/>
        <v>South</v>
      </c>
    </row>
    <row r="285" spans="1:4">
      <c r="A285">
        <v>284</v>
      </c>
      <c r="B285" t="s">
        <v>292</v>
      </c>
      <c r="C285" t="s">
        <v>7</v>
      </c>
      <c r="D285" t="str">
        <f t="shared" si="4"/>
        <v>East</v>
      </c>
    </row>
    <row r="286" spans="1:4">
      <c r="A286">
        <v>285</v>
      </c>
      <c r="B286" t="s">
        <v>293</v>
      </c>
      <c r="C286" t="s">
        <v>15</v>
      </c>
      <c r="D286" t="str">
        <f t="shared" si="4"/>
        <v>West</v>
      </c>
    </row>
    <row r="287" spans="1:4">
      <c r="A287">
        <v>286</v>
      </c>
      <c r="B287" t="s">
        <v>294</v>
      </c>
      <c r="C287" t="s">
        <v>7</v>
      </c>
      <c r="D287" t="str">
        <f t="shared" si="4"/>
        <v>East</v>
      </c>
    </row>
    <row r="288" spans="1:4">
      <c r="A288">
        <v>287</v>
      </c>
      <c r="B288" t="s">
        <v>295</v>
      </c>
      <c r="C288" t="s">
        <v>4</v>
      </c>
      <c r="D288" t="str">
        <f t="shared" si="4"/>
        <v>North</v>
      </c>
    </row>
    <row r="289" spans="1:4">
      <c r="A289">
        <v>288</v>
      </c>
      <c r="B289" t="s">
        <v>296</v>
      </c>
      <c r="C289" t="s">
        <v>4</v>
      </c>
      <c r="D289" t="str">
        <f t="shared" si="4"/>
        <v>North</v>
      </c>
    </row>
    <row r="290" spans="1:4">
      <c r="A290">
        <v>289</v>
      </c>
      <c r="B290" t="s">
        <v>297</v>
      </c>
      <c r="C290" t="s">
        <v>15</v>
      </c>
      <c r="D290" t="str">
        <f t="shared" si="4"/>
        <v>West</v>
      </c>
    </row>
    <row r="291" spans="1:4">
      <c r="A291">
        <v>290</v>
      </c>
      <c r="B291" t="s">
        <v>298</v>
      </c>
      <c r="C291" t="s">
        <v>7</v>
      </c>
      <c r="D291" t="str">
        <f t="shared" si="4"/>
        <v>East</v>
      </c>
    </row>
    <row r="292" spans="1:4">
      <c r="A292">
        <v>291</v>
      </c>
      <c r="B292" t="s">
        <v>299</v>
      </c>
      <c r="C292" t="s">
        <v>4</v>
      </c>
      <c r="D292" t="str">
        <f t="shared" si="4"/>
        <v>North</v>
      </c>
    </row>
    <row r="293" spans="1:4">
      <c r="A293">
        <v>292</v>
      </c>
      <c r="B293" t="s">
        <v>300</v>
      </c>
      <c r="C293" t="s">
        <v>4</v>
      </c>
      <c r="D293" t="str">
        <f t="shared" si="4"/>
        <v>North</v>
      </c>
    </row>
    <row r="294" spans="1:4">
      <c r="A294">
        <v>293</v>
      </c>
      <c r="B294" t="s">
        <v>301</v>
      </c>
      <c r="C294" t="s">
        <v>7</v>
      </c>
      <c r="D294" t="str">
        <f t="shared" si="4"/>
        <v>East</v>
      </c>
    </row>
    <row r="295" spans="1:4">
      <c r="A295">
        <v>294</v>
      </c>
      <c r="B295" t="s">
        <v>302</v>
      </c>
      <c r="C295" t="s">
        <v>9</v>
      </c>
      <c r="D295" t="str">
        <f t="shared" si="4"/>
        <v>South</v>
      </c>
    </row>
    <row r="296" spans="1:4">
      <c r="A296">
        <v>295</v>
      </c>
      <c r="B296" t="s">
        <v>303</v>
      </c>
      <c r="C296" t="s">
        <v>7</v>
      </c>
      <c r="D296" t="str">
        <f t="shared" si="4"/>
        <v>East</v>
      </c>
    </row>
    <row r="297" spans="1:4">
      <c r="A297">
        <v>296</v>
      </c>
      <c r="B297" t="s">
        <v>304</v>
      </c>
      <c r="C297" t="s">
        <v>9</v>
      </c>
      <c r="D297" t="str">
        <f t="shared" si="4"/>
        <v>South</v>
      </c>
    </row>
    <row r="298" spans="1:4">
      <c r="A298">
        <v>297</v>
      </c>
      <c r="B298" t="s">
        <v>305</v>
      </c>
      <c r="C298" t="s">
        <v>15</v>
      </c>
      <c r="D298" t="str">
        <f t="shared" si="4"/>
        <v>West</v>
      </c>
    </row>
    <row r="299" spans="1:4">
      <c r="A299">
        <v>298</v>
      </c>
      <c r="B299" t="s">
        <v>306</v>
      </c>
      <c r="C299" t="s">
        <v>15</v>
      </c>
      <c r="D299" t="str">
        <f t="shared" si="4"/>
        <v>West</v>
      </c>
    </row>
    <row r="300" spans="1:4">
      <c r="A300">
        <v>299</v>
      </c>
      <c r="B300" t="s">
        <v>307</v>
      </c>
      <c r="C300" t="s">
        <v>4</v>
      </c>
      <c r="D300" t="str">
        <f t="shared" si="4"/>
        <v>North</v>
      </c>
    </row>
    <row r="301" spans="1:4">
      <c r="A301">
        <v>300</v>
      </c>
      <c r="B301" t="s">
        <v>308</v>
      </c>
      <c r="C301" t="s">
        <v>4</v>
      </c>
      <c r="D301" t="str">
        <f t="shared" si="4"/>
        <v>North</v>
      </c>
    </row>
  </sheetData>
  <autoFilter ref="A1:C3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1" customWidth="1"/>
    <col min="2" max="3" width="13" customWidth="1"/>
    <col min="4" max="4" width="11" customWidth="1"/>
  </cols>
  <sheetData>
    <row r="1" spans="1:4">
      <c r="A1" t="s">
        <v>309</v>
      </c>
      <c r="B1" t="s">
        <v>310</v>
      </c>
      <c r="C1" t="s">
        <v>311</v>
      </c>
      <c r="D1" t="s">
        <v>312</v>
      </c>
    </row>
    <row r="2" spans="1:4">
      <c r="A2">
        <v>1</v>
      </c>
      <c r="B2" t="s">
        <v>313</v>
      </c>
      <c r="C2" t="s">
        <v>314</v>
      </c>
      <c r="D2">
        <v>750</v>
      </c>
    </row>
    <row r="3" spans="1:4">
      <c r="A3">
        <v>2</v>
      </c>
      <c r="B3" t="s">
        <v>315</v>
      </c>
      <c r="C3" t="s">
        <v>314</v>
      </c>
      <c r="D3">
        <v>220</v>
      </c>
    </row>
    <row r="4" spans="1:4">
      <c r="A4">
        <v>3</v>
      </c>
      <c r="B4" t="s">
        <v>316</v>
      </c>
      <c r="C4" t="s">
        <v>317</v>
      </c>
      <c r="D4">
        <v>45</v>
      </c>
    </row>
    <row r="5" spans="1:4">
      <c r="A5">
        <v>4</v>
      </c>
      <c r="B5" t="s">
        <v>318</v>
      </c>
      <c r="C5" t="s">
        <v>317</v>
      </c>
      <c r="D5">
        <v>25</v>
      </c>
    </row>
    <row r="6" spans="1:4">
      <c r="A6">
        <v>5</v>
      </c>
      <c r="B6" t="s">
        <v>319</v>
      </c>
      <c r="C6" t="s">
        <v>320</v>
      </c>
      <c r="D6">
        <v>180</v>
      </c>
    </row>
    <row r="7" spans="1:4">
      <c r="A7">
        <v>6</v>
      </c>
      <c r="B7" t="s">
        <v>321</v>
      </c>
      <c r="C7" t="s">
        <v>320</v>
      </c>
      <c r="D7">
        <v>140</v>
      </c>
    </row>
    <row r="8" spans="1:4">
      <c r="A8">
        <v>7</v>
      </c>
      <c r="B8" t="s">
        <v>322</v>
      </c>
      <c r="C8" t="s">
        <v>314</v>
      </c>
      <c r="D8">
        <v>65</v>
      </c>
    </row>
    <row r="9" spans="1:4">
      <c r="A9">
        <v>8</v>
      </c>
      <c r="B9" t="s">
        <v>323</v>
      </c>
      <c r="C9" t="s">
        <v>317</v>
      </c>
      <c r="D9">
        <v>55</v>
      </c>
    </row>
    <row r="10" spans="1:4">
      <c r="A10">
        <v>9</v>
      </c>
      <c r="B10" t="s">
        <v>324</v>
      </c>
      <c r="C10" t="s">
        <v>325</v>
      </c>
      <c r="D10">
        <v>30</v>
      </c>
    </row>
    <row r="11" spans="1:4">
      <c r="A11">
        <v>10</v>
      </c>
      <c r="B11" t="s">
        <v>326</v>
      </c>
      <c r="C11" t="s">
        <v>327</v>
      </c>
      <c r="D11">
        <v>8</v>
      </c>
    </row>
    <row r="12" spans="1:4">
      <c r="A12">
        <v>11</v>
      </c>
      <c r="B12" t="s">
        <v>328</v>
      </c>
      <c r="C12" t="s">
        <v>327</v>
      </c>
      <c r="D12">
        <v>48</v>
      </c>
    </row>
    <row r="13" spans="1:4">
      <c r="A13">
        <v>12</v>
      </c>
      <c r="B13" t="s">
        <v>329</v>
      </c>
      <c r="C13" t="s">
        <v>325</v>
      </c>
      <c r="D13">
        <v>22</v>
      </c>
    </row>
  </sheetData>
  <autoFilter ref="A1:D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22EAF-80D1-4C15-987B-B51C3CAD0AC8}">
  <dimension ref="A1:F10"/>
  <sheetViews>
    <sheetView workbookViewId="0">
      <selection activeCell="G14" sqref="G14"/>
    </sheetView>
  </sheetViews>
  <sheetFormatPr defaultRowHeight="14.4"/>
  <cols>
    <col min="1" max="1" width="12.5546875" bestFit="1" customWidth="1"/>
    <col min="2" max="2" width="16.109375" bestFit="1" customWidth="1"/>
    <col min="5" max="5" width="10" bestFit="1" customWidth="1"/>
  </cols>
  <sheetData>
    <row r="1" spans="1:6">
      <c r="A1" s="4" t="s">
        <v>332</v>
      </c>
      <c r="B1" t="s">
        <v>405</v>
      </c>
    </row>
    <row r="3" spans="1:6">
      <c r="A3" s="4" t="s">
        <v>380</v>
      </c>
      <c r="B3" t="s">
        <v>384</v>
      </c>
    </row>
    <row r="4" spans="1:6">
      <c r="A4" s="5" t="s">
        <v>398</v>
      </c>
      <c r="B4" s="7">
        <v>202</v>
      </c>
    </row>
    <row r="5" spans="1:6">
      <c r="A5" s="5" t="s">
        <v>399</v>
      </c>
      <c r="B5" s="7">
        <v>185</v>
      </c>
    </row>
    <row r="6" spans="1:6">
      <c r="A6" s="5" t="s">
        <v>400</v>
      </c>
      <c r="B6" s="7">
        <v>183</v>
      </c>
      <c r="E6" t="s">
        <v>406</v>
      </c>
      <c r="F6" t="s">
        <v>402</v>
      </c>
    </row>
    <row r="7" spans="1:6">
      <c r="A7" s="5" t="s">
        <v>401</v>
      </c>
      <c r="B7" s="7">
        <v>171</v>
      </c>
      <c r="E7" s="11">
        <f>150969/202</f>
        <v>747.37128712871288</v>
      </c>
      <c r="F7" s="11">
        <f>125556/202</f>
        <v>621.56435643564362</v>
      </c>
    </row>
    <row r="8" spans="1:6">
      <c r="A8" s="5" t="s">
        <v>402</v>
      </c>
      <c r="B8" s="7">
        <v>202</v>
      </c>
    </row>
    <row r="9" spans="1:6">
      <c r="A9" s="5" t="s">
        <v>403</v>
      </c>
      <c r="B9" s="7">
        <v>202</v>
      </c>
    </row>
    <row r="10" spans="1:6">
      <c r="A10" s="5" t="s">
        <v>381</v>
      </c>
      <c r="B10" s="7">
        <v>1145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01"/>
  <sheetViews>
    <sheetView workbookViewId="0">
      <pane ySplit="1" topLeftCell="A1175" activePane="bottomLeft" state="frozen"/>
      <selection pane="bottomLeft" sqref="A1:D1201"/>
    </sheetView>
  </sheetViews>
  <sheetFormatPr defaultRowHeight="14.4"/>
  <cols>
    <col min="1" max="1" width="9" customWidth="1"/>
    <col min="2" max="3" width="12" customWidth="1"/>
    <col min="4" max="4" width="11" customWidth="1"/>
  </cols>
  <sheetData>
    <row r="1" spans="1:4">
      <c r="A1" t="s">
        <v>330</v>
      </c>
      <c r="B1" t="s">
        <v>0</v>
      </c>
      <c r="C1" t="s">
        <v>331</v>
      </c>
      <c r="D1" t="s">
        <v>332</v>
      </c>
    </row>
    <row r="2" spans="1:4">
      <c r="A2">
        <v>1001</v>
      </c>
      <c r="B2">
        <v>77</v>
      </c>
      <c r="C2" s="1">
        <v>46042</v>
      </c>
      <c r="D2" t="s">
        <v>333</v>
      </c>
    </row>
    <row r="3" spans="1:4">
      <c r="A3">
        <v>1002</v>
      </c>
      <c r="B3">
        <v>108</v>
      </c>
      <c r="C3" s="1">
        <v>46033</v>
      </c>
      <c r="D3" t="s">
        <v>334</v>
      </c>
    </row>
    <row r="4" spans="1:4">
      <c r="A4">
        <v>1003</v>
      </c>
      <c r="B4">
        <v>91</v>
      </c>
      <c r="C4" s="1">
        <v>46083</v>
      </c>
      <c r="D4" t="s">
        <v>334</v>
      </c>
    </row>
    <row r="5" spans="1:4">
      <c r="A5">
        <v>1004</v>
      </c>
      <c r="B5">
        <v>128</v>
      </c>
      <c r="C5" s="1">
        <v>46194</v>
      </c>
      <c r="D5" t="s">
        <v>334</v>
      </c>
    </row>
    <row r="6" spans="1:4">
      <c r="A6">
        <v>1005</v>
      </c>
      <c r="B6">
        <v>236</v>
      </c>
      <c r="C6" s="1">
        <v>46143</v>
      </c>
      <c r="D6" t="s">
        <v>335</v>
      </c>
    </row>
    <row r="7" spans="1:4">
      <c r="A7">
        <v>1006</v>
      </c>
      <c r="B7">
        <v>261</v>
      </c>
      <c r="C7" s="1">
        <v>46094</v>
      </c>
      <c r="D7" t="s">
        <v>335</v>
      </c>
    </row>
    <row r="8" spans="1:4">
      <c r="A8">
        <v>1007</v>
      </c>
      <c r="B8">
        <v>223</v>
      </c>
      <c r="C8" s="1">
        <v>46032</v>
      </c>
      <c r="D8" t="s">
        <v>335</v>
      </c>
    </row>
    <row r="9" spans="1:4">
      <c r="A9">
        <v>1008</v>
      </c>
      <c r="B9">
        <v>276</v>
      </c>
      <c r="C9" s="1">
        <v>46134</v>
      </c>
      <c r="D9" t="s">
        <v>335</v>
      </c>
    </row>
    <row r="10" spans="1:4">
      <c r="A10">
        <v>1009</v>
      </c>
      <c r="B10">
        <v>154</v>
      </c>
      <c r="C10" s="1">
        <v>46054</v>
      </c>
      <c r="D10" t="s">
        <v>335</v>
      </c>
    </row>
    <row r="11" spans="1:4">
      <c r="A11">
        <v>1010</v>
      </c>
      <c r="B11">
        <v>90</v>
      </c>
      <c r="C11" s="1">
        <v>46196</v>
      </c>
      <c r="D11" t="s">
        <v>335</v>
      </c>
    </row>
    <row r="12" spans="1:4">
      <c r="A12">
        <v>1011</v>
      </c>
      <c r="B12">
        <v>110</v>
      </c>
      <c r="C12" s="1">
        <v>46142</v>
      </c>
      <c r="D12" t="s">
        <v>335</v>
      </c>
    </row>
    <row r="13" spans="1:4">
      <c r="A13">
        <v>1012</v>
      </c>
      <c r="B13">
        <v>24</v>
      </c>
      <c r="C13" s="1">
        <v>46073</v>
      </c>
      <c r="D13" t="s">
        <v>335</v>
      </c>
    </row>
    <row r="14" spans="1:4">
      <c r="A14">
        <v>1013</v>
      </c>
      <c r="B14">
        <v>205</v>
      </c>
      <c r="C14" s="1">
        <v>46201</v>
      </c>
      <c r="D14" t="s">
        <v>335</v>
      </c>
    </row>
    <row r="15" spans="1:4">
      <c r="A15">
        <v>1014</v>
      </c>
      <c r="B15">
        <v>266</v>
      </c>
      <c r="C15" s="1">
        <v>46079</v>
      </c>
      <c r="D15" t="s">
        <v>335</v>
      </c>
    </row>
    <row r="16" spans="1:4">
      <c r="A16">
        <v>1015</v>
      </c>
      <c r="B16">
        <v>227</v>
      </c>
      <c r="C16" s="1">
        <v>46175</v>
      </c>
      <c r="D16" t="s">
        <v>335</v>
      </c>
    </row>
    <row r="17" spans="1:4">
      <c r="A17">
        <v>1016</v>
      </c>
      <c r="B17">
        <v>123</v>
      </c>
      <c r="C17" s="1">
        <v>46156</v>
      </c>
      <c r="D17" t="s">
        <v>335</v>
      </c>
    </row>
    <row r="18" spans="1:4">
      <c r="A18">
        <v>1017</v>
      </c>
      <c r="B18">
        <v>79</v>
      </c>
      <c r="C18" s="1">
        <v>46061</v>
      </c>
      <c r="D18" t="s">
        <v>335</v>
      </c>
    </row>
    <row r="19" spans="1:4">
      <c r="A19">
        <v>1018</v>
      </c>
      <c r="B19">
        <v>295</v>
      </c>
      <c r="C19" s="1">
        <v>46201</v>
      </c>
      <c r="D19" t="s">
        <v>335</v>
      </c>
    </row>
    <row r="20" spans="1:4">
      <c r="A20">
        <v>1019</v>
      </c>
      <c r="B20">
        <v>280</v>
      </c>
      <c r="C20" s="1">
        <v>46160</v>
      </c>
      <c r="D20" t="s">
        <v>335</v>
      </c>
    </row>
    <row r="21" spans="1:4">
      <c r="A21">
        <v>1020</v>
      </c>
      <c r="B21">
        <v>66</v>
      </c>
      <c r="C21" s="1">
        <v>46065</v>
      </c>
      <c r="D21" t="s">
        <v>335</v>
      </c>
    </row>
    <row r="22" spans="1:4">
      <c r="A22">
        <v>1021</v>
      </c>
      <c r="B22">
        <v>168</v>
      </c>
      <c r="C22" s="1">
        <v>46106</v>
      </c>
      <c r="D22" t="s">
        <v>335</v>
      </c>
    </row>
    <row r="23" spans="1:4">
      <c r="A23">
        <v>1022</v>
      </c>
      <c r="B23">
        <v>36</v>
      </c>
      <c r="C23" s="1">
        <v>46112</v>
      </c>
      <c r="D23" t="s">
        <v>335</v>
      </c>
    </row>
    <row r="24" spans="1:4">
      <c r="A24">
        <v>1023</v>
      </c>
      <c r="B24">
        <v>189</v>
      </c>
      <c r="C24" s="1">
        <v>46142</v>
      </c>
      <c r="D24" t="s">
        <v>335</v>
      </c>
    </row>
    <row r="25" spans="1:4">
      <c r="A25">
        <v>1024</v>
      </c>
      <c r="B25">
        <v>295</v>
      </c>
      <c r="C25" s="1">
        <v>46029</v>
      </c>
      <c r="D25" t="s">
        <v>333</v>
      </c>
    </row>
    <row r="26" spans="1:4">
      <c r="A26">
        <v>1025</v>
      </c>
      <c r="B26">
        <v>62</v>
      </c>
      <c r="C26" s="1">
        <v>46198</v>
      </c>
      <c r="D26" t="s">
        <v>335</v>
      </c>
    </row>
    <row r="27" spans="1:4">
      <c r="A27">
        <v>1026</v>
      </c>
      <c r="B27">
        <v>186</v>
      </c>
      <c r="C27" s="1">
        <v>46050</v>
      </c>
      <c r="D27" t="s">
        <v>335</v>
      </c>
    </row>
    <row r="28" spans="1:4">
      <c r="A28">
        <v>1027</v>
      </c>
      <c r="B28">
        <v>45</v>
      </c>
      <c r="C28" s="1">
        <v>46085</v>
      </c>
      <c r="D28" t="s">
        <v>335</v>
      </c>
    </row>
    <row r="29" spans="1:4">
      <c r="A29">
        <v>1028</v>
      </c>
      <c r="B29">
        <v>133</v>
      </c>
      <c r="C29" s="1">
        <v>46077</v>
      </c>
      <c r="D29" t="s">
        <v>335</v>
      </c>
    </row>
    <row r="30" spans="1:4">
      <c r="A30">
        <v>1029</v>
      </c>
      <c r="B30">
        <v>124</v>
      </c>
      <c r="C30" s="1">
        <v>46148</v>
      </c>
      <c r="D30" t="s">
        <v>335</v>
      </c>
    </row>
    <row r="31" spans="1:4">
      <c r="A31">
        <v>1030</v>
      </c>
      <c r="B31">
        <v>284</v>
      </c>
      <c r="C31" s="1">
        <v>46171</v>
      </c>
      <c r="D31" t="s">
        <v>335</v>
      </c>
    </row>
    <row r="32" spans="1:4">
      <c r="A32">
        <v>1031</v>
      </c>
      <c r="B32">
        <v>275</v>
      </c>
      <c r="C32" s="1">
        <v>46103</v>
      </c>
      <c r="D32" t="s">
        <v>335</v>
      </c>
    </row>
    <row r="33" spans="1:4">
      <c r="A33">
        <v>1032</v>
      </c>
      <c r="B33">
        <v>274</v>
      </c>
      <c r="C33" s="1">
        <v>46068</v>
      </c>
      <c r="D33" t="s">
        <v>335</v>
      </c>
    </row>
    <row r="34" spans="1:4">
      <c r="A34">
        <v>1033</v>
      </c>
      <c r="B34">
        <v>252</v>
      </c>
      <c r="C34" s="1">
        <v>46186</v>
      </c>
      <c r="D34" t="s">
        <v>334</v>
      </c>
    </row>
    <row r="35" spans="1:4">
      <c r="A35">
        <v>1034</v>
      </c>
      <c r="B35">
        <v>175</v>
      </c>
      <c r="C35" s="1">
        <v>46143</v>
      </c>
      <c r="D35" t="s">
        <v>335</v>
      </c>
    </row>
    <row r="36" spans="1:4">
      <c r="A36">
        <v>1035</v>
      </c>
      <c r="B36">
        <v>28</v>
      </c>
      <c r="C36" s="1">
        <v>46148</v>
      </c>
      <c r="D36" t="s">
        <v>335</v>
      </c>
    </row>
    <row r="37" spans="1:4">
      <c r="A37">
        <v>1036</v>
      </c>
      <c r="B37">
        <v>116</v>
      </c>
      <c r="C37" s="1">
        <v>46178</v>
      </c>
      <c r="D37" t="s">
        <v>335</v>
      </c>
    </row>
    <row r="38" spans="1:4">
      <c r="A38">
        <v>1037</v>
      </c>
      <c r="B38">
        <v>136</v>
      </c>
      <c r="C38" s="1">
        <v>46076</v>
      </c>
      <c r="D38" t="s">
        <v>335</v>
      </c>
    </row>
    <row r="39" spans="1:4">
      <c r="A39">
        <v>1038</v>
      </c>
      <c r="B39">
        <v>145</v>
      </c>
      <c r="C39" s="1">
        <v>46031</v>
      </c>
      <c r="D39" t="s">
        <v>335</v>
      </c>
    </row>
    <row r="40" spans="1:4">
      <c r="A40">
        <v>1039</v>
      </c>
      <c r="B40">
        <v>85</v>
      </c>
      <c r="C40" s="1">
        <v>46059</v>
      </c>
      <c r="D40" t="s">
        <v>335</v>
      </c>
    </row>
    <row r="41" spans="1:4">
      <c r="A41">
        <v>1040</v>
      </c>
      <c r="B41">
        <v>225</v>
      </c>
      <c r="C41" s="1">
        <v>46151</v>
      </c>
      <c r="D41" t="s">
        <v>335</v>
      </c>
    </row>
    <row r="42" spans="1:4">
      <c r="A42">
        <v>1041</v>
      </c>
      <c r="B42">
        <v>295</v>
      </c>
      <c r="C42" s="1">
        <v>46046</v>
      </c>
      <c r="D42" t="s">
        <v>335</v>
      </c>
    </row>
    <row r="43" spans="1:4">
      <c r="A43">
        <v>1042</v>
      </c>
      <c r="B43">
        <v>252</v>
      </c>
      <c r="C43" s="1">
        <v>46134</v>
      </c>
      <c r="D43" t="s">
        <v>335</v>
      </c>
    </row>
    <row r="44" spans="1:4">
      <c r="A44">
        <v>1043</v>
      </c>
      <c r="B44">
        <v>254</v>
      </c>
      <c r="C44" s="1">
        <v>46107</v>
      </c>
      <c r="D44" t="s">
        <v>335</v>
      </c>
    </row>
    <row r="45" spans="1:4">
      <c r="A45">
        <v>1044</v>
      </c>
      <c r="B45">
        <v>1</v>
      </c>
      <c r="C45" s="1">
        <v>46154</v>
      </c>
      <c r="D45" t="s">
        <v>335</v>
      </c>
    </row>
    <row r="46" spans="1:4">
      <c r="A46">
        <v>1045</v>
      </c>
      <c r="B46">
        <v>68</v>
      </c>
      <c r="C46" s="1">
        <v>46075</v>
      </c>
      <c r="D46" t="s">
        <v>335</v>
      </c>
    </row>
    <row r="47" spans="1:4">
      <c r="A47">
        <v>1046</v>
      </c>
      <c r="B47">
        <v>283</v>
      </c>
      <c r="C47" s="1">
        <v>46102</v>
      </c>
      <c r="D47" t="s">
        <v>335</v>
      </c>
    </row>
    <row r="48" spans="1:4">
      <c r="A48">
        <v>1047</v>
      </c>
      <c r="B48">
        <v>140</v>
      </c>
      <c r="C48" s="1">
        <v>46097</v>
      </c>
      <c r="D48" t="s">
        <v>335</v>
      </c>
    </row>
    <row r="49" spans="1:4">
      <c r="A49">
        <v>1048</v>
      </c>
      <c r="B49">
        <v>142</v>
      </c>
      <c r="C49" s="1">
        <v>46057</v>
      </c>
      <c r="D49" t="s">
        <v>334</v>
      </c>
    </row>
    <row r="50" spans="1:4">
      <c r="A50">
        <v>1049</v>
      </c>
      <c r="B50">
        <v>297</v>
      </c>
      <c r="C50" s="1">
        <v>46095</v>
      </c>
      <c r="D50" t="s">
        <v>335</v>
      </c>
    </row>
    <row r="51" spans="1:4">
      <c r="A51">
        <v>1050</v>
      </c>
      <c r="B51">
        <v>123</v>
      </c>
      <c r="C51" s="1">
        <v>46071</v>
      </c>
      <c r="D51" t="s">
        <v>336</v>
      </c>
    </row>
    <row r="52" spans="1:4">
      <c r="A52">
        <v>1051</v>
      </c>
      <c r="B52">
        <v>78</v>
      </c>
      <c r="C52" s="1">
        <v>46120</v>
      </c>
      <c r="D52" t="s">
        <v>335</v>
      </c>
    </row>
    <row r="53" spans="1:4">
      <c r="A53">
        <v>1052</v>
      </c>
      <c r="B53">
        <v>210</v>
      </c>
      <c r="C53" s="1">
        <v>46026</v>
      </c>
      <c r="D53" t="s">
        <v>335</v>
      </c>
    </row>
    <row r="54" spans="1:4">
      <c r="A54">
        <v>1053</v>
      </c>
      <c r="B54">
        <v>250</v>
      </c>
      <c r="C54" s="1">
        <v>46120</v>
      </c>
      <c r="D54" t="s">
        <v>333</v>
      </c>
    </row>
    <row r="55" spans="1:4">
      <c r="A55">
        <v>1054</v>
      </c>
      <c r="B55">
        <v>52</v>
      </c>
      <c r="C55" s="1">
        <v>46048</v>
      </c>
      <c r="D55" t="s">
        <v>335</v>
      </c>
    </row>
    <row r="56" spans="1:4">
      <c r="A56">
        <v>1055</v>
      </c>
      <c r="B56">
        <v>211</v>
      </c>
      <c r="C56" s="1">
        <v>46060</v>
      </c>
      <c r="D56" t="s">
        <v>335</v>
      </c>
    </row>
    <row r="57" spans="1:4">
      <c r="A57">
        <v>1056</v>
      </c>
      <c r="B57">
        <v>131</v>
      </c>
      <c r="C57" s="1">
        <v>46082</v>
      </c>
      <c r="D57" t="s">
        <v>335</v>
      </c>
    </row>
    <row r="58" spans="1:4">
      <c r="A58">
        <v>1057</v>
      </c>
      <c r="B58">
        <v>154</v>
      </c>
      <c r="C58" s="1">
        <v>46111</v>
      </c>
      <c r="D58" t="s">
        <v>336</v>
      </c>
    </row>
    <row r="59" spans="1:4">
      <c r="A59">
        <v>1058</v>
      </c>
      <c r="B59">
        <v>293</v>
      </c>
      <c r="C59" s="1">
        <v>46050</v>
      </c>
      <c r="D59" t="s">
        <v>335</v>
      </c>
    </row>
    <row r="60" spans="1:4">
      <c r="A60">
        <v>1059</v>
      </c>
      <c r="B60">
        <v>26</v>
      </c>
      <c r="C60" s="1">
        <v>46198</v>
      </c>
      <c r="D60" t="s">
        <v>335</v>
      </c>
    </row>
    <row r="61" spans="1:4">
      <c r="A61">
        <v>1060</v>
      </c>
      <c r="B61">
        <v>71</v>
      </c>
      <c r="C61" s="1">
        <v>46191</v>
      </c>
      <c r="D61" t="s">
        <v>335</v>
      </c>
    </row>
    <row r="62" spans="1:4">
      <c r="A62">
        <v>1061</v>
      </c>
      <c r="B62">
        <v>90</v>
      </c>
      <c r="C62" s="1">
        <v>46106</v>
      </c>
      <c r="D62" t="s">
        <v>335</v>
      </c>
    </row>
    <row r="63" spans="1:4">
      <c r="A63">
        <v>1062</v>
      </c>
      <c r="B63">
        <v>152</v>
      </c>
      <c r="C63" s="1">
        <v>46146</v>
      </c>
      <c r="D63" t="s">
        <v>333</v>
      </c>
    </row>
    <row r="64" spans="1:4">
      <c r="A64">
        <v>1063</v>
      </c>
      <c r="B64">
        <v>286</v>
      </c>
      <c r="C64" s="1">
        <v>46195</v>
      </c>
      <c r="D64" t="s">
        <v>336</v>
      </c>
    </row>
    <row r="65" spans="1:4">
      <c r="A65">
        <v>1064</v>
      </c>
      <c r="B65">
        <v>135</v>
      </c>
      <c r="C65" s="1">
        <v>46054</v>
      </c>
      <c r="D65" t="s">
        <v>335</v>
      </c>
    </row>
    <row r="66" spans="1:4">
      <c r="A66">
        <v>1065</v>
      </c>
      <c r="B66">
        <v>238</v>
      </c>
      <c r="C66" s="1">
        <v>46079</v>
      </c>
      <c r="D66" t="s">
        <v>335</v>
      </c>
    </row>
    <row r="67" spans="1:4">
      <c r="A67">
        <v>1066</v>
      </c>
      <c r="B67">
        <v>70</v>
      </c>
      <c r="C67" s="1">
        <v>46083</v>
      </c>
      <c r="D67" t="s">
        <v>334</v>
      </c>
    </row>
    <row r="68" spans="1:4">
      <c r="A68">
        <v>1067</v>
      </c>
      <c r="B68">
        <v>251</v>
      </c>
      <c r="C68" s="1">
        <v>46129</v>
      </c>
      <c r="D68" t="s">
        <v>335</v>
      </c>
    </row>
    <row r="69" spans="1:4">
      <c r="A69">
        <v>1068</v>
      </c>
      <c r="B69">
        <v>184</v>
      </c>
      <c r="C69" s="1">
        <v>46117</v>
      </c>
      <c r="D69" t="s">
        <v>335</v>
      </c>
    </row>
    <row r="70" spans="1:4">
      <c r="A70">
        <v>1069</v>
      </c>
      <c r="B70">
        <v>11</v>
      </c>
      <c r="C70" s="1">
        <v>46046</v>
      </c>
      <c r="D70" t="s">
        <v>335</v>
      </c>
    </row>
    <row r="71" spans="1:4">
      <c r="A71">
        <v>1070</v>
      </c>
      <c r="B71">
        <v>120</v>
      </c>
      <c r="C71" s="1">
        <v>46076</v>
      </c>
      <c r="D71" t="s">
        <v>335</v>
      </c>
    </row>
    <row r="72" spans="1:4">
      <c r="A72">
        <v>1071</v>
      </c>
      <c r="B72">
        <v>14</v>
      </c>
      <c r="C72" s="1">
        <v>46067</v>
      </c>
      <c r="D72" t="s">
        <v>335</v>
      </c>
    </row>
    <row r="73" spans="1:4">
      <c r="A73">
        <v>1072</v>
      </c>
      <c r="B73">
        <v>216</v>
      </c>
      <c r="C73" s="1">
        <v>46090</v>
      </c>
      <c r="D73" t="s">
        <v>335</v>
      </c>
    </row>
    <row r="74" spans="1:4">
      <c r="A74">
        <v>1073</v>
      </c>
      <c r="B74">
        <v>235</v>
      </c>
      <c r="C74" s="1">
        <v>46191</v>
      </c>
      <c r="D74" t="s">
        <v>335</v>
      </c>
    </row>
    <row r="75" spans="1:4">
      <c r="A75">
        <v>1074</v>
      </c>
      <c r="B75">
        <v>34</v>
      </c>
      <c r="C75" s="1">
        <v>46105</v>
      </c>
      <c r="D75" t="s">
        <v>335</v>
      </c>
    </row>
    <row r="76" spans="1:4">
      <c r="A76">
        <v>1075</v>
      </c>
      <c r="B76">
        <v>59</v>
      </c>
      <c r="C76" s="1">
        <v>46177</v>
      </c>
      <c r="D76" t="s">
        <v>335</v>
      </c>
    </row>
    <row r="77" spans="1:4">
      <c r="A77">
        <v>1076</v>
      </c>
      <c r="B77">
        <v>161</v>
      </c>
      <c r="C77" s="1">
        <v>46047</v>
      </c>
      <c r="D77" t="s">
        <v>335</v>
      </c>
    </row>
    <row r="78" spans="1:4">
      <c r="A78">
        <v>1077</v>
      </c>
      <c r="B78">
        <v>285</v>
      </c>
      <c r="C78" s="1">
        <v>46118</v>
      </c>
      <c r="D78" t="s">
        <v>335</v>
      </c>
    </row>
    <row r="79" spans="1:4">
      <c r="A79">
        <v>1078</v>
      </c>
      <c r="B79">
        <v>160</v>
      </c>
      <c r="C79" s="1">
        <v>46036</v>
      </c>
      <c r="D79" t="s">
        <v>333</v>
      </c>
    </row>
    <row r="80" spans="1:4">
      <c r="A80">
        <v>1079</v>
      </c>
      <c r="B80">
        <v>285</v>
      </c>
      <c r="C80" s="1">
        <v>46050</v>
      </c>
      <c r="D80" t="s">
        <v>335</v>
      </c>
    </row>
    <row r="81" spans="1:4">
      <c r="A81">
        <v>1080</v>
      </c>
      <c r="B81">
        <v>14</v>
      </c>
      <c r="C81" s="1">
        <v>46195</v>
      </c>
      <c r="D81" t="s">
        <v>335</v>
      </c>
    </row>
    <row r="82" spans="1:4">
      <c r="A82">
        <v>1081</v>
      </c>
      <c r="B82">
        <v>36</v>
      </c>
      <c r="C82" s="1">
        <v>46167</v>
      </c>
      <c r="D82" t="s">
        <v>335</v>
      </c>
    </row>
    <row r="83" spans="1:4">
      <c r="A83">
        <v>1082</v>
      </c>
      <c r="B83">
        <v>160</v>
      </c>
      <c r="C83" s="1">
        <v>46110</v>
      </c>
      <c r="D83" t="s">
        <v>335</v>
      </c>
    </row>
    <row r="84" spans="1:4">
      <c r="A84">
        <v>1083</v>
      </c>
      <c r="B84">
        <v>249</v>
      </c>
      <c r="C84" s="1">
        <v>46136</v>
      </c>
      <c r="D84" t="s">
        <v>335</v>
      </c>
    </row>
    <row r="85" spans="1:4">
      <c r="A85">
        <v>1084</v>
      </c>
      <c r="B85">
        <v>24</v>
      </c>
      <c r="C85" s="1">
        <v>46157</v>
      </c>
      <c r="D85" t="s">
        <v>335</v>
      </c>
    </row>
    <row r="86" spans="1:4">
      <c r="A86">
        <v>1085</v>
      </c>
      <c r="B86">
        <v>62</v>
      </c>
      <c r="C86" s="1">
        <v>46088</v>
      </c>
      <c r="D86" t="s">
        <v>335</v>
      </c>
    </row>
    <row r="87" spans="1:4">
      <c r="A87">
        <v>1086</v>
      </c>
      <c r="B87">
        <v>182</v>
      </c>
      <c r="C87" s="1">
        <v>46166</v>
      </c>
      <c r="D87" t="s">
        <v>335</v>
      </c>
    </row>
    <row r="88" spans="1:4">
      <c r="A88">
        <v>1087</v>
      </c>
      <c r="B88">
        <v>208</v>
      </c>
      <c r="C88" s="1">
        <v>46170</v>
      </c>
      <c r="D88" t="s">
        <v>335</v>
      </c>
    </row>
    <row r="89" spans="1:4">
      <c r="A89">
        <v>1088</v>
      </c>
      <c r="B89">
        <v>46</v>
      </c>
      <c r="C89" s="1">
        <v>46199</v>
      </c>
      <c r="D89" t="s">
        <v>333</v>
      </c>
    </row>
    <row r="90" spans="1:4">
      <c r="A90">
        <v>1089</v>
      </c>
      <c r="B90">
        <v>114</v>
      </c>
      <c r="C90" s="1">
        <v>46102</v>
      </c>
      <c r="D90" t="s">
        <v>335</v>
      </c>
    </row>
    <row r="91" spans="1:4">
      <c r="A91">
        <v>1090</v>
      </c>
      <c r="B91">
        <v>75</v>
      </c>
      <c r="C91" s="1">
        <v>46060</v>
      </c>
      <c r="D91" t="s">
        <v>335</v>
      </c>
    </row>
    <row r="92" spans="1:4">
      <c r="A92">
        <v>1091</v>
      </c>
      <c r="B92">
        <v>290</v>
      </c>
      <c r="C92" s="1">
        <v>46171</v>
      </c>
      <c r="D92" t="s">
        <v>335</v>
      </c>
    </row>
    <row r="93" spans="1:4">
      <c r="A93">
        <v>1092</v>
      </c>
      <c r="B93">
        <v>260</v>
      </c>
      <c r="C93" s="1">
        <v>46174</v>
      </c>
      <c r="D93" t="s">
        <v>335</v>
      </c>
    </row>
    <row r="94" spans="1:4">
      <c r="A94">
        <v>1093</v>
      </c>
      <c r="B94">
        <v>47</v>
      </c>
      <c r="C94" s="1">
        <v>46188</v>
      </c>
      <c r="D94" t="s">
        <v>334</v>
      </c>
    </row>
    <row r="95" spans="1:4">
      <c r="A95">
        <v>1094</v>
      </c>
      <c r="B95">
        <v>165</v>
      </c>
      <c r="C95" s="1">
        <v>46169</v>
      </c>
      <c r="D95" t="s">
        <v>335</v>
      </c>
    </row>
    <row r="96" spans="1:4">
      <c r="A96">
        <v>1095</v>
      </c>
      <c r="B96">
        <v>21</v>
      </c>
      <c r="C96" s="1">
        <v>46152</v>
      </c>
      <c r="D96" t="s">
        <v>335</v>
      </c>
    </row>
    <row r="97" spans="1:4">
      <c r="A97">
        <v>1096</v>
      </c>
      <c r="B97">
        <v>199</v>
      </c>
      <c r="C97" s="1">
        <v>46118</v>
      </c>
      <c r="D97" t="s">
        <v>333</v>
      </c>
    </row>
    <row r="98" spans="1:4">
      <c r="A98">
        <v>1097</v>
      </c>
      <c r="B98">
        <v>146</v>
      </c>
      <c r="C98" s="1">
        <v>46165</v>
      </c>
      <c r="D98" t="s">
        <v>335</v>
      </c>
    </row>
    <row r="99" spans="1:4">
      <c r="A99">
        <v>1098</v>
      </c>
      <c r="B99">
        <v>201</v>
      </c>
      <c r="C99" s="1">
        <v>46190</v>
      </c>
      <c r="D99" t="s">
        <v>335</v>
      </c>
    </row>
    <row r="100" spans="1:4">
      <c r="A100">
        <v>1099</v>
      </c>
      <c r="B100">
        <v>270</v>
      </c>
      <c r="C100" s="1">
        <v>46194</v>
      </c>
      <c r="D100" t="s">
        <v>335</v>
      </c>
    </row>
    <row r="101" spans="1:4">
      <c r="A101">
        <v>1100</v>
      </c>
      <c r="B101">
        <v>249</v>
      </c>
      <c r="C101" s="1">
        <v>46110</v>
      </c>
      <c r="D101" t="s">
        <v>333</v>
      </c>
    </row>
    <row r="102" spans="1:4">
      <c r="A102">
        <v>1101</v>
      </c>
      <c r="B102">
        <v>277</v>
      </c>
      <c r="C102" s="1">
        <v>46048</v>
      </c>
      <c r="D102" t="s">
        <v>335</v>
      </c>
    </row>
    <row r="103" spans="1:4">
      <c r="A103">
        <v>1102</v>
      </c>
      <c r="B103">
        <v>187</v>
      </c>
      <c r="C103" s="1">
        <v>46135</v>
      </c>
      <c r="D103" t="s">
        <v>335</v>
      </c>
    </row>
    <row r="104" spans="1:4">
      <c r="A104">
        <v>1103</v>
      </c>
      <c r="B104">
        <v>293</v>
      </c>
      <c r="C104" s="1">
        <v>46072</v>
      </c>
      <c r="D104" t="s">
        <v>335</v>
      </c>
    </row>
    <row r="105" spans="1:4">
      <c r="A105">
        <v>1104</v>
      </c>
      <c r="B105">
        <v>247</v>
      </c>
      <c r="C105" s="1">
        <v>46087</v>
      </c>
      <c r="D105" t="s">
        <v>335</v>
      </c>
    </row>
    <row r="106" spans="1:4">
      <c r="A106">
        <v>1105</v>
      </c>
      <c r="B106">
        <v>47</v>
      </c>
      <c r="C106" s="1">
        <v>46060</v>
      </c>
      <c r="D106" t="s">
        <v>335</v>
      </c>
    </row>
    <row r="107" spans="1:4">
      <c r="A107">
        <v>1106</v>
      </c>
      <c r="B107">
        <v>42</v>
      </c>
      <c r="C107" s="1">
        <v>46083</v>
      </c>
      <c r="D107" t="s">
        <v>335</v>
      </c>
    </row>
    <row r="108" spans="1:4">
      <c r="A108">
        <v>1107</v>
      </c>
      <c r="B108">
        <v>242</v>
      </c>
      <c r="C108" s="1">
        <v>46032</v>
      </c>
      <c r="D108" t="s">
        <v>335</v>
      </c>
    </row>
    <row r="109" spans="1:4">
      <c r="A109">
        <v>1108</v>
      </c>
      <c r="B109">
        <v>57</v>
      </c>
      <c r="C109" s="1">
        <v>46178</v>
      </c>
      <c r="D109" t="s">
        <v>335</v>
      </c>
    </row>
    <row r="110" spans="1:4">
      <c r="A110">
        <v>1109</v>
      </c>
      <c r="B110">
        <v>256</v>
      </c>
      <c r="C110" s="1">
        <v>46051</v>
      </c>
      <c r="D110" t="s">
        <v>335</v>
      </c>
    </row>
    <row r="111" spans="1:4">
      <c r="A111">
        <v>1110</v>
      </c>
      <c r="B111">
        <v>44</v>
      </c>
      <c r="C111" s="1">
        <v>46070</v>
      </c>
      <c r="D111" t="s">
        <v>335</v>
      </c>
    </row>
    <row r="112" spans="1:4">
      <c r="A112">
        <v>1111</v>
      </c>
      <c r="B112">
        <v>35</v>
      </c>
      <c r="C112" s="1">
        <v>46027</v>
      </c>
      <c r="D112" t="s">
        <v>335</v>
      </c>
    </row>
    <row r="113" spans="1:4">
      <c r="A113">
        <v>1112</v>
      </c>
      <c r="B113">
        <v>238</v>
      </c>
      <c r="C113" s="1">
        <v>46067</v>
      </c>
      <c r="D113" t="s">
        <v>335</v>
      </c>
    </row>
    <row r="114" spans="1:4">
      <c r="A114">
        <v>1113</v>
      </c>
      <c r="B114">
        <v>264</v>
      </c>
      <c r="C114" s="1">
        <v>46103</v>
      </c>
      <c r="D114" t="s">
        <v>333</v>
      </c>
    </row>
    <row r="115" spans="1:4">
      <c r="A115">
        <v>1114</v>
      </c>
      <c r="B115">
        <v>25</v>
      </c>
      <c r="C115" s="1">
        <v>46096</v>
      </c>
      <c r="D115" t="s">
        <v>335</v>
      </c>
    </row>
    <row r="116" spans="1:4">
      <c r="A116">
        <v>1115</v>
      </c>
      <c r="B116">
        <v>189</v>
      </c>
      <c r="C116" s="1">
        <v>46150</v>
      </c>
      <c r="D116" t="s">
        <v>335</v>
      </c>
    </row>
    <row r="117" spans="1:4">
      <c r="A117">
        <v>1116</v>
      </c>
      <c r="B117">
        <v>219</v>
      </c>
      <c r="C117" s="1">
        <v>46098</v>
      </c>
      <c r="D117" t="s">
        <v>335</v>
      </c>
    </row>
    <row r="118" spans="1:4">
      <c r="A118">
        <v>1117</v>
      </c>
      <c r="B118">
        <v>141</v>
      </c>
      <c r="C118" s="1">
        <v>46180</v>
      </c>
      <c r="D118" t="s">
        <v>336</v>
      </c>
    </row>
    <row r="119" spans="1:4">
      <c r="A119">
        <v>1118</v>
      </c>
      <c r="B119">
        <v>225</v>
      </c>
      <c r="C119" s="1">
        <v>46178</v>
      </c>
      <c r="D119" t="s">
        <v>335</v>
      </c>
    </row>
    <row r="120" spans="1:4">
      <c r="A120">
        <v>1119</v>
      </c>
      <c r="B120">
        <v>231</v>
      </c>
      <c r="C120" s="1">
        <v>46031</v>
      </c>
      <c r="D120" t="s">
        <v>335</v>
      </c>
    </row>
    <row r="121" spans="1:4">
      <c r="A121">
        <v>1120</v>
      </c>
      <c r="B121">
        <v>96</v>
      </c>
      <c r="C121" s="1">
        <v>46052</v>
      </c>
      <c r="D121" t="s">
        <v>335</v>
      </c>
    </row>
    <row r="122" spans="1:4">
      <c r="A122">
        <v>1121</v>
      </c>
      <c r="B122">
        <v>252</v>
      </c>
      <c r="C122" s="1">
        <v>46096</v>
      </c>
      <c r="D122" t="s">
        <v>335</v>
      </c>
    </row>
    <row r="123" spans="1:4">
      <c r="A123">
        <v>1122</v>
      </c>
      <c r="B123">
        <v>164</v>
      </c>
      <c r="C123" s="1">
        <v>46045</v>
      </c>
      <c r="D123" t="s">
        <v>335</v>
      </c>
    </row>
    <row r="124" spans="1:4">
      <c r="A124">
        <v>1123</v>
      </c>
      <c r="B124">
        <v>103</v>
      </c>
      <c r="C124" s="1">
        <v>46153</v>
      </c>
      <c r="D124" t="s">
        <v>335</v>
      </c>
    </row>
    <row r="125" spans="1:4">
      <c r="A125">
        <v>1124</v>
      </c>
      <c r="B125">
        <v>45</v>
      </c>
      <c r="C125" s="1">
        <v>46056</v>
      </c>
      <c r="D125" t="s">
        <v>335</v>
      </c>
    </row>
    <row r="126" spans="1:4">
      <c r="A126">
        <v>1125</v>
      </c>
      <c r="B126">
        <v>163</v>
      </c>
      <c r="C126" s="1">
        <v>46170</v>
      </c>
      <c r="D126" t="s">
        <v>335</v>
      </c>
    </row>
    <row r="127" spans="1:4">
      <c r="A127">
        <v>1126</v>
      </c>
      <c r="B127">
        <v>156</v>
      </c>
      <c r="C127" s="1">
        <v>46054</v>
      </c>
      <c r="D127" t="s">
        <v>335</v>
      </c>
    </row>
    <row r="128" spans="1:4">
      <c r="A128">
        <v>1127</v>
      </c>
      <c r="B128">
        <v>129</v>
      </c>
      <c r="C128" s="1">
        <v>46095</v>
      </c>
      <c r="D128" t="s">
        <v>335</v>
      </c>
    </row>
    <row r="129" spans="1:4">
      <c r="A129">
        <v>1128</v>
      </c>
      <c r="B129">
        <v>298</v>
      </c>
      <c r="C129" s="1">
        <v>46187</v>
      </c>
      <c r="D129" t="s">
        <v>335</v>
      </c>
    </row>
    <row r="130" spans="1:4">
      <c r="A130">
        <v>1129</v>
      </c>
      <c r="B130">
        <v>296</v>
      </c>
      <c r="C130" s="1">
        <v>46043</v>
      </c>
      <c r="D130" t="s">
        <v>335</v>
      </c>
    </row>
    <row r="131" spans="1:4">
      <c r="A131">
        <v>1130</v>
      </c>
      <c r="B131">
        <v>208</v>
      </c>
      <c r="C131" s="1">
        <v>46146</v>
      </c>
      <c r="D131" t="s">
        <v>335</v>
      </c>
    </row>
    <row r="132" spans="1:4">
      <c r="A132">
        <v>1131</v>
      </c>
      <c r="B132">
        <v>164</v>
      </c>
      <c r="C132" s="1">
        <v>46059</v>
      </c>
      <c r="D132" t="s">
        <v>335</v>
      </c>
    </row>
    <row r="133" spans="1:4">
      <c r="A133">
        <v>1132</v>
      </c>
      <c r="B133">
        <v>197</v>
      </c>
      <c r="C133" s="1">
        <v>46047</v>
      </c>
      <c r="D133" t="s">
        <v>335</v>
      </c>
    </row>
    <row r="134" spans="1:4">
      <c r="A134">
        <v>1133</v>
      </c>
      <c r="B134">
        <v>47</v>
      </c>
      <c r="C134" s="1">
        <v>46101</v>
      </c>
      <c r="D134" t="s">
        <v>335</v>
      </c>
    </row>
    <row r="135" spans="1:4">
      <c r="A135">
        <v>1134</v>
      </c>
      <c r="B135">
        <v>147</v>
      </c>
      <c r="C135" s="1">
        <v>46190</v>
      </c>
      <c r="D135" t="s">
        <v>335</v>
      </c>
    </row>
    <row r="136" spans="1:4">
      <c r="A136">
        <v>1135</v>
      </c>
      <c r="B136">
        <v>284</v>
      </c>
      <c r="C136" s="1">
        <v>46166</v>
      </c>
      <c r="D136" t="s">
        <v>335</v>
      </c>
    </row>
    <row r="137" spans="1:4">
      <c r="A137">
        <v>1136</v>
      </c>
      <c r="B137">
        <v>174</v>
      </c>
      <c r="C137" s="1">
        <v>46047</v>
      </c>
      <c r="D137" t="s">
        <v>335</v>
      </c>
    </row>
    <row r="138" spans="1:4">
      <c r="A138">
        <v>1137</v>
      </c>
      <c r="B138">
        <v>264</v>
      </c>
      <c r="C138" s="1">
        <v>46139</v>
      </c>
      <c r="D138" t="s">
        <v>335</v>
      </c>
    </row>
    <row r="139" spans="1:4">
      <c r="A139">
        <v>1138</v>
      </c>
      <c r="B139">
        <v>261</v>
      </c>
      <c r="C139" s="1">
        <v>46174</v>
      </c>
      <c r="D139" t="s">
        <v>335</v>
      </c>
    </row>
    <row r="140" spans="1:4">
      <c r="A140">
        <v>1139</v>
      </c>
      <c r="B140">
        <v>243</v>
      </c>
      <c r="C140" s="1">
        <v>46199</v>
      </c>
      <c r="D140" t="s">
        <v>335</v>
      </c>
    </row>
    <row r="141" spans="1:4">
      <c r="A141">
        <v>1140</v>
      </c>
      <c r="B141">
        <v>125</v>
      </c>
      <c r="C141" s="1">
        <v>46120</v>
      </c>
      <c r="D141" t="s">
        <v>335</v>
      </c>
    </row>
    <row r="142" spans="1:4">
      <c r="A142">
        <v>1141</v>
      </c>
      <c r="B142">
        <v>257</v>
      </c>
      <c r="C142" s="1">
        <v>46199</v>
      </c>
      <c r="D142" t="s">
        <v>335</v>
      </c>
    </row>
    <row r="143" spans="1:4">
      <c r="A143">
        <v>1142</v>
      </c>
      <c r="B143">
        <v>136</v>
      </c>
      <c r="C143" s="1">
        <v>46110</v>
      </c>
      <c r="D143" t="s">
        <v>335</v>
      </c>
    </row>
    <row r="144" spans="1:4">
      <c r="A144">
        <v>1143</v>
      </c>
      <c r="B144">
        <v>251</v>
      </c>
      <c r="C144" s="1">
        <v>46076</v>
      </c>
      <c r="D144" t="s">
        <v>335</v>
      </c>
    </row>
    <row r="145" spans="1:4">
      <c r="A145">
        <v>1144</v>
      </c>
      <c r="B145">
        <v>75</v>
      </c>
      <c r="C145" s="1">
        <v>46111</v>
      </c>
      <c r="D145" t="s">
        <v>333</v>
      </c>
    </row>
    <row r="146" spans="1:4">
      <c r="A146">
        <v>1145</v>
      </c>
      <c r="B146">
        <v>110</v>
      </c>
      <c r="C146" s="1">
        <v>46088</v>
      </c>
      <c r="D146" t="s">
        <v>335</v>
      </c>
    </row>
    <row r="147" spans="1:4">
      <c r="A147">
        <v>1146</v>
      </c>
      <c r="B147">
        <v>26</v>
      </c>
      <c r="C147" s="1">
        <v>46173</v>
      </c>
      <c r="D147" t="s">
        <v>335</v>
      </c>
    </row>
    <row r="148" spans="1:4">
      <c r="A148">
        <v>1147</v>
      </c>
      <c r="B148">
        <v>81</v>
      </c>
      <c r="C148" s="1">
        <v>46024</v>
      </c>
      <c r="D148" t="s">
        <v>333</v>
      </c>
    </row>
    <row r="149" spans="1:4">
      <c r="A149">
        <v>1148</v>
      </c>
      <c r="B149">
        <v>31</v>
      </c>
      <c r="C149" s="1">
        <v>46105</v>
      </c>
      <c r="D149" t="s">
        <v>335</v>
      </c>
    </row>
    <row r="150" spans="1:4">
      <c r="A150">
        <v>1149</v>
      </c>
      <c r="B150">
        <v>91</v>
      </c>
      <c r="C150" s="1">
        <v>46129</v>
      </c>
      <c r="D150" t="s">
        <v>334</v>
      </c>
    </row>
    <row r="151" spans="1:4">
      <c r="A151">
        <v>1150</v>
      </c>
      <c r="B151">
        <v>149</v>
      </c>
      <c r="C151" s="1">
        <v>46070</v>
      </c>
      <c r="D151" t="s">
        <v>333</v>
      </c>
    </row>
    <row r="152" spans="1:4">
      <c r="A152">
        <v>1151</v>
      </c>
      <c r="B152">
        <v>279</v>
      </c>
      <c r="C152" s="1">
        <v>46108</v>
      </c>
      <c r="D152" t="s">
        <v>335</v>
      </c>
    </row>
    <row r="153" spans="1:4">
      <c r="A153">
        <v>1152</v>
      </c>
      <c r="B153">
        <v>8</v>
      </c>
      <c r="C153" s="1">
        <v>46088</v>
      </c>
      <c r="D153" t="s">
        <v>335</v>
      </c>
    </row>
    <row r="154" spans="1:4">
      <c r="A154">
        <v>1153</v>
      </c>
      <c r="B154">
        <v>72</v>
      </c>
      <c r="C154" s="1">
        <v>46047</v>
      </c>
      <c r="D154" t="s">
        <v>335</v>
      </c>
    </row>
    <row r="155" spans="1:4">
      <c r="A155">
        <v>1154</v>
      </c>
      <c r="B155">
        <v>294</v>
      </c>
      <c r="C155" s="1">
        <v>46100</v>
      </c>
      <c r="D155" t="s">
        <v>335</v>
      </c>
    </row>
    <row r="156" spans="1:4">
      <c r="A156">
        <v>1155</v>
      </c>
      <c r="B156">
        <v>258</v>
      </c>
      <c r="C156" s="1">
        <v>46063</v>
      </c>
      <c r="D156" t="s">
        <v>335</v>
      </c>
    </row>
    <row r="157" spans="1:4">
      <c r="A157">
        <v>1156</v>
      </c>
      <c r="B157">
        <v>282</v>
      </c>
      <c r="C157" s="1">
        <v>46118</v>
      </c>
      <c r="D157" t="s">
        <v>335</v>
      </c>
    </row>
    <row r="158" spans="1:4">
      <c r="A158">
        <v>1157</v>
      </c>
      <c r="B158">
        <v>186</v>
      </c>
      <c r="C158" s="1">
        <v>46137</v>
      </c>
      <c r="D158" t="s">
        <v>335</v>
      </c>
    </row>
    <row r="159" spans="1:4">
      <c r="A159">
        <v>1158</v>
      </c>
      <c r="B159">
        <v>168</v>
      </c>
      <c r="C159" s="1">
        <v>46160</v>
      </c>
      <c r="D159" t="s">
        <v>335</v>
      </c>
    </row>
    <row r="160" spans="1:4">
      <c r="A160">
        <v>1159</v>
      </c>
      <c r="B160">
        <v>237</v>
      </c>
      <c r="C160" s="1">
        <v>46167</v>
      </c>
      <c r="D160" t="s">
        <v>335</v>
      </c>
    </row>
    <row r="161" spans="1:4">
      <c r="A161">
        <v>1160</v>
      </c>
      <c r="B161">
        <v>36</v>
      </c>
      <c r="C161" s="1">
        <v>46161</v>
      </c>
      <c r="D161" t="s">
        <v>336</v>
      </c>
    </row>
    <row r="162" spans="1:4">
      <c r="A162">
        <v>1161</v>
      </c>
      <c r="B162">
        <v>216</v>
      </c>
      <c r="C162" s="1">
        <v>46187</v>
      </c>
      <c r="D162" t="s">
        <v>336</v>
      </c>
    </row>
    <row r="163" spans="1:4">
      <c r="A163">
        <v>1162</v>
      </c>
      <c r="B163">
        <v>277</v>
      </c>
      <c r="C163" s="1">
        <v>46197</v>
      </c>
      <c r="D163" t="s">
        <v>333</v>
      </c>
    </row>
    <row r="164" spans="1:4">
      <c r="A164">
        <v>1163</v>
      </c>
      <c r="B164">
        <v>115</v>
      </c>
      <c r="C164" s="1">
        <v>46123</v>
      </c>
      <c r="D164" t="s">
        <v>335</v>
      </c>
    </row>
    <row r="165" spans="1:4">
      <c r="A165">
        <v>1164</v>
      </c>
      <c r="B165">
        <v>178</v>
      </c>
      <c r="C165" s="1">
        <v>46081</v>
      </c>
      <c r="D165" t="s">
        <v>335</v>
      </c>
    </row>
    <row r="166" spans="1:4">
      <c r="A166">
        <v>1165</v>
      </c>
      <c r="B166">
        <v>9</v>
      </c>
      <c r="C166" s="1">
        <v>46130</v>
      </c>
      <c r="D166" t="s">
        <v>335</v>
      </c>
    </row>
    <row r="167" spans="1:4">
      <c r="A167">
        <v>1166</v>
      </c>
      <c r="B167">
        <v>23</v>
      </c>
      <c r="C167" s="1">
        <v>46035</v>
      </c>
      <c r="D167" t="s">
        <v>335</v>
      </c>
    </row>
    <row r="168" spans="1:4">
      <c r="A168">
        <v>1167</v>
      </c>
      <c r="B168">
        <v>165</v>
      </c>
      <c r="C168" s="1">
        <v>46170</v>
      </c>
      <c r="D168" t="s">
        <v>335</v>
      </c>
    </row>
    <row r="169" spans="1:4">
      <c r="A169">
        <v>1168</v>
      </c>
      <c r="B169">
        <v>90</v>
      </c>
      <c r="C169" s="1">
        <v>46038</v>
      </c>
      <c r="D169" t="s">
        <v>335</v>
      </c>
    </row>
    <row r="170" spans="1:4">
      <c r="A170">
        <v>1169</v>
      </c>
      <c r="B170">
        <v>77</v>
      </c>
      <c r="C170" s="1">
        <v>46201</v>
      </c>
      <c r="D170" t="s">
        <v>335</v>
      </c>
    </row>
    <row r="171" spans="1:4">
      <c r="A171">
        <v>1170</v>
      </c>
      <c r="B171">
        <v>214</v>
      </c>
      <c r="C171" s="1">
        <v>46037</v>
      </c>
      <c r="D171" t="s">
        <v>335</v>
      </c>
    </row>
    <row r="172" spans="1:4">
      <c r="A172">
        <v>1171</v>
      </c>
      <c r="B172">
        <v>98</v>
      </c>
      <c r="C172" s="1">
        <v>46046</v>
      </c>
      <c r="D172" t="s">
        <v>335</v>
      </c>
    </row>
    <row r="173" spans="1:4">
      <c r="A173">
        <v>1172</v>
      </c>
      <c r="B173">
        <v>287</v>
      </c>
      <c r="C173" s="1">
        <v>46173</v>
      </c>
      <c r="D173" t="s">
        <v>335</v>
      </c>
    </row>
    <row r="174" spans="1:4">
      <c r="A174">
        <v>1173</v>
      </c>
      <c r="B174">
        <v>61</v>
      </c>
      <c r="C174" s="1">
        <v>46077</v>
      </c>
      <c r="D174" t="s">
        <v>333</v>
      </c>
    </row>
    <row r="175" spans="1:4">
      <c r="A175">
        <v>1174</v>
      </c>
      <c r="B175">
        <v>184</v>
      </c>
      <c r="C175" s="1">
        <v>46120</v>
      </c>
      <c r="D175" t="s">
        <v>335</v>
      </c>
    </row>
    <row r="176" spans="1:4">
      <c r="A176">
        <v>1175</v>
      </c>
      <c r="B176">
        <v>212</v>
      </c>
      <c r="C176" s="1">
        <v>46075</v>
      </c>
      <c r="D176" t="s">
        <v>335</v>
      </c>
    </row>
    <row r="177" spans="1:4">
      <c r="A177">
        <v>1176</v>
      </c>
      <c r="B177">
        <v>152</v>
      </c>
      <c r="C177" s="1">
        <v>46171</v>
      </c>
      <c r="D177" t="s">
        <v>335</v>
      </c>
    </row>
    <row r="178" spans="1:4">
      <c r="A178">
        <v>1177</v>
      </c>
      <c r="B178">
        <v>173</v>
      </c>
      <c r="C178" s="1">
        <v>46190</v>
      </c>
      <c r="D178" t="s">
        <v>333</v>
      </c>
    </row>
    <row r="179" spans="1:4">
      <c r="A179">
        <v>1178</v>
      </c>
      <c r="B179">
        <v>280</v>
      </c>
      <c r="C179" s="1">
        <v>46066</v>
      </c>
      <c r="D179" t="s">
        <v>335</v>
      </c>
    </row>
    <row r="180" spans="1:4">
      <c r="A180">
        <v>1179</v>
      </c>
      <c r="B180">
        <v>119</v>
      </c>
      <c r="C180" s="1">
        <v>46024</v>
      </c>
      <c r="D180" t="s">
        <v>335</v>
      </c>
    </row>
    <row r="181" spans="1:4">
      <c r="A181">
        <v>1180</v>
      </c>
      <c r="B181">
        <v>248</v>
      </c>
      <c r="C181" s="1">
        <v>46186</v>
      </c>
      <c r="D181" t="s">
        <v>335</v>
      </c>
    </row>
    <row r="182" spans="1:4">
      <c r="A182">
        <v>1181</v>
      </c>
      <c r="B182">
        <v>221</v>
      </c>
      <c r="C182" s="1">
        <v>46151</v>
      </c>
      <c r="D182" t="s">
        <v>335</v>
      </c>
    </row>
    <row r="183" spans="1:4">
      <c r="A183">
        <v>1182</v>
      </c>
      <c r="B183">
        <v>204</v>
      </c>
      <c r="C183" s="1">
        <v>46113</v>
      </c>
      <c r="D183" t="s">
        <v>335</v>
      </c>
    </row>
    <row r="184" spans="1:4">
      <c r="A184">
        <v>1183</v>
      </c>
      <c r="B184">
        <v>42</v>
      </c>
      <c r="C184" s="1">
        <v>46198</v>
      </c>
      <c r="D184" t="s">
        <v>335</v>
      </c>
    </row>
    <row r="185" spans="1:4">
      <c r="A185">
        <v>1184</v>
      </c>
      <c r="B185">
        <v>223</v>
      </c>
      <c r="C185" s="1">
        <v>46044</v>
      </c>
      <c r="D185" t="s">
        <v>335</v>
      </c>
    </row>
    <row r="186" spans="1:4">
      <c r="A186">
        <v>1185</v>
      </c>
      <c r="B186">
        <v>144</v>
      </c>
      <c r="C186" s="1">
        <v>46034</v>
      </c>
      <c r="D186" t="s">
        <v>333</v>
      </c>
    </row>
    <row r="187" spans="1:4">
      <c r="A187">
        <v>1186</v>
      </c>
      <c r="B187">
        <v>204</v>
      </c>
      <c r="C187" s="1">
        <v>46059</v>
      </c>
      <c r="D187" t="s">
        <v>335</v>
      </c>
    </row>
    <row r="188" spans="1:4">
      <c r="A188">
        <v>1187</v>
      </c>
      <c r="B188">
        <v>72</v>
      </c>
      <c r="C188" s="1">
        <v>46161</v>
      </c>
      <c r="D188" t="s">
        <v>335</v>
      </c>
    </row>
    <row r="189" spans="1:4">
      <c r="A189">
        <v>1188</v>
      </c>
      <c r="B189">
        <v>168</v>
      </c>
      <c r="C189" s="1">
        <v>46175</v>
      </c>
      <c r="D189" t="s">
        <v>335</v>
      </c>
    </row>
    <row r="190" spans="1:4">
      <c r="A190">
        <v>1189</v>
      </c>
      <c r="B190">
        <v>300</v>
      </c>
      <c r="C190" s="1">
        <v>46119</v>
      </c>
      <c r="D190" t="s">
        <v>335</v>
      </c>
    </row>
    <row r="191" spans="1:4">
      <c r="A191">
        <v>1190</v>
      </c>
      <c r="B191">
        <v>163</v>
      </c>
      <c r="C191" s="1">
        <v>46062</v>
      </c>
      <c r="D191" t="s">
        <v>335</v>
      </c>
    </row>
    <row r="192" spans="1:4">
      <c r="A192">
        <v>1191</v>
      </c>
      <c r="B192">
        <v>286</v>
      </c>
      <c r="C192" s="1">
        <v>46070</v>
      </c>
      <c r="D192" t="s">
        <v>335</v>
      </c>
    </row>
    <row r="193" spans="1:4">
      <c r="A193">
        <v>1192</v>
      </c>
      <c r="B193">
        <v>199</v>
      </c>
      <c r="C193" s="1">
        <v>46026</v>
      </c>
      <c r="D193" t="s">
        <v>335</v>
      </c>
    </row>
    <row r="194" spans="1:4">
      <c r="A194">
        <v>1193</v>
      </c>
      <c r="B194">
        <v>253</v>
      </c>
      <c r="C194" s="1">
        <v>46091</v>
      </c>
      <c r="D194" t="s">
        <v>335</v>
      </c>
    </row>
    <row r="195" spans="1:4">
      <c r="A195">
        <v>1194</v>
      </c>
      <c r="B195">
        <v>127</v>
      </c>
      <c r="C195" s="1">
        <v>46115</v>
      </c>
      <c r="D195" t="s">
        <v>335</v>
      </c>
    </row>
    <row r="196" spans="1:4">
      <c r="A196">
        <v>1195</v>
      </c>
      <c r="B196">
        <v>169</v>
      </c>
      <c r="C196" s="1">
        <v>46120</v>
      </c>
      <c r="D196" t="s">
        <v>335</v>
      </c>
    </row>
    <row r="197" spans="1:4">
      <c r="A197">
        <v>1196</v>
      </c>
      <c r="B197">
        <v>164</v>
      </c>
      <c r="C197" s="1">
        <v>46068</v>
      </c>
      <c r="D197" t="s">
        <v>333</v>
      </c>
    </row>
    <row r="198" spans="1:4">
      <c r="A198">
        <v>1197</v>
      </c>
      <c r="B198">
        <v>289</v>
      </c>
      <c r="C198" s="1">
        <v>46123</v>
      </c>
      <c r="D198" t="s">
        <v>335</v>
      </c>
    </row>
    <row r="199" spans="1:4">
      <c r="A199">
        <v>1198</v>
      </c>
      <c r="B199">
        <v>150</v>
      </c>
      <c r="C199" s="1">
        <v>46076</v>
      </c>
      <c r="D199" t="s">
        <v>335</v>
      </c>
    </row>
    <row r="200" spans="1:4">
      <c r="A200">
        <v>1199</v>
      </c>
      <c r="B200">
        <v>246</v>
      </c>
      <c r="C200" s="1">
        <v>46041</v>
      </c>
      <c r="D200" t="s">
        <v>335</v>
      </c>
    </row>
    <row r="201" spans="1:4">
      <c r="A201">
        <v>1200</v>
      </c>
      <c r="B201">
        <v>182</v>
      </c>
      <c r="C201" s="1">
        <v>46050</v>
      </c>
      <c r="D201" t="s">
        <v>335</v>
      </c>
    </row>
    <row r="202" spans="1:4">
      <c r="A202">
        <v>1201</v>
      </c>
      <c r="B202">
        <v>51</v>
      </c>
      <c r="C202" s="1">
        <v>46133</v>
      </c>
      <c r="D202" t="s">
        <v>335</v>
      </c>
    </row>
    <row r="203" spans="1:4">
      <c r="A203">
        <v>1202</v>
      </c>
      <c r="B203">
        <v>13</v>
      </c>
      <c r="C203" s="1">
        <v>46151</v>
      </c>
      <c r="D203" t="s">
        <v>335</v>
      </c>
    </row>
    <row r="204" spans="1:4">
      <c r="A204">
        <v>1203</v>
      </c>
      <c r="B204">
        <v>106</v>
      </c>
      <c r="C204" s="1">
        <v>46110</v>
      </c>
      <c r="D204" t="s">
        <v>335</v>
      </c>
    </row>
    <row r="205" spans="1:4">
      <c r="A205">
        <v>1204</v>
      </c>
      <c r="B205">
        <v>56</v>
      </c>
      <c r="C205" s="1">
        <v>46028</v>
      </c>
      <c r="D205" t="s">
        <v>335</v>
      </c>
    </row>
    <row r="206" spans="1:4">
      <c r="A206">
        <v>1205</v>
      </c>
      <c r="B206">
        <v>222</v>
      </c>
      <c r="C206" s="1">
        <v>46184</v>
      </c>
      <c r="D206" t="s">
        <v>335</v>
      </c>
    </row>
    <row r="207" spans="1:4">
      <c r="A207">
        <v>1206</v>
      </c>
      <c r="B207">
        <v>33</v>
      </c>
      <c r="C207" s="1">
        <v>46094</v>
      </c>
      <c r="D207" t="s">
        <v>335</v>
      </c>
    </row>
    <row r="208" spans="1:4">
      <c r="A208">
        <v>1207</v>
      </c>
      <c r="B208">
        <v>199</v>
      </c>
      <c r="C208" s="1">
        <v>46186</v>
      </c>
      <c r="D208" t="s">
        <v>335</v>
      </c>
    </row>
    <row r="209" spans="1:4">
      <c r="A209">
        <v>1208</v>
      </c>
      <c r="B209">
        <v>69</v>
      </c>
      <c r="C209" s="1">
        <v>46180</v>
      </c>
      <c r="D209" t="s">
        <v>335</v>
      </c>
    </row>
    <row r="210" spans="1:4">
      <c r="A210">
        <v>1209</v>
      </c>
      <c r="B210">
        <v>197</v>
      </c>
      <c r="C210" s="1">
        <v>46175</v>
      </c>
      <c r="D210" t="s">
        <v>335</v>
      </c>
    </row>
    <row r="211" spans="1:4">
      <c r="A211">
        <v>1210</v>
      </c>
      <c r="B211">
        <v>184</v>
      </c>
      <c r="C211" s="1">
        <v>46181</v>
      </c>
      <c r="D211" t="s">
        <v>335</v>
      </c>
    </row>
    <row r="212" spans="1:4">
      <c r="A212">
        <v>1211</v>
      </c>
      <c r="B212">
        <v>252</v>
      </c>
      <c r="C212" s="1">
        <v>46149</v>
      </c>
      <c r="D212" t="s">
        <v>335</v>
      </c>
    </row>
    <row r="213" spans="1:4">
      <c r="A213">
        <v>1212</v>
      </c>
      <c r="B213">
        <v>276</v>
      </c>
      <c r="C213" s="1">
        <v>46031</v>
      </c>
      <c r="D213" t="s">
        <v>335</v>
      </c>
    </row>
    <row r="214" spans="1:4">
      <c r="A214">
        <v>1213</v>
      </c>
      <c r="B214">
        <v>22</v>
      </c>
      <c r="C214" s="1">
        <v>46161</v>
      </c>
      <c r="D214" t="s">
        <v>335</v>
      </c>
    </row>
    <row r="215" spans="1:4">
      <c r="A215">
        <v>1214</v>
      </c>
      <c r="B215">
        <v>61</v>
      </c>
      <c r="C215" s="1">
        <v>46045</v>
      </c>
      <c r="D215" t="s">
        <v>335</v>
      </c>
    </row>
    <row r="216" spans="1:4">
      <c r="A216">
        <v>1215</v>
      </c>
      <c r="B216">
        <v>106</v>
      </c>
      <c r="C216" s="1">
        <v>46058</v>
      </c>
      <c r="D216" t="s">
        <v>335</v>
      </c>
    </row>
    <row r="217" spans="1:4">
      <c r="A217">
        <v>1216</v>
      </c>
      <c r="B217">
        <v>137</v>
      </c>
      <c r="C217" s="1">
        <v>46097</v>
      </c>
      <c r="D217" t="s">
        <v>335</v>
      </c>
    </row>
    <row r="218" spans="1:4">
      <c r="A218">
        <v>1217</v>
      </c>
      <c r="B218">
        <v>127</v>
      </c>
      <c r="C218" s="1">
        <v>46060</v>
      </c>
      <c r="D218" t="s">
        <v>335</v>
      </c>
    </row>
    <row r="219" spans="1:4">
      <c r="A219">
        <v>1218</v>
      </c>
      <c r="B219">
        <v>143</v>
      </c>
      <c r="C219" s="1">
        <v>46126</v>
      </c>
      <c r="D219" t="s">
        <v>335</v>
      </c>
    </row>
    <row r="220" spans="1:4">
      <c r="A220">
        <v>1219</v>
      </c>
      <c r="B220">
        <v>204</v>
      </c>
      <c r="C220" s="1">
        <v>46039</v>
      </c>
      <c r="D220" t="s">
        <v>335</v>
      </c>
    </row>
    <row r="221" spans="1:4">
      <c r="A221">
        <v>1220</v>
      </c>
      <c r="B221">
        <v>249</v>
      </c>
      <c r="C221" s="1">
        <v>46170</v>
      </c>
      <c r="D221" t="s">
        <v>335</v>
      </c>
    </row>
    <row r="222" spans="1:4">
      <c r="A222">
        <v>1221</v>
      </c>
      <c r="B222">
        <v>220</v>
      </c>
      <c r="C222" s="1">
        <v>46135</v>
      </c>
      <c r="D222" t="s">
        <v>335</v>
      </c>
    </row>
    <row r="223" spans="1:4">
      <c r="A223">
        <v>1222</v>
      </c>
      <c r="B223">
        <v>129</v>
      </c>
      <c r="C223" s="1">
        <v>46046</v>
      </c>
      <c r="D223" t="s">
        <v>335</v>
      </c>
    </row>
    <row r="224" spans="1:4">
      <c r="A224">
        <v>1223</v>
      </c>
      <c r="B224">
        <v>49</v>
      </c>
      <c r="C224" s="1">
        <v>46132</v>
      </c>
      <c r="D224" t="s">
        <v>335</v>
      </c>
    </row>
    <row r="225" spans="1:4">
      <c r="A225">
        <v>1224</v>
      </c>
      <c r="B225">
        <v>176</v>
      </c>
      <c r="C225" s="1">
        <v>46025</v>
      </c>
      <c r="D225" t="s">
        <v>335</v>
      </c>
    </row>
    <row r="226" spans="1:4">
      <c r="A226">
        <v>1225</v>
      </c>
      <c r="B226">
        <v>154</v>
      </c>
      <c r="C226" s="1">
        <v>46049</v>
      </c>
      <c r="D226" t="s">
        <v>335</v>
      </c>
    </row>
    <row r="227" spans="1:4">
      <c r="A227">
        <v>1226</v>
      </c>
      <c r="B227">
        <v>85</v>
      </c>
      <c r="C227" s="1">
        <v>46025</v>
      </c>
      <c r="D227" t="s">
        <v>335</v>
      </c>
    </row>
    <row r="228" spans="1:4">
      <c r="A228">
        <v>1227</v>
      </c>
      <c r="B228">
        <v>197</v>
      </c>
      <c r="C228" s="1">
        <v>46058</v>
      </c>
      <c r="D228" t="s">
        <v>335</v>
      </c>
    </row>
    <row r="229" spans="1:4">
      <c r="A229">
        <v>1228</v>
      </c>
      <c r="B229">
        <v>14</v>
      </c>
      <c r="C229" s="1">
        <v>46178</v>
      </c>
      <c r="D229" t="s">
        <v>335</v>
      </c>
    </row>
    <row r="230" spans="1:4">
      <c r="A230">
        <v>1229</v>
      </c>
      <c r="B230">
        <v>124</v>
      </c>
      <c r="C230" s="1">
        <v>46149</v>
      </c>
      <c r="D230" t="s">
        <v>335</v>
      </c>
    </row>
    <row r="231" spans="1:4">
      <c r="A231">
        <v>1230</v>
      </c>
      <c r="B231">
        <v>89</v>
      </c>
      <c r="C231" s="1">
        <v>46130</v>
      </c>
      <c r="D231" t="s">
        <v>335</v>
      </c>
    </row>
    <row r="232" spans="1:4">
      <c r="A232">
        <v>1231</v>
      </c>
      <c r="B232">
        <v>257</v>
      </c>
      <c r="C232" s="1">
        <v>46152</v>
      </c>
      <c r="D232" t="s">
        <v>335</v>
      </c>
    </row>
    <row r="233" spans="1:4">
      <c r="A233">
        <v>1232</v>
      </c>
      <c r="B233">
        <v>201</v>
      </c>
      <c r="C233" s="1">
        <v>46062</v>
      </c>
      <c r="D233" t="s">
        <v>335</v>
      </c>
    </row>
    <row r="234" spans="1:4">
      <c r="A234">
        <v>1233</v>
      </c>
      <c r="B234">
        <v>159</v>
      </c>
      <c r="C234" s="1">
        <v>46179</v>
      </c>
      <c r="D234" t="s">
        <v>335</v>
      </c>
    </row>
    <row r="235" spans="1:4">
      <c r="A235">
        <v>1234</v>
      </c>
      <c r="B235">
        <v>133</v>
      </c>
      <c r="C235" s="1">
        <v>46155</v>
      </c>
      <c r="D235" t="s">
        <v>335</v>
      </c>
    </row>
    <row r="236" spans="1:4">
      <c r="A236">
        <v>1235</v>
      </c>
      <c r="B236">
        <v>220</v>
      </c>
      <c r="C236" s="1">
        <v>46030</v>
      </c>
      <c r="D236" t="s">
        <v>335</v>
      </c>
    </row>
    <row r="237" spans="1:4">
      <c r="A237">
        <v>1236</v>
      </c>
      <c r="B237">
        <v>131</v>
      </c>
      <c r="C237" s="1">
        <v>46065</v>
      </c>
      <c r="D237" t="s">
        <v>335</v>
      </c>
    </row>
    <row r="238" spans="1:4">
      <c r="A238">
        <v>1237</v>
      </c>
      <c r="B238">
        <v>187</v>
      </c>
      <c r="C238" s="1">
        <v>46085</v>
      </c>
      <c r="D238" t="s">
        <v>335</v>
      </c>
    </row>
    <row r="239" spans="1:4">
      <c r="A239">
        <v>1238</v>
      </c>
      <c r="B239">
        <v>293</v>
      </c>
      <c r="C239" s="1">
        <v>46092</v>
      </c>
      <c r="D239" t="s">
        <v>335</v>
      </c>
    </row>
    <row r="240" spans="1:4">
      <c r="A240">
        <v>1239</v>
      </c>
      <c r="B240">
        <v>145</v>
      </c>
      <c r="C240" s="1">
        <v>46040</v>
      </c>
      <c r="D240" t="s">
        <v>334</v>
      </c>
    </row>
    <row r="241" spans="1:4">
      <c r="A241">
        <v>1240</v>
      </c>
      <c r="B241">
        <v>289</v>
      </c>
      <c r="C241" s="1">
        <v>46117</v>
      </c>
      <c r="D241" t="s">
        <v>335</v>
      </c>
    </row>
    <row r="242" spans="1:4">
      <c r="A242">
        <v>1241</v>
      </c>
      <c r="B242">
        <v>126</v>
      </c>
      <c r="C242" s="1">
        <v>46162</v>
      </c>
      <c r="D242" t="s">
        <v>335</v>
      </c>
    </row>
    <row r="243" spans="1:4">
      <c r="A243">
        <v>1242</v>
      </c>
      <c r="B243">
        <v>1</v>
      </c>
      <c r="C243" s="1">
        <v>46025</v>
      </c>
      <c r="D243" t="s">
        <v>333</v>
      </c>
    </row>
    <row r="244" spans="1:4">
      <c r="A244">
        <v>1243</v>
      </c>
      <c r="B244">
        <v>48</v>
      </c>
      <c r="C244" s="1">
        <v>46059</v>
      </c>
      <c r="D244" t="s">
        <v>335</v>
      </c>
    </row>
    <row r="245" spans="1:4">
      <c r="A245">
        <v>1244</v>
      </c>
      <c r="B245">
        <v>69</v>
      </c>
      <c r="C245" s="1">
        <v>46171</v>
      </c>
      <c r="D245" t="s">
        <v>335</v>
      </c>
    </row>
    <row r="246" spans="1:4">
      <c r="A246">
        <v>1245</v>
      </c>
      <c r="B246">
        <v>168</v>
      </c>
      <c r="C246" s="1">
        <v>46202</v>
      </c>
      <c r="D246" t="s">
        <v>335</v>
      </c>
    </row>
    <row r="247" spans="1:4">
      <c r="A247">
        <v>1246</v>
      </c>
      <c r="B247">
        <v>231</v>
      </c>
      <c r="C247" s="1">
        <v>46062</v>
      </c>
      <c r="D247" t="s">
        <v>335</v>
      </c>
    </row>
    <row r="248" spans="1:4">
      <c r="A248">
        <v>1247</v>
      </c>
      <c r="B248">
        <v>156</v>
      </c>
      <c r="C248" s="1">
        <v>46053</v>
      </c>
      <c r="D248" t="s">
        <v>335</v>
      </c>
    </row>
    <row r="249" spans="1:4">
      <c r="A249">
        <v>1248</v>
      </c>
      <c r="B249">
        <v>134</v>
      </c>
      <c r="C249" s="1">
        <v>46035</v>
      </c>
      <c r="D249" t="s">
        <v>335</v>
      </c>
    </row>
    <row r="250" spans="1:4">
      <c r="A250">
        <v>1249</v>
      </c>
      <c r="B250">
        <v>72</v>
      </c>
      <c r="C250" s="1">
        <v>46141</v>
      </c>
      <c r="D250" t="s">
        <v>335</v>
      </c>
    </row>
    <row r="251" spans="1:4">
      <c r="A251">
        <v>1250</v>
      </c>
      <c r="B251">
        <v>44</v>
      </c>
      <c r="C251" s="1">
        <v>46118</v>
      </c>
      <c r="D251" t="s">
        <v>335</v>
      </c>
    </row>
    <row r="252" spans="1:4">
      <c r="A252">
        <v>1251</v>
      </c>
      <c r="B252">
        <v>237</v>
      </c>
      <c r="C252" s="1">
        <v>46054</v>
      </c>
      <c r="D252" t="s">
        <v>335</v>
      </c>
    </row>
    <row r="253" spans="1:4">
      <c r="A253">
        <v>1252</v>
      </c>
      <c r="B253">
        <v>110</v>
      </c>
      <c r="C253" s="1">
        <v>46132</v>
      </c>
      <c r="D253" t="s">
        <v>335</v>
      </c>
    </row>
    <row r="254" spans="1:4">
      <c r="A254">
        <v>1253</v>
      </c>
      <c r="B254">
        <v>256</v>
      </c>
      <c r="C254" s="1">
        <v>46085</v>
      </c>
      <c r="D254" t="s">
        <v>335</v>
      </c>
    </row>
    <row r="255" spans="1:4">
      <c r="A255">
        <v>1254</v>
      </c>
      <c r="B255">
        <v>279</v>
      </c>
      <c r="C255" s="1">
        <v>46086</v>
      </c>
      <c r="D255" t="s">
        <v>335</v>
      </c>
    </row>
    <row r="256" spans="1:4">
      <c r="A256">
        <v>1255</v>
      </c>
      <c r="B256">
        <v>139</v>
      </c>
      <c r="C256" s="1">
        <v>46151</v>
      </c>
      <c r="D256" t="s">
        <v>335</v>
      </c>
    </row>
    <row r="257" spans="1:4">
      <c r="A257">
        <v>1256</v>
      </c>
      <c r="B257">
        <v>242</v>
      </c>
      <c r="C257" s="1">
        <v>46037</v>
      </c>
      <c r="D257" t="s">
        <v>335</v>
      </c>
    </row>
    <row r="258" spans="1:4">
      <c r="A258">
        <v>1257</v>
      </c>
      <c r="B258">
        <v>113</v>
      </c>
      <c r="C258" s="1">
        <v>46037</v>
      </c>
      <c r="D258" t="s">
        <v>335</v>
      </c>
    </row>
    <row r="259" spans="1:4">
      <c r="A259">
        <v>1258</v>
      </c>
      <c r="B259">
        <v>291</v>
      </c>
      <c r="C259" s="1">
        <v>46203</v>
      </c>
      <c r="D259" t="s">
        <v>335</v>
      </c>
    </row>
    <row r="260" spans="1:4">
      <c r="A260">
        <v>1259</v>
      </c>
      <c r="B260">
        <v>1</v>
      </c>
      <c r="C260" s="1">
        <v>46028</v>
      </c>
      <c r="D260" t="s">
        <v>335</v>
      </c>
    </row>
    <row r="261" spans="1:4">
      <c r="A261">
        <v>1260</v>
      </c>
      <c r="B261">
        <v>73</v>
      </c>
      <c r="C261" s="1">
        <v>46038</v>
      </c>
      <c r="D261" t="s">
        <v>335</v>
      </c>
    </row>
    <row r="262" spans="1:4">
      <c r="A262">
        <v>1261</v>
      </c>
      <c r="B262">
        <v>155</v>
      </c>
      <c r="C262" s="1">
        <v>46173</v>
      </c>
      <c r="D262" t="s">
        <v>335</v>
      </c>
    </row>
    <row r="263" spans="1:4">
      <c r="A263">
        <v>1262</v>
      </c>
      <c r="B263">
        <v>115</v>
      </c>
      <c r="C263" s="1">
        <v>46180</v>
      </c>
      <c r="D263" t="s">
        <v>335</v>
      </c>
    </row>
    <row r="264" spans="1:4">
      <c r="A264">
        <v>1263</v>
      </c>
      <c r="B264">
        <v>291</v>
      </c>
      <c r="C264" s="1">
        <v>46123</v>
      </c>
      <c r="D264" t="s">
        <v>334</v>
      </c>
    </row>
    <row r="265" spans="1:4">
      <c r="A265">
        <v>1264</v>
      </c>
      <c r="B265">
        <v>290</v>
      </c>
      <c r="C265" s="1">
        <v>46179</v>
      </c>
      <c r="D265" t="s">
        <v>335</v>
      </c>
    </row>
    <row r="266" spans="1:4">
      <c r="A266">
        <v>1265</v>
      </c>
      <c r="B266">
        <v>46</v>
      </c>
      <c r="C266" s="1">
        <v>46065</v>
      </c>
      <c r="D266" t="s">
        <v>335</v>
      </c>
    </row>
    <row r="267" spans="1:4">
      <c r="A267">
        <v>1266</v>
      </c>
      <c r="B267">
        <v>225</v>
      </c>
      <c r="C267" s="1">
        <v>46023</v>
      </c>
      <c r="D267" t="s">
        <v>335</v>
      </c>
    </row>
    <row r="268" spans="1:4">
      <c r="A268">
        <v>1267</v>
      </c>
      <c r="B268">
        <v>116</v>
      </c>
      <c r="C268" s="1">
        <v>46189</v>
      </c>
      <c r="D268" t="s">
        <v>335</v>
      </c>
    </row>
    <row r="269" spans="1:4">
      <c r="A269">
        <v>1268</v>
      </c>
      <c r="B269">
        <v>88</v>
      </c>
      <c r="C269" s="1">
        <v>46049</v>
      </c>
      <c r="D269" t="s">
        <v>335</v>
      </c>
    </row>
    <row r="270" spans="1:4">
      <c r="A270">
        <v>1269</v>
      </c>
      <c r="B270">
        <v>85</v>
      </c>
      <c r="C270" s="1">
        <v>46133</v>
      </c>
      <c r="D270" t="s">
        <v>333</v>
      </c>
    </row>
    <row r="271" spans="1:4">
      <c r="A271">
        <v>1270</v>
      </c>
      <c r="B271">
        <v>277</v>
      </c>
      <c r="C271" s="1">
        <v>46201</v>
      </c>
      <c r="D271" t="s">
        <v>335</v>
      </c>
    </row>
    <row r="272" spans="1:4">
      <c r="A272">
        <v>1271</v>
      </c>
      <c r="B272">
        <v>2</v>
      </c>
      <c r="C272" s="1">
        <v>46062</v>
      </c>
      <c r="D272" t="s">
        <v>335</v>
      </c>
    </row>
    <row r="273" spans="1:4">
      <c r="A273">
        <v>1272</v>
      </c>
      <c r="B273">
        <v>158</v>
      </c>
      <c r="C273" s="1">
        <v>46144</v>
      </c>
      <c r="D273" t="s">
        <v>335</v>
      </c>
    </row>
    <row r="274" spans="1:4">
      <c r="A274">
        <v>1273</v>
      </c>
      <c r="B274">
        <v>23</v>
      </c>
      <c r="C274" s="1">
        <v>46117</v>
      </c>
      <c r="D274" t="s">
        <v>335</v>
      </c>
    </row>
    <row r="275" spans="1:4">
      <c r="A275">
        <v>1274</v>
      </c>
      <c r="B275">
        <v>177</v>
      </c>
      <c r="C275" s="1">
        <v>46193</v>
      </c>
      <c r="D275" t="s">
        <v>335</v>
      </c>
    </row>
    <row r="276" spans="1:4">
      <c r="A276">
        <v>1275</v>
      </c>
      <c r="B276">
        <v>41</v>
      </c>
      <c r="C276" s="1">
        <v>46083</v>
      </c>
      <c r="D276" t="s">
        <v>335</v>
      </c>
    </row>
    <row r="277" spans="1:4">
      <c r="A277">
        <v>1276</v>
      </c>
      <c r="B277">
        <v>65</v>
      </c>
      <c r="C277" s="1">
        <v>46077</v>
      </c>
      <c r="D277" t="s">
        <v>335</v>
      </c>
    </row>
    <row r="278" spans="1:4">
      <c r="A278">
        <v>1277</v>
      </c>
      <c r="B278">
        <v>133</v>
      </c>
      <c r="C278" s="1">
        <v>46060</v>
      </c>
      <c r="D278" t="s">
        <v>335</v>
      </c>
    </row>
    <row r="279" spans="1:4">
      <c r="A279">
        <v>1278</v>
      </c>
      <c r="B279">
        <v>7</v>
      </c>
      <c r="C279" s="1">
        <v>46140</v>
      </c>
      <c r="D279" t="s">
        <v>333</v>
      </c>
    </row>
    <row r="280" spans="1:4">
      <c r="A280">
        <v>1279</v>
      </c>
      <c r="B280">
        <v>52</v>
      </c>
      <c r="C280" s="1">
        <v>46173</v>
      </c>
      <c r="D280" t="s">
        <v>335</v>
      </c>
    </row>
    <row r="281" spans="1:4">
      <c r="A281">
        <v>1280</v>
      </c>
      <c r="B281">
        <v>249</v>
      </c>
      <c r="C281" s="1">
        <v>46090</v>
      </c>
      <c r="D281" t="s">
        <v>335</v>
      </c>
    </row>
    <row r="282" spans="1:4">
      <c r="A282">
        <v>1281</v>
      </c>
      <c r="B282">
        <v>170</v>
      </c>
      <c r="C282" s="1">
        <v>46124</v>
      </c>
      <c r="D282" t="s">
        <v>334</v>
      </c>
    </row>
    <row r="283" spans="1:4">
      <c r="A283">
        <v>1282</v>
      </c>
      <c r="B283">
        <v>156</v>
      </c>
      <c r="C283" s="1">
        <v>46109</v>
      </c>
      <c r="D283" t="s">
        <v>335</v>
      </c>
    </row>
    <row r="284" spans="1:4">
      <c r="A284">
        <v>1283</v>
      </c>
      <c r="B284">
        <v>46</v>
      </c>
      <c r="C284" s="1">
        <v>46091</v>
      </c>
      <c r="D284" t="s">
        <v>335</v>
      </c>
    </row>
    <row r="285" spans="1:4">
      <c r="A285">
        <v>1284</v>
      </c>
      <c r="B285">
        <v>264</v>
      </c>
      <c r="C285" s="1">
        <v>46118</v>
      </c>
      <c r="D285" t="s">
        <v>335</v>
      </c>
    </row>
    <row r="286" spans="1:4">
      <c r="A286">
        <v>1285</v>
      </c>
      <c r="B286">
        <v>99</v>
      </c>
      <c r="C286" s="1">
        <v>46168</v>
      </c>
      <c r="D286" t="s">
        <v>335</v>
      </c>
    </row>
    <row r="287" spans="1:4">
      <c r="A287">
        <v>1286</v>
      </c>
      <c r="B287">
        <v>238</v>
      </c>
      <c r="C287" s="1">
        <v>46093</v>
      </c>
      <c r="D287" t="s">
        <v>335</v>
      </c>
    </row>
    <row r="288" spans="1:4">
      <c r="A288">
        <v>1287</v>
      </c>
      <c r="B288">
        <v>177</v>
      </c>
      <c r="C288" s="1">
        <v>46173</v>
      </c>
      <c r="D288" t="s">
        <v>335</v>
      </c>
    </row>
    <row r="289" spans="1:4">
      <c r="A289">
        <v>1288</v>
      </c>
      <c r="B289">
        <v>116</v>
      </c>
      <c r="C289" s="1">
        <v>46077</v>
      </c>
      <c r="D289" t="s">
        <v>334</v>
      </c>
    </row>
    <row r="290" spans="1:4">
      <c r="A290">
        <v>1289</v>
      </c>
      <c r="B290">
        <v>5</v>
      </c>
      <c r="C290" s="1">
        <v>46056</v>
      </c>
      <c r="D290" t="s">
        <v>335</v>
      </c>
    </row>
    <row r="291" spans="1:4">
      <c r="A291">
        <v>1290</v>
      </c>
      <c r="B291">
        <v>112</v>
      </c>
      <c r="C291" s="1">
        <v>46112</v>
      </c>
      <c r="D291" t="s">
        <v>335</v>
      </c>
    </row>
    <row r="292" spans="1:4">
      <c r="A292">
        <v>1291</v>
      </c>
      <c r="B292">
        <v>145</v>
      </c>
      <c r="C292" s="1">
        <v>46166</v>
      </c>
      <c r="D292" t="s">
        <v>335</v>
      </c>
    </row>
    <row r="293" spans="1:4">
      <c r="A293">
        <v>1292</v>
      </c>
      <c r="B293">
        <v>153</v>
      </c>
      <c r="C293" s="1">
        <v>46089</v>
      </c>
      <c r="D293" t="s">
        <v>335</v>
      </c>
    </row>
    <row r="294" spans="1:4">
      <c r="A294">
        <v>1293</v>
      </c>
      <c r="B294">
        <v>72</v>
      </c>
      <c r="C294" s="1">
        <v>46126</v>
      </c>
      <c r="D294" t="s">
        <v>335</v>
      </c>
    </row>
    <row r="295" spans="1:4">
      <c r="A295">
        <v>1294</v>
      </c>
      <c r="B295">
        <v>114</v>
      </c>
      <c r="C295" s="1">
        <v>46071</v>
      </c>
      <c r="D295" t="s">
        <v>335</v>
      </c>
    </row>
    <row r="296" spans="1:4">
      <c r="A296">
        <v>1295</v>
      </c>
      <c r="B296">
        <v>133</v>
      </c>
      <c r="C296" s="1">
        <v>46143</v>
      </c>
      <c r="D296" t="s">
        <v>335</v>
      </c>
    </row>
    <row r="297" spans="1:4">
      <c r="A297">
        <v>1296</v>
      </c>
      <c r="B297">
        <v>151</v>
      </c>
      <c r="C297" s="1">
        <v>46118</v>
      </c>
      <c r="D297" t="s">
        <v>335</v>
      </c>
    </row>
    <row r="298" spans="1:4">
      <c r="A298">
        <v>1297</v>
      </c>
      <c r="B298">
        <v>212</v>
      </c>
      <c r="C298" s="1">
        <v>46120</v>
      </c>
      <c r="D298" t="s">
        <v>335</v>
      </c>
    </row>
    <row r="299" spans="1:4">
      <c r="A299">
        <v>1298</v>
      </c>
      <c r="B299">
        <v>93</v>
      </c>
      <c r="C299" s="1">
        <v>46059</v>
      </c>
      <c r="D299" t="s">
        <v>335</v>
      </c>
    </row>
    <row r="300" spans="1:4">
      <c r="A300">
        <v>1299</v>
      </c>
      <c r="B300">
        <v>87</v>
      </c>
      <c r="C300" s="1">
        <v>46138</v>
      </c>
      <c r="D300" t="s">
        <v>335</v>
      </c>
    </row>
    <row r="301" spans="1:4">
      <c r="A301">
        <v>1300</v>
      </c>
      <c r="B301">
        <v>192</v>
      </c>
      <c r="C301" s="1">
        <v>46159</v>
      </c>
      <c r="D301" t="s">
        <v>335</v>
      </c>
    </row>
    <row r="302" spans="1:4">
      <c r="A302">
        <v>1301</v>
      </c>
      <c r="B302">
        <v>160</v>
      </c>
      <c r="C302" s="1">
        <v>46200</v>
      </c>
      <c r="D302" t="s">
        <v>334</v>
      </c>
    </row>
    <row r="303" spans="1:4">
      <c r="A303">
        <v>1302</v>
      </c>
      <c r="B303">
        <v>86</v>
      </c>
      <c r="C303" s="1">
        <v>46151</v>
      </c>
      <c r="D303" t="s">
        <v>335</v>
      </c>
    </row>
    <row r="304" spans="1:4">
      <c r="A304">
        <v>1303</v>
      </c>
      <c r="B304">
        <v>69</v>
      </c>
      <c r="C304" s="1">
        <v>46109</v>
      </c>
      <c r="D304" t="s">
        <v>335</v>
      </c>
    </row>
    <row r="305" spans="1:4">
      <c r="A305">
        <v>1304</v>
      </c>
      <c r="B305">
        <v>68</v>
      </c>
      <c r="C305" s="1">
        <v>46080</v>
      </c>
      <c r="D305" t="s">
        <v>335</v>
      </c>
    </row>
    <row r="306" spans="1:4">
      <c r="A306">
        <v>1305</v>
      </c>
      <c r="B306">
        <v>131</v>
      </c>
      <c r="C306" s="1">
        <v>46032</v>
      </c>
      <c r="D306" t="s">
        <v>335</v>
      </c>
    </row>
    <row r="307" spans="1:4">
      <c r="A307">
        <v>1306</v>
      </c>
      <c r="B307">
        <v>79</v>
      </c>
      <c r="C307" s="1">
        <v>46163</v>
      </c>
      <c r="D307" t="s">
        <v>335</v>
      </c>
    </row>
    <row r="308" spans="1:4">
      <c r="A308">
        <v>1307</v>
      </c>
      <c r="B308">
        <v>71</v>
      </c>
      <c r="C308" s="1">
        <v>46182</v>
      </c>
      <c r="D308" t="s">
        <v>335</v>
      </c>
    </row>
    <row r="309" spans="1:4">
      <c r="A309">
        <v>1308</v>
      </c>
      <c r="B309">
        <v>104</v>
      </c>
      <c r="C309" s="1">
        <v>46090</v>
      </c>
      <c r="D309" t="s">
        <v>335</v>
      </c>
    </row>
    <row r="310" spans="1:4">
      <c r="A310">
        <v>1309</v>
      </c>
      <c r="B310">
        <v>7</v>
      </c>
      <c r="C310" s="1">
        <v>46107</v>
      </c>
      <c r="D310" t="s">
        <v>335</v>
      </c>
    </row>
    <row r="311" spans="1:4">
      <c r="A311">
        <v>1310</v>
      </c>
      <c r="B311">
        <v>152</v>
      </c>
      <c r="C311" s="1">
        <v>46187</v>
      </c>
      <c r="D311" t="s">
        <v>335</v>
      </c>
    </row>
    <row r="312" spans="1:4">
      <c r="A312">
        <v>1311</v>
      </c>
      <c r="B312">
        <v>60</v>
      </c>
      <c r="C312" s="1">
        <v>46103</v>
      </c>
      <c r="D312" t="s">
        <v>335</v>
      </c>
    </row>
    <row r="313" spans="1:4">
      <c r="A313">
        <v>1312</v>
      </c>
      <c r="B313">
        <v>138</v>
      </c>
      <c r="C313" s="1">
        <v>46135</v>
      </c>
      <c r="D313" t="s">
        <v>333</v>
      </c>
    </row>
    <row r="314" spans="1:4">
      <c r="A314">
        <v>1313</v>
      </c>
      <c r="B314">
        <v>245</v>
      </c>
      <c r="C314" s="1">
        <v>46092</v>
      </c>
      <c r="D314" t="s">
        <v>335</v>
      </c>
    </row>
    <row r="315" spans="1:4">
      <c r="A315">
        <v>1314</v>
      </c>
      <c r="B315">
        <v>248</v>
      </c>
      <c r="C315" s="1">
        <v>46049</v>
      </c>
      <c r="D315" t="s">
        <v>335</v>
      </c>
    </row>
    <row r="316" spans="1:4">
      <c r="A316">
        <v>1315</v>
      </c>
      <c r="B316">
        <v>58</v>
      </c>
      <c r="C316" s="1">
        <v>46146</v>
      </c>
      <c r="D316" t="s">
        <v>333</v>
      </c>
    </row>
    <row r="317" spans="1:4">
      <c r="A317">
        <v>1316</v>
      </c>
      <c r="B317">
        <v>269</v>
      </c>
      <c r="C317" s="1">
        <v>46203</v>
      </c>
      <c r="D317" t="s">
        <v>334</v>
      </c>
    </row>
    <row r="318" spans="1:4">
      <c r="A318">
        <v>1317</v>
      </c>
      <c r="B318">
        <v>247</v>
      </c>
      <c r="C318" s="1">
        <v>46192</v>
      </c>
      <c r="D318" t="s">
        <v>335</v>
      </c>
    </row>
    <row r="319" spans="1:4">
      <c r="A319">
        <v>1318</v>
      </c>
      <c r="B319">
        <v>81</v>
      </c>
      <c r="C319" s="1">
        <v>46025</v>
      </c>
      <c r="D319" t="s">
        <v>335</v>
      </c>
    </row>
    <row r="320" spans="1:4">
      <c r="A320">
        <v>1319</v>
      </c>
      <c r="B320">
        <v>207</v>
      </c>
      <c r="C320" s="1">
        <v>46163</v>
      </c>
      <c r="D320" t="s">
        <v>335</v>
      </c>
    </row>
    <row r="321" spans="1:4">
      <c r="A321">
        <v>1320</v>
      </c>
      <c r="B321">
        <v>255</v>
      </c>
      <c r="C321" s="1">
        <v>46137</v>
      </c>
      <c r="D321" t="s">
        <v>335</v>
      </c>
    </row>
    <row r="322" spans="1:4">
      <c r="A322">
        <v>1321</v>
      </c>
      <c r="B322">
        <v>261</v>
      </c>
      <c r="C322" s="1">
        <v>46181</v>
      </c>
      <c r="D322" t="s">
        <v>335</v>
      </c>
    </row>
    <row r="323" spans="1:4">
      <c r="A323">
        <v>1322</v>
      </c>
      <c r="B323">
        <v>187</v>
      </c>
      <c r="C323" s="1">
        <v>46176</v>
      </c>
      <c r="D323" t="s">
        <v>335</v>
      </c>
    </row>
    <row r="324" spans="1:4">
      <c r="A324">
        <v>1323</v>
      </c>
      <c r="B324">
        <v>55</v>
      </c>
      <c r="C324" s="1">
        <v>46156</v>
      </c>
      <c r="D324" t="s">
        <v>335</v>
      </c>
    </row>
    <row r="325" spans="1:4">
      <c r="A325">
        <v>1324</v>
      </c>
      <c r="B325">
        <v>97</v>
      </c>
      <c r="C325" s="1">
        <v>46088</v>
      </c>
      <c r="D325" t="s">
        <v>335</v>
      </c>
    </row>
    <row r="326" spans="1:4">
      <c r="A326">
        <v>1325</v>
      </c>
      <c r="B326">
        <v>64</v>
      </c>
      <c r="C326" s="1">
        <v>46129</v>
      </c>
      <c r="D326" t="s">
        <v>335</v>
      </c>
    </row>
    <row r="327" spans="1:4">
      <c r="A327">
        <v>1326</v>
      </c>
      <c r="B327">
        <v>261</v>
      </c>
      <c r="C327" s="1">
        <v>46172</v>
      </c>
      <c r="D327" t="s">
        <v>335</v>
      </c>
    </row>
    <row r="328" spans="1:4">
      <c r="A328">
        <v>1327</v>
      </c>
      <c r="B328">
        <v>259</v>
      </c>
      <c r="C328" s="1">
        <v>46178</v>
      </c>
      <c r="D328" t="s">
        <v>334</v>
      </c>
    </row>
    <row r="329" spans="1:4">
      <c r="A329">
        <v>1328</v>
      </c>
      <c r="B329">
        <v>151</v>
      </c>
      <c r="C329" s="1">
        <v>46124</v>
      </c>
      <c r="D329" t="s">
        <v>333</v>
      </c>
    </row>
    <row r="330" spans="1:4">
      <c r="A330">
        <v>1329</v>
      </c>
      <c r="B330">
        <v>284</v>
      </c>
      <c r="C330" s="1">
        <v>46103</v>
      </c>
      <c r="D330" t="s">
        <v>335</v>
      </c>
    </row>
    <row r="331" spans="1:4">
      <c r="A331">
        <v>1330</v>
      </c>
      <c r="B331">
        <v>166</v>
      </c>
      <c r="C331" s="1">
        <v>46161</v>
      </c>
      <c r="D331" t="s">
        <v>335</v>
      </c>
    </row>
    <row r="332" spans="1:4">
      <c r="A332">
        <v>1331</v>
      </c>
      <c r="B332">
        <v>28</v>
      </c>
      <c r="C332" s="1">
        <v>46029</v>
      </c>
      <c r="D332" t="s">
        <v>335</v>
      </c>
    </row>
    <row r="333" spans="1:4">
      <c r="A333">
        <v>1332</v>
      </c>
      <c r="B333">
        <v>232</v>
      </c>
      <c r="C333" s="1">
        <v>46161</v>
      </c>
      <c r="D333" t="s">
        <v>335</v>
      </c>
    </row>
    <row r="334" spans="1:4">
      <c r="A334">
        <v>1333</v>
      </c>
      <c r="B334">
        <v>25</v>
      </c>
      <c r="C334" s="1">
        <v>46096</v>
      </c>
      <c r="D334" t="s">
        <v>335</v>
      </c>
    </row>
    <row r="335" spans="1:4">
      <c r="A335">
        <v>1334</v>
      </c>
      <c r="B335">
        <v>189</v>
      </c>
      <c r="C335" s="1">
        <v>46080</v>
      </c>
      <c r="D335" t="s">
        <v>333</v>
      </c>
    </row>
    <row r="336" spans="1:4">
      <c r="A336">
        <v>1335</v>
      </c>
      <c r="B336">
        <v>89</v>
      </c>
      <c r="C336" s="1">
        <v>46042</v>
      </c>
      <c r="D336" t="s">
        <v>335</v>
      </c>
    </row>
    <row r="337" spans="1:4">
      <c r="A337">
        <v>1336</v>
      </c>
      <c r="B337">
        <v>80</v>
      </c>
      <c r="C337" s="1">
        <v>46024</v>
      </c>
      <c r="D337" t="s">
        <v>335</v>
      </c>
    </row>
    <row r="338" spans="1:4">
      <c r="A338">
        <v>1337</v>
      </c>
      <c r="B338">
        <v>294</v>
      </c>
      <c r="C338" s="1">
        <v>46100</v>
      </c>
      <c r="D338" t="s">
        <v>335</v>
      </c>
    </row>
    <row r="339" spans="1:4">
      <c r="A339">
        <v>1338</v>
      </c>
      <c r="B339">
        <v>110</v>
      </c>
      <c r="C339" s="1">
        <v>46046</v>
      </c>
      <c r="D339" t="s">
        <v>335</v>
      </c>
    </row>
    <row r="340" spans="1:4">
      <c r="A340">
        <v>1339</v>
      </c>
      <c r="B340">
        <v>229</v>
      </c>
      <c r="C340" s="1">
        <v>46052</v>
      </c>
      <c r="D340" t="s">
        <v>335</v>
      </c>
    </row>
    <row r="341" spans="1:4">
      <c r="A341">
        <v>1340</v>
      </c>
      <c r="B341">
        <v>145</v>
      </c>
      <c r="C341" s="1">
        <v>46121</v>
      </c>
      <c r="D341" t="s">
        <v>335</v>
      </c>
    </row>
    <row r="342" spans="1:4">
      <c r="A342">
        <v>1341</v>
      </c>
      <c r="B342">
        <v>264</v>
      </c>
      <c r="C342" s="1">
        <v>46189</v>
      </c>
      <c r="D342" t="s">
        <v>335</v>
      </c>
    </row>
    <row r="343" spans="1:4">
      <c r="A343">
        <v>1342</v>
      </c>
      <c r="B343">
        <v>110</v>
      </c>
      <c r="C343" s="1">
        <v>46039</v>
      </c>
      <c r="D343" t="s">
        <v>335</v>
      </c>
    </row>
    <row r="344" spans="1:4">
      <c r="A344">
        <v>1343</v>
      </c>
      <c r="B344">
        <v>129</v>
      </c>
      <c r="C344" s="1">
        <v>46036</v>
      </c>
      <c r="D344" t="s">
        <v>335</v>
      </c>
    </row>
    <row r="345" spans="1:4">
      <c r="A345">
        <v>1344</v>
      </c>
      <c r="B345">
        <v>4</v>
      </c>
      <c r="C345" s="1">
        <v>46195</v>
      </c>
      <c r="D345" t="s">
        <v>335</v>
      </c>
    </row>
    <row r="346" spans="1:4">
      <c r="A346">
        <v>1345</v>
      </c>
      <c r="B346">
        <v>225</v>
      </c>
      <c r="C346" s="1">
        <v>46178</v>
      </c>
      <c r="D346" t="s">
        <v>335</v>
      </c>
    </row>
    <row r="347" spans="1:4">
      <c r="A347">
        <v>1346</v>
      </c>
      <c r="B347">
        <v>74</v>
      </c>
      <c r="C347" s="1">
        <v>46098</v>
      </c>
      <c r="D347" t="s">
        <v>333</v>
      </c>
    </row>
    <row r="348" spans="1:4">
      <c r="A348">
        <v>1347</v>
      </c>
      <c r="B348">
        <v>3</v>
      </c>
      <c r="C348" s="1">
        <v>46059</v>
      </c>
      <c r="D348" t="s">
        <v>335</v>
      </c>
    </row>
    <row r="349" spans="1:4">
      <c r="A349">
        <v>1348</v>
      </c>
      <c r="B349">
        <v>73</v>
      </c>
      <c r="C349" s="1">
        <v>46188</v>
      </c>
      <c r="D349" t="s">
        <v>334</v>
      </c>
    </row>
    <row r="350" spans="1:4">
      <c r="A350">
        <v>1349</v>
      </c>
      <c r="B350">
        <v>100</v>
      </c>
      <c r="C350" s="1">
        <v>46180</v>
      </c>
      <c r="D350" t="s">
        <v>335</v>
      </c>
    </row>
    <row r="351" spans="1:4">
      <c r="A351">
        <v>1350</v>
      </c>
      <c r="B351">
        <v>149</v>
      </c>
      <c r="C351" s="1">
        <v>46188</v>
      </c>
      <c r="D351" t="s">
        <v>335</v>
      </c>
    </row>
    <row r="352" spans="1:4">
      <c r="A352">
        <v>1351</v>
      </c>
      <c r="B352">
        <v>100</v>
      </c>
      <c r="C352" s="1">
        <v>46181</v>
      </c>
      <c r="D352" t="s">
        <v>335</v>
      </c>
    </row>
    <row r="353" spans="1:4">
      <c r="A353">
        <v>1352</v>
      </c>
      <c r="B353">
        <v>161</v>
      </c>
      <c r="C353" s="1">
        <v>46132</v>
      </c>
      <c r="D353" t="s">
        <v>335</v>
      </c>
    </row>
    <row r="354" spans="1:4">
      <c r="A354">
        <v>1353</v>
      </c>
      <c r="B354">
        <v>184</v>
      </c>
      <c r="C354" s="1">
        <v>46145</v>
      </c>
      <c r="D354" t="s">
        <v>335</v>
      </c>
    </row>
    <row r="355" spans="1:4">
      <c r="A355">
        <v>1354</v>
      </c>
      <c r="B355">
        <v>40</v>
      </c>
      <c r="C355" s="1">
        <v>46160</v>
      </c>
      <c r="D355" t="s">
        <v>335</v>
      </c>
    </row>
    <row r="356" spans="1:4">
      <c r="A356">
        <v>1355</v>
      </c>
      <c r="B356">
        <v>77</v>
      </c>
      <c r="C356" s="1">
        <v>46143</v>
      </c>
      <c r="D356" t="s">
        <v>335</v>
      </c>
    </row>
    <row r="357" spans="1:4">
      <c r="A357">
        <v>1356</v>
      </c>
      <c r="B357">
        <v>85</v>
      </c>
      <c r="C357" s="1">
        <v>46025</v>
      </c>
      <c r="D357" t="s">
        <v>335</v>
      </c>
    </row>
    <row r="358" spans="1:4">
      <c r="A358">
        <v>1357</v>
      </c>
      <c r="B358">
        <v>120</v>
      </c>
      <c r="C358" s="1">
        <v>46039</v>
      </c>
      <c r="D358" t="s">
        <v>335</v>
      </c>
    </row>
    <row r="359" spans="1:4">
      <c r="A359">
        <v>1358</v>
      </c>
      <c r="B359">
        <v>166</v>
      </c>
      <c r="C359" s="1">
        <v>46034</v>
      </c>
      <c r="D359" t="s">
        <v>335</v>
      </c>
    </row>
    <row r="360" spans="1:4">
      <c r="A360">
        <v>1359</v>
      </c>
      <c r="B360">
        <v>188</v>
      </c>
      <c r="C360" s="1">
        <v>46119</v>
      </c>
      <c r="D360" t="s">
        <v>335</v>
      </c>
    </row>
    <row r="361" spans="1:4">
      <c r="A361">
        <v>1360</v>
      </c>
      <c r="B361">
        <v>4</v>
      </c>
      <c r="C361" s="1">
        <v>46146</v>
      </c>
      <c r="D361" t="s">
        <v>334</v>
      </c>
    </row>
    <row r="362" spans="1:4">
      <c r="A362">
        <v>1361</v>
      </c>
      <c r="B362">
        <v>81</v>
      </c>
      <c r="C362" s="1">
        <v>46077</v>
      </c>
      <c r="D362" t="s">
        <v>335</v>
      </c>
    </row>
    <row r="363" spans="1:4">
      <c r="A363">
        <v>1362</v>
      </c>
      <c r="B363">
        <v>83</v>
      </c>
      <c r="C363" s="1">
        <v>46145</v>
      </c>
      <c r="D363" t="s">
        <v>335</v>
      </c>
    </row>
    <row r="364" spans="1:4">
      <c r="A364">
        <v>1363</v>
      </c>
      <c r="B364">
        <v>93</v>
      </c>
      <c r="C364" s="1">
        <v>46037</v>
      </c>
      <c r="D364" t="s">
        <v>335</v>
      </c>
    </row>
    <row r="365" spans="1:4">
      <c r="A365">
        <v>1364</v>
      </c>
      <c r="B365">
        <v>211</v>
      </c>
      <c r="C365" s="1">
        <v>46066</v>
      </c>
      <c r="D365" t="s">
        <v>335</v>
      </c>
    </row>
    <row r="366" spans="1:4">
      <c r="A366">
        <v>1365</v>
      </c>
      <c r="B366">
        <v>9</v>
      </c>
      <c r="C366" s="1">
        <v>46121</v>
      </c>
      <c r="D366" t="s">
        <v>335</v>
      </c>
    </row>
    <row r="367" spans="1:4">
      <c r="A367">
        <v>1366</v>
      </c>
      <c r="B367">
        <v>273</v>
      </c>
      <c r="C367" s="1">
        <v>46176</v>
      </c>
      <c r="D367" t="s">
        <v>335</v>
      </c>
    </row>
    <row r="368" spans="1:4">
      <c r="A368">
        <v>1367</v>
      </c>
      <c r="B368">
        <v>247</v>
      </c>
      <c r="C368" s="1">
        <v>46132</v>
      </c>
      <c r="D368" t="s">
        <v>335</v>
      </c>
    </row>
    <row r="369" spans="1:4">
      <c r="A369">
        <v>1368</v>
      </c>
      <c r="B369">
        <v>279</v>
      </c>
      <c r="C369" s="1">
        <v>46095</v>
      </c>
      <c r="D369" t="s">
        <v>335</v>
      </c>
    </row>
    <row r="370" spans="1:4">
      <c r="A370">
        <v>1369</v>
      </c>
      <c r="B370">
        <v>162</v>
      </c>
      <c r="C370" s="1">
        <v>46075</v>
      </c>
      <c r="D370" t="s">
        <v>335</v>
      </c>
    </row>
    <row r="371" spans="1:4">
      <c r="A371">
        <v>1370</v>
      </c>
      <c r="B371">
        <v>142</v>
      </c>
      <c r="C371" s="1">
        <v>46167</v>
      </c>
      <c r="D371" t="s">
        <v>335</v>
      </c>
    </row>
    <row r="372" spans="1:4">
      <c r="A372">
        <v>1371</v>
      </c>
      <c r="B372">
        <v>204</v>
      </c>
      <c r="C372" s="1">
        <v>46111</v>
      </c>
      <c r="D372" t="s">
        <v>335</v>
      </c>
    </row>
    <row r="373" spans="1:4">
      <c r="A373">
        <v>1372</v>
      </c>
      <c r="B373">
        <v>27</v>
      </c>
      <c r="C373" s="1">
        <v>46180</v>
      </c>
      <c r="D373" t="s">
        <v>335</v>
      </c>
    </row>
    <row r="374" spans="1:4">
      <c r="A374">
        <v>1373</v>
      </c>
      <c r="B374">
        <v>135</v>
      </c>
      <c r="C374" s="1">
        <v>46134</v>
      </c>
      <c r="D374" t="s">
        <v>335</v>
      </c>
    </row>
    <row r="375" spans="1:4">
      <c r="A375">
        <v>1374</v>
      </c>
      <c r="B375">
        <v>147</v>
      </c>
      <c r="C375" s="1">
        <v>46180</v>
      </c>
      <c r="D375" t="s">
        <v>335</v>
      </c>
    </row>
    <row r="376" spans="1:4">
      <c r="A376">
        <v>1375</v>
      </c>
      <c r="B376">
        <v>262</v>
      </c>
      <c r="C376" s="1">
        <v>46072</v>
      </c>
      <c r="D376" t="s">
        <v>335</v>
      </c>
    </row>
    <row r="377" spans="1:4">
      <c r="A377">
        <v>1376</v>
      </c>
      <c r="B377">
        <v>203</v>
      </c>
      <c r="C377" s="1">
        <v>46125</v>
      </c>
      <c r="D377" t="s">
        <v>335</v>
      </c>
    </row>
    <row r="378" spans="1:4">
      <c r="A378">
        <v>1377</v>
      </c>
      <c r="B378">
        <v>142</v>
      </c>
      <c r="C378" s="1">
        <v>46172</v>
      </c>
      <c r="D378" t="s">
        <v>335</v>
      </c>
    </row>
    <row r="379" spans="1:4">
      <c r="A379">
        <v>1378</v>
      </c>
      <c r="B379">
        <v>287</v>
      </c>
      <c r="C379" s="1">
        <v>46127</v>
      </c>
      <c r="D379" t="s">
        <v>335</v>
      </c>
    </row>
    <row r="380" spans="1:4">
      <c r="A380">
        <v>1379</v>
      </c>
      <c r="B380">
        <v>295</v>
      </c>
      <c r="C380" s="1">
        <v>46160</v>
      </c>
      <c r="D380" t="s">
        <v>335</v>
      </c>
    </row>
    <row r="381" spans="1:4">
      <c r="A381">
        <v>1380</v>
      </c>
      <c r="B381">
        <v>15</v>
      </c>
      <c r="C381" s="1">
        <v>46197</v>
      </c>
      <c r="D381" t="s">
        <v>335</v>
      </c>
    </row>
    <row r="382" spans="1:4">
      <c r="A382">
        <v>1381</v>
      </c>
      <c r="B382">
        <v>181</v>
      </c>
      <c r="C382" s="1">
        <v>46103</v>
      </c>
      <c r="D382" t="s">
        <v>335</v>
      </c>
    </row>
    <row r="383" spans="1:4">
      <c r="A383">
        <v>1382</v>
      </c>
      <c r="B383">
        <v>182</v>
      </c>
      <c r="C383" s="1">
        <v>46068</v>
      </c>
      <c r="D383" t="s">
        <v>335</v>
      </c>
    </row>
    <row r="384" spans="1:4">
      <c r="A384">
        <v>1383</v>
      </c>
      <c r="B384">
        <v>121</v>
      </c>
      <c r="C384" s="1">
        <v>46150</v>
      </c>
      <c r="D384" t="s">
        <v>335</v>
      </c>
    </row>
    <row r="385" spans="1:4">
      <c r="A385">
        <v>1384</v>
      </c>
      <c r="B385">
        <v>253</v>
      </c>
      <c r="C385" s="1">
        <v>46043</v>
      </c>
      <c r="D385" t="s">
        <v>335</v>
      </c>
    </row>
    <row r="386" spans="1:4">
      <c r="A386">
        <v>1385</v>
      </c>
      <c r="B386">
        <v>262</v>
      </c>
      <c r="C386" s="1">
        <v>46148</v>
      </c>
      <c r="D386" t="s">
        <v>335</v>
      </c>
    </row>
    <row r="387" spans="1:4">
      <c r="A387">
        <v>1386</v>
      </c>
      <c r="B387">
        <v>90</v>
      </c>
      <c r="C387" s="1">
        <v>46151</v>
      </c>
      <c r="D387" t="s">
        <v>335</v>
      </c>
    </row>
    <row r="388" spans="1:4">
      <c r="A388">
        <v>1387</v>
      </c>
      <c r="B388">
        <v>133</v>
      </c>
      <c r="C388" s="1">
        <v>46048</v>
      </c>
      <c r="D388" t="s">
        <v>335</v>
      </c>
    </row>
    <row r="389" spans="1:4">
      <c r="A389">
        <v>1388</v>
      </c>
      <c r="B389">
        <v>108</v>
      </c>
      <c r="C389" s="1">
        <v>46070</v>
      </c>
      <c r="D389" t="s">
        <v>335</v>
      </c>
    </row>
    <row r="390" spans="1:4">
      <c r="A390">
        <v>1389</v>
      </c>
      <c r="B390">
        <v>52</v>
      </c>
      <c r="C390" s="1">
        <v>46198</v>
      </c>
      <c r="D390" t="s">
        <v>335</v>
      </c>
    </row>
    <row r="391" spans="1:4">
      <c r="A391">
        <v>1390</v>
      </c>
      <c r="B391">
        <v>69</v>
      </c>
      <c r="C391" s="1">
        <v>46068</v>
      </c>
      <c r="D391" t="s">
        <v>335</v>
      </c>
    </row>
    <row r="392" spans="1:4">
      <c r="A392">
        <v>1391</v>
      </c>
      <c r="B392">
        <v>131</v>
      </c>
      <c r="C392" s="1">
        <v>46064</v>
      </c>
      <c r="D392" t="s">
        <v>335</v>
      </c>
    </row>
    <row r="393" spans="1:4">
      <c r="A393">
        <v>1392</v>
      </c>
      <c r="B393">
        <v>63</v>
      </c>
      <c r="C393" s="1">
        <v>46111</v>
      </c>
      <c r="D393" t="s">
        <v>335</v>
      </c>
    </row>
    <row r="394" spans="1:4">
      <c r="A394">
        <v>1393</v>
      </c>
      <c r="B394">
        <v>229</v>
      </c>
      <c r="C394" s="1">
        <v>46147</v>
      </c>
      <c r="D394" t="s">
        <v>335</v>
      </c>
    </row>
    <row r="395" spans="1:4">
      <c r="A395">
        <v>1394</v>
      </c>
      <c r="B395">
        <v>293</v>
      </c>
      <c r="C395" s="1">
        <v>46109</v>
      </c>
      <c r="D395" t="s">
        <v>335</v>
      </c>
    </row>
    <row r="396" spans="1:4">
      <c r="A396">
        <v>1395</v>
      </c>
      <c r="B396">
        <v>139</v>
      </c>
      <c r="C396" s="1">
        <v>46177</v>
      </c>
      <c r="D396" t="s">
        <v>335</v>
      </c>
    </row>
    <row r="397" spans="1:4">
      <c r="A397">
        <v>1396</v>
      </c>
      <c r="B397">
        <v>41</v>
      </c>
      <c r="C397" s="1">
        <v>46192</v>
      </c>
      <c r="D397" t="s">
        <v>335</v>
      </c>
    </row>
    <row r="398" spans="1:4">
      <c r="A398">
        <v>1397</v>
      </c>
      <c r="B398">
        <v>204</v>
      </c>
      <c r="C398" s="1">
        <v>46036</v>
      </c>
      <c r="D398" t="s">
        <v>335</v>
      </c>
    </row>
    <row r="399" spans="1:4">
      <c r="A399">
        <v>1398</v>
      </c>
      <c r="B399">
        <v>88</v>
      </c>
      <c r="C399" s="1">
        <v>46055</v>
      </c>
      <c r="D399" t="s">
        <v>335</v>
      </c>
    </row>
    <row r="400" spans="1:4">
      <c r="A400">
        <v>1399</v>
      </c>
      <c r="B400">
        <v>70</v>
      </c>
      <c r="C400" s="1">
        <v>46092</v>
      </c>
      <c r="D400" t="s">
        <v>335</v>
      </c>
    </row>
    <row r="401" spans="1:4">
      <c r="A401">
        <v>1400</v>
      </c>
      <c r="B401">
        <v>212</v>
      </c>
      <c r="C401" s="1">
        <v>46136</v>
      </c>
      <c r="D401" t="s">
        <v>335</v>
      </c>
    </row>
    <row r="402" spans="1:4">
      <c r="A402">
        <v>1401</v>
      </c>
      <c r="B402">
        <v>252</v>
      </c>
      <c r="C402" s="1">
        <v>46143</v>
      </c>
      <c r="D402" t="s">
        <v>335</v>
      </c>
    </row>
    <row r="403" spans="1:4">
      <c r="A403">
        <v>1402</v>
      </c>
      <c r="B403">
        <v>224</v>
      </c>
      <c r="C403" s="1">
        <v>46128</v>
      </c>
      <c r="D403" t="s">
        <v>334</v>
      </c>
    </row>
    <row r="404" spans="1:4">
      <c r="A404">
        <v>1403</v>
      </c>
      <c r="B404">
        <v>217</v>
      </c>
      <c r="C404" s="1">
        <v>46079</v>
      </c>
      <c r="D404" t="s">
        <v>335</v>
      </c>
    </row>
    <row r="405" spans="1:4">
      <c r="A405">
        <v>1404</v>
      </c>
      <c r="B405">
        <v>232</v>
      </c>
      <c r="C405" s="1">
        <v>46051</v>
      </c>
      <c r="D405" t="s">
        <v>335</v>
      </c>
    </row>
    <row r="406" spans="1:4">
      <c r="A406">
        <v>1405</v>
      </c>
      <c r="B406">
        <v>145</v>
      </c>
      <c r="C406" s="1">
        <v>46070</v>
      </c>
      <c r="D406" t="s">
        <v>336</v>
      </c>
    </row>
    <row r="407" spans="1:4">
      <c r="A407">
        <v>1406</v>
      </c>
      <c r="B407">
        <v>112</v>
      </c>
      <c r="C407" s="1">
        <v>46061</v>
      </c>
      <c r="D407" t="s">
        <v>335</v>
      </c>
    </row>
    <row r="408" spans="1:4">
      <c r="A408">
        <v>1407</v>
      </c>
      <c r="B408">
        <v>201</v>
      </c>
      <c r="C408" s="1">
        <v>46037</v>
      </c>
      <c r="D408" t="s">
        <v>335</v>
      </c>
    </row>
    <row r="409" spans="1:4">
      <c r="A409">
        <v>1408</v>
      </c>
      <c r="B409">
        <v>128</v>
      </c>
      <c r="C409" s="1">
        <v>46026</v>
      </c>
      <c r="D409" t="s">
        <v>335</v>
      </c>
    </row>
    <row r="410" spans="1:4">
      <c r="A410">
        <v>1409</v>
      </c>
      <c r="B410">
        <v>160</v>
      </c>
      <c r="C410" s="1">
        <v>46144</v>
      </c>
      <c r="D410" t="s">
        <v>335</v>
      </c>
    </row>
    <row r="411" spans="1:4">
      <c r="A411">
        <v>1410</v>
      </c>
      <c r="B411">
        <v>58</v>
      </c>
      <c r="C411" s="1">
        <v>46193</v>
      </c>
      <c r="D411" t="s">
        <v>335</v>
      </c>
    </row>
    <row r="412" spans="1:4">
      <c r="A412">
        <v>1411</v>
      </c>
      <c r="B412">
        <v>5</v>
      </c>
      <c r="C412" s="1">
        <v>46124</v>
      </c>
      <c r="D412" t="s">
        <v>335</v>
      </c>
    </row>
    <row r="413" spans="1:4">
      <c r="A413">
        <v>1412</v>
      </c>
      <c r="B413">
        <v>174</v>
      </c>
      <c r="C413" s="1">
        <v>46063</v>
      </c>
      <c r="D413" t="s">
        <v>335</v>
      </c>
    </row>
    <row r="414" spans="1:4">
      <c r="A414">
        <v>1413</v>
      </c>
      <c r="B414">
        <v>225</v>
      </c>
      <c r="C414" s="1">
        <v>46111</v>
      </c>
      <c r="D414" t="s">
        <v>335</v>
      </c>
    </row>
    <row r="415" spans="1:4">
      <c r="A415">
        <v>1414</v>
      </c>
      <c r="B415">
        <v>98</v>
      </c>
      <c r="C415" s="1">
        <v>46161</v>
      </c>
      <c r="D415" t="s">
        <v>335</v>
      </c>
    </row>
    <row r="416" spans="1:4">
      <c r="A416">
        <v>1415</v>
      </c>
      <c r="B416">
        <v>231</v>
      </c>
      <c r="C416" s="1">
        <v>46040</v>
      </c>
      <c r="D416" t="s">
        <v>335</v>
      </c>
    </row>
    <row r="417" spans="1:4">
      <c r="A417">
        <v>1416</v>
      </c>
      <c r="B417">
        <v>187</v>
      </c>
      <c r="C417" s="1">
        <v>46027</v>
      </c>
      <c r="D417" t="s">
        <v>335</v>
      </c>
    </row>
    <row r="418" spans="1:4">
      <c r="A418">
        <v>1417</v>
      </c>
      <c r="B418">
        <v>50</v>
      </c>
      <c r="C418" s="1">
        <v>46187</v>
      </c>
      <c r="D418" t="s">
        <v>335</v>
      </c>
    </row>
    <row r="419" spans="1:4">
      <c r="A419">
        <v>1418</v>
      </c>
      <c r="B419">
        <v>251</v>
      </c>
      <c r="C419" s="1">
        <v>46187</v>
      </c>
      <c r="D419" t="s">
        <v>335</v>
      </c>
    </row>
    <row r="420" spans="1:4">
      <c r="A420">
        <v>1419</v>
      </c>
      <c r="B420">
        <v>41</v>
      </c>
      <c r="C420" s="1">
        <v>46190</v>
      </c>
      <c r="D420" t="s">
        <v>335</v>
      </c>
    </row>
    <row r="421" spans="1:4">
      <c r="A421">
        <v>1420</v>
      </c>
      <c r="B421">
        <v>37</v>
      </c>
      <c r="C421" s="1">
        <v>46091</v>
      </c>
      <c r="D421" t="s">
        <v>335</v>
      </c>
    </row>
    <row r="422" spans="1:4">
      <c r="A422">
        <v>1421</v>
      </c>
      <c r="B422">
        <v>92</v>
      </c>
      <c r="C422" s="1">
        <v>46191</v>
      </c>
      <c r="D422" t="s">
        <v>335</v>
      </c>
    </row>
    <row r="423" spans="1:4">
      <c r="A423">
        <v>1422</v>
      </c>
      <c r="B423">
        <v>173</v>
      </c>
      <c r="C423" s="1">
        <v>46163</v>
      </c>
      <c r="D423" t="s">
        <v>335</v>
      </c>
    </row>
    <row r="424" spans="1:4">
      <c r="A424">
        <v>1423</v>
      </c>
      <c r="B424">
        <v>166</v>
      </c>
      <c r="C424" s="1">
        <v>46185</v>
      </c>
      <c r="D424" t="s">
        <v>335</v>
      </c>
    </row>
    <row r="425" spans="1:4">
      <c r="A425">
        <v>1424</v>
      </c>
      <c r="B425">
        <v>9</v>
      </c>
      <c r="C425" s="1">
        <v>46031</v>
      </c>
      <c r="D425" t="s">
        <v>336</v>
      </c>
    </row>
    <row r="426" spans="1:4">
      <c r="A426">
        <v>1425</v>
      </c>
      <c r="B426">
        <v>142</v>
      </c>
      <c r="C426" s="1">
        <v>46028</v>
      </c>
      <c r="D426" t="s">
        <v>335</v>
      </c>
    </row>
    <row r="427" spans="1:4">
      <c r="A427">
        <v>1426</v>
      </c>
      <c r="B427">
        <v>154</v>
      </c>
      <c r="C427" s="1">
        <v>46086</v>
      </c>
      <c r="D427" t="s">
        <v>335</v>
      </c>
    </row>
    <row r="428" spans="1:4">
      <c r="A428">
        <v>1427</v>
      </c>
      <c r="B428">
        <v>296</v>
      </c>
      <c r="C428" s="1">
        <v>46146</v>
      </c>
      <c r="D428" t="s">
        <v>335</v>
      </c>
    </row>
    <row r="429" spans="1:4">
      <c r="A429">
        <v>1428</v>
      </c>
      <c r="B429">
        <v>223</v>
      </c>
      <c r="C429" s="1">
        <v>46108</v>
      </c>
      <c r="D429" t="s">
        <v>335</v>
      </c>
    </row>
    <row r="430" spans="1:4">
      <c r="A430">
        <v>1429</v>
      </c>
      <c r="B430">
        <v>114</v>
      </c>
      <c r="C430" s="1">
        <v>46061</v>
      </c>
      <c r="D430" t="s">
        <v>335</v>
      </c>
    </row>
    <row r="431" spans="1:4">
      <c r="A431">
        <v>1430</v>
      </c>
      <c r="B431">
        <v>202</v>
      </c>
      <c r="C431" s="1">
        <v>46079</v>
      </c>
      <c r="D431" t="s">
        <v>335</v>
      </c>
    </row>
    <row r="432" spans="1:4">
      <c r="A432">
        <v>1431</v>
      </c>
      <c r="B432">
        <v>257</v>
      </c>
      <c r="C432" s="1">
        <v>46090</v>
      </c>
      <c r="D432" t="s">
        <v>335</v>
      </c>
    </row>
    <row r="433" spans="1:4">
      <c r="A433">
        <v>1432</v>
      </c>
      <c r="B433">
        <v>269</v>
      </c>
      <c r="C433" s="1">
        <v>46166</v>
      </c>
      <c r="D433" t="s">
        <v>335</v>
      </c>
    </row>
    <row r="434" spans="1:4">
      <c r="A434">
        <v>1433</v>
      </c>
      <c r="B434">
        <v>212</v>
      </c>
      <c r="C434" s="1">
        <v>46045</v>
      </c>
      <c r="D434" t="s">
        <v>335</v>
      </c>
    </row>
    <row r="435" spans="1:4">
      <c r="A435">
        <v>1434</v>
      </c>
      <c r="B435">
        <v>227</v>
      </c>
      <c r="C435" s="1">
        <v>46112</v>
      </c>
      <c r="D435" t="s">
        <v>335</v>
      </c>
    </row>
    <row r="436" spans="1:4">
      <c r="A436">
        <v>1435</v>
      </c>
      <c r="B436">
        <v>76</v>
      </c>
      <c r="C436" s="1">
        <v>46036</v>
      </c>
      <c r="D436" t="s">
        <v>335</v>
      </c>
    </row>
    <row r="437" spans="1:4">
      <c r="A437">
        <v>1436</v>
      </c>
      <c r="B437">
        <v>268</v>
      </c>
      <c r="C437" s="1">
        <v>46077</v>
      </c>
      <c r="D437" t="s">
        <v>335</v>
      </c>
    </row>
    <row r="438" spans="1:4">
      <c r="A438">
        <v>1437</v>
      </c>
      <c r="B438">
        <v>103</v>
      </c>
      <c r="C438" s="1">
        <v>46066</v>
      </c>
      <c r="D438" t="s">
        <v>335</v>
      </c>
    </row>
    <row r="439" spans="1:4">
      <c r="A439">
        <v>1438</v>
      </c>
      <c r="B439">
        <v>10</v>
      </c>
      <c r="C439" s="1">
        <v>46115</v>
      </c>
      <c r="D439" t="s">
        <v>334</v>
      </c>
    </row>
    <row r="440" spans="1:4">
      <c r="A440">
        <v>1439</v>
      </c>
      <c r="B440">
        <v>51</v>
      </c>
      <c r="C440" s="1">
        <v>46153</v>
      </c>
      <c r="D440" t="s">
        <v>336</v>
      </c>
    </row>
    <row r="441" spans="1:4">
      <c r="A441">
        <v>1440</v>
      </c>
      <c r="B441">
        <v>288</v>
      </c>
      <c r="C441" s="1">
        <v>46151</v>
      </c>
      <c r="D441" t="s">
        <v>333</v>
      </c>
    </row>
    <row r="442" spans="1:4">
      <c r="A442">
        <v>1441</v>
      </c>
      <c r="B442">
        <v>181</v>
      </c>
      <c r="C442" s="1">
        <v>46027</v>
      </c>
      <c r="D442" t="s">
        <v>335</v>
      </c>
    </row>
    <row r="443" spans="1:4">
      <c r="A443">
        <v>1442</v>
      </c>
      <c r="B443">
        <v>116</v>
      </c>
      <c r="C443" s="1">
        <v>46165</v>
      </c>
      <c r="D443" t="s">
        <v>333</v>
      </c>
    </row>
    <row r="444" spans="1:4">
      <c r="A444">
        <v>1443</v>
      </c>
      <c r="B444">
        <v>117</v>
      </c>
      <c r="C444" s="1">
        <v>46120</v>
      </c>
      <c r="D444" t="s">
        <v>335</v>
      </c>
    </row>
    <row r="445" spans="1:4">
      <c r="A445">
        <v>1444</v>
      </c>
      <c r="B445">
        <v>71</v>
      </c>
      <c r="C445" s="1">
        <v>46056</v>
      </c>
      <c r="D445" t="s">
        <v>335</v>
      </c>
    </row>
    <row r="446" spans="1:4">
      <c r="A446">
        <v>1445</v>
      </c>
      <c r="B446">
        <v>163</v>
      </c>
      <c r="C446" s="1">
        <v>46167</v>
      </c>
      <c r="D446" t="s">
        <v>333</v>
      </c>
    </row>
    <row r="447" spans="1:4">
      <c r="A447">
        <v>1446</v>
      </c>
      <c r="B447">
        <v>212</v>
      </c>
      <c r="C447" s="1">
        <v>46030</v>
      </c>
      <c r="D447" t="s">
        <v>335</v>
      </c>
    </row>
    <row r="448" spans="1:4">
      <c r="A448">
        <v>1447</v>
      </c>
      <c r="B448">
        <v>291</v>
      </c>
      <c r="C448" s="1">
        <v>46180</v>
      </c>
      <c r="D448" t="s">
        <v>335</v>
      </c>
    </row>
    <row r="449" spans="1:4">
      <c r="A449">
        <v>1448</v>
      </c>
      <c r="B449">
        <v>192</v>
      </c>
      <c r="C449" s="1">
        <v>46143</v>
      </c>
      <c r="D449" t="s">
        <v>335</v>
      </c>
    </row>
    <row r="450" spans="1:4">
      <c r="A450">
        <v>1449</v>
      </c>
      <c r="B450">
        <v>212</v>
      </c>
      <c r="C450" s="1">
        <v>46026</v>
      </c>
      <c r="D450" t="s">
        <v>333</v>
      </c>
    </row>
    <row r="451" spans="1:4">
      <c r="A451">
        <v>1450</v>
      </c>
      <c r="B451">
        <v>225</v>
      </c>
      <c r="C451" s="1">
        <v>46068</v>
      </c>
      <c r="D451" t="s">
        <v>333</v>
      </c>
    </row>
    <row r="452" spans="1:4">
      <c r="A452">
        <v>1451</v>
      </c>
      <c r="B452">
        <v>202</v>
      </c>
      <c r="C452" s="1">
        <v>46120</v>
      </c>
      <c r="D452" t="s">
        <v>335</v>
      </c>
    </row>
    <row r="453" spans="1:4">
      <c r="A453">
        <v>1452</v>
      </c>
      <c r="B453">
        <v>21</v>
      </c>
      <c r="C453" s="1">
        <v>46155</v>
      </c>
      <c r="D453" t="s">
        <v>335</v>
      </c>
    </row>
    <row r="454" spans="1:4">
      <c r="A454">
        <v>1453</v>
      </c>
      <c r="B454">
        <v>28</v>
      </c>
      <c r="C454" s="1">
        <v>46065</v>
      </c>
      <c r="D454" t="s">
        <v>335</v>
      </c>
    </row>
    <row r="455" spans="1:4">
      <c r="A455">
        <v>1454</v>
      </c>
      <c r="B455">
        <v>166</v>
      </c>
      <c r="C455" s="1">
        <v>46057</v>
      </c>
      <c r="D455" t="s">
        <v>335</v>
      </c>
    </row>
    <row r="456" spans="1:4">
      <c r="A456">
        <v>1455</v>
      </c>
      <c r="B456">
        <v>64</v>
      </c>
      <c r="C456" s="1">
        <v>46064</v>
      </c>
      <c r="D456" t="s">
        <v>335</v>
      </c>
    </row>
    <row r="457" spans="1:4">
      <c r="A457">
        <v>1456</v>
      </c>
      <c r="B457">
        <v>82</v>
      </c>
      <c r="C457" s="1">
        <v>46153</v>
      </c>
      <c r="D457" t="s">
        <v>335</v>
      </c>
    </row>
    <row r="458" spans="1:4">
      <c r="A458">
        <v>1457</v>
      </c>
      <c r="B458">
        <v>92</v>
      </c>
      <c r="C458" s="1">
        <v>46064</v>
      </c>
      <c r="D458" t="s">
        <v>334</v>
      </c>
    </row>
    <row r="459" spans="1:4">
      <c r="A459">
        <v>1458</v>
      </c>
      <c r="B459">
        <v>68</v>
      </c>
      <c r="C459" s="1">
        <v>46183</v>
      </c>
      <c r="D459" t="s">
        <v>335</v>
      </c>
    </row>
    <row r="460" spans="1:4">
      <c r="A460">
        <v>1459</v>
      </c>
      <c r="B460">
        <v>122</v>
      </c>
      <c r="C460" s="1">
        <v>46178</v>
      </c>
      <c r="D460" t="s">
        <v>334</v>
      </c>
    </row>
    <row r="461" spans="1:4">
      <c r="A461">
        <v>1460</v>
      </c>
      <c r="B461">
        <v>41</v>
      </c>
      <c r="C461" s="1">
        <v>46139</v>
      </c>
      <c r="D461" t="s">
        <v>335</v>
      </c>
    </row>
    <row r="462" spans="1:4">
      <c r="A462">
        <v>1461</v>
      </c>
      <c r="B462">
        <v>153</v>
      </c>
      <c r="C462" s="1">
        <v>46031</v>
      </c>
      <c r="D462" t="s">
        <v>335</v>
      </c>
    </row>
    <row r="463" spans="1:4">
      <c r="A463">
        <v>1462</v>
      </c>
      <c r="B463">
        <v>294</v>
      </c>
      <c r="C463" s="1">
        <v>46200</v>
      </c>
      <c r="D463" t="s">
        <v>335</v>
      </c>
    </row>
    <row r="464" spans="1:4">
      <c r="A464">
        <v>1463</v>
      </c>
      <c r="B464">
        <v>34</v>
      </c>
      <c r="C464" s="1">
        <v>46132</v>
      </c>
      <c r="D464" t="s">
        <v>335</v>
      </c>
    </row>
    <row r="465" spans="1:4">
      <c r="A465">
        <v>1464</v>
      </c>
      <c r="B465">
        <v>293</v>
      </c>
      <c r="C465" s="1">
        <v>46179</v>
      </c>
      <c r="D465" t="s">
        <v>335</v>
      </c>
    </row>
    <row r="466" spans="1:4">
      <c r="A466">
        <v>1465</v>
      </c>
      <c r="B466">
        <v>289</v>
      </c>
      <c r="C466" s="1">
        <v>46113</v>
      </c>
      <c r="D466" t="s">
        <v>333</v>
      </c>
    </row>
    <row r="467" spans="1:4">
      <c r="A467">
        <v>1466</v>
      </c>
      <c r="B467">
        <v>100</v>
      </c>
      <c r="C467" s="1">
        <v>46082</v>
      </c>
      <c r="D467" t="s">
        <v>335</v>
      </c>
    </row>
    <row r="468" spans="1:4">
      <c r="A468">
        <v>1467</v>
      </c>
      <c r="B468">
        <v>212</v>
      </c>
      <c r="C468" s="1">
        <v>46180</v>
      </c>
      <c r="D468" t="s">
        <v>336</v>
      </c>
    </row>
    <row r="469" spans="1:4">
      <c r="A469">
        <v>1468</v>
      </c>
      <c r="B469">
        <v>104</v>
      </c>
      <c r="C469" s="1">
        <v>46186</v>
      </c>
      <c r="D469" t="s">
        <v>335</v>
      </c>
    </row>
    <row r="470" spans="1:4">
      <c r="A470">
        <v>1469</v>
      </c>
      <c r="B470">
        <v>15</v>
      </c>
      <c r="C470" s="1">
        <v>46168</v>
      </c>
      <c r="D470" t="s">
        <v>335</v>
      </c>
    </row>
    <row r="471" spans="1:4">
      <c r="A471">
        <v>1470</v>
      </c>
      <c r="B471">
        <v>247</v>
      </c>
      <c r="C471" s="1">
        <v>46032</v>
      </c>
      <c r="D471" t="s">
        <v>335</v>
      </c>
    </row>
    <row r="472" spans="1:4">
      <c r="A472">
        <v>1471</v>
      </c>
      <c r="B472">
        <v>154</v>
      </c>
      <c r="C472" s="1">
        <v>46037</v>
      </c>
      <c r="D472" t="s">
        <v>335</v>
      </c>
    </row>
    <row r="473" spans="1:4">
      <c r="A473">
        <v>1472</v>
      </c>
      <c r="B473">
        <v>174</v>
      </c>
      <c r="C473" s="1">
        <v>46094</v>
      </c>
      <c r="D473" t="s">
        <v>335</v>
      </c>
    </row>
    <row r="474" spans="1:4">
      <c r="A474">
        <v>1473</v>
      </c>
      <c r="B474">
        <v>17</v>
      </c>
      <c r="C474" s="1">
        <v>46203</v>
      </c>
      <c r="D474" t="s">
        <v>334</v>
      </c>
    </row>
    <row r="475" spans="1:4">
      <c r="A475">
        <v>1474</v>
      </c>
      <c r="B475">
        <v>155</v>
      </c>
      <c r="C475" s="1">
        <v>46118</v>
      </c>
      <c r="D475" t="s">
        <v>335</v>
      </c>
    </row>
    <row r="476" spans="1:4">
      <c r="A476">
        <v>1475</v>
      </c>
      <c r="B476">
        <v>13</v>
      </c>
      <c r="C476" s="1">
        <v>46046</v>
      </c>
      <c r="D476" t="s">
        <v>335</v>
      </c>
    </row>
    <row r="477" spans="1:4">
      <c r="A477">
        <v>1476</v>
      </c>
      <c r="B477">
        <v>51</v>
      </c>
      <c r="C477" s="1">
        <v>46059</v>
      </c>
      <c r="D477" t="s">
        <v>335</v>
      </c>
    </row>
    <row r="478" spans="1:4">
      <c r="A478">
        <v>1477</v>
      </c>
      <c r="B478">
        <v>45</v>
      </c>
      <c r="C478" s="1">
        <v>46198</v>
      </c>
      <c r="D478" t="s">
        <v>335</v>
      </c>
    </row>
    <row r="479" spans="1:4">
      <c r="A479">
        <v>1478</v>
      </c>
      <c r="B479">
        <v>147</v>
      </c>
      <c r="C479" s="1">
        <v>46105</v>
      </c>
      <c r="D479" t="s">
        <v>335</v>
      </c>
    </row>
    <row r="480" spans="1:4">
      <c r="A480">
        <v>1479</v>
      </c>
      <c r="B480">
        <v>106</v>
      </c>
      <c r="C480" s="1">
        <v>46166</v>
      </c>
      <c r="D480" t="s">
        <v>335</v>
      </c>
    </row>
    <row r="481" spans="1:4">
      <c r="A481">
        <v>1480</v>
      </c>
      <c r="B481">
        <v>67</v>
      </c>
      <c r="C481" s="1">
        <v>46161</v>
      </c>
      <c r="D481" t="s">
        <v>335</v>
      </c>
    </row>
    <row r="482" spans="1:4">
      <c r="A482">
        <v>1481</v>
      </c>
      <c r="B482">
        <v>229</v>
      </c>
      <c r="C482" s="1">
        <v>46203</v>
      </c>
      <c r="D482" t="s">
        <v>335</v>
      </c>
    </row>
    <row r="483" spans="1:4">
      <c r="A483">
        <v>1482</v>
      </c>
      <c r="B483">
        <v>159</v>
      </c>
      <c r="C483" s="1">
        <v>46142</v>
      </c>
      <c r="D483" t="s">
        <v>335</v>
      </c>
    </row>
    <row r="484" spans="1:4">
      <c r="A484">
        <v>1483</v>
      </c>
      <c r="B484">
        <v>170</v>
      </c>
      <c r="C484" s="1">
        <v>46069</v>
      </c>
      <c r="D484" t="s">
        <v>335</v>
      </c>
    </row>
    <row r="485" spans="1:4">
      <c r="A485">
        <v>1484</v>
      </c>
      <c r="B485">
        <v>295</v>
      </c>
      <c r="C485" s="1">
        <v>46095</v>
      </c>
      <c r="D485" t="s">
        <v>335</v>
      </c>
    </row>
    <row r="486" spans="1:4">
      <c r="A486">
        <v>1485</v>
      </c>
      <c r="B486">
        <v>155</v>
      </c>
      <c r="C486" s="1">
        <v>46189</v>
      </c>
      <c r="D486" t="s">
        <v>335</v>
      </c>
    </row>
    <row r="487" spans="1:4">
      <c r="A487">
        <v>1486</v>
      </c>
      <c r="B487">
        <v>221</v>
      </c>
      <c r="C487" s="1">
        <v>46076</v>
      </c>
      <c r="D487" t="s">
        <v>335</v>
      </c>
    </row>
    <row r="488" spans="1:4">
      <c r="A488">
        <v>1487</v>
      </c>
      <c r="B488">
        <v>238</v>
      </c>
      <c r="C488" s="1">
        <v>46147</v>
      </c>
      <c r="D488" t="s">
        <v>335</v>
      </c>
    </row>
    <row r="489" spans="1:4">
      <c r="A489">
        <v>1488</v>
      </c>
      <c r="B489">
        <v>195</v>
      </c>
      <c r="C489" s="1">
        <v>46175</v>
      </c>
      <c r="D489" t="s">
        <v>335</v>
      </c>
    </row>
    <row r="490" spans="1:4">
      <c r="A490">
        <v>1489</v>
      </c>
      <c r="B490">
        <v>77</v>
      </c>
      <c r="C490" s="1">
        <v>46023</v>
      </c>
      <c r="D490" t="s">
        <v>335</v>
      </c>
    </row>
    <row r="491" spans="1:4">
      <c r="A491">
        <v>1490</v>
      </c>
      <c r="B491">
        <v>223</v>
      </c>
      <c r="C491" s="1">
        <v>46196</v>
      </c>
      <c r="D491" t="s">
        <v>335</v>
      </c>
    </row>
    <row r="492" spans="1:4">
      <c r="A492">
        <v>1491</v>
      </c>
      <c r="B492">
        <v>184</v>
      </c>
      <c r="C492" s="1">
        <v>46023</v>
      </c>
      <c r="D492" t="s">
        <v>335</v>
      </c>
    </row>
    <row r="493" spans="1:4">
      <c r="A493">
        <v>1492</v>
      </c>
      <c r="B493">
        <v>223</v>
      </c>
      <c r="C493" s="1">
        <v>46120</v>
      </c>
      <c r="D493" t="s">
        <v>335</v>
      </c>
    </row>
    <row r="494" spans="1:4">
      <c r="A494">
        <v>1493</v>
      </c>
      <c r="B494">
        <v>65</v>
      </c>
      <c r="C494" s="1">
        <v>46062</v>
      </c>
      <c r="D494" t="s">
        <v>335</v>
      </c>
    </row>
    <row r="495" spans="1:4">
      <c r="A495">
        <v>1494</v>
      </c>
      <c r="B495">
        <v>70</v>
      </c>
      <c r="C495" s="1">
        <v>46134</v>
      </c>
      <c r="D495" t="s">
        <v>336</v>
      </c>
    </row>
    <row r="496" spans="1:4">
      <c r="A496">
        <v>1495</v>
      </c>
      <c r="B496">
        <v>218</v>
      </c>
      <c r="C496" s="1">
        <v>46201</v>
      </c>
      <c r="D496" t="s">
        <v>335</v>
      </c>
    </row>
    <row r="497" spans="1:4">
      <c r="A497">
        <v>1496</v>
      </c>
      <c r="B497">
        <v>122</v>
      </c>
      <c r="C497" s="1">
        <v>46150</v>
      </c>
      <c r="D497" t="s">
        <v>335</v>
      </c>
    </row>
    <row r="498" spans="1:4">
      <c r="A498">
        <v>1497</v>
      </c>
      <c r="B498">
        <v>270</v>
      </c>
      <c r="C498" s="1">
        <v>46199</v>
      </c>
      <c r="D498" t="s">
        <v>335</v>
      </c>
    </row>
    <row r="499" spans="1:4">
      <c r="A499">
        <v>1498</v>
      </c>
      <c r="B499">
        <v>277</v>
      </c>
      <c r="C499" s="1">
        <v>46042</v>
      </c>
      <c r="D499" t="s">
        <v>335</v>
      </c>
    </row>
    <row r="500" spans="1:4">
      <c r="A500">
        <v>1499</v>
      </c>
      <c r="B500">
        <v>151</v>
      </c>
      <c r="C500" s="1">
        <v>46130</v>
      </c>
      <c r="D500" t="s">
        <v>335</v>
      </c>
    </row>
    <row r="501" spans="1:4">
      <c r="A501">
        <v>1500</v>
      </c>
      <c r="B501">
        <v>14</v>
      </c>
      <c r="C501" s="1">
        <v>46191</v>
      </c>
      <c r="D501" t="s">
        <v>336</v>
      </c>
    </row>
    <row r="502" spans="1:4">
      <c r="A502">
        <v>1501</v>
      </c>
      <c r="B502">
        <v>144</v>
      </c>
      <c r="C502" s="1">
        <v>46087</v>
      </c>
      <c r="D502" t="s">
        <v>335</v>
      </c>
    </row>
    <row r="503" spans="1:4">
      <c r="A503">
        <v>1502</v>
      </c>
      <c r="B503">
        <v>121</v>
      </c>
      <c r="C503" s="1">
        <v>46067</v>
      </c>
      <c r="D503" t="s">
        <v>335</v>
      </c>
    </row>
    <row r="504" spans="1:4">
      <c r="A504">
        <v>1503</v>
      </c>
      <c r="B504">
        <v>212</v>
      </c>
      <c r="C504" s="1">
        <v>46149</v>
      </c>
      <c r="D504" t="s">
        <v>335</v>
      </c>
    </row>
    <row r="505" spans="1:4">
      <c r="A505">
        <v>1504</v>
      </c>
      <c r="B505">
        <v>60</v>
      </c>
      <c r="C505" s="1">
        <v>46090</v>
      </c>
      <c r="D505" t="s">
        <v>335</v>
      </c>
    </row>
    <row r="506" spans="1:4">
      <c r="A506">
        <v>1505</v>
      </c>
      <c r="B506">
        <v>200</v>
      </c>
      <c r="C506" s="1">
        <v>46082</v>
      </c>
      <c r="D506" t="s">
        <v>335</v>
      </c>
    </row>
    <row r="507" spans="1:4">
      <c r="A507">
        <v>1506</v>
      </c>
      <c r="B507">
        <v>22</v>
      </c>
      <c r="C507" s="1">
        <v>46158</v>
      </c>
      <c r="D507" t="s">
        <v>335</v>
      </c>
    </row>
    <row r="508" spans="1:4">
      <c r="A508">
        <v>1507</v>
      </c>
      <c r="B508">
        <v>51</v>
      </c>
      <c r="C508" s="1">
        <v>46108</v>
      </c>
      <c r="D508" t="s">
        <v>335</v>
      </c>
    </row>
    <row r="509" spans="1:4">
      <c r="A509">
        <v>1508</v>
      </c>
      <c r="B509">
        <v>93</v>
      </c>
      <c r="C509" s="1">
        <v>46072</v>
      </c>
      <c r="D509" t="s">
        <v>335</v>
      </c>
    </row>
    <row r="510" spans="1:4">
      <c r="A510">
        <v>1509</v>
      </c>
      <c r="B510">
        <v>146</v>
      </c>
      <c r="C510" s="1">
        <v>46112</v>
      </c>
      <c r="D510" t="s">
        <v>335</v>
      </c>
    </row>
    <row r="511" spans="1:4">
      <c r="A511">
        <v>1510</v>
      </c>
      <c r="B511">
        <v>62</v>
      </c>
      <c r="C511" s="1">
        <v>46176</v>
      </c>
      <c r="D511" t="s">
        <v>335</v>
      </c>
    </row>
    <row r="512" spans="1:4">
      <c r="A512">
        <v>1511</v>
      </c>
      <c r="B512">
        <v>130</v>
      </c>
      <c r="C512" s="1">
        <v>46051</v>
      </c>
      <c r="D512" t="s">
        <v>335</v>
      </c>
    </row>
    <row r="513" spans="1:4">
      <c r="A513">
        <v>1512</v>
      </c>
      <c r="B513">
        <v>38</v>
      </c>
      <c r="C513" s="1">
        <v>46105</v>
      </c>
      <c r="D513" t="s">
        <v>335</v>
      </c>
    </row>
    <row r="514" spans="1:4">
      <c r="A514">
        <v>1513</v>
      </c>
      <c r="B514">
        <v>103</v>
      </c>
      <c r="C514" s="1">
        <v>46135</v>
      </c>
      <c r="D514" t="s">
        <v>335</v>
      </c>
    </row>
    <row r="515" spans="1:4">
      <c r="A515">
        <v>1514</v>
      </c>
      <c r="B515">
        <v>38</v>
      </c>
      <c r="C515" s="1">
        <v>46089</v>
      </c>
      <c r="D515" t="s">
        <v>335</v>
      </c>
    </row>
    <row r="516" spans="1:4">
      <c r="A516">
        <v>1515</v>
      </c>
      <c r="B516">
        <v>20</v>
      </c>
      <c r="C516" s="1">
        <v>46186</v>
      </c>
      <c r="D516" t="s">
        <v>335</v>
      </c>
    </row>
    <row r="517" spans="1:4">
      <c r="A517">
        <v>1516</v>
      </c>
      <c r="B517">
        <v>36</v>
      </c>
      <c r="C517" s="1">
        <v>46126</v>
      </c>
      <c r="D517" t="s">
        <v>335</v>
      </c>
    </row>
    <row r="518" spans="1:4">
      <c r="A518">
        <v>1517</v>
      </c>
      <c r="B518">
        <v>175</v>
      </c>
      <c r="C518" s="1">
        <v>46046</v>
      </c>
      <c r="D518" t="s">
        <v>335</v>
      </c>
    </row>
    <row r="519" spans="1:4">
      <c r="A519">
        <v>1518</v>
      </c>
      <c r="B519">
        <v>200</v>
      </c>
      <c r="C519" s="1">
        <v>46192</v>
      </c>
      <c r="D519" t="s">
        <v>335</v>
      </c>
    </row>
    <row r="520" spans="1:4">
      <c r="A520">
        <v>1519</v>
      </c>
      <c r="B520">
        <v>13</v>
      </c>
      <c r="C520" s="1">
        <v>46058</v>
      </c>
      <c r="D520" t="s">
        <v>335</v>
      </c>
    </row>
    <row r="521" spans="1:4">
      <c r="A521">
        <v>1520</v>
      </c>
      <c r="B521">
        <v>173</v>
      </c>
      <c r="C521" s="1">
        <v>46032</v>
      </c>
      <c r="D521" t="s">
        <v>335</v>
      </c>
    </row>
    <row r="522" spans="1:4">
      <c r="A522">
        <v>1521</v>
      </c>
      <c r="B522">
        <v>10</v>
      </c>
      <c r="C522" s="1">
        <v>46059</v>
      </c>
      <c r="D522" t="s">
        <v>335</v>
      </c>
    </row>
    <row r="523" spans="1:4">
      <c r="A523">
        <v>1522</v>
      </c>
      <c r="B523">
        <v>33</v>
      </c>
      <c r="C523" s="1">
        <v>46139</v>
      </c>
      <c r="D523" t="s">
        <v>335</v>
      </c>
    </row>
    <row r="524" spans="1:4">
      <c r="A524">
        <v>1523</v>
      </c>
      <c r="B524">
        <v>206</v>
      </c>
      <c r="C524" s="1">
        <v>46132</v>
      </c>
      <c r="D524" t="s">
        <v>335</v>
      </c>
    </row>
    <row r="525" spans="1:4">
      <c r="A525">
        <v>1524</v>
      </c>
      <c r="B525">
        <v>62</v>
      </c>
      <c r="C525" s="1">
        <v>46067</v>
      </c>
      <c r="D525" t="s">
        <v>335</v>
      </c>
    </row>
    <row r="526" spans="1:4">
      <c r="A526">
        <v>1525</v>
      </c>
      <c r="B526">
        <v>193</v>
      </c>
      <c r="C526" s="1">
        <v>46057</v>
      </c>
      <c r="D526" t="s">
        <v>335</v>
      </c>
    </row>
    <row r="527" spans="1:4">
      <c r="A527">
        <v>1526</v>
      </c>
      <c r="B527">
        <v>146</v>
      </c>
      <c r="C527" s="1">
        <v>46189</v>
      </c>
      <c r="D527" t="s">
        <v>335</v>
      </c>
    </row>
    <row r="528" spans="1:4">
      <c r="A528">
        <v>1527</v>
      </c>
      <c r="B528">
        <v>20</v>
      </c>
      <c r="C528" s="1">
        <v>46067</v>
      </c>
      <c r="D528" t="s">
        <v>335</v>
      </c>
    </row>
    <row r="529" spans="1:4">
      <c r="A529">
        <v>1528</v>
      </c>
      <c r="B529">
        <v>277</v>
      </c>
      <c r="C529" s="1">
        <v>46047</v>
      </c>
      <c r="D529" t="s">
        <v>335</v>
      </c>
    </row>
    <row r="530" spans="1:4">
      <c r="A530">
        <v>1529</v>
      </c>
      <c r="B530">
        <v>23</v>
      </c>
      <c r="C530" s="1">
        <v>46150</v>
      </c>
      <c r="D530" t="s">
        <v>335</v>
      </c>
    </row>
    <row r="531" spans="1:4">
      <c r="A531">
        <v>1530</v>
      </c>
      <c r="B531">
        <v>27</v>
      </c>
      <c r="C531" s="1">
        <v>46034</v>
      </c>
      <c r="D531" t="s">
        <v>335</v>
      </c>
    </row>
    <row r="532" spans="1:4">
      <c r="A532">
        <v>1531</v>
      </c>
      <c r="B532">
        <v>167</v>
      </c>
      <c r="C532" s="1">
        <v>46130</v>
      </c>
      <c r="D532" t="s">
        <v>335</v>
      </c>
    </row>
    <row r="533" spans="1:4">
      <c r="A533">
        <v>1532</v>
      </c>
      <c r="B533">
        <v>38</v>
      </c>
      <c r="C533" s="1">
        <v>46119</v>
      </c>
      <c r="D533" t="s">
        <v>334</v>
      </c>
    </row>
    <row r="534" spans="1:4">
      <c r="A534">
        <v>1533</v>
      </c>
      <c r="B534">
        <v>233</v>
      </c>
      <c r="C534" s="1">
        <v>46060</v>
      </c>
      <c r="D534" t="s">
        <v>335</v>
      </c>
    </row>
    <row r="535" spans="1:4">
      <c r="A535">
        <v>1534</v>
      </c>
      <c r="B535">
        <v>17</v>
      </c>
      <c r="C535" s="1">
        <v>46074</v>
      </c>
      <c r="D535" t="s">
        <v>335</v>
      </c>
    </row>
    <row r="536" spans="1:4">
      <c r="A536">
        <v>1535</v>
      </c>
      <c r="B536">
        <v>88</v>
      </c>
      <c r="C536" s="1">
        <v>46177</v>
      </c>
      <c r="D536" t="s">
        <v>335</v>
      </c>
    </row>
    <row r="537" spans="1:4">
      <c r="A537">
        <v>1536</v>
      </c>
      <c r="B537">
        <v>127</v>
      </c>
      <c r="C537" s="1">
        <v>46132</v>
      </c>
      <c r="D537" t="s">
        <v>335</v>
      </c>
    </row>
    <row r="538" spans="1:4">
      <c r="A538">
        <v>1537</v>
      </c>
      <c r="B538">
        <v>214</v>
      </c>
      <c r="C538" s="1">
        <v>46169</v>
      </c>
      <c r="D538" t="s">
        <v>334</v>
      </c>
    </row>
    <row r="539" spans="1:4">
      <c r="A539">
        <v>1538</v>
      </c>
      <c r="B539">
        <v>272</v>
      </c>
      <c r="C539" s="1">
        <v>46152</v>
      </c>
      <c r="D539" t="s">
        <v>335</v>
      </c>
    </row>
    <row r="540" spans="1:4">
      <c r="A540">
        <v>1539</v>
      </c>
      <c r="B540">
        <v>68</v>
      </c>
      <c r="C540" s="1">
        <v>46127</v>
      </c>
      <c r="D540" t="s">
        <v>333</v>
      </c>
    </row>
    <row r="541" spans="1:4">
      <c r="A541">
        <v>1540</v>
      </c>
      <c r="B541">
        <v>293</v>
      </c>
      <c r="C541" s="1">
        <v>46064</v>
      </c>
      <c r="D541" t="s">
        <v>335</v>
      </c>
    </row>
    <row r="542" spans="1:4">
      <c r="A542">
        <v>1541</v>
      </c>
      <c r="B542">
        <v>37</v>
      </c>
      <c r="C542" s="1">
        <v>46185</v>
      </c>
      <c r="D542" t="s">
        <v>335</v>
      </c>
    </row>
    <row r="543" spans="1:4">
      <c r="A543">
        <v>1542</v>
      </c>
      <c r="B543">
        <v>42</v>
      </c>
      <c r="C543" s="1">
        <v>46170</v>
      </c>
      <c r="D543" t="s">
        <v>335</v>
      </c>
    </row>
    <row r="544" spans="1:4">
      <c r="A544">
        <v>1543</v>
      </c>
      <c r="B544">
        <v>35</v>
      </c>
      <c r="C544" s="1">
        <v>46067</v>
      </c>
      <c r="D544" t="s">
        <v>335</v>
      </c>
    </row>
    <row r="545" spans="1:4">
      <c r="A545">
        <v>1544</v>
      </c>
      <c r="B545">
        <v>116</v>
      </c>
      <c r="C545" s="1">
        <v>46076</v>
      </c>
      <c r="D545" t="s">
        <v>335</v>
      </c>
    </row>
    <row r="546" spans="1:4">
      <c r="A546">
        <v>1545</v>
      </c>
      <c r="B546">
        <v>241</v>
      </c>
      <c r="C546" s="1">
        <v>46157</v>
      </c>
      <c r="D546" t="s">
        <v>335</v>
      </c>
    </row>
    <row r="547" spans="1:4">
      <c r="A547">
        <v>1546</v>
      </c>
      <c r="B547">
        <v>235</v>
      </c>
      <c r="C547" s="1">
        <v>46071</v>
      </c>
      <c r="D547" t="s">
        <v>334</v>
      </c>
    </row>
    <row r="548" spans="1:4">
      <c r="A548">
        <v>1547</v>
      </c>
      <c r="B548">
        <v>40</v>
      </c>
      <c r="C548" s="1">
        <v>46068</v>
      </c>
      <c r="D548" t="s">
        <v>335</v>
      </c>
    </row>
    <row r="549" spans="1:4">
      <c r="A549">
        <v>1548</v>
      </c>
      <c r="B549">
        <v>12</v>
      </c>
      <c r="C549" s="1">
        <v>46156</v>
      </c>
      <c r="D549" t="s">
        <v>333</v>
      </c>
    </row>
    <row r="550" spans="1:4">
      <c r="A550">
        <v>1549</v>
      </c>
      <c r="B550">
        <v>97</v>
      </c>
      <c r="C550" s="1">
        <v>46188</v>
      </c>
      <c r="D550" t="s">
        <v>335</v>
      </c>
    </row>
    <row r="551" spans="1:4">
      <c r="A551">
        <v>1550</v>
      </c>
      <c r="B551">
        <v>168</v>
      </c>
      <c r="C551" s="1">
        <v>46110</v>
      </c>
      <c r="D551" t="s">
        <v>335</v>
      </c>
    </row>
    <row r="552" spans="1:4">
      <c r="A552">
        <v>1551</v>
      </c>
      <c r="B552">
        <v>191</v>
      </c>
      <c r="C552" s="1">
        <v>46089</v>
      </c>
      <c r="D552" t="s">
        <v>335</v>
      </c>
    </row>
    <row r="553" spans="1:4">
      <c r="A553">
        <v>1552</v>
      </c>
      <c r="B553">
        <v>90</v>
      </c>
      <c r="C553" s="1">
        <v>46160</v>
      </c>
      <c r="D553" t="s">
        <v>335</v>
      </c>
    </row>
    <row r="554" spans="1:4">
      <c r="A554">
        <v>1553</v>
      </c>
      <c r="B554">
        <v>288</v>
      </c>
      <c r="C554" s="1">
        <v>46117</v>
      </c>
      <c r="D554" t="s">
        <v>335</v>
      </c>
    </row>
    <row r="555" spans="1:4">
      <c r="A555">
        <v>1554</v>
      </c>
      <c r="B555">
        <v>256</v>
      </c>
      <c r="C555" s="1">
        <v>46029</v>
      </c>
      <c r="D555" t="s">
        <v>335</v>
      </c>
    </row>
    <row r="556" spans="1:4">
      <c r="A556">
        <v>1555</v>
      </c>
      <c r="B556">
        <v>152</v>
      </c>
      <c r="C556" s="1">
        <v>46107</v>
      </c>
      <c r="D556" t="s">
        <v>335</v>
      </c>
    </row>
    <row r="557" spans="1:4">
      <c r="A557">
        <v>1556</v>
      </c>
      <c r="B557">
        <v>60</v>
      </c>
      <c r="C557" s="1">
        <v>46058</v>
      </c>
      <c r="D557" t="s">
        <v>335</v>
      </c>
    </row>
    <row r="558" spans="1:4">
      <c r="A558">
        <v>1557</v>
      </c>
      <c r="B558">
        <v>143</v>
      </c>
      <c r="C558" s="1">
        <v>46172</v>
      </c>
      <c r="D558" t="s">
        <v>335</v>
      </c>
    </row>
    <row r="559" spans="1:4">
      <c r="A559">
        <v>1558</v>
      </c>
      <c r="B559">
        <v>252</v>
      </c>
      <c r="C559" s="1">
        <v>46154</v>
      </c>
      <c r="D559" t="s">
        <v>335</v>
      </c>
    </row>
    <row r="560" spans="1:4">
      <c r="A560">
        <v>1559</v>
      </c>
      <c r="B560">
        <v>177</v>
      </c>
      <c r="C560" s="1">
        <v>46118</v>
      </c>
      <c r="D560" t="s">
        <v>335</v>
      </c>
    </row>
    <row r="561" spans="1:4">
      <c r="A561">
        <v>1560</v>
      </c>
      <c r="B561">
        <v>218</v>
      </c>
      <c r="C561" s="1">
        <v>46096</v>
      </c>
      <c r="D561" t="s">
        <v>335</v>
      </c>
    </row>
    <row r="562" spans="1:4">
      <c r="A562">
        <v>1561</v>
      </c>
      <c r="B562">
        <v>193</v>
      </c>
      <c r="C562" s="1">
        <v>46039</v>
      </c>
      <c r="D562" t="s">
        <v>333</v>
      </c>
    </row>
    <row r="563" spans="1:4">
      <c r="A563">
        <v>1562</v>
      </c>
      <c r="B563">
        <v>237</v>
      </c>
      <c r="C563" s="1">
        <v>46129</v>
      </c>
      <c r="D563" t="s">
        <v>335</v>
      </c>
    </row>
    <row r="564" spans="1:4">
      <c r="A564">
        <v>1563</v>
      </c>
      <c r="B564">
        <v>238</v>
      </c>
      <c r="C564" s="1">
        <v>46100</v>
      </c>
      <c r="D564" t="s">
        <v>335</v>
      </c>
    </row>
    <row r="565" spans="1:4">
      <c r="A565">
        <v>1564</v>
      </c>
      <c r="B565">
        <v>148</v>
      </c>
      <c r="C565" s="1">
        <v>46143</v>
      </c>
      <c r="D565" t="s">
        <v>335</v>
      </c>
    </row>
    <row r="566" spans="1:4">
      <c r="A566">
        <v>1565</v>
      </c>
      <c r="B566">
        <v>298</v>
      </c>
      <c r="C566" s="1">
        <v>46176</v>
      </c>
      <c r="D566" t="s">
        <v>335</v>
      </c>
    </row>
    <row r="567" spans="1:4">
      <c r="A567">
        <v>1566</v>
      </c>
      <c r="B567">
        <v>133</v>
      </c>
      <c r="C567" s="1">
        <v>46170</v>
      </c>
      <c r="D567" t="s">
        <v>335</v>
      </c>
    </row>
    <row r="568" spans="1:4">
      <c r="A568">
        <v>1567</v>
      </c>
      <c r="B568">
        <v>185</v>
      </c>
      <c r="C568" s="1">
        <v>46064</v>
      </c>
      <c r="D568" t="s">
        <v>335</v>
      </c>
    </row>
    <row r="569" spans="1:4">
      <c r="A569">
        <v>1568</v>
      </c>
      <c r="B569">
        <v>49</v>
      </c>
      <c r="C569" s="1">
        <v>46183</v>
      </c>
      <c r="D569" t="s">
        <v>335</v>
      </c>
    </row>
    <row r="570" spans="1:4">
      <c r="A570">
        <v>1569</v>
      </c>
      <c r="B570">
        <v>7</v>
      </c>
      <c r="C570" s="1">
        <v>46113</v>
      </c>
      <c r="D570" t="s">
        <v>335</v>
      </c>
    </row>
    <row r="571" spans="1:4">
      <c r="A571">
        <v>1570</v>
      </c>
      <c r="B571">
        <v>258</v>
      </c>
      <c r="C571" s="1">
        <v>46049</v>
      </c>
      <c r="D571" t="s">
        <v>335</v>
      </c>
    </row>
    <row r="572" spans="1:4">
      <c r="A572">
        <v>1571</v>
      </c>
      <c r="B572">
        <v>160</v>
      </c>
      <c r="C572" s="1">
        <v>46027</v>
      </c>
      <c r="D572" t="s">
        <v>335</v>
      </c>
    </row>
    <row r="573" spans="1:4">
      <c r="A573">
        <v>1572</v>
      </c>
      <c r="B573">
        <v>158</v>
      </c>
      <c r="C573" s="1">
        <v>46059</v>
      </c>
      <c r="D573" t="s">
        <v>335</v>
      </c>
    </row>
    <row r="574" spans="1:4">
      <c r="A574">
        <v>1573</v>
      </c>
      <c r="B574">
        <v>248</v>
      </c>
      <c r="C574" s="1">
        <v>46042</v>
      </c>
      <c r="D574" t="s">
        <v>335</v>
      </c>
    </row>
    <row r="575" spans="1:4">
      <c r="A575">
        <v>1574</v>
      </c>
      <c r="B575">
        <v>155</v>
      </c>
      <c r="C575" s="1">
        <v>46087</v>
      </c>
      <c r="D575" t="s">
        <v>335</v>
      </c>
    </row>
    <row r="576" spans="1:4">
      <c r="A576">
        <v>1575</v>
      </c>
      <c r="B576">
        <v>179</v>
      </c>
      <c r="C576" s="1">
        <v>46094</v>
      </c>
      <c r="D576" t="s">
        <v>333</v>
      </c>
    </row>
    <row r="577" spans="1:4">
      <c r="A577">
        <v>1576</v>
      </c>
      <c r="B577">
        <v>99</v>
      </c>
      <c r="C577" s="1">
        <v>46026</v>
      </c>
      <c r="D577" t="s">
        <v>335</v>
      </c>
    </row>
    <row r="578" spans="1:4">
      <c r="A578">
        <v>1577</v>
      </c>
      <c r="B578">
        <v>95</v>
      </c>
      <c r="C578" s="1">
        <v>46116</v>
      </c>
      <c r="D578" t="s">
        <v>335</v>
      </c>
    </row>
    <row r="579" spans="1:4">
      <c r="A579">
        <v>1578</v>
      </c>
      <c r="B579">
        <v>161</v>
      </c>
      <c r="C579" s="1">
        <v>46051</v>
      </c>
      <c r="D579" t="s">
        <v>335</v>
      </c>
    </row>
    <row r="580" spans="1:4">
      <c r="A580">
        <v>1579</v>
      </c>
      <c r="B580">
        <v>43</v>
      </c>
      <c r="C580" s="1">
        <v>46165</v>
      </c>
      <c r="D580" t="s">
        <v>335</v>
      </c>
    </row>
    <row r="581" spans="1:4">
      <c r="A581">
        <v>1580</v>
      </c>
      <c r="B581">
        <v>149</v>
      </c>
      <c r="C581" s="1">
        <v>46080</v>
      </c>
      <c r="D581" t="s">
        <v>335</v>
      </c>
    </row>
    <row r="582" spans="1:4">
      <c r="A582">
        <v>1581</v>
      </c>
      <c r="B582">
        <v>44</v>
      </c>
      <c r="C582" s="1">
        <v>46124</v>
      </c>
      <c r="D582" t="s">
        <v>335</v>
      </c>
    </row>
    <row r="583" spans="1:4">
      <c r="A583">
        <v>1582</v>
      </c>
      <c r="B583">
        <v>102</v>
      </c>
      <c r="C583" s="1">
        <v>46039</v>
      </c>
      <c r="D583" t="s">
        <v>335</v>
      </c>
    </row>
    <row r="584" spans="1:4">
      <c r="A584">
        <v>1583</v>
      </c>
      <c r="B584">
        <v>205</v>
      </c>
      <c r="C584" s="1">
        <v>46171</v>
      </c>
      <c r="D584" t="s">
        <v>335</v>
      </c>
    </row>
    <row r="585" spans="1:4">
      <c r="A585">
        <v>1584</v>
      </c>
      <c r="B585">
        <v>119</v>
      </c>
      <c r="C585" s="1">
        <v>46087</v>
      </c>
      <c r="D585" t="s">
        <v>335</v>
      </c>
    </row>
    <row r="586" spans="1:4">
      <c r="A586">
        <v>1585</v>
      </c>
      <c r="B586">
        <v>50</v>
      </c>
      <c r="C586" s="1">
        <v>46106</v>
      </c>
      <c r="D586" t="s">
        <v>335</v>
      </c>
    </row>
    <row r="587" spans="1:4">
      <c r="A587">
        <v>1586</v>
      </c>
      <c r="B587">
        <v>176</v>
      </c>
      <c r="C587" s="1">
        <v>46152</v>
      </c>
      <c r="D587" t="s">
        <v>335</v>
      </c>
    </row>
    <row r="588" spans="1:4">
      <c r="A588">
        <v>1587</v>
      </c>
      <c r="B588">
        <v>156</v>
      </c>
      <c r="C588" s="1">
        <v>46031</v>
      </c>
      <c r="D588" t="s">
        <v>335</v>
      </c>
    </row>
    <row r="589" spans="1:4">
      <c r="A589">
        <v>1588</v>
      </c>
      <c r="B589">
        <v>293</v>
      </c>
      <c r="C589" s="1">
        <v>46164</v>
      </c>
      <c r="D589" t="s">
        <v>335</v>
      </c>
    </row>
    <row r="590" spans="1:4">
      <c r="A590">
        <v>1589</v>
      </c>
      <c r="B590">
        <v>146</v>
      </c>
      <c r="C590" s="1">
        <v>46196</v>
      </c>
      <c r="D590" t="s">
        <v>335</v>
      </c>
    </row>
    <row r="591" spans="1:4">
      <c r="A591">
        <v>1590</v>
      </c>
      <c r="B591">
        <v>50</v>
      </c>
      <c r="C591" s="1">
        <v>46183</v>
      </c>
      <c r="D591" t="s">
        <v>335</v>
      </c>
    </row>
    <row r="592" spans="1:4">
      <c r="A592">
        <v>1591</v>
      </c>
      <c r="B592">
        <v>34</v>
      </c>
      <c r="C592" s="1">
        <v>46174</v>
      </c>
      <c r="D592" t="s">
        <v>335</v>
      </c>
    </row>
    <row r="593" spans="1:4">
      <c r="A593">
        <v>1592</v>
      </c>
      <c r="B593">
        <v>216</v>
      </c>
      <c r="C593" s="1">
        <v>46168</v>
      </c>
      <c r="D593" t="s">
        <v>335</v>
      </c>
    </row>
    <row r="594" spans="1:4">
      <c r="A594">
        <v>1593</v>
      </c>
      <c r="B594">
        <v>106</v>
      </c>
      <c r="C594" s="1">
        <v>46048</v>
      </c>
      <c r="D594" t="s">
        <v>335</v>
      </c>
    </row>
    <row r="595" spans="1:4">
      <c r="A595">
        <v>1594</v>
      </c>
      <c r="B595">
        <v>39</v>
      </c>
      <c r="C595" s="1">
        <v>46185</v>
      </c>
      <c r="D595" t="s">
        <v>335</v>
      </c>
    </row>
    <row r="596" spans="1:4">
      <c r="A596">
        <v>1595</v>
      </c>
      <c r="B596">
        <v>173</v>
      </c>
      <c r="C596" s="1">
        <v>46171</v>
      </c>
      <c r="D596" t="s">
        <v>335</v>
      </c>
    </row>
    <row r="597" spans="1:4">
      <c r="A597">
        <v>1596</v>
      </c>
      <c r="B597">
        <v>222</v>
      </c>
      <c r="C597" s="1">
        <v>46152</v>
      </c>
      <c r="D597" t="s">
        <v>335</v>
      </c>
    </row>
    <row r="598" spans="1:4">
      <c r="A598">
        <v>1597</v>
      </c>
      <c r="B598">
        <v>265</v>
      </c>
      <c r="C598" s="1">
        <v>46027</v>
      </c>
      <c r="D598" t="s">
        <v>335</v>
      </c>
    </row>
    <row r="599" spans="1:4">
      <c r="A599">
        <v>1598</v>
      </c>
      <c r="B599">
        <v>273</v>
      </c>
      <c r="C599" s="1">
        <v>46091</v>
      </c>
      <c r="D599" t="s">
        <v>333</v>
      </c>
    </row>
    <row r="600" spans="1:4">
      <c r="A600">
        <v>1599</v>
      </c>
      <c r="B600">
        <v>223</v>
      </c>
      <c r="C600" s="1">
        <v>46198</v>
      </c>
      <c r="D600" t="s">
        <v>335</v>
      </c>
    </row>
    <row r="601" spans="1:4">
      <c r="A601">
        <v>1600</v>
      </c>
      <c r="B601">
        <v>123</v>
      </c>
      <c r="C601" s="1">
        <v>46176</v>
      </c>
      <c r="D601" t="s">
        <v>335</v>
      </c>
    </row>
    <row r="602" spans="1:4">
      <c r="A602">
        <v>1601</v>
      </c>
      <c r="B602">
        <v>217</v>
      </c>
      <c r="C602" s="1">
        <v>46166</v>
      </c>
      <c r="D602" t="s">
        <v>336</v>
      </c>
    </row>
    <row r="603" spans="1:4">
      <c r="A603">
        <v>1602</v>
      </c>
      <c r="B603">
        <v>91</v>
      </c>
      <c r="C603" s="1">
        <v>46094</v>
      </c>
      <c r="D603" t="s">
        <v>335</v>
      </c>
    </row>
    <row r="604" spans="1:4">
      <c r="A604">
        <v>1603</v>
      </c>
      <c r="B604">
        <v>47</v>
      </c>
      <c r="C604" s="1">
        <v>46116</v>
      </c>
      <c r="D604" t="s">
        <v>335</v>
      </c>
    </row>
    <row r="605" spans="1:4">
      <c r="A605">
        <v>1604</v>
      </c>
      <c r="B605">
        <v>269</v>
      </c>
      <c r="C605" s="1">
        <v>46171</v>
      </c>
      <c r="D605" t="s">
        <v>333</v>
      </c>
    </row>
    <row r="606" spans="1:4">
      <c r="A606">
        <v>1605</v>
      </c>
      <c r="B606">
        <v>200</v>
      </c>
      <c r="C606" s="1">
        <v>46107</v>
      </c>
      <c r="D606" t="s">
        <v>335</v>
      </c>
    </row>
    <row r="607" spans="1:4">
      <c r="A607">
        <v>1606</v>
      </c>
      <c r="B607">
        <v>274</v>
      </c>
      <c r="C607" s="1">
        <v>46173</v>
      </c>
      <c r="D607" t="s">
        <v>335</v>
      </c>
    </row>
    <row r="608" spans="1:4">
      <c r="A608">
        <v>1607</v>
      </c>
      <c r="B608">
        <v>189</v>
      </c>
      <c r="C608" s="1">
        <v>46115</v>
      </c>
      <c r="D608" t="s">
        <v>335</v>
      </c>
    </row>
    <row r="609" spans="1:4">
      <c r="A609">
        <v>1608</v>
      </c>
      <c r="B609">
        <v>186</v>
      </c>
      <c r="C609" s="1">
        <v>46121</v>
      </c>
      <c r="D609" t="s">
        <v>335</v>
      </c>
    </row>
    <row r="610" spans="1:4">
      <c r="A610">
        <v>1609</v>
      </c>
      <c r="B610">
        <v>121</v>
      </c>
      <c r="C610" s="1">
        <v>46100</v>
      </c>
      <c r="D610" t="s">
        <v>335</v>
      </c>
    </row>
    <row r="611" spans="1:4">
      <c r="A611">
        <v>1610</v>
      </c>
      <c r="B611">
        <v>252</v>
      </c>
      <c r="C611" s="1">
        <v>46093</v>
      </c>
      <c r="D611" t="s">
        <v>334</v>
      </c>
    </row>
    <row r="612" spans="1:4">
      <c r="A612">
        <v>1611</v>
      </c>
      <c r="B612">
        <v>134</v>
      </c>
      <c r="C612" s="1">
        <v>46048</v>
      </c>
      <c r="D612" t="s">
        <v>335</v>
      </c>
    </row>
    <row r="613" spans="1:4">
      <c r="A613">
        <v>1612</v>
      </c>
      <c r="B613">
        <v>206</v>
      </c>
      <c r="C613" s="1">
        <v>46187</v>
      </c>
      <c r="D613" t="s">
        <v>335</v>
      </c>
    </row>
    <row r="614" spans="1:4">
      <c r="A614">
        <v>1613</v>
      </c>
      <c r="B614">
        <v>211</v>
      </c>
      <c r="C614" s="1">
        <v>46189</v>
      </c>
      <c r="D614" t="s">
        <v>335</v>
      </c>
    </row>
    <row r="615" spans="1:4">
      <c r="A615">
        <v>1614</v>
      </c>
      <c r="B615">
        <v>189</v>
      </c>
      <c r="C615" s="1">
        <v>46073</v>
      </c>
      <c r="D615" t="s">
        <v>335</v>
      </c>
    </row>
    <row r="616" spans="1:4">
      <c r="A616">
        <v>1615</v>
      </c>
      <c r="B616">
        <v>118</v>
      </c>
      <c r="C616" s="1">
        <v>46165</v>
      </c>
      <c r="D616" t="s">
        <v>335</v>
      </c>
    </row>
    <row r="617" spans="1:4">
      <c r="A617">
        <v>1616</v>
      </c>
      <c r="B617">
        <v>77</v>
      </c>
      <c r="C617" s="1">
        <v>46132</v>
      </c>
      <c r="D617" t="s">
        <v>335</v>
      </c>
    </row>
    <row r="618" spans="1:4">
      <c r="A618">
        <v>1617</v>
      </c>
      <c r="B618">
        <v>254</v>
      </c>
      <c r="C618" s="1">
        <v>46139</v>
      </c>
      <c r="D618" t="s">
        <v>335</v>
      </c>
    </row>
    <row r="619" spans="1:4">
      <c r="A619">
        <v>1618</v>
      </c>
      <c r="B619">
        <v>221</v>
      </c>
      <c r="C619" s="1">
        <v>46149</v>
      </c>
      <c r="D619" t="s">
        <v>335</v>
      </c>
    </row>
    <row r="620" spans="1:4">
      <c r="A620">
        <v>1619</v>
      </c>
      <c r="B620">
        <v>75</v>
      </c>
      <c r="C620" s="1">
        <v>46069</v>
      </c>
      <c r="D620" t="s">
        <v>335</v>
      </c>
    </row>
    <row r="621" spans="1:4">
      <c r="A621">
        <v>1620</v>
      </c>
      <c r="B621">
        <v>44</v>
      </c>
      <c r="C621" s="1">
        <v>46198</v>
      </c>
      <c r="D621" t="s">
        <v>335</v>
      </c>
    </row>
    <row r="622" spans="1:4">
      <c r="A622">
        <v>1621</v>
      </c>
      <c r="B622">
        <v>132</v>
      </c>
      <c r="C622" s="1">
        <v>46121</v>
      </c>
      <c r="D622" t="s">
        <v>335</v>
      </c>
    </row>
    <row r="623" spans="1:4">
      <c r="A623">
        <v>1622</v>
      </c>
      <c r="B623">
        <v>24</v>
      </c>
      <c r="C623" s="1">
        <v>46178</v>
      </c>
      <c r="D623" t="s">
        <v>333</v>
      </c>
    </row>
    <row r="624" spans="1:4">
      <c r="A624">
        <v>1623</v>
      </c>
      <c r="B624">
        <v>287</v>
      </c>
      <c r="C624" s="1">
        <v>46194</v>
      </c>
      <c r="D624" t="s">
        <v>335</v>
      </c>
    </row>
    <row r="625" spans="1:4">
      <c r="A625">
        <v>1624</v>
      </c>
      <c r="B625">
        <v>272</v>
      </c>
      <c r="C625" s="1">
        <v>46056</v>
      </c>
      <c r="D625" t="s">
        <v>335</v>
      </c>
    </row>
    <row r="626" spans="1:4">
      <c r="A626">
        <v>1625</v>
      </c>
      <c r="B626">
        <v>145</v>
      </c>
      <c r="C626" s="1">
        <v>46115</v>
      </c>
      <c r="D626" t="s">
        <v>333</v>
      </c>
    </row>
    <row r="627" spans="1:4">
      <c r="A627">
        <v>1626</v>
      </c>
      <c r="B627">
        <v>78</v>
      </c>
      <c r="C627" s="1">
        <v>46148</v>
      </c>
      <c r="D627" t="s">
        <v>335</v>
      </c>
    </row>
    <row r="628" spans="1:4">
      <c r="A628">
        <v>1627</v>
      </c>
      <c r="B628">
        <v>60</v>
      </c>
      <c r="C628" s="1">
        <v>46203</v>
      </c>
      <c r="D628" t="s">
        <v>335</v>
      </c>
    </row>
    <row r="629" spans="1:4">
      <c r="A629">
        <v>1628</v>
      </c>
      <c r="B629">
        <v>105</v>
      </c>
      <c r="C629" s="1">
        <v>46054</v>
      </c>
      <c r="D629" t="s">
        <v>335</v>
      </c>
    </row>
    <row r="630" spans="1:4">
      <c r="A630">
        <v>1629</v>
      </c>
      <c r="B630">
        <v>40</v>
      </c>
      <c r="C630" s="1">
        <v>46069</v>
      </c>
      <c r="D630" t="s">
        <v>335</v>
      </c>
    </row>
    <row r="631" spans="1:4">
      <c r="A631">
        <v>1630</v>
      </c>
      <c r="B631">
        <v>55</v>
      </c>
      <c r="C631" s="1">
        <v>46054</v>
      </c>
      <c r="D631" t="s">
        <v>335</v>
      </c>
    </row>
    <row r="632" spans="1:4">
      <c r="A632">
        <v>1631</v>
      </c>
      <c r="B632">
        <v>169</v>
      </c>
      <c r="C632" s="1">
        <v>46175</v>
      </c>
      <c r="D632" t="s">
        <v>335</v>
      </c>
    </row>
    <row r="633" spans="1:4">
      <c r="A633">
        <v>1632</v>
      </c>
      <c r="B633">
        <v>25</v>
      </c>
      <c r="C633" s="1">
        <v>46056</v>
      </c>
      <c r="D633" t="s">
        <v>335</v>
      </c>
    </row>
    <row r="634" spans="1:4">
      <c r="A634">
        <v>1633</v>
      </c>
      <c r="B634">
        <v>107</v>
      </c>
      <c r="C634" s="1">
        <v>46045</v>
      </c>
      <c r="D634" t="s">
        <v>335</v>
      </c>
    </row>
    <row r="635" spans="1:4">
      <c r="A635">
        <v>1634</v>
      </c>
      <c r="B635">
        <v>222</v>
      </c>
      <c r="C635" s="1">
        <v>46099</v>
      </c>
      <c r="D635" t="s">
        <v>335</v>
      </c>
    </row>
    <row r="636" spans="1:4">
      <c r="A636">
        <v>1635</v>
      </c>
      <c r="B636">
        <v>217</v>
      </c>
      <c r="C636" s="1">
        <v>46144</v>
      </c>
      <c r="D636" t="s">
        <v>335</v>
      </c>
    </row>
    <row r="637" spans="1:4">
      <c r="A637">
        <v>1636</v>
      </c>
      <c r="B637">
        <v>238</v>
      </c>
      <c r="C637" s="1">
        <v>46154</v>
      </c>
      <c r="D637" t="s">
        <v>335</v>
      </c>
    </row>
    <row r="638" spans="1:4">
      <c r="A638">
        <v>1637</v>
      </c>
      <c r="B638">
        <v>154</v>
      </c>
      <c r="C638" s="1">
        <v>46061</v>
      </c>
      <c r="D638" t="s">
        <v>336</v>
      </c>
    </row>
    <row r="639" spans="1:4">
      <c r="A639">
        <v>1638</v>
      </c>
      <c r="B639">
        <v>40</v>
      </c>
      <c r="C639" s="1">
        <v>46168</v>
      </c>
      <c r="D639" t="s">
        <v>335</v>
      </c>
    </row>
    <row r="640" spans="1:4">
      <c r="A640">
        <v>1639</v>
      </c>
      <c r="B640">
        <v>182</v>
      </c>
      <c r="C640" s="1">
        <v>46168</v>
      </c>
      <c r="D640" t="s">
        <v>335</v>
      </c>
    </row>
    <row r="641" spans="1:4">
      <c r="A641">
        <v>1640</v>
      </c>
      <c r="B641">
        <v>153</v>
      </c>
      <c r="C641" s="1">
        <v>46034</v>
      </c>
      <c r="D641" t="s">
        <v>335</v>
      </c>
    </row>
    <row r="642" spans="1:4">
      <c r="A642">
        <v>1641</v>
      </c>
      <c r="B642">
        <v>133</v>
      </c>
      <c r="C642" s="1">
        <v>46070</v>
      </c>
      <c r="D642" t="s">
        <v>335</v>
      </c>
    </row>
    <row r="643" spans="1:4">
      <c r="A643">
        <v>1642</v>
      </c>
      <c r="B643">
        <v>250</v>
      </c>
      <c r="C643" s="1">
        <v>46126</v>
      </c>
      <c r="D643" t="s">
        <v>334</v>
      </c>
    </row>
    <row r="644" spans="1:4">
      <c r="A644">
        <v>1643</v>
      </c>
      <c r="B644">
        <v>70</v>
      </c>
      <c r="C644" s="1">
        <v>46100</v>
      </c>
      <c r="D644" t="s">
        <v>335</v>
      </c>
    </row>
    <row r="645" spans="1:4">
      <c r="A645">
        <v>1644</v>
      </c>
      <c r="B645">
        <v>75</v>
      </c>
      <c r="C645" s="1">
        <v>46076</v>
      </c>
      <c r="D645" t="s">
        <v>335</v>
      </c>
    </row>
    <row r="646" spans="1:4">
      <c r="A646">
        <v>1645</v>
      </c>
      <c r="B646">
        <v>228</v>
      </c>
      <c r="C646" s="1">
        <v>46065</v>
      </c>
      <c r="D646" t="s">
        <v>334</v>
      </c>
    </row>
    <row r="647" spans="1:4">
      <c r="A647">
        <v>1646</v>
      </c>
      <c r="B647">
        <v>201</v>
      </c>
      <c r="C647" s="1">
        <v>46074</v>
      </c>
      <c r="D647" t="s">
        <v>335</v>
      </c>
    </row>
    <row r="648" spans="1:4">
      <c r="A648">
        <v>1647</v>
      </c>
      <c r="B648">
        <v>284</v>
      </c>
      <c r="C648" s="1">
        <v>46149</v>
      </c>
      <c r="D648" t="s">
        <v>335</v>
      </c>
    </row>
    <row r="649" spans="1:4">
      <c r="A649">
        <v>1648</v>
      </c>
      <c r="B649">
        <v>271</v>
      </c>
      <c r="C649" s="1">
        <v>46082</v>
      </c>
      <c r="D649" t="s">
        <v>335</v>
      </c>
    </row>
    <row r="650" spans="1:4">
      <c r="A650">
        <v>1649</v>
      </c>
      <c r="B650">
        <v>178</v>
      </c>
      <c r="C650" s="1">
        <v>46052</v>
      </c>
      <c r="D650" t="s">
        <v>335</v>
      </c>
    </row>
    <row r="651" spans="1:4">
      <c r="A651">
        <v>1650</v>
      </c>
      <c r="B651">
        <v>174</v>
      </c>
      <c r="C651" s="1">
        <v>46152</v>
      </c>
      <c r="D651" t="s">
        <v>335</v>
      </c>
    </row>
    <row r="652" spans="1:4">
      <c r="A652">
        <v>1651</v>
      </c>
      <c r="B652">
        <v>83</v>
      </c>
      <c r="C652" s="1">
        <v>46115</v>
      </c>
      <c r="D652" t="s">
        <v>335</v>
      </c>
    </row>
    <row r="653" spans="1:4">
      <c r="A653">
        <v>1652</v>
      </c>
      <c r="B653">
        <v>108</v>
      </c>
      <c r="C653" s="1">
        <v>46149</v>
      </c>
      <c r="D653" t="s">
        <v>335</v>
      </c>
    </row>
    <row r="654" spans="1:4">
      <c r="A654">
        <v>1653</v>
      </c>
      <c r="B654">
        <v>117</v>
      </c>
      <c r="C654" s="1">
        <v>46109</v>
      </c>
      <c r="D654" t="s">
        <v>335</v>
      </c>
    </row>
    <row r="655" spans="1:4">
      <c r="A655">
        <v>1654</v>
      </c>
      <c r="B655">
        <v>78</v>
      </c>
      <c r="C655" s="1">
        <v>46165</v>
      </c>
      <c r="D655" t="s">
        <v>335</v>
      </c>
    </row>
    <row r="656" spans="1:4">
      <c r="A656">
        <v>1655</v>
      </c>
      <c r="B656">
        <v>53</v>
      </c>
      <c r="C656" s="1">
        <v>46179</v>
      </c>
      <c r="D656" t="s">
        <v>335</v>
      </c>
    </row>
    <row r="657" spans="1:4">
      <c r="A657">
        <v>1656</v>
      </c>
      <c r="B657">
        <v>51</v>
      </c>
      <c r="C657" s="1">
        <v>46152</v>
      </c>
      <c r="D657" t="s">
        <v>335</v>
      </c>
    </row>
    <row r="658" spans="1:4">
      <c r="A658">
        <v>1657</v>
      </c>
      <c r="B658">
        <v>4</v>
      </c>
      <c r="C658" s="1">
        <v>46129</v>
      </c>
      <c r="D658" t="s">
        <v>335</v>
      </c>
    </row>
    <row r="659" spans="1:4">
      <c r="A659">
        <v>1658</v>
      </c>
      <c r="B659">
        <v>126</v>
      </c>
      <c r="C659" s="1">
        <v>46129</v>
      </c>
      <c r="D659" t="s">
        <v>335</v>
      </c>
    </row>
    <row r="660" spans="1:4">
      <c r="A660">
        <v>1659</v>
      </c>
      <c r="B660">
        <v>265</v>
      </c>
      <c r="C660" s="1">
        <v>46140</v>
      </c>
      <c r="D660" t="s">
        <v>333</v>
      </c>
    </row>
    <row r="661" spans="1:4">
      <c r="A661">
        <v>1660</v>
      </c>
      <c r="B661">
        <v>85</v>
      </c>
      <c r="C661" s="1">
        <v>46125</v>
      </c>
      <c r="D661" t="s">
        <v>336</v>
      </c>
    </row>
    <row r="662" spans="1:4">
      <c r="A662">
        <v>1661</v>
      </c>
      <c r="B662">
        <v>267</v>
      </c>
      <c r="C662" s="1">
        <v>46037</v>
      </c>
      <c r="D662" t="s">
        <v>336</v>
      </c>
    </row>
    <row r="663" spans="1:4">
      <c r="A663">
        <v>1662</v>
      </c>
      <c r="B663">
        <v>271</v>
      </c>
      <c r="C663" s="1">
        <v>46025</v>
      </c>
      <c r="D663" t="s">
        <v>335</v>
      </c>
    </row>
    <row r="664" spans="1:4">
      <c r="A664">
        <v>1663</v>
      </c>
      <c r="B664">
        <v>276</v>
      </c>
      <c r="C664" s="1">
        <v>46100</v>
      </c>
      <c r="D664" t="s">
        <v>335</v>
      </c>
    </row>
    <row r="665" spans="1:4">
      <c r="A665">
        <v>1664</v>
      </c>
      <c r="B665">
        <v>277</v>
      </c>
      <c r="C665" s="1">
        <v>46063</v>
      </c>
      <c r="D665" t="s">
        <v>335</v>
      </c>
    </row>
    <row r="666" spans="1:4">
      <c r="A666">
        <v>1665</v>
      </c>
      <c r="B666">
        <v>64</v>
      </c>
      <c r="C666" s="1">
        <v>46035</v>
      </c>
      <c r="D666" t="s">
        <v>335</v>
      </c>
    </row>
    <row r="667" spans="1:4">
      <c r="A667">
        <v>1666</v>
      </c>
      <c r="B667">
        <v>274</v>
      </c>
      <c r="C667" s="1">
        <v>46167</v>
      </c>
      <c r="D667" t="s">
        <v>335</v>
      </c>
    </row>
    <row r="668" spans="1:4">
      <c r="A668">
        <v>1667</v>
      </c>
      <c r="B668">
        <v>185</v>
      </c>
      <c r="C668" s="1">
        <v>46072</v>
      </c>
      <c r="D668" t="s">
        <v>335</v>
      </c>
    </row>
    <row r="669" spans="1:4">
      <c r="A669">
        <v>1668</v>
      </c>
      <c r="B669">
        <v>190</v>
      </c>
      <c r="C669" s="1">
        <v>46077</v>
      </c>
      <c r="D669" t="s">
        <v>335</v>
      </c>
    </row>
    <row r="670" spans="1:4">
      <c r="A670">
        <v>1669</v>
      </c>
      <c r="B670">
        <v>74</v>
      </c>
      <c r="C670" s="1">
        <v>46129</v>
      </c>
      <c r="D670" t="s">
        <v>335</v>
      </c>
    </row>
    <row r="671" spans="1:4">
      <c r="A671">
        <v>1670</v>
      </c>
      <c r="B671">
        <v>61</v>
      </c>
      <c r="C671" s="1">
        <v>46117</v>
      </c>
      <c r="D671" t="s">
        <v>333</v>
      </c>
    </row>
    <row r="672" spans="1:4">
      <c r="A672">
        <v>1671</v>
      </c>
      <c r="B672">
        <v>192</v>
      </c>
      <c r="C672" s="1">
        <v>46118</v>
      </c>
      <c r="D672" t="s">
        <v>335</v>
      </c>
    </row>
    <row r="673" spans="1:4">
      <c r="A673">
        <v>1672</v>
      </c>
      <c r="B673">
        <v>251</v>
      </c>
      <c r="C673" s="1">
        <v>46095</v>
      </c>
      <c r="D673" t="s">
        <v>335</v>
      </c>
    </row>
    <row r="674" spans="1:4">
      <c r="A674">
        <v>1673</v>
      </c>
      <c r="B674">
        <v>173</v>
      </c>
      <c r="C674" s="1">
        <v>46167</v>
      </c>
      <c r="D674" t="s">
        <v>335</v>
      </c>
    </row>
    <row r="675" spans="1:4">
      <c r="A675">
        <v>1674</v>
      </c>
      <c r="B675">
        <v>167</v>
      </c>
      <c r="C675" s="1">
        <v>46061</v>
      </c>
      <c r="D675" t="s">
        <v>334</v>
      </c>
    </row>
    <row r="676" spans="1:4">
      <c r="A676">
        <v>1675</v>
      </c>
      <c r="B676">
        <v>203</v>
      </c>
      <c r="C676" s="1">
        <v>46122</v>
      </c>
      <c r="D676" t="s">
        <v>335</v>
      </c>
    </row>
    <row r="677" spans="1:4">
      <c r="A677">
        <v>1676</v>
      </c>
      <c r="B677">
        <v>159</v>
      </c>
      <c r="C677" s="1">
        <v>46184</v>
      </c>
      <c r="D677" t="s">
        <v>335</v>
      </c>
    </row>
    <row r="678" spans="1:4">
      <c r="A678">
        <v>1677</v>
      </c>
      <c r="B678">
        <v>273</v>
      </c>
      <c r="C678" s="1">
        <v>46027</v>
      </c>
      <c r="D678" t="s">
        <v>335</v>
      </c>
    </row>
    <row r="679" spans="1:4">
      <c r="A679">
        <v>1678</v>
      </c>
      <c r="B679">
        <v>274</v>
      </c>
      <c r="C679" s="1">
        <v>46136</v>
      </c>
      <c r="D679" t="s">
        <v>335</v>
      </c>
    </row>
    <row r="680" spans="1:4">
      <c r="A680">
        <v>1679</v>
      </c>
      <c r="B680">
        <v>47</v>
      </c>
      <c r="C680" s="1">
        <v>46104</v>
      </c>
      <c r="D680" t="s">
        <v>335</v>
      </c>
    </row>
    <row r="681" spans="1:4">
      <c r="A681">
        <v>1680</v>
      </c>
      <c r="B681">
        <v>87</v>
      </c>
      <c r="C681" s="1">
        <v>46101</v>
      </c>
      <c r="D681" t="s">
        <v>333</v>
      </c>
    </row>
    <row r="682" spans="1:4">
      <c r="A682">
        <v>1681</v>
      </c>
      <c r="B682">
        <v>51</v>
      </c>
      <c r="C682" s="1">
        <v>46037</v>
      </c>
      <c r="D682" t="s">
        <v>335</v>
      </c>
    </row>
    <row r="683" spans="1:4">
      <c r="A683">
        <v>1682</v>
      </c>
      <c r="B683">
        <v>122</v>
      </c>
      <c r="C683" s="1">
        <v>46084</v>
      </c>
      <c r="D683" t="s">
        <v>335</v>
      </c>
    </row>
    <row r="684" spans="1:4">
      <c r="A684">
        <v>1683</v>
      </c>
      <c r="B684">
        <v>120</v>
      </c>
      <c r="C684" s="1">
        <v>46146</v>
      </c>
      <c r="D684" t="s">
        <v>335</v>
      </c>
    </row>
    <row r="685" spans="1:4">
      <c r="A685">
        <v>1684</v>
      </c>
      <c r="B685">
        <v>43</v>
      </c>
      <c r="C685" s="1">
        <v>46168</v>
      </c>
      <c r="D685" t="s">
        <v>335</v>
      </c>
    </row>
    <row r="686" spans="1:4">
      <c r="A686">
        <v>1685</v>
      </c>
      <c r="B686">
        <v>238</v>
      </c>
      <c r="C686" s="1">
        <v>46033</v>
      </c>
      <c r="D686" t="s">
        <v>335</v>
      </c>
    </row>
    <row r="687" spans="1:4">
      <c r="A687">
        <v>1686</v>
      </c>
      <c r="B687">
        <v>262</v>
      </c>
      <c r="C687" s="1">
        <v>46184</v>
      </c>
      <c r="D687" t="s">
        <v>335</v>
      </c>
    </row>
    <row r="688" spans="1:4">
      <c r="A688">
        <v>1687</v>
      </c>
      <c r="B688">
        <v>222</v>
      </c>
      <c r="C688" s="1">
        <v>46165</v>
      </c>
      <c r="D688" t="s">
        <v>336</v>
      </c>
    </row>
    <row r="689" spans="1:4">
      <c r="A689">
        <v>1688</v>
      </c>
      <c r="B689">
        <v>232</v>
      </c>
      <c r="C689" s="1">
        <v>46110</v>
      </c>
      <c r="D689" t="s">
        <v>335</v>
      </c>
    </row>
    <row r="690" spans="1:4">
      <c r="A690">
        <v>1689</v>
      </c>
      <c r="B690">
        <v>2</v>
      </c>
      <c r="C690" s="1">
        <v>46057</v>
      </c>
      <c r="D690" t="s">
        <v>335</v>
      </c>
    </row>
    <row r="691" spans="1:4">
      <c r="A691">
        <v>1690</v>
      </c>
      <c r="B691">
        <v>16</v>
      </c>
      <c r="C691" s="1">
        <v>46189</v>
      </c>
      <c r="D691" t="s">
        <v>335</v>
      </c>
    </row>
    <row r="692" spans="1:4">
      <c r="A692">
        <v>1691</v>
      </c>
      <c r="B692">
        <v>99</v>
      </c>
      <c r="C692" s="1">
        <v>46054</v>
      </c>
      <c r="D692" t="s">
        <v>335</v>
      </c>
    </row>
    <row r="693" spans="1:4">
      <c r="A693">
        <v>1692</v>
      </c>
      <c r="B693">
        <v>114</v>
      </c>
      <c r="C693" s="1">
        <v>46183</v>
      </c>
      <c r="D693" t="s">
        <v>335</v>
      </c>
    </row>
    <row r="694" spans="1:4">
      <c r="A694">
        <v>1693</v>
      </c>
      <c r="B694">
        <v>203</v>
      </c>
      <c r="C694" s="1">
        <v>46076</v>
      </c>
      <c r="D694" t="s">
        <v>335</v>
      </c>
    </row>
    <row r="695" spans="1:4">
      <c r="A695">
        <v>1694</v>
      </c>
      <c r="B695">
        <v>90</v>
      </c>
      <c r="C695" s="1">
        <v>46197</v>
      </c>
      <c r="D695" t="s">
        <v>335</v>
      </c>
    </row>
    <row r="696" spans="1:4">
      <c r="A696">
        <v>1695</v>
      </c>
      <c r="B696">
        <v>141</v>
      </c>
      <c r="C696" s="1">
        <v>46156</v>
      </c>
      <c r="D696" t="s">
        <v>335</v>
      </c>
    </row>
    <row r="697" spans="1:4">
      <c r="A697">
        <v>1696</v>
      </c>
      <c r="B697">
        <v>233</v>
      </c>
      <c r="C697" s="1">
        <v>46197</v>
      </c>
      <c r="D697" t="s">
        <v>335</v>
      </c>
    </row>
    <row r="698" spans="1:4">
      <c r="A698">
        <v>1697</v>
      </c>
      <c r="B698">
        <v>266</v>
      </c>
      <c r="C698" s="1">
        <v>46093</v>
      </c>
      <c r="D698" t="s">
        <v>335</v>
      </c>
    </row>
    <row r="699" spans="1:4">
      <c r="A699">
        <v>1698</v>
      </c>
      <c r="B699">
        <v>172</v>
      </c>
      <c r="C699" s="1">
        <v>46024</v>
      </c>
      <c r="D699" t="s">
        <v>335</v>
      </c>
    </row>
    <row r="700" spans="1:4">
      <c r="A700">
        <v>1699</v>
      </c>
      <c r="B700">
        <v>169</v>
      </c>
      <c r="C700" s="1">
        <v>46086</v>
      </c>
      <c r="D700" t="s">
        <v>335</v>
      </c>
    </row>
    <row r="701" spans="1:4">
      <c r="A701">
        <v>1700</v>
      </c>
      <c r="B701">
        <v>127</v>
      </c>
      <c r="C701" s="1">
        <v>46108</v>
      </c>
      <c r="D701" t="s">
        <v>335</v>
      </c>
    </row>
    <row r="702" spans="1:4">
      <c r="A702">
        <v>1701</v>
      </c>
      <c r="B702">
        <v>225</v>
      </c>
      <c r="C702" s="1">
        <v>46083</v>
      </c>
      <c r="D702" t="s">
        <v>333</v>
      </c>
    </row>
    <row r="703" spans="1:4">
      <c r="A703">
        <v>1702</v>
      </c>
      <c r="B703">
        <v>194</v>
      </c>
      <c r="C703" s="1">
        <v>46038</v>
      </c>
      <c r="D703" t="s">
        <v>333</v>
      </c>
    </row>
    <row r="704" spans="1:4">
      <c r="A704">
        <v>1703</v>
      </c>
      <c r="B704">
        <v>222</v>
      </c>
      <c r="C704" s="1">
        <v>46037</v>
      </c>
      <c r="D704" t="s">
        <v>335</v>
      </c>
    </row>
    <row r="705" spans="1:4">
      <c r="A705">
        <v>1704</v>
      </c>
      <c r="B705">
        <v>120</v>
      </c>
      <c r="C705" s="1">
        <v>46181</v>
      </c>
      <c r="D705" t="s">
        <v>335</v>
      </c>
    </row>
    <row r="706" spans="1:4">
      <c r="A706">
        <v>1705</v>
      </c>
      <c r="B706">
        <v>14</v>
      </c>
      <c r="C706" s="1">
        <v>46189</v>
      </c>
      <c r="D706" t="s">
        <v>333</v>
      </c>
    </row>
    <row r="707" spans="1:4">
      <c r="A707">
        <v>1706</v>
      </c>
      <c r="B707">
        <v>100</v>
      </c>
      <c r="C707" s="1">
        <v>46040</v>
      </c>
      <c r="D707" t="s">
        <v>335</v>
      </c>
    </row>
    <row r="708" spans="1:4">
      <c r="A708">
        <v>1707</v>
      </c>
      <c r="B708">
        <v>160</v>
      </c>
      <c r="C708" s="1">
        <v>46034</v>
      </c>
      <c r="D708" t="s">
        <v>335</v>
      </c>
    </row>
    <row r="709" spans="1:4">
      <c r="A709">
        <v>1708</v>
      </c>
      <c r="B709">
        <v>75</v>
      </c>
      <c r="C709" s="1">
        <v>46155</v>
      </c>
      <c r="D709" t="s">
        <v>335</v>
      </c>
    </row>
    <row r="710" spans="1:4">
      <c r="A710">
        <v>1709</v>
      </c>
      <c r="B710">
        <v>244</v>
      </c>
      <c r="C710" s="1">
        <v>46040</v>
      </c>
      <c r="D710" t="s">
        <v>335</v>
      </c>
    </row>
    <row r="711" spans="1:4">
      <c r="A711">
        <v>1710</v>
      </c>
      <c r="B711">
        <v>2</v>
      </c>
      <c r="C711" s="1">
        <v>46149</v>
      </c>
      <c r="D711" t="s">
        <v>335</v>
      </c>
    </row>
    <row r="712" spans="1:4">
      <c r="A712">
        <v>1711</v>
      </c>
      <c r="B712">
        <v>95</v>
      </c>
      <c r="C712" s="1">
        <v>46119</v>
      </c>
      <c r="D712" t="s">
        <v>335</v>
      </c>
    </row>
    <row r="713" spans="1:4">
      <c r="A713">
        <v>1712</v>
      </c>
      <c r="B713">
        <v>300</v>
      </c>
      <c r="C713" s="1">
        <v>46135</v>
      </c>
      <c r="D713" t="s">
        <v>335</v>
      </c>
    </row>
    <row r="714" spans="1:4">
      <c r="A714">
        <v>1713</v>
      </c>
      <c r="B714">
        <v>126</v>
      </c>
      <c r="C714" s="1">
        <v>46109</v>
      </c>
      <c r="D714" t="s">
        <v>335</v>
      </c>
    </row>
    <row r="715" spans="1:4">
      <c r="A715">
        <v>1714</v>
      </c>
      <c r="B715">
        <v>57</v>
      </c>
      <c r="C715" s="1">
        <v>46058</v>
      </c>
      <c r="D715" t="s">
        <v>335</v>
      </c>
    </row>
    <row r="716" spans="1:4">
      <c r="A716">
        <v>1715</v>
      </c>
      <c r="B716">
        <v>34</v>
      </c>
      <c r="C716" s="1">
        <v>46182</v>
      </c>
      <c r="D716" t="s">
        <v>334</v>
      </c>
    </row>
    <row r="717" spans="1:4">
      <c r="A717">
        <v>1716</v>
      </c>
      <c r="B717">
        <v>194</v>
      </c>
      <c r="C717" s="1">
        <v>46071</v>
      </c>
      <c r="D717" t="s">
        <v>335</v>
      </c>
    </row>
    <row r="718" spans="1:4">
      <c r="A718">
        <v>1717</v>
      </c>
      <c r="B718">
        <v>28</v>
      </c>
      <c r="C718" s="1">
        <v>46061</v>
      </c>
      <c r="D718" t="s">
        <v>335</v>
      </c>
    </row>
    <row r="719" spans="1:4">
      <c r="A719">
        <v>1718</v>
      </c>
      <c r="B719">
        <v>261</v>
      </c>
      <c r="C719" s="1">
        <v>46153</v>
      </c>
      <c r="D719" t="s">
        <v>335</v>
      </c>
    </row>
    <row r="720" spans="1:4">
      <c r="A720">
        <v>1719</v>
      </c>
      <c r="B720">
        <v>298</v>
      </c>
      <c r="C720" s="1">
        <v>46149</v>
      </c>
      <c r="D720" t="s">
        <v>335</v>
      </c>
    </row>
    <row r="721" spans="1:4">
      <c r="A721">
        <v>1720</v>
      </c>
      <c r="B721">
        <v>194</v>
      </c>
      <c r="C721" s="1">
        <v>46078</v>
      </c>
      <c r="D721" t="s">
        <v>335</v>
      </c>
    </row>
    <row r="722" spans="1:4">
      <c r="A722">
        <v>1721</v>
      </c>
      <c r="B722">
        <v>173</v>
      </c>
      <c r="C722" s="1">
        <v>46142</v>
      </c>
      <c r="D722" t="s">
        <v>335</v>
      </c>
    </row>
    <row r="723" spans="1:4">
      <c r="A723">
        <v>1722</v>
      </c>
      <c r="B723">
        <v>136</v>
      </c>
      <c r="C723" s="1">
        <v>46068</v>
      </c>
      <c r="D723" t="s">
        <v>335</v>
      </c>
    </row>
    <row r="724" spans="1:4">
      <c r="A724">
        <v>1723</v>
      </c>
      <c r="B724">
        <v>101</v>
      </c>
      <c r="C724" s="1">
        <v>46162</v>
      </c>
      <c r="D724" t="s">
        <v>335</v>
      </c>
    </row>
    <row r="725" spans="1:4">
      <c r="A725">
        <v>1724</v>
      </c>
      <c r="B725">
        <v>145</v>
      </c>
      <c r="C725" s="1">
        <v>46025</v>
      </c>
      <c r="D725" t="s">
        <v>335</v>
      </c>
    </row>
    <row r="726" spans="1:4">
      <c r="A726">
        <v>1725</v>
      </c>
      <c r="B726">
        <v>108</v>
      </c>
      <c r="C726" s="1">
        <v>46081</v>
      </c>
      <c r="D726" t="s">
        <v>335</v>
      </c>
    </row>
    <row r="727" spans="1:4">
      <c r="A727">
        <v>1726</v>
      </c>
      <c r="B727">
        <v>225</v>
      </c>
      <c r="C727" s="1">
        <v>46201</v>
      </c>
      <c r="D727" t="s">
        <v>335</v>
      </c>
    </row>
    <row r="728" spans="1:4">
      <c r="A728">
        <v>1727</v>
      </c>
      <c r="B728">
        <v>182</v>
      </c>
      <c r="C728" s="1">
        <v>46150</v>
      </c>
      <c r="D728" t="s">
        <v>335</v>
      </c>
    </row>
    <row r="729" spans="1:4">
      <c r="A729">
        <v>1728</v>
      </c>
      <c r="B729">
        <v>17</v>
      </c>
      <c r="C729" s="1">
        <v>46028</v>
      </c>
      <c r="D729" t="s">
        <v>335</v>
      </c>
    </row>
    <row r="730" spans="1:4">
      <c r="A730">
        <v>1729</v>
      </c>
      <c r="B730">
        <v>105</v>
      </c>
      <c r="C730" s="1">
        <v>46123</v>
      </c>
      <c r="D730" t="s">
        <v>336</v>
      </c>
    </row>
    <row r="731" spans="1:4">
      <c r="A731">
        <v>1730</v>
      </c>
      <c r="B731">
        <v>232</v>
      </c>
      <c r="C731" s="1">
        <v>46050</v>
      </c>
      <c r="D731" t="s">
        <v>335</v>
      </c>
    </row>
    <row r="732" spans="1:4">
      <c r="A732">
        <v>1731</v>
      </c>
      <c r="B732">
        <v>198</v>
      </c>
      <c r="C732" s="1">
        <v>46040</v>
      </c>
      <c r="D732" t="s">
        <v>333</v>
      </c>
    </row>
    <row r="733" spans="1:4">
      <c r="A733">
        <v>1732</v>
      </c>
      <c r="B733">
        <v>168</v>
      </c>
      <c r="C733" s="1">
        <v>46155</v>
      </c>
      <c r="D733" t="s">
        <v>335</v>
      </c>
    </row>
    <row r="734" spans="1:4">
      <c r="A734">
        <v>1733</v>
      </c>
      <c r="B734">
        <v>159</v>
      </c>
      <c r="C734" s="1">
        <v>46056</v>
      </c>
      <c r="D734" t="s">
        <v>334</v>
      </c>
    </row>
    <row r="735" spans="1:4">
      <c r="A735">
        <v>1734</v>
      </c>
      <c r="B735">
        <v>159</v>
      </c>
      <c r="C735" s="1">
        <v>46177</v>
      </c>
      <c r="D735" t="s">
        <v>335</v>
      </c>
    </row>
    <row r="736" spans="1:4">
      <c r="A736">
        <v>1735</v>
      </c>
      <c r="B736">
        <v>292</v>
      </c>
      <c r="C736" s="1">
        <v>46086</v>
      </c>
      <c r="D736" t="s">
        <v>335</v>
      </c>
    </row>
    <row r="737" spans="1:4">
      <c r="A737">
        <v>1736</v>
      </c>
      <c r="B737">
        <v>90</v>
      </c>
      <c r="C737" s="1">
        <v>46099</v>
      </c>
      <c r="D737" t="s">
        <v>335</v>
      </c>
    </row>
    <row r="738" spans="1:4">
      <c r="A738">
        <v>1737</v>
      </c>
      <c r="B738">
        <v>23</v>
      </c>
      <c r="C738" s="1">
        <v>46123</v>
      </c>
      <c r="D738" t="s">
        <v>335</v>
      </c>
    </row>
    <row r="739" spans="1:4">
      <c r="A739">
        <v>1738</v>
      </c>
      <c r="B739">
        <v>112</v>
      </c>
      <c r="C739" s="1">
        <v>46201</v>
      </c>
      <c r="D739" t="s">
        <v>335</v>
      </c>
    </row>
    <row r="740" spans="1:4">
      <c r="A740">
        <v>1739</v>
      </c>
      <c r="B740">
        <v>130</v>
      </c>
      <c r="C740" s="1">
        <v>46127</v>
      </c>
      <c r="D740" t="s">
        <v>335</v>
      </c>
    </row>
    <row r="741" spans="1:4">
      <c r="A741">
        <v>1740</v>
      </c>
      <c r="B741">
        <v>205</v>
      </c>
      <c r="C741" s="1">
        <v>46141</v>
      </c>
      <c r="D741" t="s">
        <v>335</v>
      </c>
    </row>
    <row r="742" spans="1:4">
      <c r="A742">
        <v>1741</v>
      </c>
      <c r="B742">
        <v>249</v>
      </c>
      <c r="C742" s="1">
        <v>46194</v>
      </c>
      <c r="D742" t="s">
        <v>335</v>
      </c>
    </row>
    <row r="743" spans="1:4">
      <c r="A743">
        <v>1742</v>
      </c>
      <c r="B743">
        <v>91</v>
      </c>
      <c r="C743" s="1">
        <v>46027</v>
      </c>
      <c r="D743" t="s">
        <v>335</v>
      </c>
    </row>
    <row r="744" spans="1:4">
      <c r="A744">
        <v>1743</v>
      </c>
      <c r="B744">
        <v>111</v>
      </c>
      <c r="C744" s="1">
        <v>46135</v>
      </c>
      <c r="D744" t="s">
        <v>335</v>
      </c>
    </row>
    <row r="745" spans="1:4">
      <c r="A745">
        <v>1744</v>
      </c>
      <c r="B745">
        <v>200</v>
      </c>
      <c r="C745" s="1">
        <v>46191</v>
      </c>
      <c r="D745" t="s">
        <v>334</v>
      </c>
    </row>
    <row r="746" spans="1:4">
      <c r="A746">
        <v>1745</v>
      </c>
      <c r="B746">
        <v>192</v>
      </c>
      <c r="C746" s="1">
        <v>46074</v>
      </c>
      <c r="D746" t="s">
        <v>333</v>
      </c>
    </row>
    <row r="747" spans="1:4">
      <c r="A747">
        <v>1746</v>
      </c>
      <c r="B747">
        <v>99</v>
      </c>
      <c r="C747" s="1">
        <v>46026</v>
      </c>
      <c r="D747" t="s">
        <v>335</v>
      </c>
    </row>
    <row r="748" spans="1:4">
      <c r="A748">
        <v>1747</v>
      </c>
      <c r="B748">
        <v>107</v>
      </c>
      <c r="C748" s="1">
        <v>46166</v>
      </c>
      <c r="D748" t="s">
        <v>335</v>
      </c>
    </row>
    <row r="749" spans="1:4">
      <c r="A749">
        <v>1748</v>
      </c>
      <c r="B749">
        <v>235</v>
      </c>
      <c r="C749" s="1">
        <v>46026</v>
      </c>
      <c r="D749" t="s">
        <v>335</v>
      </c>
    </row>
    <row r="750" spans="1:4">
      <c r="A750">
        <v>1749</v>
      </c>
      <c r="B750">
        <v>256</v>
      </c>
      <c r="C750" s="1">
        <v>46128</v>
      </c>
      <c r="D750" t="s">
        <v>335</v>
      </c>
    </row>
    <row r="751" spans="1:4">
      <c r="A751">
        <v>1750</v>
      </c>
      <c r="B751">
        <v>69</v>
      </c>
      <c r="C751" s="1">
        <v>46201</v>
      </c>
      <c r="D751" t="s">
        <v>335</v>
      </c>
    </row>
    <row r="752" spans="1:4">
      <c r="A752">
        <v>1751</v>
      </c>
      <c r="B752">
        <v>120</v>
      </c>
      <c r="C752" s="1">
        <v>46120</v>
      </c>
      <c r="D752" t="s">
        <v>335</v>
      </c>
    </row>
    <row r="753" spans="1:4">
      <c r="A753">
        <v>1752</v>
      </c>
      <c r="B753">
        <v>256</v>
      </c>
      <c r="C753" s="1">
        <v>46038</v>
      </c>
      <c r="D753" t="s">
        <v>335</v>
      </c>
    </row>
    <row r="754" spans="1:4">
      <c r="A754">
        <v>1753</v>
      </c>
      <c r="B754">
        <v>163</v>
      </c>
      <c r="C754" s="1">
        <v>46107</v>
      </c>
      <c r="D754" t="s">
        <v>335</v>
      </c>
    </row>
    <row r="755" spans="1:4">
      <c r="A755">
        <v>1754</v>
      </c>
      <c r="B755">
        <v>128</v>
      </c>
      <c r="C755" s="1">
        <v>46036</v>
      </c>
      <c r="D755" t="s">
        <v>334</v>
      </c>
    </row>
    <row r="756" spans="1:4">
      <c r="A756">
        <v>1755</v>
      </c>
      <c r="B756">
        <v>34</v>
      </c>
      <c r="C756" s="1">
        <v>46136</v>
      </c>
      <c r="D756" t="s">
        <v>335</v>
      </c>
    </row>
    <row r="757" spans="1:4">
      <c r="A757">
        <v>1756</v>
      </c>
      <c r="B757">
        <v>41</v>
      </c>
      <c r="C757" s="1">
        <v>46075</v>
      </c>
      <c r="D757" t="s">
        <v>335</v>
      </c>
    </row>
    <row r="758" spans="1:4">
      <c r="A758">
        <v>1757</v>
      </c>
      <c r="B758">
        <v>230</v>
      </c>
      <c r="C758" s="1">
        <v>46100</v>
      </c>
      <c r="D758" t="s">
        <v>335</v>
      </c>
    </row>
    <row r="759" spans="1:4">
      <c r="A759">
        <v>1758</v>
      </c>
      <c r="B759">
        <v>247</v>
      </c>
      <c r="C759" s="1">
        <v>46133</v>
      </c>
      <c r="D759" t="s">
        <v>335</v>
      </c>
    </row>
    <row r="760" spans="1:4">
      <c r="A760">
        <v>1759</v>
      </c>
      <c r="B760">
        <v>90</v>
      </c>
      <c r="C760" s="1">
        <v>46160</v>
      </c>
      <c r="D760" t="s">
        <v>335</v>
      </c>
    </row>
    <row r="761" spans="1:4">
      <c r="A761">
        <v>1760</v>
      </c>
      <c r="B761">
        <v>101</v>
      </c>
      <c r="C761" s="1">
        <v>46057</v>
      </c>
      <c r="D761" t="s">
        <v>335</v>
      </c>
    </row>
    <row r="762" spans="1:4">
      <c r="A762">
        <v>1761</v>
      </c>
      <c r="B762">
        <v>203</v>
      </c>
      <c r="C762" s="1">
        <v>46126</v>
      </c>
      <c r="D762" t="s">
        <v>333</v>
      </c>
    </row>
    <row r="763" spans="1:4">
      <c r="A763">
        <v>1762</v>
      </c>
      <c r="B763">
        <v>84</v>
      </c>
      <c r="C763" s="1">
        <v>46121</v>
      </c>
      <c r="D763" t="s">
        <v>333</v>
      </c>
    </row>
    <row r="764" spans="1:4">
      <c r="A764">
        <v>1763</v>
      </c>
      <c r="B764">
        <v>251</v>
      </c>
      <c r="C764" s="1">
        <v>46112</v>
      </c>
      <c r="D764" t="s">
        <v>335</v>
      </c>
    </row>
    <row r="765" spans="1:4">
      <c r="A765">
        <v>1764</v>
      </c>
      <c r="B765">
        <v>76</v>
      </c>
      <c r="C765" s="1">
        <v>46203</v>
      </c>
      <c r="D765" t="s">
        <v>335</v>
      </c>
    </row>
    <row r="766" spans="1:4">
      <c r="A766">
        <v>1765</v>
      </c>
      <c r="B766">
        <v>48</v>
      </c>
      <c r="C766" s="1">
        <v>46026</v>
      </c>
      <c r="D766" t="s">
        <v>335</v>
      </c>
    </row>
    <row r="767" spans="1:4">
      <c r="A767">
        <v>1766</v>
      </c>
      <c r="B767">
        <v>196</v>
      </c>
      <c r="C767" s="1">
        <v>46159</v>
      </c>
      <c r="D767" t="s">
        <v>335</v>
      </c>
    </row>
    <row r="768" spans="1:4">
      <c r="A768">
        <v>1767</v>
      </c>
      <c r="B768">
        <v>87</v>
      </c>
      <c r="C768" s="1">
        <v>46101</v>
      </c>
      <c r="D768" t="s">
        <v>335</v>
      </c>
    </row>
    <row r="769" spans="1:4">
      <c r="A769">
        <v>1768</v>
      </c>
      <c r="B769">
        <v>69</v>
      </c>
      <c r="C769" s="1">
        <v>46068</v>
      </c>
      <c r="D769" t="s">
        <v>335</v>
      </c>
    </row>
    <row r="770" spans="1:4">
      <c r="A770">
        <v>1769</v>
      </c>
      <c r="B770">
        <v>94</v>
      </c>
      <c r="C770" s="1">
        <v>46070</v>
      </c>
      <c r="D770" t="s">
        <v>335</v>
      </c>
    </row>
    <row r="771" spans="1:4">
      <c r="A771">
        <v>1770</v>
      </c>
      <c r="B771">
        <v>44</v>
      </c>
      <c r="C771" s="1">
        <v>46065</v>
      </c>
      <c r="D771" t="s">
        <v>335</v>
      </c>
    </row>
    <row r="772" spans="1:4">
      <c r="A772">
        <v>1771</v>
      </c>
      <c r="B772">
        <v>4</v>
      </c>
      <c r="C772" s="1">
        <v>46025</v>
      </c>
      <c r="D772" t="s">
        <v>335</v>
      </c>
    </row>
    <row r="773" spans="1:4">
      <c r="A773">
        <v>1772</v>
      </c>
      <c r="B773">
        <v>220</v>
      </c>
      <c r="C773" s="1">
        <v>46144</v>
      </c>
      <c r="D773" t="s">
        <v>335</v>
      </c>
    </row>
    <row r="774" spans="1:4">
      <c r="A774">
        <v>1773</v>
      </c>
      <c r="B774">
        <v>183</v>
      </c>
      <c r="C774" s="1">
        <v>46179</v>
      </c>
      <c r="D774" t="s">
        <v>335</v>
      </c>
    </row>
    <row r="775" spans="1:4">
      <c r="A775">
        <v>1774</v>
      </c>
      <c r="B775">
        <v>144</v>
      </c>
      <c r="C775" s="1">
        <v>46054</v>
      </c>
      <c r="D775" t="s">
        <v>334</v>
      </c>
    </row>
    <row r="776" spans="1:4">
      <c r="A776">
        <v>1775</v>
      </c>
      <c r="B776">
        <v>165</v>
      </c>
      <c r="C776" s="1">
        <v>46023</v>
      </c>
      <c r="D776" t="s">
        <v>336</v>
      </c>
    </row>
    <row r="777" spans="1:4">
      <c r="A777">
        <v>1776</v>
      </c>
      <c r="B777">
        <v>120</v>
      </c>
      <c r="C777" s="1">
        <v>46106</v>
      </c>
      <c r="D777" t="s">
        <v>335</v>
      </c>
    </row>
    <row r="778" spans="1:4">
      <c r="A778">
        <v>1777</v>
      </c>
      <c r="B778">
        <v>198</v>
      </c>
      <c r="C778" s="1">
        <v>46202</v>
      </c>
      <c r="D778" t="s">
        <v>334</v>
      </c>
    </row>
    <row r="779" spans="1:4">
      <c r="A779">
        <v>1778</v>
      </c>
      <c r="B779">
        <v>45</v>
      </c>
      <c r="C779" s="1">
        <v>46055</v>
      </c>
      <c r="D779" t="s">
        <v>335</v>
      </c>
    </row>
    <row r="780" spans="1:4">
      <c r="A780">
        <v>1779</v>
      </c>
      <c r="B780">
        <v>88</v>
      </c>
      <c r="C780" s="1">
        <v>46084</v>
      </c>
      <c r="D780" t="s">
        <v>335</v>
      </c>
    </row>
    <row r="781" spans="1:4">
      <c r="A781">
        <v>1780</v>
      </c>
      <c r="B781">
        <v>244</v>
      </c>
      <c r="C781" s="1">
        <v>46079</v>
      </c>
      <c r="D781" t="s">
        <v>335</v>
      </c>
    </row>
    <row r="782" spans="1:4">
      <c r="A782">
        <v>1781</v>
      </c>
      <c r="B782">
        <v>194</v>
      </c>
      <c r="C782" s="1">
        <v>46039</v>
      </c>
      <c r="D782" t="s">
        <v>335</v>
      </c>
    </row>
    <row r="783" spans="1:4">
      <c r="A783">
        <v>1782</v>
      </c>
      <c r="B783">
        <v>60</v>
      </c>
      <c r="C783" s="1">
        <v>46174</v>
      </c>
      <c r="D783" t="s">
        <v>333</v>
      </c>
    </row>
    <row r="784" spans="1:4">
      <c r="A784">
        <v>1783</v>
      </c>
      <c r="B784">
        <v>217</v>
      </c>
      <c r="C784" s="1">
        <v>46071</v>
      </c>
      <c r="D784" t="s">
        <v>335</v>
      </c>
    </row>
    <row r="785" spans="1:4">
      <c r="A785">
        <v>1784</v>
      </c>
      <c r="B785">
        <v>152</v>
      </c>
      <c r="C785" s="1">
        <v>46060</v>
      </c>
      <c r="D785" t="s">
        <v>335</v>
      </c>
    </row>
    <row r="786" spans="1:4">
      <c r="A786">
        <v>1785</v>
      </c>
      <c r="B786">
        <v>159</v>
      </c>
      <c r="C786" s="1">
        <v>46031</v>
      </c>
      <c r="D786" t="s">
        <v>335</v>
      </c>
    </row>
    <row r="787" spans="1:4">
      <c r="A787">
        <v>1786</v>
      </c>
      <c r="B787">
        <v>108</v>
      </c>
      <c r="C787" s="1">
        <v>46062</v>
      </c>
      <c r="D787" t="s">
        <v>335</v>
      </c>
    </row>
    <row r="788" spans="1:4">
      <c r="A788">
        <v>1787</v>
      </c>
      <c r="B788">
        <v>217</v>
      </c>
      <c r="C788" s="1">
        <v>46163</v>
      </c>
      <c r="D788" t="s">
        <v>335</v>
      </c>
    </row>
    <row r="789" spans="1:4">
      <c r="A789">
        <v>1788</v>
      </c>
      <c r="B789">
        <v>166</v>
      </c>
      <c r="C789" s="1">
        <v>46123</v>
      </c>
      <c r="D789" t="s">
        <v>335</v>
      </c>
    </row>
    <row r="790" spans="1:4">
      <c r="A790">
        <v>1789</v>
      </c>
      <c r="B790">
        <v>5</v>
      </c>
      <c r="C790" s="1">
        <v>46073</v>
      </c>
      <c r="D790" t="s">
        <v>335</v>
      </c>
    </row>
    <row r="791" spans="1:4">
      <c r="A791">
        <v>1790</v>
      </c>
      <c r="B791">
        <v>243</v>
      </c>
      <c r="C791" s="1">
        <v>46037</v>
      </c>
      <c r="D791" t="s">
        <v>335</v>
      </c>
    </row>
    <row r="792" spans="1:4">
      <c r="A792">
        <v>1791</v>
      </c>
      <c r="B792">
        <v>126</v>
      </c>
      <c r="C792" s="1">
        <v>46183</v>
      </c>
      <c r="D792" t="s">
        <v>335</v>
      </c>
    </row>
    <row r="793" spans="1:4">
      <c r="A793">
        <v>1792</v>
      </c>
      <c r="B793">
        <v>46</v>
      </c>
      <c r="C793" s="1">
        <v>46190</v>
      </c>
      <c r="D793" t="s">
        <v>335</v>
      </c>
    </row>
    <row r="794" spans="1:4">
      <c r="A794">
        <v>1793</v>
      </c>
      <c r="B794">
        <v>261</v>
      </c>
      <c r="C794" s="1">
        <v>46187</v>
      </c>
      <c r="D794" t="s">
        <v>335</v>
      </c>
    </row>
    <row r="795" spans="1:4">
      <c r="A795">
        <v>1794</v>
      </c>
      <c r="B795">
        <v>223</v>
      </c>
      <c r="C795" s="1">
        <v>46121</v>
      </c>
      <c r="D795" t="s">
        <v>335</v>
      </c>
    </row>
    <row r="796" spans="1:4">
      <c r="A796">
        <v>1795</v>
      </c>
      <c r="B796">
        <v>11</v>
      </c>
      <c r="C796" s="1">
        <v>46126</v>
      </c>
      <c r="D796" t="s">
        <v>335</v>
      </c>
    </row>
    <row r="797" spans="1:4">
      <c r="A797">
        <v>1796</v>
      </c>
      <c r="B797">
        <v>107</v>
      </c>
      <c r="C797" s="1">
        <v>46054</v>
      </c>
      <c r="D797" t="s">
        <v>335</v>
      </c>
    </row>
    <row r="798" spans="1:4">
      <c r="A798">
        <v>1797</v>
      </c>
      <c r="B798">
        <v>288</v>
      </c>
      <c r="C798" s="1">
        <v>46190</v>
      </c>
      <c r="D798" t="s">
        <v>335</v>
      </c>
    </row>
    <row r="799" spans="1:4">
      <c r="A799">
        <v>1798</v>
      </c>
      <c r="B799">
        <v>24</v>
      </c>
      <c r="C799" s="1">
        <v>46023</v>
      </c>
      <c r="D799" t="s">
        <v>335</v>
      </c>
    </row>
    <row r="800" spans="1:4">
      <c r="A800">
        <v>1799</v>
      </c>
      <c r="B800">
        <v>108</v>
      </c>
      <c r="C800" s="1">
        <v>46178</v>
      </c>
      <c r="D800" t="s">
        <v>335</v>
      </c>
    </row>
    <row r="801" spans="1:4">
      <c r="A801">
        <v>1800</v>
      </c>
      <c r="B801">
        <v>184</v>
      </c>
      <c r="C801" s="1">
        <v>46177</v>
      </c>
      <c r="D801" t="s">
        <v>335</v>
      </c>
    </row>
    <row r="802" spans="1:4">
      <c r="A802">
        <v>1801</v>
      </c>
      <c r="B802">
        <v>131</v>
      </c>
      <c r="C802" s="1">
        <v>46125</v>
      </c>
      <c r="D802" t="s">
        <v>335</v>
      </c>
    </row>
    <row r="803" spans="1:4">
      <c r="A803">
        <v>1802</v>
      </c>
      <c r="B803">
        <v>262</v>
      </c>
      <c r="C803" s="1">
        <v>46167</v>
      </c>
      <c r="D803" t="s">
        <v>335</v>
      </c>
    </row>
    <row r="804" spans="1:4">
      <c r="A804">
        <v>1803</v>
      </c>
      <c r="B804">
        <v>281</v>
      </c>
      <c r="C804" s="1">
        <v>46159</v>
      </c>
      <c r="D804" t="s">
        <v>335</v>
      </c>
    </row>
    <row r="805" spans="1:4">
      <c r="A805">
        <v>1804</v>
      </c>
      <c r="B805">
        <v>194</v>
      </c>
      <c r="C805" s="1">
        <v>46093</v>
      </c>
      <c r="D805" t="s">
        <v>335</v>
      </c>
    </row>
    <row r="806" spans="1:4">
      <c r="A806">
        <v>1805</v>
      </c>
      <c r="B806">
        <v>251</v>
      </c>
      <c r="C806" s="1">
        <v>46173</v>
      </c>
      <c r="D806" t="s">
        <v>335</v>
      </c>
    </row>
    <row r="807" spans="1:4">
      <c r="A807">
        <v>1806</v>
      </c>
      <c r="B807">
        <v>88</v>
      </c>
      <c r="C807" s="1">
        <v>46048</v>
      </c>
      <c r="D807" t="s">
        <v>334</v>
      </c>
    </row>
    <row r="808" spans="1:4">
      <c r="A808">
        <v>1807</v>
      </c>
      <c r="B808">
        <v>133</v>
      </c>
      <c r="C808" s="1">
        <v>46145</v>
      </c>
      <c r="D808" t="s">
        <v>335</v>
      </c>
    </row>
    <row r="809" spans="1:4">
      <c r="A809">
        <v>1808</v>
      </c>
      <c r="B809">
        <v>190</v>
      </c>
      <c r="C809" s="1">
        <v>46036</v>
      </c>
      <c r="D809" t="s">
        <v>333</v>
      </c>
    </row>
    <row r="810" spans="1:4">
      <c r="A810">
        <v>1809</v>
      </c>
      <c r="B810">
        <v>142</v>
      </c>
      <c r="C810" s="1">
        <v>46142</v>
      </c>
      <c r="D810" t="s">
        <v>335</v>
      </c>
    </row>
    <row r="811" spans="1:4">
      <c r="A811">
        <v>1810</v>
      </c>
      <c r="B811">
        <v>123</v>
      </c>
      <c r="C811" s="1">
        <v>46185</v>
      </c>
      <c r="D811" t="s">
        <v>335</v>
      </c>
    </row>
    <row r="812" spans="1:4">
      <c r="A812">
        <v>1811</v>
      </c>
      <c r="B812">
        <v>70</v>
      </c>
      <c r="C812" s="1">
        <v>46131</v>
      </c>
      <c r="D812" t="s">
        <v>335</v>
      </c>
    </row>
    <row r="813" spans="1:4">
      <c r="A813">
        <v>1812</v>
      </c>
      <c r="B813">
        <v>177</v>
      </c>
      <c r="C813" s="1">
        <v>46131</v>
      </c>
      <c r="D813" t="s">
        <v>335</v>
      </c>
    </row>
    <row r="814" spans="1:4">
      <c r="A814">
        <v>1813</v>
      </c>
      <c r="B814">
        <v>188</v>
      </c>
      <c r="C814" s="1">
        <v>46080</v>
      </c>
      <c r="D814" t="s">
        <v>335</v>
      </c>
    </row>
    <row r="815" spans="1:4">
      <c r="A815">
        <v>1814</v>
      </c>
      <c r="B815">
        <v>128</v>
      </c>
      <c r="C815" s="1">
        <v>46051</v>
      </c>
      <c r="D815" t="s">
        <v>335</v>
      </c>
    </row>
    <row r="816" spans="1:4">
      <c r="A816">
        <v>1815</v>
      </c>
      <c r="B816">
        <v>264</v>
      </c>
      <c r="C816" s="1">
        <v>46101</v>
      </c>
      <c r="D816" t="s">
        <v>333</v>
      </c>
    </row>
    <row r="817" spans="1:4">
      <c r="A817">
        <v>1816</v>
      </c>
      <c r="B817">
        <v>153</v>
      </c>
      <c r="C817" s="1">
        <v>46180</v>
      </c>
      <c r="D817" t="s">
        <v>335</v>
      </c>
    </row>
    <row r="818" spans="1:4">
      <c r="A818">
        <v>1817</v>
      </c>
      <c r="B818">
        <v>79</v>
      </c>
      <c r="C818" s="1">
        <v>46044</v>
      </c>
      <c r="D818" t="s">
        <v>335</v>
      </c>
    </row>
    <row r="819" spans="1:4">
      <c r="A819">
        <v>1818</v>
      </c>
      <c r="B819">
        <v>94</v>
      </c>
      <c r="C819" s="1">
        <v>46099</v>
      </c>
      <c r="D819" t="s">
        <v>335</v>
      </c>
    </row>
    <row r="820" spans="1:4">
      <c r="A820">
        <v>1819</v>
      </c>
      <c r="B820">
        <v>146</v>
      </c>
      <c r="C820" s="1">
        <v>46073</v>
      </c>
      <c r="D820" t="s">
        <v>335</v>
      </c>
    </row>
    <row r="821" spans="1:4">
      <c r="A821">
        <v>1820</v>
      </c>
      <c r="B821">
        <v>137</v>
      </c>
      <c r="C821" s="1">
        <v>46073</v>
      </c>
      <c r="D821" t="s">
        <v>333</v>
      </c>
    </row>
    <row r="822" spans="1:4">
      <c r="A822">
        <v>1821</v>
      </c>
      <c r="B822">
        <v>205</v>
      </c>
      <c r="C822" s="1">
        <v>46055</v>
      </c>
      <c r="D822" t="s">
        <v>335</v>
      </c>
    </row>
    <row r="823" spans="1:4">
      <c r="A823">
        <v>1822</v>
      </c>
      <c r="B823">
        <v>176</v>
      </c>
      <c r="C823" s="1">
        <v>46083</v>
      </c>
      <c r="D823" t="s">
        <v>335</v>
      </c>
    </row>
    <row r="824" spans="1:4">
      <c r="A824">
        <v>1823</v>
      </c>
      <c r="B824">
        <v>262</v>
      </c>
      <c r="C824" s="1">
        <v>46181</v>
      </c>
      <c r="D824" t="s">
        <v>335</v>
      </c>
    </row>
    <row r="825" spans="1:4">
      <c r="A825">
        <v>1824</v>
      </c>
      <c r="B825">
        <v>102</v>
      </c>
      <c r="C825" s="1">
        <v>46193</v>
      </c>
      <c r="D825" t="s">
        <v>335</v>
      </c>
    </row>
    <row r="826" spans="1:4">
      <c r="A826">
        <v>1825</v>
      </c>
      <c r="B826">
        <v>20</v>
      </c>
      <c r="C826" s="1">
        <v>46053</v>
      </c>
      <c r="D826" t="s">
        <v>335</v>
      </c>
    </row>
    <row r="827" spans="1:4">
      <c r="A827">
        <v>1826</v>
      </c>
      <c r="B827">
        <v>119</v>
      </c>
      <c r="C827" s="1">
        <v>46157</v>
      </c>
      <c r="D827" t="s">
        <v>335</v>
      </c>
    </row>
    <row r="828" spans="1:4">
      <c r="A828">
        <v>1827</v>
      </c>
      <c r="B828">
        <v>144</v>
      </c>
      <c r="C828" s="1">
        <v>46051</v>
      </c>
      <c r="D828" t="s">
        <v>335</v>
      </c>
    </row>
    <row r="829" spans="1:4">
      <c r="A829">
        <v>1828</v>
      </c>
      <c r="B829">
        <v>242</v>
      </c>
      <c r="C829" s="1">
        <v>46105</v>
      </c>
      <c r="D829" t="s">
        <v>335</v>
      </c>
    </row>
    <row r="830" spans="1:4">
      <c r="A830">
        <v>1829</v>
      </c>
      <c r="B830">
        <v>283</v>
      </c>
      <c r="C830" s="1">
        <v>46047</v>
      </c>
      <c r="D830" t="s">
        <v>335</v>
      </c>
    </row>
    <row r="831" spans="1:4">
      <c r="A831">
        <v>1830</v>
      </c>
      <c r="B831">
        <v>142</v>
      </c>
      <c r="C831" s="1">
        <v>46177</v>
      </c>
      <c r="D831" t="s">
        <v>335</v>
      </c>
    </row>
    <row r="832" spans="1:4">
      <c r="A832">
        <v>1831</v>
      </c>
      <c r="B832">
        <v>98</v>
      </c>
      <c r="C832" s="1">
        <v>46053</v>
      </c>
      <c r="D832" t="s">
        <v>335</v>
      </c>
    </row>
    <row r="833" spans="1:4">
      <c r="A833">
        <v>1832</v>
      </c>
      <c r="B833">
        <v>104</v>
      </c>
      <c r="C833" s="1">
        <v>46100</v>
      </c>
      <c r="D833" t="s">
        <v>335</v>
      </c>
    </row>
    <row r="834" spans="1:4">
      <c r="A834">
        <v>1833</v>
      </c>
      <c r="B834">
        <v>230</v>
      </c>
      <c r="C834" s="1">
        <v>46111</v>
      </c>
      <c r="D834" t="s">
        <v>334</v>
      </c>
    </row>
    <row r="835" spans="1:4">
      <c r="A835">
        <v>1834</v>
      </c>
      <c r="B835">
        <v>258</v>
      </c>
      <c r="C835" s="1">
        <v>46157</v>
      </c>
      <c r="D835" t="s">
        <v>333</v>
      </c>
    </row>
    <row r="836" spans="1:4">
      <c r="A836">
        <v>1835</v>
      </c>
      <c r="B836">
        <v>290</v>
      </c>
      <c r="C836" s="1">
        <v>46097</v>
      </c>
      <c r="D836" t="s">
        <v>335</v>
      </c>
    </row>
    <row r="837" spans="1:4">
      <c r="A837">
        <v>1836</v>
      </c>
      <c r="B837">
        <v>261</v>
      </c>
      <c r="C837" s="1">
        <v>46042</v>
      </c>
      <c r="D837" t="s">
        <v>335</v>
      </c>
    </row>
    <row r="838" spans="1:4">
      <c r="A838">
        <v>1837</v>
      </c>
      <c r="B838">
        <v>263</v>
      </c>
      <c r="C838" s="1">
        <v>46201</v>
      </c>
      <c r="D838" t="s">
        <v>335</v>
      </c>
    </row>
    <row r="839" spans="1:4">
      <c r="A839">
        <v>1838</v>
      </c>
      <c r="B839">
        <v>274</v>
      </c>
      <c r="C839" s="1">
        <v>46066</v>
      </c>
      <c r="D839" t="s">
        <v>335</v>
      </c>
    </row>
    <row r="840" spans="1:4">
      <c r="A840">
        <v>1839</v>
      </c>
      <c r="B840">
        <v>27</v>
      </c>
      <c r="C840" s="1">
        <v>46092</v>
      </c>
      <c r="D840" t="s">
        <v>334</v>
      </c>
    </row>
    <row r="841" spans="1:4">
      <c r="A841">
        <v>1840</v>
      </c>
      <c r="B841">
        <v>189</v>
      </c>
      <c r="C841" s="1">
        <v>46184</v>
      </c>
      <c r="D841" t="s">
        <v>335</v>
      </c>
    </row>
    <row r="842" spans="1:4">
      <c r="A842">
        <v>1841</v>
      </c>
      <c r="B842">
        <v>183</v>
      </c>
      <c r="C842" s="1">
        <v>46183</v>
      </c>
      <c r="D842" t="s">
        <v>335</v>
      </c>
    </row>
    <row r="843" spans="1:4">
      <c r="A843">
        <v>1842</v>
      </c>
      <c r="B843">
        <v>196</v>
      </c>
      <c r="C843" s="1">
        <v>46050</v>
      </c>
      <c r="D843" t="s">
        <v>335</v>
      </c>
    </row>
    <row r="844" spans="1:4">
      <c r="A844">
        <v>1843</v>
      </c>
      <c r="B844">
        <v>223</v>
      </c>
      <c r="C844" s="1">
        <v>46062</v>
      </c>
      <c r="D844" t="s">
        <v>335</v>
      </c>
    </row>
    <row r="845" spans="1:4">
      <c r="A845">
        <v>1844</v>
      </c>
      <c r="B845">
        <v>93</v>
      </c>
      <c r="C845" s="1">
        <v>46168</v>
      </c>
      <c r="D845" t="s">
        <v>335</v>
      </c>
    </row>
    <row r="846" spans="1:4">
      <c r="A846">
        <v>1845</v>
      </c>
      <c r="B846">
        <v>207</v>
      </c>
      <c r="C846" s="1">
        <v>46085</v>
      </c>
      <c r="D846" t="s">
        <v>335</v>
      </c>
    </row>
    <row r="847" spans="1:4">
      <c r="A847">
        <v>1846</v>
      </c>
      <c r="B847">
        <v>7</v>
      </c>
      <c r="C847" s="1">
        <v>46121</v>
      </c>
      <c r="D847" t="s">
        <v>335</v>
      </c>
    </row>
    <row r="848" spans="1:4">
      <c r="A848">
        <v>1847</v>
      </c>
      <c r="B848">
        <v>174</v>
      </c>
      <c r="C848" s="1">
        <v>46050</v>
      </c>
      <c r="D848" t="s">
        <v>335</v>
      </c>
    </row>
    <row r="849" spans="1:4">
      <c r="A849">
        <v>1848</v>
      </c>
      <c r="B849">
        <v>279</v>
      </c>
      <c r="C849" s="1">
        <v>46200</v>
      </c>
      <c r="D849" t="s">
        <v>335</v>
      </c>
    </row>
    <row r="850" spans="1:4">
      <c r="A850">
        <v>1849</v>
      </c>
      <c r="B850">
        <v>115</v>
      </c>
      <c r="C850" s="1">
        <v>46059</v>
      </c>
      <c r="D850" t="s">
        <v>335</v>
      </c>
    </row>
    <row r="851" spans="1:4">
      <c r="A851">
        <v>1850</v>
      </c>
      <c r="B851">
        <v>58</v>
      </c>
      <c r="C851" s="1">
        <v>46121</v>
      </c>
      <c r="D851" t="s">
        <v>335</v>
      </c>
    </row>
    <row r="852" spans="1:4">
      <c r="A852">
        <v>1851</v>
      </c>
      <c r="B852">
        <v>44</v>
      </c>
      <c r="C852" s="1">
        <v>46053</v>
      </c>
      <c r="D852" t="s">
        <v>335</v>
      </c>
    </row>
    <row r="853" spans="1:4">
      <c r="A853">
        <v>1852</v>
      </c>
      <c r="B853">
        <v>155</v>
      </c>
      <c r="C853" s="1">
        <v>46131</v>
      </c>
      <c r="D853" t="s">
        <v>335</v>
      </c>
    </row>
    <row r="854" spans="1:4">
      <c r="A854">
        <v>1853</v>
      </c>
      <c r="B854">
        <v>77</v>
      </c>
      <c r="C854" s="1">
        <v>46023</v>
      </c>
      <c r="D854" t="s">
        <v>334</v>
      </c>
    </row>
    <row r="855" spans="1:4">
      <c r="A855">
        <v>1854</v>
      </c>
      <c r="B855">
        <v>219</v>
      </c>
      <c r="C855" s="1">
        <v>46040</v>
      </c>
      <c r="D855" t="s">
        <v>335</v>
      </c>
    </row>
    <row r="856" spans="1:4">
      <c r="A856">
        <v>1855</v>
      </c>
      <c r="B856">
        <v>171</v>
      </c>
      <c r="C856" s="1">
        <v>46200</v>
      </c>
      <c r="D856" t="s">
        <v>336</v>
      </c>
    </row>
    <row r="857" spans="1:4">
      <c r="A857">
        <v>1856</v>
      </c>
      <c r="B857">
        <v>276</v>
      </c>
      <c r="C857" s="1">
        <v>46130</v>
      </c>
      <c r="D857" t="s">
        <v>335</v>
      </c>
    </row>
    <row r="858" spans="1:4">
      <c r="A858">
        <v>1857</v>
      </c>
      <c r="B858">
        <v>121</v>
      </c>
      <c r="C858" s="1">
        <v>46079</v>
      </c>
      <c r="D858" t="s">
        <v>335</v>
      </c>
    </row>
    <row r="859" spans="1:4">
      <c r="A859">
        <v>1858</v>
      </c>
      <c r="B859">
        <v>72</v>
      </c>
      <c r="C859" s="1">
        <v>46112</v>
      </c>
      <c r="D859" t="s">
        <v>335</v>
      </c>
    </row>
    <row r="860" spans="1:4">
      <c r="A860">
        <v>1859</v>
      </c>
      <c r="B860">
        <v>194</v>
      </c>
      <c r="C860" s="1">
        <v>46201</v>
      </c>
      <c r="D860" t="s">
        <v>335</v>
      </c>
    </row>
    <row r="861" spans="1:4">
      <c r="A861">
        <v>1860</v>
      </c>
      <c r="B861">
        <v>126</v>
      </c>
      <c r="C861" s="1">
        <v>46116</v>
      </c>
      <c r="D861" t="s">
        <v>335</v>
      </c>
    </row>
    <row r="862" spans="1:4">
      <c r="A862">
        <v>1861</v>
      </c>
      <c r="B862">
        <v>154</v>
      </c>
      <c r="C862" s="1">
        <v>46158</v>
      </c>
      <c r="D862" t="s">
        <v>335</v>
      </c>
    </row>
    <row r="863" spans="1:4">
      <c r="A863">
        <v>1862</v>
      </c>
      <c r="B863">
        <v>258</v>
      </c>
      <c r="C863" s="1">
        <v>46177</v>
      </c>
      <c r="D863" t="s">
        <v>335</v>
      </c>
    </row>
    <row r="864" spans="1:4">
      <c r="A864">
        <v>1863</v>
      </c>
      <c r="B864">
        <v>257</v>
      </c>
      <c r="C864" s="1">
        <v>46089</v>
      </c>
      <c r="D864" t="s">
        <v>333</v>
      </c>
    </row>
    <row r="865" spans="1:4">
      <c r="A865">
        <v>1864</v>
      </c>
      <c r="B865">
        <v>65</v>
      </c>
      <c r="C865" s="1">
        <v>46156</v>
      </c>
      <c r="D865" t="s">
        <v>335</v>
      </c>
    </row>
    <row r="866" spans="1:4">
      <c r="A866">
        <v>1865</v>
      </c>
      <c r="B866">
        <v>161</v>
      </c>
      <c r="C866" s="1">
        <v>46200</v>
      </c>
      <c r="D866" t="s">
        <v>335</v>
      </c>
    </row>
    <row r="867" spans="1:4">
      <c r="A867">
        <v>1866</v>
      </c>
      <c r="B867">
        <v>172</v>
      </c>
      <c r="C867" s="1">
        <v>46115</v>
      </c>
      <c r="D867" t="s">
        <v>335</v>
      </c>
    </row>
    <row r="868" spans="1:4">
      <c r="A868">
        <v>1867</v>
      </c>
      <c r="B868">
        <v>104</v>
      </c>
      <c r="C868" s="1">
        <v>46102</v>
      </c>
      <c r="D868" t="s">
        <v>335</v>
      </c>
    </row>
    <row r="869" spans="1:4">
      <c r="A869">
        <v>1868</v>
      </c>
      <c r="B869">
        <v>204</v>
      </c>
      <c r="C869" s="1">
        <v>46114</v>
      </c>
      <c r="D869" t="s">
        <v>335</v>
      </c>
    </row>
    <row r="870" spans="1:4">
      <c r="A870">
        <v>1869</v>
      </c>
      <c r="B870">
        <v>196</v>
      </c>
      <c r="C870" s="1">
        <v>46061</v>
      </c>
      <c r="D870" t="s">
        <v>335</v>
      </c>
    </row>
    <row r="871" spans="1:4">
      <c r="A871">
        <v>1870</v>
      </c>
      <c r="B871">
        <v>73</v>
      </c>
      <c r="C871" s="1">
        <v>46082</v>
      </c>
      <c r="D871" t="s">
        <v>334</v>
      </c>
    </row>
    <row r="872" spans="1:4">
      <c r="A872">
        <v>1871</v>
      </c>
      <c r="B872">
        <v>221</v>
      </c>
      <c r="C872" s="1">
        <v>46109</v>
      </c>
      <c r="D872" t="s">
        <v>335</v>
      </c>
    </row>
    <row r="873" spans="1:4">
      <c r="A873">
        <v>1872</v>
      </c>
      <c r="B873">
        <v>255</v>
      </c>
      <c r="C873" s="1">
        <v>46168</v>
      </c>
      <c r="D873" t="s">
        <v>335</v>
      </c>
    </row>
    <row r="874" spans="1:4">
      <c r="A874">
        <v>1873</v>
      </c>
      <c r="B874">
        <v>161</v>
      </c>
      <c r="C874" s="1">
        <v>46150</v>
      </c>
      <c r="D874" t="s">
        <v>335</v>
      </c>
    </row>
    <row r="875" spans="1:4">
      <c r="A875">
        <v>1874</v>
      </c>
      <c r="B875">
        <v>236</v>
      </c>
      <c r="C875" s="1">
        <v>46068</v>
      </c>
      <c r="D875" t="s">
        <v>335</v>
      </c>
    </row>
    <row r="876" spans="1:4">
      <c r="A876">
        <v>1875</v>
      </c>
      <c r="B876">
        <v>67</v>
      </c>
      <c r="C876" s="1">
        <v>46096</v>
      </c>
      <c r="D876" t="s">
        <v>335</v>
      </c>
    </row>
    <row r="877" spans="1:4">
      <c r="A877">
        <v>1876</v>
      </c>
      <c r="B877">
        <v>30</v>
      </c>
      <c r="C877" s="1">
        <v>46033</v>
      </c>
      <c r="D877" t="s">
        <v>335</v>
      </c>
    </row>
    <row r="878" spans="1:4">
      <c r="A878">
        <v>1877</v>
      </c>
      <c r="B878">
        <v>48</v>
      </c>
      <c r="C878" s="1">
        <v>46122</v>
      </c>
      <c r="D878" t="s">
        <v>334</v>
      </c>
    </row>
    <row r="879" spans="1:4">
      <c r="A879">
        <v>1878</v>
      </c>
      <c r="B879">
        <v>56</v>
      </c>
      <c r="C879" s="1">
        <v>46044</v>
      </c>
      <c r="D879" t="s">
        <v>335</v>
      </c>
    </row>
    <row r="880" spans="1:4">
      <c r="A880">
        <v>1879</v>
      </c>
      <c r="B880">
        <v>59</v>
      </c>
      <c r="C880" s="1">
        <v>46202</v>
      </c>
      <c r="D880" t="s">
        <v>335</v>
      </c>
    </row>
    <row r="881" spans="1:4">
      <c r="A881">
        <v>1880</v>
      </c>
      <c r="B881">
        <v>186</v>
      </c>
      <c r="C881" s="1">
        <v>46120</v>
      </c>
      <c r="D881" t="s">
        <v>335</v>
      </c>
    </row>
    <row r="882" spans="1:4">
      <c r="A882">
        <v>1881</v>
      </c>
      <c r="B882">
        <v>43</v>
      </c>
      <c r="C882" s="1">
        <v>46087</v>
      </c>
      <c r="D882" t="s">
        <v>335</v>
      </c>
    </row>
    <row r="883" spans="1:4">
      <c r="A883">
        <v>1882</v>
      </c>
      <c r="B883">
        <v>133</v>
      </c>
      <c r="C883" s="1">
        <v>46157</v>
      </c>
      <c r="D883" t="s">
        <v>335</v>
      </c>
    </row>
    <row r="884" spans="1:4">
      <c r="A884">
        <v>1883</v>
      </c>
      <c r="B884">
        <v>215</v>
      </c>
      <c r="C884" s="1">
        <v>46065</v>
      </c>
      <c r="D884" t="s">
        <v>335</v>
      </c>
    </row>
    <row r="885" spans="1:4">
      <c r="A885">
        <v>1884</v>
      </c>
      <c r="B885">
        <v>102</v>
      </c>
      <c r="C885" s="1">
        <v>46166</v>
      </c>
      <c r="D885" t="s">
        <v>335</v>
      </c>
    </row>
    <row r="886" spans="1:4">
      <c r="A886">
        <v>1885</v>
      </c>
      <c r="B886">
        <v>235</v>
      </c>
      <c r="C886" s="1">
        <v>46104</v>
      </c>
      <c r="D886" t="s">
        <v>335</v>
      </c>
    </row>
    <row r="887" spans="1:4">
      <c r="A887">
        <v>1886</v>
      </c>
      <c r="B887">
        <v>65</v>
      </c>
      <c r="C887" s="1">
        <v>46023</v>
      </c>
      <c r="D887" t="s">
        <v>336</v>
      </c>
    </row>
    <row r="888" spans="1:4">
      <c r="A888">
        <v>1887</v>
      </c>
      <c r="B888">
        <v>280</v>
      </c>
      <c r="C888" s="1">
        <v>46071</v>
      </c>
      <c r="D888" t="s">
        <v>335</v>
      </c>
    </row>
    <row r="889" spans="1:4">
      <c r="A889">
        <v>1888</v>
      </c>
      <c r="B889">
        <v>190</v>
      </c>
      <c r="C889" s="1">
        <v>46170</v>
      </c>
      <c r="D889" t="s">
        <v>333</v>
      </c>
    </row>
    <row r="890" spans="1:4">
      <c r="A890">
        <v>1889</v>
      </c>
      <c r="B890">
        <v>181</v>
      </c>
      <c r="C890" s="1">
        <v>46139</v>
      </c>
      <c r="D890" t="s">
        <v>335</v>
      </c>
    </row>
    <row r="891" spans="1:4">
      <c r="A891">
        <v>1890</v>
      </c>
      <c r="B891">
        <v>224</v>
      </c>
      <c r="C891" s="1">
        <v>46175</v>
      </c>
      <c r="D891" t="s">
        <v>335</v>
      </c>
    </row>
    <row r="892" spans="1:4">
      <c r="A892">
        <v>1891</v>
      </c>
      <c r="B892">
        <v>54</v>
      </c>
      <c r="C892" s="1">
        <v>46045</v>
      </c>
      <c r="D892" t="s">
        <v>335</v>
      </c>
    </row>
    <row r="893" spans="1:4">
      <c r="A893">
        <v>1892</v>
      </c>
      <c r="B893">
        <v>228</v>
      </c>
      <c r="C893" s="1">
        <v>46162</v>
      </c>
      <c r="D893" t="s">
        <v>335</v>
      </c>
    </row>
    <row r="894" spans="1:4">
      <c r="A894">
        <v>1893</v>
      </c>
      <c r="B894">
        <v>238</v>
      </c>
      <c r="C894" s="1">
        <v>46054</v>
      </c>
      <c r="D894" t="s">
        <v>335</v>
      </c>
    </row>
    <row r="895" spans="1:4">
      <c r="A895">
        <v>1894</v>
      </c>
      <c r="B895">
        <v>213</v>
      </c>
      <c r="C895" s="1">
        <v>46090</v>
      </c>
      <c r="D895" t="s">
        <v>335</v>
      </c>
    </row>
    <row r="896" spans="1:4">
      <c r="A896">
        <v>1895</v>
      </c>
      <c r="B896">
        <v>88</v>
      </c>
      <c r="C896" s="1">
        <v>46176</v>
      </c>
      <c r="D896" t="s">
        <v>335</v>
      </c>
    </row>
    <row r="897" spans="1:4">
      <c r="A897">
        <v>1896</v>
      </c>
      <c r="B897">
        <v>89</v>
      </c>
      <c r="C897" s="1">
        <v>46185</v>
      </c>
      <c r="D897" t="s">
        <v>335</v>
      </c>
    </row>
    <row r="898" spans="1:4">
      <c r="A898">
        <v>1897</v>
      </c>
      <c r="B898">
        <v>201</v>
      </c>
      <c r="C898" s="1">
        <v>46184</v>
      </c>
      <c r="D898" t="s">
        <v>335</v>
      </c>
    </row>
    <row r="899" spans="1:4">
      <c r="A899">
        <v>1898</v>
      </c>
      <c r="B899">
        <v>279</v>
      </c>
      <c r="C899" s="1">
        <v>46062</v>
      </c>
      <c r="D899" t="s">
        <v>335</v>
      </c>
    </row>
    <row r="900" spans="1:4">
      <c r="A900">
        <v>1899</v>
      </c>
      <c r="B900">
        <v>96</v>
      </c>
      <c r="C900" s="1">
        <v>46184</v>
      </c>
      <c r="D900" t="s">
        <v>335</v>
      </c>
    </row>
    <row r="901" spans="1:4">
      <c r="A901">
        <v>1900</v>
      </c>
      <c r="B901">
        <v>141</v>
      </c>
      <c r="C901" s="1">
        <v>46089</v>
      </c>
      <c r="D901" t="s">
        <v>335</v>
      </c>
    </row>
    <row r="902" spans="1:4">
      <c r="A902">
        <v>1901</v>
      </c>
      <c r="B902">
        <v>73</v>
      </c>
      <c r="C902" s="1">
        <v>46175</v>
      </c>
      <c r="D902" t="s">
        <v>335</v>
      </c>
    </row>
    <row r="903" spans="1:4">
      <c r="A903">
        <v>1902</v>
      </c>
      <c r="B903">
        <v>12</v>
      </c>
      <c r="C903" s="1">
        <v>46048</v>
      </c>
      <c r="D903" t="s">
        <v>335</v>
      </c>
    </row>
    <row r="904" spans="1:4">
      <c r="A904">
        <v>1903</v>
      </c>
      <c r="B904">
        <v>6</v>
      </c>
      <c r="C904" s="1">
        <v>46064</v>
      </c>
      <c r="D904" t="s">
        <v>335</v>
      </c>
    </row>
    <row r="905" spans="1:4">
      <c r="A905">
        <v>1904</v>
      </c>
      <c r="B905">
        <v>82</v>
      </c>
      <c r="C905" s="1">
        <v>46176</v>
      </c>
      <c r="D905" t="s">
        <v>335</v>
      </c>
    </row>
    <row r="906" spans="1:4">
      <c r="A906">
        <v>1905</v>
      </c>
      <c r="B906">
        <v>16</v>
      </c>
      <c r="C906" s="1">
        <v>46052</v>
      </c>
      <c r="D906" t="s">
        <v>334</v>
      </c>
    </row>
    <row r="907" spans="1:4">
      <c r="A907">
        <v>1906</v>
      </c>
      <c r="B907">
        <v>103</v>
      </c>
      <c r="C907" s="1">
        <v>46091</v>
      </c>
      <c r="D907" t="s">
        <v>335</v>
      </c>
    </row>
    <row r="908" spans="1:4">
      <c r="A908">
        <v>1907</v>
      </c>
      <c r="B908">
        <v>102</v>
      </c>
      <c r="C908" s="1">
        <v>46072</v>
      </c>
      <c r="D908" t="s">
        <v>335</v>
      </c>
    </row>
    <row r="909" spans="1:4">
      <c r="A909">
        <v>1908</v>
      </c>
      <c r="B909">
        <v>140</v>
      </c>
      <c r="C909" s="1">
        <v>46131</v>
      </c>
      <c r="D909" t="s">
        <v>335</v>
      </c>
    </row>
    <row r="910" spans="1:4">
      <c r="A910">
        <v>1909</v>
      </c>
      <c r="B910">
        <v>18</v>
      </c>
      <c r="C910" s="1">
        <v>46138</v>
      </c>
      <c r="D910" t="s">
        <v>335</v>
      </c>
    </row>
    <row r="911" spans="1:4">
      <c r="A911">
        <v>1910</v>
      </c>
      <c r="B911">
        <v>111</v>
      </c>
      <c r="C911" s="1">
        <v>46114</v>
      </c>
      <c r="D911" t="s">
        <v>335</v>
      </c>
    </row>
    <row r="912" spans="1:4">
      <c r="A912">
        <v>1911</v>
      </c>
      <c r="B912">
        <v>120</v>
      </c>
      <c r="C912" s="1">
        <v>46168</v>
      </c>
      <c r="D912" t="s">
        <v>335</v>
      </c>
    </row>
    <row r="913" spans="1:4">
      <c r="A913">
        <v>1912</v>
      </c>
      <c r="B913">
        <v>216</v>
      </c>
      <c r="C913" s="1">
        <v>46042</v>
      </c>
      <c r="D913" t="s">
        <v>335</v>
      </c>
    </row>
    <row r="914" spans="1:4">
      <c r="A914">
        <v>1913</v>
      </c>
      <c r="B914">
        <v>88</v>
      </c>
      <c r="C914" s="1">
        <v>46053</v>
      </c>
      <c r="D914" t="s">
        <v>335</v>
      </c>
    </row>
    <row r="915" spans="1:4">
      <c r="A915">
        <v>1914</v>
      </c>
      <c r="B915">
        <v>207</v>
      </c>
      <c r="C915" s="1">
        <v>46141</v>
      </c>
      <c r="D915" t="s">
        <v>335</v>
      </c>
    </row>
    <row r="916" spans="1:4">
      <c r="A916">
        <v>1915</v>
      </c>
      <c r="B916">
        <v>178</v>
      </c>
      <c r="C916" s="1">
        <v>46100</v>
      </c>
      <c r="D916" t="s">
        <v>335</v>
      </c>
    </row>
    <row r="917" spans="1:4">
      <c r="A917">
        <v>1916</v>
      </c>
      <c r="B917">
        <v>63</v>
      </c>
      <c r="C917" s="1">
        <v>46149</v>
      </c>
      <c r="D917" t="s">
        <v>335</v>
      </c>
    </row>
    <row r="918" spans="1:4">
      <c r="A918">
        <v>1917</v>
      </c>
      <c r="B918">
        <v>116</v>
      </c>
      <c r="C918" s="1">
        <v>46199</v>
      </c>
      <c r="D918" t="s">
        <v>335</v>
      </c>
    </row>
    <row r="919" spans="1:4">
      <c r="A919">
        <v>1918</v>
      </c>
      <c r="B919">
        <v>27</v>
      </c>
      <c r="C919" s="1">
        <v>46024</v>
      </c>
      <c r="D919" t="s">
        <v>333</v>
      </c>
    </row>
    <row r="920" spans="1:4">
      <c r="A920">
        <v>1919</v>
      </c>
      <c r="B920">
        <v>195</v>
      </c>
      <c r="C920" s="1">
        <v>46199</v>
      </c>
      <c r="D920" t="s">
        <v>335</v>
      </c>
    </row>
    <row r="921" spans="1:4">
      <c r="A921">
        <v>1920</v>
      </c>
      <c r="B921">
        <v>63</v>
      </c>
      <c r="C921" s="1">
        <v>46128</v>
      </c>
      <c r="D921" t="s">
        <v>335</v>
      </c>
    </row>
    <row r="922" spans="1:4">
      <c r="A922">
        <v>1921</v>
      </c>
      <c r="B922">
        <v>181</v>
      </c>
      <c r="C922" s="1">
        <v>46098</v>
      </c>
      <c r="D922" t="s">
        <v>335</v>
      </c>
    </row>
    <row r="923" spans="1:4">
      <c r="A923">
        <v>1922</v>
      </c>
      <c r="B923">
        <v>175</v>
      </c>
      <c r="C923" s="1">
        <v>46071</v>
      </c>
      <c r="D923" t="s">
        <v>335</v>
      </c>
    </row>
    <row r="924" spans="1:4">
      <c r="A924">
        <v>1923</v>
      </c>
      <c r="B924">
        <v>67</v>
      </c>
      <c r="C924" s="1">
        <v>46152</v>
      </c>
      <c r="D924" t="s">
        <v>335</v>
      </c>
    </row>
    <row r="925" spans="1:4">
      <c r="A925">
        <v>1924</v>
      </c>
      <c r="B925">
        <v>217</v>
      </c>
      <c r="C925" s="1">
        <v>46071</v>
      </c>
      <c r="D925" t="s">
        <v>335</v>
      </c>
    </row>
    <row r="926" spans="1:4">
      <c r="A926">
        <v>1925</v>
      </c>
      <c r="B926">
        <v>124</v>
      </c>
      <c r="C926" s="1">
        <v>46050</v>
      </c>
      <c r="D926" t="s">
        <v>335</v>
      </c>
    </row>
    <row r="927" spans="1:4">
      <c r="A927">
        <v>1926</v>
      </c>
      <c r="B927">
        <v>282</v>
      </c>
      <c r="C927" s="1">
        <v>46090</v>
      </c>
      <c r="D927" t="s">
        <v>335</v>
      </c>
    </row>
    <row r="928" spans="1:4">
      <c r="A928">
        <v>1927</v>
      </c>
      <c r="B928">
        <v>190</v>
      </c>
      <c r="C928" s="1">
        <v>46036</v>
      </c>
      <c r="D928" t="s">
        <v>335</v>
      </c>
    </row>
    <row r="929" spans="1:4">
      <c r="A929">
        <v>1928</v>
      </c>
      <c r="B929">
        <v>272</v>
      </c>
      <c r="C929" s="1">
        <v>46068</v>
      </c>
      <c r="D929" t="s">
        <v>335</v>
      </c>
    </row>
    <row r="930" spans="1:4">
      <c r="A930">
        <v>1929</v>
      </c>
      <c r="B930">
        <v>34</v>
      </c>
      <c r="C930" s="1">
        <v>46170</v>
      </c>
      <c r="D930" t="s">
        <v>335</v>
      </c>
    </row>
    <row r="931" spans="1:4">
      <c r="A931">
        <v>1930</v>
      </c>
      <c r="B931">
        <v>105</v>
      </c>
      <c r="C931" s="1">
        <v>46149</v>
      </c>
      <c r="D931" t="s">
        <v>335</v>
      </c>
    </row>
    <row r="932" spans="1:4">
      <c r="A932">
        <v>1931</v>
      </c>
      <c r="B932">
        <v>123</v>
      </c>
      <c r="C932" s="1">
        <v>46101</v>
      </c>
      <c r="D932" t="s">
        <v>334</v>
      </c>
    </row>
    <row r="933" spans="1:4">
      <c r="A933">
        <v>1932</v>
      </c>
      <c r="B933">
        <v>234</v>
      </c>
      <c r="C933" s="1">
        <v>46065</v>
      </c>
      <c r="D933" t="s">
        <v>335</v>
      </c>
    </row>
    <row r="934" spans="1:4">
      <c r="A934">
        <v>1933</v>
      </c>
      <c r="B934">
        <v>5</v>
      </c>
      <c r="C934" s="1">
        <v>46066</v>
      </c>
      <c r="D934" t="s">
        <v>335</v>
      </c>
    </row>
    <row r="935" spans="1:4">
      <c r="A935">
        <v>1934</v>
      </c>
      <c r="B935">
        <v>269</v>
      </c>
      <c r="C935" s="1">
        <v>46097</v>
      </c>
      <c r="D935" t="s">
        <v>335</v>
      </c>
    </row>
    <row r="936" spans="1:4">
      <c r="A936">
        <v>1935</v>
      </c>
      <c r="B936">
        <v>187</v>
      </c>
      <c r="C936" s="1">
        <v>46192</v>
      </c>
      <c r="D936" t="s">
        <v>335</v>
      </c>
    </row>
    <row r="937" spans="1:4">
      <c r="A937">
        <v>1936</v>
      </c>
      <c r="B937">
        <v>266</v>
      </c>
      <c r="C937" s="1">
        <v>46146</v>
      </c>
      <c r="D937" t="s">
        <v>335</v>
      </c>
    </row>
    <row r="938" spans="1:4">
      <c r="A938">
        <v>1937</v>
      </c>
      <c r="B938">
        <v>46</v>
      </c>
      <c r="C938" s="1">
        <v>46133</v>
      </c>
      <c r="D938" t="s">
        <v>335</v>
      </c>
    </row>
    <row r="939" spans="1:4">
      <c r="A939">
        <v>1938</v>
      </c>
      <c r="B939">
        <v>179</v>
      </c>
      <c r="C939" s="1">
        <v>46157</v>
      </c>
      <c r="D939" t="s">
        <v>335</v>
      </c>
    </row>
    <row r="940" spans="1:4">
      <c r="A940">
        <v>1939</v>
      </c>
      <c r="B940">
        <v>233</v>
      </c>
      <c r="C940" s="1">
        <v>46179</v>
      </c>
      <c r="D940" t="s">
        <v>335</v>
      </c>
    </row>
    <row r="941" spans="1:4">
      <c r="A941">
        <v>1940</v>
      </c>
      <c r="B941">
        <v>156</v>
      </c>
      <c r="C941" s="1">
        <v>46165</v>
      </c>
      <c r="D941" t="s">
        <v>335</v>
      </c>
    </row>
    <row r="942" spans="1:4">
      <c r="A942">
        <v>1941</v>
      </c>
      <c r="B942">
        <v>3</v>
      </c>
      <c r="C942" s="1">
        <v>46036</v>
      </c>
      <c r="D942" t="s">
        <v>335</v>
      </c>
    </row>
    <row r="943" spans="1:4">
      <c r="A943">
        <v>1942</v>
      </c>
      <c r="B943">
        <v>288</v>
      </c>
      <c r="C943" s="1">
        <v>46193</v>
      </c>
      <c r="D943" t="s">
        <v>333</v>
      </c>
    </row>
    <row r="944" spans="1:4">
      <c r="A944">
        <v>1943</v>
      </c>
      <c r="B944">
        <v>42</v>
      </c>
      <c r="C944" s="1">
        <v>46073</v>
      </c>
      <c r="D944" t="s">
        <v>335</v>
      </c>
    </row>
    <row r="945" spans="1:4">
      <c r="A945">
        <v>1944</v>
      </c>
      <c r="B945">
        <v>155</v>
      </c>
      <c r="C945" s="1">
        <v>46048</v>
      </c>
      <c r="D945" t="s">
        <v>334</v>
      </c>
    </row>
    <row r="946" spans="1:4">
      <c r="A946">
        <v>1945</v>
      </c>
      <c r="B946">
        <v>129</v>
      </c>
      <c r="C946" s="1">
        <v>46197</v>
      </c>
      <c r="D946" t="s">
        <v>335</v>
      </c>
    </row>
    <row r="947" spans="1:4">
      <c r="A947">
        <v>1946</v>
      </c>
      <c r="B947">
        <v>193</v>
      </c>
      <c r="C947" s="1">
        <v>46141</v>
      </c>
      <c r="D947" t="s">
        <v>335</v>
      </c>
    </row>
    <row r="948" spans="1:4">
      <c r="A948">
        <v>1947</v>
      </c>
      <c r="B948">
        <v>211</v>
      </c>
      <c r="C948" s="1">
        <v>46132</v>
      </c>
      <c r="D948" t="s">
        <v>335</v>
      </c>
    </row>
    <row r="949" spans="1:4">
      <c r="A949">
        <v>1948</v>
      </c>
      <c r="B949">
        <v>66</v>
      </c>
      <c r="C949" s="1">
        <v>46171</v>
      </c>
      <c r="D949" t="s">
        <v>335</v>
      </c>
    </row>
    <row r="950" spans="1:4">
      <c r="A950">
        <v>1949</v>
      </c>
      <c r="B950">
        <v>44</v>
      </c>
      <c r="C950" s="1">
        <v>46140</v>
      </c>
      <c r="D950" t="s">
        <v>335</v>
      </c>
    </row>
    <row r="951" spans="1:4">
      <c r="A951">
        <v>1950</v>
      </c>
      <c r="B951">
        <v>32</v>
      </c>
      <c r="C951" s="1">
        <v>46199</v>
      </c>
      <c r="D951" t="s">
        <v>335</v>
      </c>
    </row>
    <row r="952" spans="1:4">
      <c r="A952">
        <v>1951</v>
      </c>
      <c r="B952">
        <v>80</v>
      </c>
      <c r="C952" s="1">
        <v>46057</v>
      </c>
      <c r="D952" t="s">
        <v>335</v>
      </c>
    </row>
    <row r="953" spans="1:4">
      <c r="A953">
        <v>1952</v>
      </c>
      <c r="B953">
        <v>267</v>
      </c>
      <c r="C953" s="1">
        <v>46177</v>
      </c>
      <c r="D953" t="s">
        <v>334</v>
      </c>
    </row>
    <row r="954" spans="1:4">
      <c r="A954">
        <v>1953</v>
      </c>
      <c r="B954">
        <v>259</v>
      </c>
      <c r="C954" s="1">
        <v>46049</v>
      </c>
      <c r="D954" t="s">
        <v>335</v>
      </c>
    </row>
    <row r="955" spans="1:4">
      <c r="A955">
        <v>1954</v>
      </c>
      <c r="B955">
        <v>225</v>
      </c>
      <c r="C955" s="1">
        <v>46089</v>
      </c>
      <c r="D955" t="s">
        <v>335</v>
      </c>
    </row>
    <row r="956" spans="1:4">
      <c r="A956">
        <v>1955</v>
      </c>
      <c r="B956">
        <v>244</v>
      </c>
      <c r="C956" s="1">
        <v>46202</v>
      </c>
      <c r="D956" t="s">
        <v>335</v>
      </c>
    </row>
    <row r="957" spans="1:4">
      <c r="A957">
        <v>1956</v>
      </c>
      <c r="B957">
        <v>218</v>
      </c>
      <c r="C957" s="1">
        <v>46141</v>
      </c>
      <c r="D957" t="s">
        <v>335</v>
      </c>
    </row>
    <row r="958" spans="1:4">
      <c r="A958">
        <v>1957</v>
      </c>
      <c r="B958">
        <v>228</v>
      </c>
      <c r="C958" s="1">
        <v>46031</v>
      </c>
      <c r="D958" t="s">
        <v>335</v>
      </c>
    </row>
    <row r="959" spans="1:4">
      <c r="A959">
        <v>1958</v>
      </c>
      <c r="B959">
        <v>258</v>
      </c>
      <c r="C959" s="1">
        <v>46114</v>
      </c>
      <c r="D959" t="s">
        <v>335</v>
      </c>
    </row>
    <row r="960" spans="1:4">
      <c r="A960">
        <v>1959</v>
      </c>
      <c r="B960">
        <v>72</v>
      </c>
      <c r="C960" s="1">
        <v>46167</v>
      </c>
      <c r="D960" t="s">
        <v>335</v>
      </c>
    </row>
    <row r="961" spans="1:4">
      <c r="A961">
        <v>1960</v>
      </c>
      <c r="B961">
        <v>295</v>
      </c>
      <c r="C961" s="1">
        <v>46178</v>
      </c>
      <c r="D961" t="s">
        <v>335</v>
      </c>
    </row>
    <row r="962" spans="1:4">
      <c r="A962">
        <v>1961</v>
      </c>
      <c r="B962">
        <v>82</v>
      </c>
      <c r="C962" s="1">
        <v>46040</v>
      </c>
      <c r="D962" t="s">
        <v>335</v>
      </c>
    </row>
    <row r="963" spans="1:4">
      <c r="A963">
        <v>1962</v>
      </c>
      <c r="B963">
        <v>90</v>
      </c>
      <c r="C963" s="1">
        <v>46083</v>
      </c>
      <c r="D963" t="s">
        <v>335</v>
      </c>
    </row>
    <row r="964" spans="1:4">
      <c r="A964">
        <v>1963</v>
      </c>
      <c r="B964">
        <v>16</v>
      </c>
      <c r="C964" s="1">
        <v>46178</v>
      </c>
      <c r="D964" t="s">
        <v>335</v>
      </c>
    </row>
    <row r="965" spans="1:4">
      <c r="A965">
        <v>1964</v>
      </c>
      <c r="B965">
        <v>130</v>
      </c>
      <c r="C965" s="1">
        <v>46165</v>
      </c>
      <c r="D965" t="s">
        <v>335</v>
      </c>
    </row>
    <row r="966" spans="1:4">
      <c r="A966">
        <v>1965</v>
      </c>
      <c r="B966">
        <v>50</v>
      </c>
      <c r="C966" s="1">
        <v>46045</v>
      </c>
      <c r="D966" t="s">
        <v>335</v>
      </c>
    </row>
    <row r="967" spans="1:4">
      <c r="A967">
        <v>1966</v>
      </c>
      <c r="B967">
        <v>271</v>
      </c>
      <c r="C967" s="1">
        <v>46041</v>
      </c>
      <c r="D967" t="s">
        <v>335</v>
      </c>
    </row>
    <row r="968" spans="1:4">
      <c r="A968">
        <v>1967</v>
      </c>
      <c r="B968">
        <v>193</v>
      </c>
      <c r="C968" s="1">
        <v>46135</v>
      </c>
      <c r="D968" t="s">
        <v>335</v>
      </c>
    </row>
    <row r="969" spans="1:4">
      <c r="A969">
        <v>1968</v>
      </c>
      <c r="B969">
        <v>277</v>
      </c>
      <c r="C969" s="1">
        <v>46082</v>
      </c>
      <c r="D969" t="s">
        <v>335</v>
      </c>
    </row>
    <row r="970" spans="1:4">
      <c r="A970">
        <v>1969</v>
      </c>
      <c r="B970">
        <v>295</v>
      </c>
      <c r="C970" s="1">
        <v>46096</v>
      </c>
      <c r="D970" t="s">
        <v>335</v>
      </c>
    </row>
    <row r="971" spans="1:4">
      <c r="A971">
        <v>1970</v>
      </c>
      <c r="B971">
        <v>135</v>
      </c>
      <c r="C971" s="1">
        <v>46172</v>
      </c>
      <c r="D971" t="s">
        <v>335</v>
      </c>
    </row>
    <row r="972" spans="1:4">
      <c r="A972">
        <v>1971</v>
      </c>
      <c r="B972">
        <v>32</v>
      </c>
      <c r="C972" s="1">
        <v>46107</v>
      </c>
      <c r="D972" t="s">
        <v>333</v>
      </c>
    </row>
    <row r="973" spans="1:4">
      <c r="A973">
        <v>1972</v>
      </c>
      <c r="B973">
        <v>19</v>
      </c>
      <c r="C973" s="1">
        <v>46179</v>
      </c>
      <c r="D973" t="s">
        <v>335</v>
      </c>
    </row>
    <row r="974" spans="1:4">
      <c r="A974">
        <v>1973</v>
      </c>
      <c r="B974">
        <v>180</v>
      </c>
      <c r="C974" s="1">
        <v>46150</v>
      </c>
      <c r="D974" t="s">
        <v>335</v>
      </c>
    </row>
    <row r="975" spans="1:4">
      <c r="A975">
        <v>1974</v>
      </c>
      <c r="B975">
        <v>195</v>
      </c>
      <c r="C975" s="1">
        <v>46159</v>
      </c>
      <c r="D975" t="s">
        <v>335</v>
      </c>
    </row>
    <row r="976" spans="1:4">
      <c r="A976">
        <v>1975</v>
      </c>
      <c r="B976">
        <v>225</v>
      </c>
      <c r="C976" s="1">
        <v>46163</v>
      </c>
      <c r="D976" t="s">
        <v>335</v>
      </c>
    </row>
    <row r="977" spans="1:4">
      <c r="A977">
        <v>1976</v>
      </c>
      <c r="B977">
        <v>6</v>
      </c>
      <c r="C977" s="1">
        <v>46082</v>
      </c>
      <c r="D977" t="s">
        <v>335</v>
      </c>
    </row>
    <row r="978" spans="1:4">
      <c r="A978">
        <v>1977</v>
      </c>
      <c r="B978">
        <v>225</v>
      </c>
      <c r="C978" s="1">
        <v>46042</v>
      </c>
      <c r="D978" t="s">
        <v>335</v>
      </c>
    </row>
    <row r="979" spans="1:4">
      <c r="A979">
        <v>1978</v>
      </c>
      <c r="B979">
        <v>246</v>
      </c>
      <c r="C979" s="1">
        <v>46056</v>
      </c>
      <c r="D979" t="s">
        <v>335</v>
      </c>
    </row>
    <row r="980" spans="1:4">
      <c r="A980">
        <v>1979</v>
      </c>
      <c r="B980">
        <v>188</v>
      </c>
      <c r="C980" s="1">
        <v>46136</v>
      </c>
      <c r="D980" t="s">
        <v>335</v>
      </c>
    </row>
    <row r="981" spans="1:4">
      <c r="A981">
        <v>1980</v>
      </c>
      <c r="B981">
        <v>105</v>
      </c>
      <c r="C981" s="1">
        <v>46147</v>
      </c>
      <c r="D981" t="s">
        <v>335</v>
      </c>
    </row>
    <row r="982" spans="1:4">
      <c r="A982">
        <v>1981</v>
      </c>
      <c r="B982">
        <v>121</v>
      </c>
      <c r="C982" s="1">
        <v>46059</v>
      </c>
      <c r="D982" t="s">
        <v>335</v>
      </c>
    </row>
    <row r="983" spans="1:4">
      <c r="A983">
        <v>1982</v>
      </c>
      <c r="B983">
        <v>197</v>
      </c>
      <c r="C983" s="1">
        <v>46044</v>
      </c>
      <c r="D983" t="s">
        <v>335</v>
      </c>
    </row>
    <row r="984" spans="1:4">
      <c r="A984">
        <v>1983</v>
      </c>
      <c r="B984">
        <v>157</v>
      </c>
      <c r="C984" s="1">
        <v>46159</v>
      </c>
      <c r="D984" t="s">
        <v>335</v>
      </c>
    </row>
    <row r="985" spans="1:4">
      <c r="A985">
        <v>1984</v>
      </c>
      <c r="B985">
        <v>111</v>
      </c>
      <c r="C985" s="1">
        <v>46090</v>
      </c>
      <c r="D985" t="s">
        <v>335</v>
      </c>
    </row>
    <row r="986" spans="1:4">
      <c r="A986">
        <v>1985</v>
      </c>
      <c r="B986">
        <v>148</v>
      </c>
      <c r="C986" s="1">
        <v>46050</v>
      </c>
      <c r="D986" t="s">
        <v>335</v>
      </c>
    </row>
    <row r="987" spans="1:4">
      <c r="A987">
        <v>1986</v>
      </c>
      <c r="B987">
        <v>141</v>
      </c>
      <c r="C987" s="1">
        <v>46094</v>
      </c>
      <c r="D987" t="s">
        <v>335</v>
      </c>
    </row>
    <row r="988" spans="1:4">
      <c r="A988">
        <v>1987</v>
      </c>
      <c r="B988">
        <v>7</v>
      </c>
      <c r="C988" s="1">
        <v>46091</v>
      </c>
      <c r="D988" t="s">
        <v>335</v>
      </c>
    </row>
    <row r="989" spans="1:4">
      <c r="A989">
        <v>1988</v>
      </c>
      <c r="B989">
        <v>19</v>
      </c>
      <c r="C989" s="1">
        <v>46135</v>
      </c>
      <c r="D989" t="s">
        <v>335</v>
      </c>
    </row>
    <row r="990" spans="1:4">
      <c r="A990">
        <v>1989</v>
      </c>
      <c r="B990">
        <v>33</v>
      </c>
      <c r="C990" s="1">
        <v>46164</v>
      </c>
      <c r="D990" t="s">
        <v>335</v>
      </c>
    </row>
    <row r="991" spans="1:4">
      <c r="A991">
        <v>1990</v>
      </c>
      <c r="B991">
        <v>120</v>
      </c>
      <c r="C991" s="1">
        <v>46181</v>
      </c>
      <c r="D991" t="s">
        <v>335</v>
      </c>
    </row>
    <row r="992" spans="1:4">
      <c r="A992">
        <v>1991</v>
      </c>
      <c r="B992">
        <v>117</v>
      </c>
      <c r="C992" s="1">
        <v>46033</v>
      </c>
      <c r="D992" t="s">
        <v>335</v>
      </c>
    </row>
    <row r="993" spans="1:4">
      <c r="A993">
        <v>1992</v>
      </c>
      <c r="B993">
        <v>121</v>
      </c>
      <c r="C993" s="1">
        <v>46161</v>
      </c>
      <c r="D993" t="s">
        <v>335</v>
      </c>
    </row>
    <row r="994" spans="1:4">
      <c r="A994">
        <v>1993</v>
      </c>
      <c r="B994">
        <v>219</v>
      </c>
      <c r="C994" s="1">
        <v>46197</v>
      </c>
      <c r="D994" t="s">
        <v>335</v>
      </c>
    </row>
    <row r="995" spans="1:4">
      <c r="A995">
        <v>1994</v>
      </c>
      <c r="B995">
        <v>83</v>
      </c>
      <c r="C995" s="1">
        <v>46098</v>
      </c>
      <c r="D995" t="s">
        <v>335</v>
      </c>
    </row>
    <row r="996" spans="1:4">
      <c r="A996">
        <v>1995</v>
      </c>
      <c r="B996">
        <v>177</v>
      </c>
      <c r="C996" s="1">
        <v>46153</v>
      </c>
      <c r="D996" t="s">
        <v>335</v>
      </c>
    </row>
    <row r="997" spans="1:4">
      <c r="A997">
        <v>1996</v>
      </c>
      <c r="B997">
        <v>115</v>
      </c>
      <c r="C997" s="1">
        <v>46043</v>
      </c>
      <c r="D997" t="s">
        <v>333</v>
      </c>
    </row>
    <row r="998" spans="1:4">
      <c r="A998">
        <v>1997</v>
      </c>
      <c r="B998">
        <v>163</v>
      </c>
      <c r="C998" s="1">
        <v>46157</v>
      </c>
      <c r="D998" t="s">
        <v>335</v>
      </c>
    </row>
    <row r="999" spans="1:4">
      <c r="A999">
        <v>1998</v>
      </c>
      <c r="B999">
        <v>60</v>
      </c>
      <c r="C999" s="1">
        <v>46139</v>
      </c>
      <c r="D999" t="s">
        <v>335</v>
      </c>
    </row>
    <row r="1000" spans="1:4">
      <c r="A1000">
        <v>1999</v>
      </c>
      <c r="B1000">
        <v>215</v>
      </c>
      <c r="C1000" s="1">
        <v>46177</v>
      </c>
      <c r="D1000" t="s">
        <v>335</v>
      </c>
    </row>
    <row r="1001" spans="1:4">
      <c r="A1001">
        <v>2000</v>
      </c>
      <c r="B1001">
        <v>134</v>
      </c>
      <c r="C1001" s="1">
        <v>46172</v>
      </c>
      <c r="D1001" t="s">
        <v>335</v>
      </c>
    </row>
    <row r="1002" spans="1:4">
      <c r="A1002">
        <v>2001</v>
      </c>
      <c r="B1002">
        <v>102</v>
      </c>
      <c r="C1002" s="1">
        <v>46184</v>
      </c>
      <c r="D1002" t="s">
        <v>334</v>
      </c>
    </row>
    <row r="1003" spans="1:4">
      <c r="A1003">
        <v>2002</v>
      </c>
      <c r="B1003">
        <v>135</v>
      </c>
      <c r="C1003" s="1">
        <v>46065</v>
      </c>
      <c r="D1003" t="s">
        <v>335</v>
      </c>
    </row>
    <row r="1004" spans="1:4">
      <c r="A1004">
        <v>2003</v>
      </c>
      <c r="B1004">
        <v>217</v>
      </c>
      <c r="C1004" s="1">
        <v>46158</v>
      </c>
      <c r="D1004" t="s">
        <v>333</v>
      </c>
    </row>
    <row r="1005" spans="1:4">
      <c r="A1005">
        <v>2004</v>
      </c>
      <c r="B1005">
        <v>56</v>
      </c>
      <c r="C1005" s="1">
        <v>46174</v>
      </c>
      <c r="D1005" t="s">
        <v>335</v>
      </c>
    </row>
    <row r="1006" spans="1:4">
      <c r="A1006">
        <v>2005</v>
      </c>
      <c r="B1006">
        <v>261</v>
      </c>
      <c r="C1006" s="1">
        <v>46057</v>
      </c>
      <c r="D1006" t="s">
        <v>335</v>
      </c>
    </row>
    <row r="1007" spans="1:4">
      <c r="A1007">
        <v>2006</v>
      </c>
      <c r="B1007">
        <v>261</v>
      </c>
      <c r="C1007" s="1">
        <v>46105</v>
      </c>
      <c r="D1007" t="s">
        <v>335</v>
      </c>
    </row>
    <row r="1008" spans="1:4">
      <c r="A1008">
        <v>2007</v>
      </c>
      <c r="B1008">
        <v>219</v>
      </c>
      <c r="C1008" s="1">
        <v>46153</v>
      </c>
      <c r="D1008" t="s">
        <v>335</v>
      </c>
    </row>
    <row r="1009" spans="1:4">
      <c r="A1009">
        <v>2008</v>
      </c>
      <c r="B1009">
        <v>143</v>
      </c>
      <c r="C1009" s="1">
        <v>46076</v>
      </c>
      <c r="D1009" t="s">
        <v>335</v>
      </c>
    </row>
    <row r="1010" spans="1:4">
      <c r="A1010">
        <v>2009</v>
      </c>
      <c r="B1010">
        <v>133</v>
      </c>
      <c r="C1010" s="1">
        <v>46096</v>
      </c>
      <c r="D1010" t="s">
        <v>333</v>
      </c>
    </row>
    <row r="1011" spans="1:4">
      <c r="A1011">
        <v>2010</v>
      </c>
      <c r="B1011">
        <v>21</v>
      </c>
      <c r="C1011" s="1">
        <v>46066</v>
      </c>
      <c r="D1011" t="s">
        <v>335</v>
      </c>
    </row>
    <row r="1012" spans="1:4">
      <c r="A1012">
        <v>2011</v>
      </c>
      <c r="B1012">
        <v>233</v>
      </c>
      <c r="C1012" s="1">
        <v>46136</v>
      </c>
      <c r="D1012" t="s">
        <v>335</v>
      </c>
    </row>
    <row r="1013" spans="1:4">
      <c r="A1013">
        <v>2012</v>
      </c>
      <c r="B1013">
        <v>182</v>
      </c>
      <c r="C1013" s="1">
        <v>46194</v>
      </c>
      <c r="D1013" t="s">
        <v>335</v>
      </c>
    </row>
    <row r="1014" spans="1:4">
      <c r="A1014">
        <v>2013</v>
      </c>
      <c r="B1014">
        <v>263</v>
      </c>
      <c r="C1014" s="1">
        <v>46139</v>
      </c>
      <c r="D1014" t="s">
        <v>335</v>
      </c>
    </row>
    <row r="1015" spans="1:4">
      <c r="A1015">
        <v>2014</v>
      </c>
      <c r="B1015">
        <v>5</v>
      </c>
      <c r="C1015" s="1">
        <v>46032</v>
      </c>
      <c r="D1015" t="s">
        <v>333</v>
      </c>
    </row>
    <row r="1016" spans="1:4">
      <c r="A1016">
        <v>2015</v>
      </c>
      <c r="B1016">
        <v>241</v>
      </c>
      <c r="C1016" s="1">
        <v>46195</v>
      </c>
      <c r="D1016" t="s">
        <v>335</v>
      </c>
    </row>
    <row r="1017" spans="1:4">
      <c r="A1017">
        <v>2016</v>
      </c>
      <c r="B1017">
        <v>110</v>
      </c>
      <c r="C1017" s="1">
        <v>46155</v>
      </c>
      <c r="D1017" t="s">
        <v>334</v>
      </c>
    </row>
    <row r="1018" spans="1:4">
      <c r="A1018">
        <v>2017</v>
      </c>
      <c r="B1018">
        <v>107</v>
      </c>
      <c r="C1018" s="1">
        <v>46148</v>
      </c>
      <c r="D1018" t="s">
        <v>335</v>
      </c>
    </row>
    <row r="1019" spans="1:4">
      <c r="A1019">
        <v>2018</v>
      </c>
      <c r="B1019">
        <v>150</v>
      </c>
      <c r="C1019" s="1">
        <v>46099</v>
      </c>
      <c r="D1019" t="s">
        <v>335</v>
      </c>
    </row>
    <row r="1020" spans="1:4">
      <c r="A1020">
        <v>2019</v>
      </c>
      <c r="B1020">
        <v>167</v>
      </c>
      <c r="C1020" s="1">
        <v>46130</v>
      </c>
      <c r="D1020" t="s">
        <v>333</v>
      </c>
    </row>
    <row r="1021" spans="1:4">
      <c r="A1021">
        <v>2020</v>
      </c>
      <c r="B1021">
        <v>178</v>
      </c>
      <c r="C1021" s="1">
        <v>46104</v>
      </c>
      <c r="D1021" t="s">
        <v>335</v>
      </c>
    </row>
    <row r="1022" spans="1:4">
      <c r="A1022">
        <v>2021</v>
      </c>
      <c r="B1022">
        <v>166</v>
      </c>
      <c r="C1022" s="1">
        <v>46038</v>
      </c>
      <c r="D1022" t="s">
        <v>335</v>
      </c>
    </row>
    <row r="1023" spans="1:4">
      <c r="A1023">
        <v>2022</v>
      </c>
      <c r="B1023">
        <v>113</v>
      </c>
      <c r="C1023" s="1">
        <v>46091</v>
      </c>
      <c r="D1023" t="s">
        <v>335</v>
      </c>
    </row>
    <row r="1024" spans="1:4">
      <c r="A1024">
        <v>2023</v>
      </c>
      <c r="B1024">
        <v>169</v>
      </c>
      <c r="C1024" s="1">
        <v>46183</v>
      </c>
      <c r="D1024" t="s">
        <v>335</v>
      </c>
    </row>
    <row r="1025" spans="1:4">
      <c r="A1025">
        <v>2024</v>
      </c>
      <c r="B1025">
        <v>284</v>
      </c>
      <c r="C1025" s="1">
        <v>46108</v>
      </c>
      <c r="D1025" t="s">
        <v>333</v>
      </c>
    </row>
    <row r="1026" spans="1:4">
      <c r="A1026">
        <v>2025</v>
      </c>
      <c r="B1026">
        <v>81</v>
      </c>
      <c r="C1026" s="1">
        <v>46160</v>
      </c>
      <c r="D1026" t="s">
        <v>335</v>
      </c>
    </row>
    <row r="1027" spans="1:4">
      <c r="A1027">
        <v>2026</v>
      </c>
      <c r="B1027">
        <v>270</v>
      </c>
      <c r="C1027" s="1">
        <v>46032</v>
      </c>
      <c r="D1027" t="s">
        <v>335</v>
      </c>
    </row>
    <row r="1028" spans="1:4">
      <c r="A1028">
        <v>2027</v>
      </c>
      <c r="B1028">
        <v>127</v>
      </c>
      <c r="C1028" s="1">
        <v>46081</v>
      </c>
      <c r="D1028" t="s">
        <v>335</v>
      </c>
    </row>
    <row r="1029" spans="1:4">
      <c r="A1029">
        <v>2028</v>
      </c>
      <c r="B1029">
        <v>40</v>
      </c>
      <c r="C1029" s="1">
        <v>46092</v>
      </c>
      <c r="D1029" t="s">
        <v>334</v>
      </c>
    </row>
    <row r="1030" spans="1:4">
      <c r="A1030">
        <v>2029</v>
      </c>
      <c r="B1030">
        <v>278</v>
      </c>
      <c r="C1030" s="1">
        <v>46028</v>
      </c>
      <c r="D1030" t="s">
        <v>335</v>
      </c>
    </row>
    <row r="1031" spans="1:4">
      <c r="A1031">
        <v>2030</v>
      </c>
      <c r="B1031">
        <v>52</v>
      </c>
      <c r="C1031" s="1">
        <v>46093</v>
      </c>
      <c r="D1031" t="s">
        <v>335</v>
      </c>
    </row>
    <row r="1032" spans="1:4">
      <c r="A1032">
        <v>2031</v>
      </c>
      <c r="B1032">
        <v>274</v>
      </c>
      <c r="C1032" s="1">
        <v>46094</v>
      </c>
      <c r="D1032" t="s">
        <v>335</v>
      </c>
    </row>
    <row r="1033" spans="1:4">
      <c r="A1033">
        <v>2032</v>
      </c>
      <c r="B1033">
        <v>119</v>
      </c>
      <c r="C1033" s="1">
        <v>46029</v>
      </c>
      <c r="D1033" t="s">
        <v>335</v>
      </c>
    </row>
    <row r="1034" spans="1:4">
      <c r="A1034">
        <v>2033</v>
      </c>
      <c r="B1034">
        <v>251</v>
      </c>
      <c r="C1034" s="1">
        <v>46166</v>
      </c>
      <c r="D1034" t="s">
        <v>335</v>
      </c>
    </row>
    <row r="1035" spans="1:4">
      <c r="A1035">
        <v>2034</v>
      </c>
      <c r="B1035">
        <v>19</v>
      </c>
      <c r="C1035" s="1">
        <v>46109</v>
      </c>
      <c r="D1035" t="s">
        <v>335</v>
      </c>
    </row>
    <row r="1036" spans="1:4">
      <c r="A1036">
        <v>2035</v>
      </c>
      <c r="B1036">
        <v>121</v>
      </c>
      <c r="C1036" s="1">
        <v>46162</v>
      </c>
      <c r="D1036" t="s">
        <v>335</v>
      </c>
    </row>
    <row r="1037" spans="1:4">
      <c r="A1037">
        <v>2036</v>
      </c>
      <c r="B1037">
        <v>63</v>
      </c>
      <c r="C1037" s="1">
        <v>46064</v>
      </c>
      <c r="D1037" t="s">
        <v>335</v>
      </c>
    </row>
    <row r="1038" spans="1:4">
      <c r="A1038">
        <v>2037</v>
      </c>
      <c r="B1038">
        <v>269</v>
      </c>
      <c r="C1038" s="1">
        <v>46066</v>
      </c>
      <c r="D1038" t="s">
        <v>335</v>
      </c>
    </row>
    <row r="1039" spans="1:4">
      <c r="A1039">
        <v>2038</v>
      </c>
      <c r="B1039">
        <v>166</v>
      </c>
      <c r="C1039" s="1">
        <v>46196</v>
      </c>
      <c r="D1039" t="s">
        <v>335</v>
      </c>
    </row>
    <row r="1040" spans="1:4">
      <c r="A1040">
        <v>2039</v>
      </c>
      <c r="B1040">
        <v>108</v>
      </c>
      <c r="C1040" s="1">
        <v>46087</v>
      </c>
      <c r="D1040" t="s">
        <v>335</v>
      </c>
    </row>
    <row r="1041" spans="1:4">
      <c r="A1041">
        <v>2040</v>
      </c>
      <c r="B1041">
        <v>97</v>
      </c>
      <c r="C1041" s="1">
        <v>46024</v>
      </c>
      <c r="D1041" t="s">
        <v>335</v>
      </c>
    </row>
    <row r="1042" spans="1:4">
      <c r="A1042">
        <v>2041</v>
      </c>
      <c r="B1042">
        <v>180</v>
      </c>
      <c r="C1042" s="1">
        <v>46175</v>
      </c>
      <c r="D1042" t="s">
        <v>335</v>
      </c>
    </row>
    <row r="1043" spans="1:4">
      <c r="A1043">
        <v>2042</v>
      </c>
      <c r="B1043">
        <v>207</v>
      </c>
      <c r="C1043" s="1">
        <v>46101</v>
      </c>
      <c r="D1043" t="s">
        <v>335</v>
      </c>
    </row>
    <row r="1044" spans="1:4">
      <c r="A1044">
        <v>2043</v>
      </c>
      <c r="B1044">
        <v>65</v>
      </c>
      <c r="C1044" s="1">
        <v>46090</v>
      </c>
      <c r="D1044" t="s">
        <v>335</v>
      </c>
    </row>
    <row r="1045" spans="1:4">
      <c r="A1045">
        <v>2044</v>
      </c>
      <c r="B1045">
        <v>76</v>
      </c>
      <c r="C1045" s="1">
        <v>46046</v>
      </c>
      <c r="D1045" t="s">
        <v>333</v>
      </c>
    </row>
    <row r="1046" spans="1:4">
      <c r="A1046">
        <v>2045</v>
      </c>
      <c r="B1046">
        <v>27</v>
      </c>
      <c r="C1046" s="1">
        <v>46042</v>
      </c>
      <c r="D1046" t="s">
        <v>334</v>
      </c>
    </row>
    <row r="1047" spans="1:4">
      <c r="A1047">
        <v>2046</v>
      </c>
      <c r="B1047">
        <v>168</v>
      </c>
      <c r="C1047" s="1">
        <v>46131</v>
      </c>
      <c r="D1047" t="s">
        <v>335</v>
      </c>
    </row>
    <row r="1048" spans="1:4">
      <c r="A1048">
        <v>2047</v>
      </c>
      <c r="B1048">
        <v>41</v>
      </c>
      <c r="C1048" s="1">
        <v>46156</v>
      </c>
      <c r="D1048" t="s">
        <v>335</v>
      </c>
    </row>
    <row r="1049" spans="1:4">
      <c r="A1049">
        <v>2048</v>
      </c>
      <c r="B1049">
        <v>92</v>
      </c>
      <c r="C1049" s="1">
        <v>46134</v>
      </c>
      <c r="D1049" t="s">
        <v>335</v>
      </c>
    </row>
    <row r="1050" spans="1:4">
      <c r="A1050">
        <v>2049</v>
      </c>
      <c r="B1050">
        <v>98</v>
      </c>
      <c r="C1050" s="1">
        <v>46166</v>
      </c>
      <c r="D1050" t="s">
        <v>334</v>
      </c>
    </row>
    <row r="1051" spans="1:4">
      <c r="A1051">
        <v>2050</v>
      </c>
      <c r="B1051">
        <v>100</v>
      </c>
      <c r="C1051" s="1">
        <v>46136</v>
      </c>
      <c r="D1051" t="s">
        <v>335</v>
      </c>
    </row>
    <row r="1052" spans="1:4">
      <c r="A1052">
        <v>2051</v>
      </c>
      <c r="B1052">
        <v>18</v>
      </c>
      <c r="C1052" s="1">
        <v>46026</v>
      </c>
      <c r="D1052" t="s">
        <v>335</v>
      </c>
    </row>
    <row r="1053" spans="1:4">
      <c r="A1053">
        <v>2052</v>
      </c>
      <c r="B1053">
        <v>233</v>
      </c>
      <c r="C1053" s="1">
        <v>46143</v>
      </c>
      <c r="D1053" t="s">
        <v>336</v>
      </c>
    </row>
    <row r="1054" spans="1:4">
      <c r="A1054">
        <v>2053</v>
      </c>
      <c r="B1054">
        <v>79</v>
      </c>
      <c r="C1054" s="1">
        <v>46030</v>
      </c>
      <c r="D1054" t="s">
        <v>335</v>
      </c>
    </row>
    <row r="1055" spans="1:4">
      <c r="A1055">
        <v>2054</v>
      </c>
      <c r="B1055">
        <v>100</v>
      </c>
      <c r="C1055" s="1">
        <v>46162</v>
      </c>
      <c r="D1055" t="s">
        <v>335</v>
      </c>
    </row>
    <row r="1056" spans="1:4">
      <c r="A1056">
        <v>2055</v>
      </c>
      <c r="B1056">
        <v>99</v>
      </c>
      <c r="C1056" s="1">
        <v>46194</v>
      </c>
      <c r="D1056" t="s">
        <v>335</v>
      </c>
    </row>
    <row r="1057" spans="1:4">
      <c r="A1057">
        <v>2056</v>
      </c>
      <c r="B1057">
        <v>2</v>
      </c>
      <c r="C1057" s="1">
        <v>46185</v>
      </c>
      <c r="D1057" t="s">
        <v>335</v>
      </c>
    </row>
    <row r="1058" spans="1:4">
      <c r="A1058">
        <v>2057</v>
      </c>
      <c r="B1058">
        <v>47</v>
      </c>
      <c r="C1058" s="1">
        <v>46141</v>
      </c>
      <c r="D1058" t="s">
        <v>335</v>
      </c>
    </row>
    <row r="1059" spans="1:4">
      <c r="A1059">
        <v>2058</v>
      </c>
      <c r="B1059">
        <v>192</v>
      </c>
      <c r="C1059" s="1">
        <v>46025</v>
      </c>
      <c r="D1059" t="s">
        <v>335</v>
      </c>
    </row>
    <row r="1060" spans="1:4">
      <c r="A1060">
        <v>2059</v>
      </c>
      <c r="B1060">
        <v>143</v>
      </c>
      <c r="C1060" s="1">
        <v>46203</v>
      </c>
      <c r="D1060" t="s">
        <v>335</v>
      </c>
    </row>
    <row r="1061" spans="1:4">
      <c r="A1061">
        <v>2060</v>
      </c>
      <c r="B1061">
        <v>133</v>
      </c>
      <c r="C1061" s="1">
        <v>46068</v>
      </c>
      <c r="D1061" t="s">
        <v>336</v>
      </c>
    </row>
    <row r="1062" spans="1:4">
      <c r="A1062">
        <v>2061</v>
      </c>
      <c r="B1062">
        <v>88</v>
      </c>
      <c r="C1062" s="1">
        <v>46187</v>
      </c>
      <c r="D1062" t="s">
        <v>335</v>
      </c>
    </row>
    <row r="1063" spans="1:4">
      <c r="A1063">
        <v>2062</v>
      </c>
      <c r="B1063">
        <v>148</v>
      </c>
      <c r="C1063" s="1">
        <v>46111</v>
      </c>
      <c r="D1063" t="s">
        <v>335</v>
      </c>
    </row>
    <row r="1064" spans="1:4">
      <c r="A1064">
        <v>2063</v>
      </c>
      <c r="B1064">
        <v>60</v>
      </c>
      <c r="C1064" s="1">
        <v>46089</v>
      </c>
      <c r="D1064" t="s">
        <v>335</v>
      </c>
    </row>
    <row r="1065" spans="1:4">
      <c r="A1065">
        <v>2064</v>
      </c>
      <c r="B1065">
        <v>54</v>
      </c>
      <c r="C1065" s="1">
        <v>46031</v>
      </c>
      <c r="D1065" t="s">
        <v>335</v>
      </c>
    </row>
    <row r="1066" spans="1:4">
      <c r="A1066">
        <v>2065</v>
      </c>
      <c r="B1066">
        <v>280</v>
      </c>
      <c r="C1066" s="1">
        <v>46101</v>
      </c>
      <c r="D1066" t="s">
        <v>335</v>
      </c>
    </row>
    <row r="1067" spans="1:4">
      <c r="A1067">
        <v>2066</v>
      </c>
      <c r="B1067">
        <v>125</v>
      </c>
      <c r="C1067" s="1">
        <v>46125</v>
      </c>
      <c r="D1067" t="s">
        <v>335</v>
      </c>
    </row>
    <row r="1068" spans="1:4">
      <c r="A1068">
        <v>2067</v>
      </c>
      <c r="B1068">
        <v>219</v>
      </c>
      <c r="C1068" s="1">
        <v>46152</v>
      </c>
      <c r="D1068" t="s">
        <v>335</v>
      </c>
    </row>
    <row r="1069" spans="1:4">
      <c r="A1069">
        <v>2068</v>
      </c>
      <c r="B1069">
        <v>291</v>
      </c>
      <c r="C1069" s="1">
        <v>46157</v>
      </c>
      <c r="D1069" t="s">
        <v>335</v>
      </c>
    </row>
    <row r="1070" spans="1:4">
      <c r="A1070">
        <v>2069</v>
      </c>
      <c r="B1070">
        <v>85</v>
      </c>
      <c r="C1070" s="1">
        <v>46111</v>
      </c>
      <c r="D1070" t="s">
        <v>335</v>
      </c>
    </row>
    <row r="1071" spans="1:4">
      <c r="A1071">
        <v>2070</v>
      </c>
      <c r="B1071">
        <v>126</v>
      </c>
      <c r="C1071" s="1">
        <v>46075</v>
      </c>
      <c r="D1071" t="s">
        <v>335</v>
      </c>
    </row>
    <row r="1072" spans="1:4">
      <c r="A1072">
        <v>2071</v>
      </c>
      <c r="B1072">
        <v>109</v>
      </c>
      <c r="C1072" s="1">
        <v>46198</v>
      </c>
      <c r="D1072" t="s">
        <v>335</v>
      </c>
    </row>
    <row r="1073" spans="1:4">
      <c r="A1073">
        <v>2072</v>
      </c>
      <c r="B1073">
        <v>145</v>
      </c>
      <c r="C1073" s="1">
        <v>46125</v>
      </c>
      <c r="D1073" t="s">
        <v>335</v>
      </c>
    </row>
    <row r="1074" spans="1:4">
      <c r="A1074">
        <v>2073</v>
      </c>
      <c r="B1074">
        <v>121</v>
      </c>
      <c r="C1074" s="1">
        <v>46178</v>
      </c>
      <c r="D1074" t="s">
        <v>335</v>
      </c>
    </row>
    <row r="1075" spans="1:4">
      <c r="A1075">
        <v>2074</v>
      </c>
      <c r="B1075">
        <v>223</v>
      </c>
      <c r="C1075" s="1">
        <v>46034</v>
      </c>
      <c r="D1075" t="s">
        <v>335</v>
      </c>
    </row>
    <row r="1076" spans="1:4">
      <c r="A1076">
        <v>2075</v>
      </c>
      <c r="B1076">
        <v>18</v>
      </c>
      <c r="C1076" s="1">
        <v>46195</v>
      </c>
      <c r="D1076" t="s">
        <v>335</v>
      </c>
    </row>
    <row r="1077" spans="1:4">
      <c r="A1077">
        <v>2076</v>
      </c>
      <c r="B1077">
        <v>52</v>
      </c>
      <c r="C1077" s="1">
        <v>46111</v>
      </c>
      <c r="D1077" t="s">
        <v>335</v>
      </c>
    </row>
    <row r="1078" spans="1:4">
      <c r="A1078">
        <v>2077</v>
      </c>
      <c r="B1078">
        <v>28</v>
      </c>
      <c r="C1078" s="1">
        <v>46125</v>
      </c>
      <c r="D1078" t="s">
        <v>335</v>
      </c>
    </row>
    <row r="1079" spans="1:4">
      <c r="A1079">
        <v>2078</v>
      </c>
      <c r="B1079">
        <v>92</v>
      </c>
      <c r="C1079" s="1">
        <v>46116</v>
      </c>
      <c r="D1079" t="s">
        <v>335</v>
      </c>
    </row>
    <row r="1080" spans="1:4">
      <c r="A1080">
        <v>2079</v>
      </c>
      <c r="B1080">
        <v>233</v>
      </c>
      <c r="C1080" s="1">
        <v>46073</v>
      </c>
      <c r="D1080" t="s">
        <v>335</v>
      </c>
    </row>
    <row r="1081" spans="1:4">
      <c r="A1081">
        <v>2080</v>
      </c>
      <c r="B1081">
        <v>218</v>
      </c>
      <c r="C1081" s="1">
        <v>46198</v>
      </c>
      <c r="D1081" t="s">
        <v>335</v>
      </c>
    </row>
    <row r="1082" spans="1:4">
      <c r="A1082">
        <v>2081</v>
      </c>
      <c r="B1082">
        <v>58</v>
      </c>
      <c r="C1082" s="1">
        <v>46099</v>
      </c>
      <c r="D1082" t="s">
        <v>335</v>
      </c>
    </row>
    <row r="1083" spans="1:4">
      <c r="A1083">
        <v>2082</v>
      </c>
      <c r="B1083">
        <v>141</v>
      </c>
      <c r="C1083" s="1">
        <v>46185</v>
      </c>
      <c r="D1083" t="s">
        <v>335</v>
      </c>
    </row>
    <row r="1084" spans="1:4">
      <c r="A1084">
        <v>2083</v>
      </c>
      <c r="B1084">
        <v>52</v>
      </c>
      <c r="C1084" s="1">
        <v>46186</v>
      </c>
      <c r="D1084" t="s">
        <v>335</v>
      </c>
    </row>
    <row r="1085" spans="1:4">
      <c r="A1085">
        <v>2084</v>
      </c>
      <c r="B1085">
        <v>41</v>
      </c>
      <c r="C1085" s="1">
        <v>46190</v>
      </c>
      <c r="D1085" t="s">
        <v>335</v>
      </c>
    </row>
    <row r="1086" spans="1:4">
      <c r="A1086">
        <v>2085</v>
      </c>
      <c r="B1086">
        <v>243</v>
      </c>
      <c r="C1086" s="1">
        <v>46035</v>
      </c>
      <c r="D1086" t="s">
        <v>335</v>
      </c>
    </row>
    <row r="1087" spans="1:4">
      <c r="A1087">
        <v>2086</v>
      </c>
      <c r="B1087">
        <v>93</v>
      </c>
      <c r="C1087" s="1">
        <v>46034</v>
      </c>
      <c r="D1087" t="s">
        <v>335</v>
      </c>
    </row>
    <row r="1088" spans="1:4">
      <c r="A1088">
        <v>2087</v>
      </c>
      <c r="B1088">
        <v>163</v>
      </c>
      <c r="C1088" s="1">
        <v>46176</v>
      </c>
      <c r="D1088" t="s">
        <v>335</v>
      </c>
    </row>
    <row r="1089" spans="1:4">
      <c r="A1089">
        <v>2088</v>
      </c>
      <c r="B1089">
        <v>216</v>
      </c>
      <c r="C1089" s="1">
        <v>46178</v>
      </c>
      <c r="D1089" t="s">
        <v>335</v>
      </c>
    </row>
    <row r="1090" spans="1:4">
      <c r="A1090">
        <v>2089</v>
      </c>
      <c r="B1090">
        <v>256</v>
      </c>
      <c r="C1090" s="1">
        <v>46141</v>
      </c>
      <c r="D1090" t="s">
        <v>334</v>
      </c>
    </row>
    <row r="1091" spans="1:4">
      <c r="A1091">
        <v>2090</v>
      </c>
      <c r="B1091">
        <v>207</v>
      </c>
      <c r="C1091" s="1">
        <v>46195</v>
      </c>
      <c r="D1091" t="s">
        <v>335</v>
      </c>
    </row>
    <row r="1092" spans="1:4">
      <c r="A1092">
        <v>2091</v>
      </c>
      <c r="B1092">
        <v>150</v>
      </c>
      <c r="C1092" s="1">
        <v>46158</v>
      </c>
      <c r="D1092" t="s">
        <v>335</v>
      </c>
    </row>
    <row r="1093" spans="1:4">
      <c r="A1093">
        <v>2092</v>
      </c>
      <c r="B1093">
        <v>12</v>
      </c>
      <c r="C1093" s="1">
        <v>46133</v>
      </c>
      <c r="D1093" t="s">
        <v>335</v>
      </c>
    </row>
    <row r="1094" spans="1:4">
      <c r="A1094">
        <v>2093</v>
      </c>
      <c r="B1094">
        <v>109</v>
      </c>
      <c r="C1094" s="1">
        <v>46047</v>
      </c>
      <c r="D1094" t="s">
        <v>335</v>
      </c>
    </row>
    <row r="1095" spans="1:4">
      <c r="A1095">
        <v>2094</v>
      </c>
      <c r="B1095">
        <v>181</v>
      </c>
      <c r="C1095" s="1">
        <v>46125</v>
      </c>
      <c r="D1095" t="s">
        <v>335</v>
      </c>
    </row>
    <row r="1096" spans="1:4">
      <c r="A1096">
        <v>2095</v>
      </c>
      <c r="B1096">
        <v>163</v>
      </c>
      <c r="C1096" s="1">
        <v>46185</v>
      </c>
      <c r="D1096" t="s">
        <v>335</v>
      </c>
    </row>
    <row r="1097" spans="1:4">
      <c r="A1097">
        <v>2096</v>
      </c>
      <c r="B1097">
        <v>2</v>
      </c>
      <c r="C1097" s="1">
        <v>46068</v>
      </c>
      <c r="D1097" t="s">
        <v>335</v>
      </c>
    </row>
    <row r="1098" spans="1:4">
      <c r="A1098">
        <v>2097</v>
      </c>
      <c r="B1098">
        <v>258</v>
      </c>
      <c r="C1098" s="1">
        <v>46080</v>
      </c>
      <c r="D1098" t="s">
        <v>335</v>
      </c>
    </row>
    <row r="1099" spans="1:4">
      <c r="A1099">
        <v>2098</v>
      </c>
      <c r="B1099">
        <v>47</v>
      </c>
      <c r="C1099" s="1">
        <v>46183</v>
      </c>
      <c r="D1099" t="s">
        <v>335</v>
      </c>
    </row>
    <row r="1100" spans="1:4">
      <c r="A1100">
        <v>2099</v>
      </c>
      <c r="B1100">
        <v>103</v>
      </c>
      <c r="C1100" s="1">
        <v>46067</v>
      </c>
      <c r="D1100" t="s">
        <v>335</v>
      </c>
    </row>
    <row r="1101" spans="1:4">
      <c r="A1101">
        <v>2100</v>
      </c>
      <c r="B1101">
        <v>91</v>
      </c>
      <c r="C1101" s="1">
        <v>46136</v>
      </c>
      <c r="D1101" t="s">
        <v>336</v>
      </c>
    </row>
    <row r="1102" spans="1:4">
      <c r="A1102">
        <v>2101</v>
      </c>
      <c r="B1102">
        <v>36</v>
      </c>
      <c r="C1102" s="1">
        <v>46085</v>
      </c>
      <c r="D1102" t="s">
        <v>335</v>
      </c>
    </row>
    <row r="1103" spans="1:4">
      <c r="A1103">
        <v>2102</v>
      </c>
      <c r="B1103">
        <v>214</v>
      </c>
      <c r="C1103" s="1">
        <v>46121</v>
      </c>
      <c r="D1103" t="s">
        <v>335</v>
      </c>
    </row>
    <row r="1104" spans="1:4">
      <c r="A1104">
        <v>2103</v>
      </c>
      <c r="B1104">
        <v>262</v>
      </c>
      <c r="C1104" s="1">
        <v>46033</v>
      </c>
      <c r="D1104" t="s">
        <v>335</v>
      </c>
    </row>
    <row r="1105" spans="1:4">
      <c r="A1105">
        <v>2104</v>
      </c>
      <c r="B1105">
        <v>174</v>
      </c>
      <c r="C1105" s="1">
        <v>46066</v>
      </c>
      <c r="D1105" t="s">
        <v>335</v>
      </c>
    </row>
    <row r="1106" spans="1:4">
      <c r="A1106">
        <v>2105</v>
      </c>
      <c r="B1106">
        <v>252</v>
      </c>
      <c r="C1106" s="1">
        <v>46140</v>
      </c>
      <c r="D1106" t="s">
        <v>334</v>
      </c>
    </row>
    <row r="1107" spans="1:4">
      <c r="A1107">
        <v>2106</v>
      </c>
      <c r="B1107">
        <v>170</v>
      </c>
      <c r="C1107" s="1">
        <v>46098</v>
      </c>
      <c r="D1107" t="s">
        <v>335</v>
      </c>
    </row>
    <row r="1108" spans="1:4">
      <c r="A1108">
        <v>2107</v>
      </c>
      <c r="B1108">
        <v>150</v>
      </c>
      <c r="C1108" s="1">
        <v>46117</v>
      </c>
      <c r="D1108" t="s">
        <v>335</v>
      </c>
    </row>
    <row r="1109" spans="1:4">
      <c r="A1109">
        <v>2108</v>
      </c>
      <c r="B1109">
        <v>150</v>
      </c>
      <c r="C1109" s="1">
        <v>46055</v>
      </c>
      <c r="D1109" t="s">
        <v>335</v>
      </c>
    </row>
    <row r="1110" spans="1:4">
      <c r="A1110">
        <v>2109</v>
      </c>
      <c r="B1110">
        <v>261</v>
      </c>
      <c r="C1110" s="1">
        <v>46089</v>
      </c>
      <c r="D1110" t="s">
        <v>335</v>
      </c>
    </row>
    <row r="1111" spans="1:4">
      <c r="A1111">
        <v>2110</v>
      </c>
      <c r="B1111">
        <v>269</v>
      </c>
      <c r="C1111" s="1">
        <v>46147</v>
      </c>
      <c r="D1111" t="s">
        <v>335</v>
      </c>
    </row>
    <row r="1112" spans="1:4">
      <c r="A1112">
        <v>2111</v>
      </c>
      <c r="B1112">
        <v>62</v>
      </c>
      <c r="C1112" s="1">
        <v>46080</v>
      </c>
      <c r="D1112" t="s">
        <v>335</v>
      </c>
    </row>
    <row r="1113" spans="1:4">
      <c r="A1113">
        <v>2112</v>
      </c>
      <c r="B1113">
        <v>260</v>
      </c>
      <c r="C1113" s="1">
        <v>46048</v>
      </c>
      <c r="D1113" t="s">
        <v>333</v>
      </c>
    </row>
    <row r="1114" spans="1:4">
      <c r="A1114">
        <v>2113</v>
      </c>
      <c r="B1114">
        <v>127</v>
      </c>
      <c r="C1114" s="1">
        <v>46137</v>
      </c>
      <c r="D1114" t="s">
        <v>335</v>
      </c>
    </row>
    <row r="1115" spans="1:4">
      <c r="A1115">
        <v>2114</v>
      </c>
      <c r="B1115">
        <v>137</v>
      </c>
      <c r="C1115" s="1">
        <v>46139</v>
      </c>
      <c r="D1115" t="s">
        <v>335</v>
      </c>
    </row>
    <row r="1116" spans="1:4">
      <c r="A1116">
        <v>2115</v>
      </c>
      <c r="B1116">
        <v>275</v>
      </c>
      <c r="C1116" s="1">
        <v>46145</v>
      </c>
      <c r="D1116" t="s">
        <v>335</v>
      </c>
    </row>
    <row r="1117" spans="1:4">
      <c r="A1117">
        <v>2116</v>
      </c>
      <c r="B1117">
        <v>111</v>
      </c>
      <c r="C1117" s="1">
        <v>46048</v>
      </c>
      <c r="D1117" t="s">
        <v>335</v>
      </c>
    </row>
    <row r="1118" spans="1:4">
      <c r="A1118">
        <v>2117</v>
      </c>
      <c r="B1118">
        <v>234</v>
      </c>
      <c r="C1118" s="1">
        <v>46185</v>
      </c>
      <c r="D1118" t="s">
        <v>335</v>
      </c>
    </row>
    <row r="1119" spans="1:4">
      <c r="A1119">
        <v>2118</v>
      </c>
      <c r="B1119">
        <v>154</v>
      </c>
      <c r="C1119" s="1">
        <v>46146</v>
      </c>
      <c r="D1119" t="s">
        <v>335</v>
      </c>
    </row>
    <row r="1120" spans="1:4">
      <c r="A1120">
        <v>2119</v>
      </c>
      <c r="B1120">
        <v>164</v>
      </c>
      <c r="C1120" s="1">
        <v>46069</v>
      </c>
      <c r="D1120" t="s">
        <v>335</v>
      </c>
    </row>
    <row r="1121" spans="1:4">
      <c r="A1121">
        <v>2120</v>
      </c>
      <c r="B1121">
        <v>94</v>
      </c>
      <c r="C1121" s="1">
        <v>46186</v>
      </c>
      <c r="D1121" t="s">
        <v>335</v>
      </c>
    </row>
    <row r="1122" spans="1:4">
      <c r="A1122">
        <v>2121</v>
      </c>
      <c r="B1122">
        <v>154</v>
      </c>
      <c r="C1122" s="1">
        <v>46143</v>
      </c>
      <c r="D1122" t="s">
        <v>335</v>
      </c>
    </row>
    <row r="1123" spans="1:4">
      <c r="A1123">
        <v>2122</v>
      </c>
      <c r="B1123">
        <v>265</v>
      </c>
      <c r="C1123" s="1">
        <v>46192</v>
      </c>
      <c r="D1123" t="s">
        <v>335</v>
      </c>
    </row>
    <row r="1124" spans="1:4">
      <c r="A1124">
        <v>2123</v>
      </c>
      <c r="B1124">
        <v>171</v>
      </c>
      <c r="C1124" s="1">
        <v>46117</v>
      </c>
      <c r="D1124" t="s">
        <v>335</v>
      </c>
    </row>
    <row r="1125" spans="1:4">
      <c r="A1125">
        <v>2124</v>
      </c>
      <c r="B1125">
        <v>72</v>
      </c>
      <c r="C1125" s="1">
        <v>46127</v>
      </c>
      <c r="D1125" t="s">
        <v>335</v>
      </c>
    </row>
    <row r="1126" spans="1:4">
      <c r="A1126">
        <v>2125</v>
      </c>
      <c r="B1126">
        <v>196</v>
      </c>
      <c r="C1126" s="1">
        <v>46105</v>
      </c>
      <c r="D1126" t="s">
        <v>335</v>
      </c>
    </row>
    <row r="1127" spans="1:4">
      <c r="A1127">
        <v>2126</v>
      </c>
      <c r="B1127">
        <v>246</v>
      </c>
      <c r="C1127" s="1">
        <v>46085</v>
      </c>
      <c r="D1127" t="s">
        <v>335</v>
      </c>
    </row>
    <row r="1128" spans="1:4">
      <c r="A1128">
        <v>2127</v>
      </c>
      <c r="B1128">
        <v>142</v>
      </c>
      <c r="C1128" s="1">
        <v>46037</v>
      </c>
      <c r="D1128" t="s">
        <v>335</v>
      </c>
    </row>
    <row r="1129" spans="1:4">
      <c r="A1129">
        <v>2128</v>
      </c>
      <c r="B1129">
        <v>78</v>
      </c>
      <c r="C1129" s="1">
        <v>46128</v>
      </c>
      <c r="D1129" t="s">
        <v>335</v>
      </c>
    </row>
    <row r="1130" spans="1:4">
      <c r="A1130">
        <v>2129</v>
      </c>
      <c r="B1130">
        <v>12</v>
      </c>
      <c r="C1130" s="1">
        <v>46158</v>
      </c>
      <c r="D1130" t="s">
        <v>335</v>
      </c>
    </row>
    <row r="1131" spans="1:4">
      <c r="A1131">
        <v>2130</v>
      </c>
      <c r="B1131">
        <v>240</v>
      </c>
      <c r="C1131" s="1">
        <v>46077</v>
      </c>
      <c r="D1131" t="s">
        <v>335</v>
      </c>
    </row>
    <row r="1132" spans="1:4">
      <c r="A1132">
        <v>2131</v>
      </c>
      <c r="B1132">
        <v>12</v>
      </c>
      <c r="C1132" s="1">
        <v>46177</v>
      </c>
      <c r="D1132" t="s">
        <v>335</v>
      </c>
    </row>
    <row r="1133" spans="1:4">
      <c r="A1133">
        <v>2132</v>
      </c>
      <c r="B1133">
        <v>263</v>
      </c>
      <c r="C1133" s="1">
        <v>46038</v>
      </c>
      <c r="D1133" t="s">
        <v>333</v>
      </c>
    </row>
    <row r="1134" spans="1:4">
      <c r="A1134">
        <v>2133</v>
      </c>
      <c r="B1134">
        <v>295</v>
      </c>
      <c r="C1134" s="1">
        <v>46160</v>
      </c>
      <c r="D1134" t="s">
        <v>335</v>
      </c>
    </row>
    <row r="1135" spans="1:4">
      <c r="A1135">
        <v>2134</v>
      </c>
      <c r="B1135">
        <v>240</v>
      </c>
      <c r="C1135" s="1">
        <v>46045</v>
      </c>
      <c r="D1135" t="s">
        <v>335</v>
      </c>
    </row>
    <row r="1136" spans="1:4">
      <c r="A1136">
        <v>2135</v>
      </c>
      <c r="B1136">
        <v>295</v>
      </c>
      <c r="C1136" s="1">
        <v>46107</v>
      </c>
      <c r="D1136" t="s">
        <v>335</v>
      </c>
    </row>
    <row r="1137" spans="1:4">
      <c r="A1137">
        <v>2136</v>
      </c>
      <c r="B1137">
        <v>166</v>
      </c>
      <c r="C1137" s="1">
        <v>46027</v>
      </c>
      <c r="D1137" t="s">
        <v>335</v>
      </c>
    </row>
    <row r="1138" spans="1:4">
      <c r="A1138">
        <v>2137</v>
      </c>
      <c r="B1138">
        <v>296</v>
      </c>
      <c r="C1138" s="1">
        <v>46113</v>
      </c>
      <c r="D1138" t="s">
        <v>334</v>
      </c>
    </row>
    <row r="1139" spans="1:4">
      <c r="A1139">
        <v>2138</v>
      </c>
      <c r="B1139">
        <v>52</v>
      </c>
      <c r="C1139" s="1">
        <v>46075</v>
      </c>
      <c r="D1139" t="s">
        <v>335</v>
      </c>
    </row>
    <row r="1140" spans="1:4">
      <c r="A1140">
        <v>2139</v>
      </c>
      <c r="B1140">
        <v>107</v>
      </c>
      <c r="C1140" s="1">
        <v>46103</v>
      </c>
      <c r="D1140" t="s">
        <v>333</v>
      </c>
    </row>
    <row r="1141" spans="1:4">
      <c r="A1141">
        <v>2140</v>
      </c>
      <c r="B1141">
        <v>112</v>
      </c>
      <c r="C1141" s="1">
        <v>46082</v>
      </c>
      <c r="D1141" t="s">
        <v>333</v>
      </c>
    </row>
    <row r="1142" spans="1:4">
      <c r="A1142">
        <v>2141</v>
      </c>
      <c r="B1142">
        <v>107</v>
      </c>
      <c r="C1142" s="1">
        <v>46029</v>
      </c>
      <c r="D1142" t="s">
        <v>335</v>
      </c>
    </row>
    <row r="1143" spans="1:4">
      <c r="A1143">
        <v>2142</v>
      </c>
      <c r="B1143">
        <v>260</v>
      </c>
      <c r="C1143" s="1">
        <v>46046</v>
      </c>
      <c r="D1143" t="s">
        <v>333</v>
      </c>
    </row>
    <row r="1144" spans="1:4">
      <c r="A1144">
        <v>2143</v>
      </c>
      <c r="B1144">
        <v>163</v>
      </c>
      <c r="C1144" s="1">
        <v>46177</v>
      </c>
      <c r="D1144" t="s">
        <v>335</v>
      </c>
    </row>
    <row r="1145" spans="1:4">
      <c r="A1145">
        <v>2144</v>
      </c>
      <c r="B1145">
        <v>216</v>
      </c>
      <c r="C1145" s="1">
        <v>46024</v>
      </c>
      <c r="D1145" t="s">
        <v>335</v>
      </c>
    </row>
    <row r="1146" spans="1:4">
      <c r="A1146">
        <v>2145</v>
      </c>
      <c r="B1146">
        <v>44</v>
      </c>
      <c r="C1146" s="1">
        <v>46081</v>
      </c>
      <c r="D1146" t="s">
        <v>336</v>
      </c>
    </row>
    <row r="1147" spans="1:4">
      <c r="A1147">
        <v>2146</v>
      </c>
      <c r="B1147">
        <v>91</v>
      </c>
      <c r="C1147" s="1">
        <v>46059</v>
      </c>
      <c r="D1147" t="s">
        <v>335</v>
      </c>
    </row>
    <row r="1148" spans="1:4">
      <c r="A1148">
        <v>2147</v>
      </c>
      <c r="B1148">
        <v>213</v>
      </c>
      <c r="C1148" s="1">
        <v>46192</v>
      </c>
      <c r="D1148" t="s">
        <v>335</v>
      </c>
    </row>
    <row r="1149" spans="1:4">
      <c r="A1149">
        <v>2148</v>
      </c>
      <c r="B1149">
        <v>57</v>
      </c>
      <c r="C1149" s="1">
        <v>46069</v>
      </c>
      <c r="D1149" t="s">
        <v>335</v>
      </c>
    </row>
    <row r="1150" spans="1:4">
      <c r="A1150">
        <v>2149</v>
      </c>
      <c r="B1150">
        <v>14</v>
      </c>
      <c r="C1150" s="1">
        <v>46182</v>
      </c>
      <c r="D1150" t="s">
        <v>335</v>
      </c>
    </row>
    <row r="1151" spans="1:4">
      <c r="A1151">
        <v>2150</v>
      </c>
      <c r="B1151">
        <v>52</v>
      </c>
      <c r="C1151" s="1">
        <v>46157</v>
      </c>
      <c r="D1151" t="s">
        <v>335</v>
      </c>
    </row>
    <row r="1152" spans="1:4">
      <c r="A1152">
        <v>2151</v>
      </c>
      <c r="B1152">
        <v>275</v>
      </c>
      <c r="C1152" s="1">
        <v>46141</v>
      </c>
      <c r="D1152" t="s">
        <v>336</v>
      </c>
    </row>
    <row r="1153" spans="1:4">
      <c r="A1153">
        <v>2152</v>
      </c>
      <c r="B1153">
        <v>132</v>
      </c>
      <c r="C1153" s="1">
        <v>46143</v>
      </c>
      <c r="D1153" t="s">
        <v>334</v>
      </c>
    </row>
    <row r="1154" spans="1:4">
      <c r="A1154">
        <v>2153</v>
      </c>
      <c r="B1154">
        <v>50</v>
      </c>
      <c r="C1154" s="1">
        <v>46180</v>
      </c>
      <c r="D1154" t="s">
        <v>335</v>
      </c>
    </row>
    <row r="1155" spans="1:4">
      <c r="A1155">
        <v>2154</v>
      </c>
      <c r="B1155">
        <v>49</v>
      </c>
      <c r="C1155" s="1">
        <v>46191</v>
      </c>
      <c r="D1155" t="s">
        <v>335</v>
      </c>
    </row>
    <row r="1156" spans="1:4">
      <c r="A1156">
        <v>2155</v>
      </c>
      <c r="B1156">
        <v>267</v>
      </c>
      <c r="C1156" s="1">
        <v>46141</v>
      </c>
      <c r="D1156" t="s">
        <v>335</v>
      </c>
    </row>
    <row r="1157" spans="1:4">
      <c r="A1157">
        <v>2156</v>
      </c>
      <c r="B1157">
        <v>102</v>
      </c>
      <c r="C1157" s="1">
        <v>46121</v>
      </c>
      <c r="D1157" t="s">
        <v>335</v>
      </c>
    </row>
    <row r="1158" spans="1:4">
      <c r="A1158">
        <v>2157</v>
      </c>
      <c r="B1158">
        <v>247</v>
      </c>
      <c r="C1158" s="1">
        <v>46105</v>
      </c>
      <c r="D1158" t="s">
        <v>335</v>
      </c>
    </row>
    <row r="1159" spans="1:4">
      <c r="A1159">
        <v>2158</v>
      </c>
      <c r="B1159">
        <v>264</v>
      </c>
      <c r="C1159" s="1">
        <v>46053</v>
      </c>
      <c r="D1159" t="s">
        <v>335</v>
      </c>
    </row>
    <row r="1160" spans="1:4">
      <c r="A1160">
        <v>2159</v>
      </c>
      <c r="B1160">
        <v>176</v>
      </c>
      <c r="C1160" s="1">
        <v>46047</v>
      </c>
      <c r="D1160" t="s">
        <v>335</v>
      </c>
    </row>
    <row r="1161" spans="1:4">
      <c r="A1161">
        <v>2160</v>
      </c>
      <c r="B1161">
        <v>65</v>
      </c>
      <c r="C1161" s="1">
        <v>46163</v>
      </c>
      <c r="D1161" t="s">
        <v>335</v>
      </c>
    </row>
    <row r="1162" spans="1:4">
      <c r="A1162">
        <v>2161</v>
      </c>
      <c r="B1162">
        <v>114</v>
      </c>
      <c r="C1162" s="1">
        <v>46072</v>
      </c>
      <c r="D1162" t="s">
        <v>335</v>
      </c>
    </row>
    <row r="1163" spans="1:4">
      <c r="A1163">
        <v>2162</v>
      </c>
      <c r="B1163">
        <v>273</v>
      </c>
      <c r="C1163" s="1">
        <v>46157</v>
      </c>
      <c r="D1163" t="s">
        <v>335</v>
      </c>
    </row>
    <row r="1164" spans="1:4">
      <c r="A1164">
        <v>2163</v>
      </c>
      <c r="B1164">
        <v>78</v>
      </c>
      <c r="C1164" s="1">
        <v>46080</v>
      </c>
      <c r="D1164" t="s">
        <v>335</v>
      </c>
    </row>
    <row r="1165" spans="1:4">
      <c r="A1165">
        <v>2164</v>
      </c>
      <c r="B1165">
        <v>154</v>
      </c>
      <c r="C1165" s="1">
        <v>46142</v>
      </c>
      <c r="D1165" t="s">
        <v>335</v>
      </c>
    </row>
    <row r="1166" spans="1:4">
      <c r="A1166">
        <v>2165</v>
      </c>
      <c r="B1166">
        <v>35</v>
      </c>
      <c r="C1166" s="1">
        <v>46179</v>
      </c>
      <c r="D1166" t="s">
        <v>335</v>
      </c>
    </row>
    <row r="1167" spans="1:4">
      <c r="A1167">
        <v>2166</v>
      </c>
      <c r="B1167">
        <v>215</v>
      </c>
      <c r="C1167" s="1">
        <v>46123</v>
      </c>
      <c r="D1167" t="s">
        <v>335</v>
      </c>
    </row>
    <row r="1168" spans="1:4">
      <c r="A1168">
        <v>2167</v>
      </c>
      <c r="B1168">
        <v>300</v>
      </c>
      <c r="C1168" s="1">
        <v>46054</v>
      </c>
      <c r="D1168" t="s">
        <v>335</v>
      </c>
    </row>
    <row r="1169" spans="1:4">
      <c r="A1169">
        <v>2168</v>
      </c>
      <c r="B1169">
        <v>119</v>
      </c>
      <c r="C1169" s="1">
        <v>46183</v>
      </c>
      <c r="D1169" t="s">
        <v>335</v>
      </c>
    </row>
    <row r="1170" spans="1:4">
      <c r="A1170">
        <v>2169</v>
      </c>
      <c r="B1170">
        <v>131</v>
      </c>
      <c r="C1170" s="1">
        <v>46033</v>
      </c>
      <c r="D1170" t="s">
        <v>335</v>
      </c>
    </row>
    <row r="1171" spans="1:4">
      <c r="A1171">
        <v>2170</v>
      </c>
      <c r="B1171">
        <v>53</v>
      </c>
      <c r="C1171" s="1">
        <v>46097</v>
      </c>
      <c r="D1171" t="s">
        <v>335</v>
      </c>
    </row>
    <row r="1172" spans="1:4">
      <c r="A1172">
        <v>2171</v>
      </c>
      <c r="B1172">
        <v>54</v>
      </c>
      <c r="C1172" s="1">
        <v>46133</v>
      </c>
      <c r="D1172" t="s">
        <v>335</v>
      </c>
    </row>
    <row r="1173" spans="1:4">
      <c r="A1173">
        <v>2172</v>
      </c>
      <c r="B1173">
        <v>249</v>
      </c>
      <c r="C1173" s="1">
        <v>46026</v>
      </c>
      <c r="D1173" t="s">
        <v>335</v>
      </c>
    </row>
    <row r="1174" spans="1:4">
      <c r="A1174">
        <v>2173</v>
      </c>
      <c r="B1174">
        <v>290</v>
      </c>
      <c r="C1174" s="1">
        <v>46147</v>
      </c>
      <c r="D1174" t="s">
        <v>335</v>
      </c>
    </row>
    <row r="1175" spans="1:4">
      <c r="A1175">
        <v>2174</v>
      </c>
      <c r="B1175">
        <v>123</v>
      </c>
      <c r="C1175" s="1">
        <v>46170</v>
      </c>
      <c r="D1175" t="s">
        <v>335</v>
      </c>
    </row>
    <row r="1176" spans="1:4">
      <c r="A1176">
        <v>2175</v>
      </c>
      <c r="B1176">
        <v>268</v>
      </c>
      <c r="C1176" s="1">
        <v>46140</v>
      </c>
      <c r="D1176" t="s">
        <v>335</v>
      </c>
    </row>
    <row r="1177" spans="1:4">
      <c r="A1177">
        <v>2176</v>
      </c>
      <c r="B1177">
        <v>51</v>
      </c>
      <c r="C1177" s="1">
        <v>46184</v>
      </c>
      <c r="D1177" t="s">
        <v>333</v>
      </c>
    </row>
    <row r="1178" spans="1:4">
      <c r="A1178">
        <v>2177</v>
      </c>
      <c r="B1178">
        <v>128</v>
      </c>
      <c r="C1178" s="1">
        <v>46111</v>
      </c>
      <c r="D1178" t="s">
        <v>335</v>
      </c>
    </row>
    <row r="1179" spans="1:4">
      <c r="A1179">
        <v>2178</v>
      </c>
      <c r="B1179">
        <v>281</v>
      </c>
      <c r="C1179" s="1">
        <v>46076</v>
      </c>
      <c r="D1179" t="s">
        <v>335</v>
      </c>
    </row>
    <row r="1180" spans="1:4">
      <c r="A1180">
        <v>2179</v>
      </c>
      <c r="B1180">
        <v>52</v>
      </c>
      <c r="C1180" s="1">
        <v>46104</v>
      </c>
      <c r="D1180" t="s">
        <v>335</v>
      </c>
    </row>
    <row r="1181" spans="1:4">
      <c r="A1181">
        <v>2180</v>
      </c>
      <c r="B1181">
        <v>225</v>
      </c>
      <c r="C1181" s="1">
        <v>46112</v>
      </c>
      <c r="D1181" t="s">
        <v>335</v>
      </c>
    </row>
    <row r="1182" spans="1:4">
      <c r="A1182">
        <v>2181</v>
      </c>
      <c r="B1182">
        <v>287</v>
      </c>
      <c r="C1182" s="1">
        <v>46187</v>
      </c>
      <c r="D1182" t="s">
        <v>335</v>
      </c>
    </row>
    <row r="1183" spans="1:4">
      <c r="A1183">
        <v>2182</v>
      </c>
      <c r="B1183">
        <v>175</v>
      </c>
      <c r="C1183" s="1">
        <v>46090</v>
      </c>
      <c r="D1183" t="s">
        <v>335</v>
      </c>
    </row>
    <row r="1184" spans="1:4">
      <c r="A1184">
        <v>2183</v>
      </c>
      <c r="B1184">
        <v>126</v>
      </c>
      <c r="C1184" s="1">
        <v>46136</v>
      </c>
      <c r="D1184" t="s">
        <v>335</v>
      </c>
    </row>
    <row r="1185" spans="1:4">
      <c r="A1185">
        <v>2184</v>
      </c>
      <c r="B1185">
        <v>111</v>
      </c>
      <c r="C1185" s="1">
        <v>46135</v>
      </c>
      <c r="D1185" t="s">
        <v>335</v>
      </c>
    </row>
    <row r="1186" spans="1:4">
      <c r="A1186">
        <v>2185</v>
      </c>
      <c r="B1186">
        <v>291</v>
      </c>
      <c r="C1186" s="1">
        <v>46129</v>
      </c>
      <c r="D1186" t="s">
        <v>335</v>
      </c>
    </row>
    <row r="1187" spans="1:4">
      <c r="A1187">
        <v>2186</v>
      </c>
      <c r="B1187">
        <v>187</v>
      </c>
      <c r="C1187" s="1">
        <v>46089</v>
      </c>
      <c r="D1187" t="s">
        <v>335</v>
      </c>
    </row>
    <row r="1188" spans="1:4">
      <c r="A1188">
        <v>2187</v>
      </c>
      <c r="B1188">
        <v>127</v>
      </c>
      <c r="C1188" s="1">
        <v>46105</v>
      </c>
      <c r="D1188" t="s">
        <v>334</v>
      </c>
    </row>
    <row r="1189" spans="1:4">
      <c r="A1189">
        <v>2188</v>
      </c>
      <c r="B1189">
        <v>179</v>
      </c>
      <c r="C1189" s="1">
        <v>46177</v>
      </c>
      <c r="D1189" t="s">
        <v>335</v>
      </c>
    </row>
    <row r="1190" spans="1:4">
      <c r="A1190">
        <v>2189</v>
      </c>
      <c r="B1190">
        <v>88</v>
      </c>
      <c r="C1190" s="1">
        <v>46174</v>
      </c>
      <c r="D1190" t="s">
        <v>335</v>
      </c>
    </row>
    <row r="1191" spans="1:4">
      <c r="A1191">
        <v>2190</v>
      </c>
      <c r="B1191">
        <v>182</v>
      </c>
      <c r="C1191" s="1">
        <v>46060</v>
      </c>
      <c r="D1191" t="s">
        <v>335</v>
      </c>
    </row>
    <row r="1192" spans="1:4">
      <c r="A1192">
        <v>2191</v>
      </c>
      <c r="B1192">
        <v>69</v>
      </c>
      <c r="C1192" s="1">
        <v>46176</v>
      </c>
      <c r="D1192" t="s">
        <v>335</v>
      </c>
    </row>
    <row r="1193" spans="1:4">
      <c r="A1193">
        <v>2192</v>
      </c>
      <c r="B1193">
        <v>74</v>
      </c>
      <c r="C1193" s="1">
        <v>46153</v>
      </c>
      <c r="D1193" t="s">
        <v>333</v>
      </c>
    </row>
    <row r="1194" spans="1:4">
      <c r="A1194">
        <v>2193</v>
      </c>
      <c r="B1194">
        <v>212</v>
      </c>
      <c r="C1194" s="1">
        <v>46180</v>
      </c>
      <c r="D1194" t="s">
        <v>335</v>
      </c>
    </row>
    <row r="1195" spans="1:4">
      <c r="A1195">
        <v>2194</v>
      </c>
      <c r="B1195">
        <v>294</v>
      </c>
      <c r="C1195" s="1">
        <v>46047</v>
      </c>
      <c r="D1195" t="s">
        <v>333</v>
      </c>
    </row>
    <row r="1196" spans="1:4">
      <c r="A1196">
        <v>2195</v>
      </c>
      <c r="B1196">
        <v>91</v>
      </c>
      <c r="C1196" s="1">
        <v>46047</v>
      </c>
      <c r="D1196" t="s">
        <v>335</v>
      </c>
    </row>
    <row r="1197" spans="1:4">
      <c r="A1197">
        <v>2196</v>
      </c>
      <c r="B1197">
        <v>49</v>
      </c>
      <c r="C1197" s="1">
        <v>46043</v>
      </c>
      <c r="D1197" t="s">
        <v>335</v>
      </c>
    </row>
    <row r="1198" spans="1:4">
      <c r="A1198">
        <v>2197</v>
      </c>
      <c r="B1198">
        <v>157</v>
      </c>
      <c r="C1198" s="1">
        <v>46024</v>
      </c>
      <c r="D1198" t="s">
        <v>335</v>
      </c>
    </row>
    <row r="1199" spans="1:4">
      <c r="A1199">
        <v>2198</v>
      </c>
      <c r="B1199">
        <v>112</v>
      </c>
      <c r="C1199" s="1">
        <v>46150</v>
      </c>
      <c r="D1199" t="s">
        <v>335</v>
      </c>
    </row>
    <row r="1200" spans="1:4">
      <c r="A1200">
        <v>2199</v>
      </c>
      <c r="B1200">
        <v>228</v>
      </c>
      <c r="C1200" s="1">
        <v>46152</v>
      </c>
      <c r="D1200" t="s">
        <v>335</v>
      </c>
    </row>
    <row r="1201" spans="1:4">
      <c r="A1201">
        <v>2200</v>
      </c>
      <c r="B1201">
        <v>56</v>
      </c>
      <c r="C1201" s="1">
        <v>46102</v>
      </c>
      <c r="D1201" t="s">
        <v>333</v>
      </c>
    </row>
  </sheetData>
  <autoFilter ref="A1:D1201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3E2A7-AA14-4414-9FCB-673650B8F5E4}">
  <dimension ref="A3:F10"/>
  <sheetViews>
    <sheetView workbookViewId="0">
      <selection activeCell="J23" sqref="J23"/>
    </sheetView>
  </sheetViews>
  <sheetFormatPr defaultRowHeight="14.4"/>
  <cols>
    <col min="1" max="1" width="12.5546875" bestFit="1" customWidth="1"/>
    <col min="2" max="2" width="22.77734375" bestFit="1" customWidth="1"/>
  </cols>
  <sheetData>
    <row r="3" spans="1:6">
      <c r="A3" s="4" t="s">
        <v>380</v>
      </c>
      <c r="B3" t="s">
        <v>404</v>
      </c>
    </row>
    <row r="4" spans="1:6">
      <c r="A4" s="5" t="s">
        <v>398</v>
      </c>
      <c r="B4" s="7">
        <v>134137</v>
      </c>
    </row>
    <row r="5" spans="1:6">
      <c r="A5" s="5" t="s">
        <v>399</v>
      </c>
      <c r="B5" s="7">
        <v>117346</v>
      </c>
    </row>
    <row r="6" spans="1:6">
      <c r="A6" s="5" t="s">
        <v>400</v>
      </c>
      <c r="B6" s="7">
        <v>123202</v>
      </c>
      <c r="F6" s="8">
        <f>(150969-125556)/125556</f>
        <v>0.20240370830545731</v>
      </c>
    </row>
    <row r="7" spans="1:6">
      <c r="A7" s="5" t="s">
        <v>401</v>
      </c>
      <c r="B7" s="7">
        <v>104326</v>
      </c>
    </row>
    <row r="8" spans="1:6">
      <c r="A8" s="5" t="s">
        <v>402</v>
      </c>
      <c r="B8" s="7">
        <v>125556</v>
      </c>
    </row>
    <row r="9" spans="1:6">
      <c r="A9" s="5" t="s">
        <v>403</v>
      </c>
      <c r="B9" s="7">
        <v>150969</v>
      </c>
    </row>
    <row r="10" spans="1:6">
      <c r="A10" s="5" t="s">
        <v>381</v>
      </c>
      <c r="B10" s="7">
        <v>755536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0BF28-6D72-4100-BF9B-46F8C12FA64F}">
  <dimension ref="A3:D17"/>
  <sheetViews>
    <sheetView tabSelected="1" workbookViewId="0">
      <selection activeCell="H18" sqref="H18"/>
    </sheetView>
  </sheetViews>
  <sheetFormatPr defaultRowHeight="14.4"/>
  <cols>
    <col min="1" max="1" width="22.77734375" bestFit="1" customWidth="1"/>
    <col min="2" max="2" width="15.5546875" bestFit="1" customWidth="1"/>
    <col min="3" max="4" width="11.6640625" bestFit="1" customWidth="1"/>
    <col min="5" max="7" width="7.6640625" bestFit="1" customWidth="1"/>
    <col min="8" max="8" width="10.77734375" bestFit="1" customWidth="1"/>
  </cols>
  <sheetData>
    <row r="3" spans="1:4">
      <c r="A3" s="4" t="s">
        <v>404</v>
      </c>
      <c r="B3" s="4" t="s">
        <v>382</v>
      </c>
    </row>
    <row r="4" spans="1:4">
      <c r="A4" s="4" t="s">
        <v>380</v>
      </c>
      <c r="B4" t="s">
        <v>408</v>
      </c>
      <c r="C4" t="s">
        <v>409</v>
      </c>
      <c r="D4" t="s">
        <v>381</v>
      </c>
    </row>
    <row r="5" spans="1:4">
      <c r="A5" s="5" t="s">
        <v>328</v>
      </c>
      <c r="B5" s="11">
        <v>4224</v>
      </c>
      <c r="C5" s="11">
        <v>6096</v>
      </c>
      <c r="D5" s="11">
        <v>10320</v>
      </c>
    </row>
    <row r="6" spans="1:4">
      <c r="A6" s="5" t="s">
        <v>321</v>
      </c>
      <c r="B6" s="11">
        <v>10360</v>
      </c>
      <c r="C6" s="11">
        <v>7420</v>
      </c>
      <c r="D6" s="11">
        <v>17780</v>
      </c>
    </row>
    <row r="7" spans="1:4">
      <c r="A7" s="5" t="s">
        <v>319</v>
      </c>
      <c r="B7" s="11">
        <v>11160</v>
      </c>
      <c r="C7" s="11">
        <v>14760</v>
      </c>
      <c r="D7" s="11">
        <v>25920</v>
      </c>
    </row>
    <row r="8" spans="1:4">
      <c r="A8" s="5" t="s">
        <v>322</v>
      </c>
      <c r="B8" s="11">
        <v>5980</v>
      </c>
      <c r="C8" s="11">
        <v>5395</v>
      </c>
      <c r="D8" s="11">
        <v>11375</v>
      </c>
    </row>
    <row r="9" spans="1:4">
      <c r="A9" s="5" t="s">
        <v>316</v>
      </c>
      <c r="B9" s="11">
        <v>2925</v>
      </c>
      <c r="C9" s="11">
        <v>3285</v>
      </c>
      <c r="D9" s="11">
        <v>6210</v>
      </c>
    </row>
    <row r="10" spans="1:4">
      <c r="A10" s="5" t="s">
        <v>324</v>
      </c>
      <c r="B10" s="11">
        <v>2580</v>
      </c>
      <c r="C10" s="11">
        <v>2430</v>
      </c>
      <c r="D10" s="11">
        <v>5010</v>
      </c>
    </row>
    <row r="11" spans="1:4">
      <c r="A11" s="5" t="s">
        <v>313</v>
      </c>
      <c r="B11" s="11">
        <v>57750</v>
      </c>
      <c r="C11" s="11">
        <v>77250</v>
      </c>
      <c r="D11" s="11">
        <v>135000</v>
      </c>
    </row>
    <row r="12" spans="1:4">
      <c r="A12" s="5" t="s">
        <v>315</v>
      </c>
      <c r="B12" s="11">
        <v>20240</v>
      </c>
      <c r="C12" s="11">
        <v>24860</v>
      </c>
      <c r="D12" s="11">
        <v>45100</v>
      </c>
    </row>
    <row r="13" spans="1:4">
      <c r="A13" s="5" t="s">
        <v>318</v>
      </c>
      <c r="B13" s="11">
        <v>2150</v>
      </c>
      <c r="C13" s="11">
        <v>1400</v>
      </c>
      <c r="D13" s="11">
        <v>3550</v>
      </c>
    </row>
    <row r="14" spans="1:4">
      <c r="A14" s="5" t="s">
        <v>326</v>
      </c>
      <c r="B14" s="11">
        <v>608</v>
      </c>
      <c r="C14" s="11">
        <v>736</v>
      </c>
      <c r="D14" s="11">
        <v>1344</v>
      </c>
    </row>
    <row r="15" spans="1:4">
      <c r="A15" s="5" t="s">
        <v>329</v>
      </c>
      <c r="B15" s="11">
        <v>1804</v>
      </c>
      <c r="C15" s="11">
        <v>2002</v>
      </c>
      <c r="D15" s="11">
        <v>3806</v>
      </c>
    </row>
    <row r="16" spans="1:4">
      <c r="A16" s="5" t="s">
        <v>323</v>
      </c>
      <c r="B16" s="11">
        <v>5775</v>
      </c>
      <c r="C16" s="11">
        <v>5335</v>
      </c>
      <c r="D16" s="11">
        <v>11110</v>
      </c>
    </row>
    <row r="17" spans="1:4">
      <c r="A17" s="5" t="s">
        <v>381</v>
      </c>
      <c r="B17" s="11">
        <v>125556</v>
      </c>
      <c r="C17" s="11">
        <v>150969</v>
      </c>
      <c r="D17" s="11">
        <v>276525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28"/>
  <sheetViews>
    <sheetView workbookViewId="0">
      <pane ySplit="1" topLeftCell="A2402" activePane="bottomLeft" state="frozen"/>
      <selection pane="bottomLeft" sqref="A1:M2428"/>
    </sheetView>
  </sheetViews>
  <sheetFormatPr defaultRowHeight="14.4"/>
  <cols>
    <col min="1" max="1" width="13" customWidth="1"/>
    <col min="2" max="2" width="9" customWidth="1"/>
    <col min="3" max="3" width="11" customWidth="1"/>
    <col min="4" max="4" width="10" customWidth="1"/>
    <col min="5" max="5" width="11" customWidth="1"/>
    <col min="6" max="6" width="10" customWidth="1"/>
    <col min="7" max="7" width="13.44140625" customWidth="1"/>
    <col min="8" max="8" width="16.77734375" customWidth="1"/>
    <col min="9" max="9" width="10.88671875" customWidth="1"/>
    <col min="10" max="10" width="23.109375" customWidth="1"/>
    <col min="11" max="11" width="11.88671875" bestFit="1" customWidth="1"/>
    <col min="12" max="12" width="12" customWidth="1"/>
    <col min="13" max="13" width="11.6640625" customWidth="1"/>
  </cols>
  <sheetData>
    <row r="1" spans="1:13">
      <c r="A1" t="s">
        <v>337</v>
      </c>
      <c r="B1" t="s">
        <v>330</v>
      </c>
      <c r="C1" t="s">
        <v>309</v>
      </c>
      <c r="D1" t="s">
        <v>338</v>
      </c>
      <c r="E1" t="s">
        <v>339</v>
      </c>
      <c r="F1" t="s">
        <v>393</v>
      </c>
      <c r="G1" t="s">
        <v>368</v>
      </c>
      <c r="H1" t="s">
        <v>394</v>
      </c>
      <c r="I1" t="s">
        <v>331</v>
      </c>
      <c r="J1" t="s">
        <v>395</v>
      </c>
      <c r="K1" s="11">
        <f>SUM(H2:H2428)</f>
        <v>755536</v>
      </c>
      <c r="L1" t="s">
        <v>310</v>
      </c>
      <c r="M1" t="s">
        <v>407</v>
      </c>
    </row>
    <row r="2" spans="1:13">
      <c r="A2">
        <v>1</v>
      </c>
      <c r="B2">
        <v>1001</v>
      </c>
      <c r="C2">
        <v>1</v>
      </c>
      <c r="D2">
        <v>2</v>
      </c>
      <c r="E2">
        <v>750</v>
      </c>
      <c r="F2">
        <f>D2*E2</f>
        <v>1500</v>
      </c>
      <c r="G2" t="str">
        <f>VLOOKUP(B2,Orders!$A$2:$D$1201,4,FALSE)</f>
        <v>Shipped</v>
      </c>
      <c r="H2">
        <f>IF(G2="Cancelled",0,F2)</f>
        <v>1500</v>
      </c>
      <c r="I2" s="12">
        <f>VLOOKUP(B2,Orders!$A$2:$D$1201,3,FALSE)</f>
        <v>46042</v>
      </c>
      <c r="J2" t="s">
        <v>396</v>
      </c>
      <c r="K2">
        <f>COUNTIF(Orders!$D$2:$D$1201,"Delivered")+COUNTIF(Orders!$D$2:$D$1201,"Shipped")+COUNTIF(Orders!$D$2:$D$1201,"Pending")</f>
        <v>1145</v>
      </c>
      <c r="L2" t="str">
        <f>VLOOKUP(C2,Products!$A$2:$D$13,2,FALSE)</f>
        <v>Laptop</v>
      </c>
      <c r="M2" t="str">
        <f>TEXT(I2,"yyyy-mm")</f>
        <v>2026-01</v>
      </c>
    </row>
    <row r="3" spans="1:13">
      <c r="A3">
        <v>2</v>
      </c>
      <c r="B3">
        <v>1001</v>
      </c>
      <c r="C3">
        <v>6</v>
      </c>
      <c r="D3">
        <v>4</v>
      </c>
      <c r="E3">
        <v>140</v>
      </c>
      <c r="F3">
        <f t="shared" ref="F3:F66" si="0">D3*E3</f>
        <v>560</v>
      </c>
      <c r="G3" t="str">
        <f>VLOOKUP(B3,Orders!$A$2:$D$1201,4,FALSE)</f>
        <v>Shipped</v>
      </c>
      <c r="H3">
        <f t="shared" ref="H3:H66" si="1">IF(G3="Cancelled",0,F3)</f>
        <v>560</v>
      </c>
      <c r="I3" s="12">
        <f>VLOOKUP(B3,Orders!$A$2:$D$1201,3,FALSE)</f>
        <v>46042</v>
      </c>
      <c r="J3" t="s">
        <v>397</v>
      </c>
      <c r="K3" s="11">
        <f>K1/K2</f>
        <v>659.85676855895201</v>
      </c>
      <c r="L3" t="str">
        <f>VLOOKUP(C3,Products!$A$2:$D$13,2,FALSE)</f>
        <v>Chair</v>
      </c>
      <c r="M3" t="str">
        <f t="shared" ref="M3:M66" si="2">TEXT(I3,"yyyy-mm")</f>
        <v>2026-01</v>
      </c>
    </row>
    <row r="4" spans="1:13">
      <c r="A4">
        <v>3</v>
      </c>
      <c r="B4">
        <v>1001</v>
      </c>
      <c r="C4">
        <v>10</v>
      </c>
      <c r="D4">
        <v>2</v>
      </c>
      <c r="E4">
        <v>8</v>
      </c>
      <c r="F4">
        <f t="shared" si="0"/>
        <v>16</v>
      </c>
      <c r="G4" t="str">
        <f>VLOOKUP(B4,Orders!$A$2:$D$1201,4,FALSE)</f>
        <v>Shipped</v>
      </c>
      <c r="H4">
        <f t="shared" si="1"/>
        <v>16</v>
      </c>
      <c r="I4" s="12">
        <f>VLOOKUP(B4,Orders!$A$2:$D$1201,3,FALSE)</f>
        <v>46042</v>
      </c>
      <c r="L4" t="str">
        <f>VLOOKUP(C4,Products!$A$2:$D$13,2,FALSE)</f>
        <v>Notebook</v>
      </c>
      <c r="M4" t="str">
        <f t="shared" si="2"/>
        <v>2026-01</v>
      </c>
    </row>
    <row r="5" spans="1:13">
      <c r="A5">
        <v>4</v>
      </c>
      <c r="B5">
        <v>1002</v>
      </c>
      <c r="C5">
        <v>4</v>
      </c>
      <c r="D5">
        <v>3</v>
      </c>
      <c r="E5">
        <v>25</v>
      </c>
      <c r="F5">
        <f t="shared" si="0"/>
        <v>75</v>
      </c>
      <c r="G5" t="str">
        <f>VLOOKUP(B5,Orders!$A$2:$D$1201,4,FALSE)</f>
        <v>Cancelled</v>
      </c>
      <c r="H5">
        <f t="shared" si="1"/>
        <v>0</v>
      </c>
      <c r="I5" s="12">
        <f>VLOOKUP(B5,Orders!$A$2:$D$1201,3,FALSE)</f>
        <v>46033</v>
      </c>
      <c r="L5" t="str">
        <f>VLOOKUP(C5,Products!$A$2:$D$13,2,FALSE)</f>
        <v>Mouse</v>
      </c>
      <c r="M5" t="str">
        <f t="shared" si="2"/>
        <v>2026-01</v>
      </c>
    </row>
    <row r="6" spans="1:13">
      <c r="A6">
        <v>5</v>
      </c>
      <c r="B6">
        <v>1002</v>
      </c>
      <c r="C6">
        <v>11</v>
      </c>
      <c r="D6">
        <v>4</v>
      </c>
      <c r="E6">
        <v>48</v>
      </c>
      <c r="F6">
        <f t="shared" si="0"/>
        <v>192</v>
      </c>
      <c r="G6" t="str">
        <f>VLOOKUP(B6,Orders!$A$2:$D$1201,4,FALSE)</f>
        <v>Cancelled</v>
      </c>
      <c r="H6">
        <f t="shared" si="1"/>
        <v>0</v>
      </c>
      <c r="I6" s="12">
        <f>VLOOKUP(B6,Orders!$A$2:$D$1201,3,FALSE)</f>
        <v>46033</v>
      </c>
      <c r="L6" t="str">
        <f>VLOOKUP(C6,Products!$A$2:$D$13,2,FALSE)</f>
        <v>Backpack</v>
      </c>
      <c r="M6" t="str">
        <f t="shared" si="2"/>
        <v>2026-01</v>
      </c>
    </row>
    <row r="7" spans="1:13">
      <c r="A7">
        <v>6</v>
      </c>
      <c r="B7">
        <v>1002</v>
      </c>
      <c r="C7">
        <v>2</v>
      </c>
      <c r="D7">
        <v>2</v>
      </c>
      <c r="E7">
        <v>220</v>
      </c>
      <c r="F7">
        <f t="shared" si="0"/>
        <v>440</v>
      </c>
      <c r="G7" t="str">
        <f>VLOOKUP(B7,Orders!$A$2:$D$1201,4,FALSE)</f>
        <v>Cancelled</v>
      </c>
      <c r="H7">
        <f t="shared" si="1"/>
        <v>0</v>
      </c>
      <c r="I7" s="12">
        <f>VLOOKUP(B7,Orders!$A$2:$D$1201,3,FALSE)</f>
        <v>46033</v>
      </c>
      <c r="L7" t="str">
        <f>VLOOKUP(C7,Products!$A$2:$D$13,2,FALSE)</f>
        <v>Monitor</v>
      </c>
      <c r="M7" t="str">
        <f t="shared" si="2"/>
        <v>2026-01</v>
      </c>
    </row>
    <row r="8" spans="1:13">
      <c r="A8">
        <v>7</v>
      </c>
      <c r="B8">
        <v>1003</v>
      </c>
      <c r="C8">
        <v>1</v>
      </c>
      <c r="D8">
        <v>3</v>
      </c>
      <c r="E8">
        <v>750</v>
      </c>
      <c r="F8">
        <f t="shared" si="0"/>
        <v>2250</v>
      </c>
      <c r="G8" t="str">
        <f>VLOOKUP(B8,Orders!$A$2:$D$1201,4,FALSE)</f>
        <v>Cancelled</v>
      </c>
      <c r="H8">
        <f t="shared" si="1"/>
        <v>0</v>
      </c>
      <c r="I8" s="12">
        <f>VLOOKUP(B8,Orders!$A$2:$D$1201,3,FALSE)</f>
        <v>46083</v>
      </c>
      <c r="L8" t="str">
        <f>VLOOKUP(C8,Products!$A$2:$D$13,2,FALSE)</f>
        <v>Laptop</v>
      </c>
      <c r="M8" t="str">
        <f t="shared" si="2"/>
        <v>2026-03</v>
      </c>
    </row>
    <row r="9" spans="1:13">
      <c r="A9">
        <v>8</v>
      </c>
      <c r="B9">
        <v>1003</v>
      </c>
      <c r="C9">
        <v>3</v>
      </c>
      <c r="D9">
        <v>4</v>
      </c>
      <c r="E9">
        <v>45</v>
      </c>
      <c r="F9">
        <f t="shared" si="0"/>
        <v>180</v>
      </c>
      <c r="G9" t="str">
        <f>VLOOKUP(B9,Orders!$A$2:$D$1201,4,FALSE)</f>
        <v>Cancelled</v>
      </c>
      <c r="H9">
        <f t="shared" si="1"/>
        <v>0</v>
      </c>
      <c r="I9" s="12">
        <f>VLOOKUP(B9,Orders!$A$2:$D$1201,3,FALSE)</f>
        <v>46083</v>
      </c>
      <c r="L9" t="str">
        <f>VLOOKUP(C9,Products!$A$2:$D$13,2,FALSE)</f>
        <v>Keyboard</v>
      </c>
      <c r="M9" t="str">
        <f t="shared" si="2"/>
        <v>2026-03</v>
      </c>
    </row>
    <row r="10" spans="1:13">
      <c r="A10">
        <v>9</v>
      </c>
      <c r="B10">
        <v>1004</v>
      </c>
      <c r="C10">
        <v>3</v>
      </c>
      <c r="D10">
        <v>4</v>
      </c>
      <c r="E10">
        <v>45</v>
      </c>
      <c r="F10">
        <f t="shared" si="0"/>
        <v>180</v>
      </c>
      <c r="G10" t="str">
        <f>VLOOKUP(B10,Orders!$A$2:$D$1201,4,FALSE)</f>
        <v>Cancelled</v>
      </c>
      <c r="H10">
        <f t="shared" si="1"/>
        <v>0</v>
      </c>
      <c r="I10" s="12">
        <f>VLOOKUP(B10,Orders!$A$2:$D$1201,3,FALSE)</f>
        <v>46194</v>
      </c>
      <c r="L10" t="str">
        <f>VLOOKUP(C10,Products!$A$2:$D$13,2,FALSE)</f>
        <v>Keyboard</v>
      </c>
      <c r="M10" t="str">
        <f t="shared" si="2"/>
        <v>2026-06</v>
      </c>
    </row>
    <row r="11" spans="1:13">
      <c r="A11">
        <v>10</v>
      </c>
      <c r="B11">
        <v>1004</v>
      </c>
      <c r="C11">
        <v>2</v>
      </c>
      <c r="D11">
        <v>1</v>
      </c>
      <c r="E11">
        <v>220</v>
      </c>
      <c r="F11">
        <f t="shared" si="0"/>
        <v>220</v>
      </c>
      <c r="G11" t="str">
        <f>VLOOKUP(B11,Orders!$A$2:$D$1201,4,FALSE)</f>
        <v>Cancelled</v>
      </c>
      <c r="H11">
        <f t="shared" si="1"/>
        <v>0</v>
      </c>
      <c r="I11" s="12">
        <f>VLOOKUP(B11,Orders!$A$2:$D$1201,3,FALSE)</f>
        <v>46194</v>
      </c>
      <c r="L11" t="str">
        <f>VLOOKUP(C11,Products!$A$2:$D$13,2,FALSE)</f>
        <v>Monitor</v>
      </c>
      <c r="M11" t="str">
        <f t="shared" si="2"/>
        <v>2026-06</v>
      </c>
    </row>
    <row r="12" spans="1:13">
      <c r="A12">
        <v>11</v>
      </c>
      <c r="B12">
        <v>1005</v>
      </c>
      <c r="C12">
        <v>5</v>
      </c>
      <c r="D12">
        <v>2</v>
      </c>
      <c r="E12">
        <v>180</v>
      </c>
      <c r="F12">
        <f t="shared" si="0"/>
        <v>360</v>
      </c>
      <c r="G12" t="str">
        <f>VLOOKUP(B12,Orders!$A$2:$D$1201,4,FALSE)</f>
        <v>Delivered</v>
      </c>
      <c r="H12">
        <f t="shared" si="1"/>
        <v>360</v>
      </c>
      <c r="I12" s="12">
        <f>VLOOKUP(B12,Orders!$A$2:$D$1201,3,FALSE)</f>
        <v>46143</v>
      </c>
      <c r="L12" t="str">
        <f>VLOOKUP(C12,Products!$A$2:$D$13,2,FALSE)</f>
        <v>Desk</v>
      </c>
      <c r="M12" t="str">
        <f t="shared" si="2"/>
        <v>2026-05</v>
      </c>
    </row>
    <row r="13" spans="1:13">
      <c r="A13">
        <v>12</v>
      </c>
      <c r="B13">
        <v>1005</v>
      </c>
      <c r="C13">
        <v>4</v>
      </c>
      <c r="D13">
        <v>1</v>
      </c>
      <c r="E13">
        <v>25</v>
      </c>
      <c r="F13">
        <f t="shared" si="0"/>
        <v>25</v>
      </c>
      <c r="G13" t="str">
        <f>VLOOKUP(B13,Orders!$A$2:$D$1201,4,FALSE)</f>
        <v>Delivered</v>
      </c>
      <c r="H13">
        <f t="shared" si="1"/>
        <v>25</v>
      </c>
      <c r="I13" s="12">
        <f>VLOOKUP(B13,Orders!$A$2:$D$1201,3,FALSE)</f>
        <v>46143</v>
      </c>
      <c r="L13" t="str">
        <f>VLOOKUP(C13,Products!$A$2:$D$13,2,FALSE)</f>
        <v>Mouse</v>
      </c>
      <c r="M13" t="str">
        <f t="shared" si="2"/>
        <v>2026-05</v>
      </c>
    </row>
    <row r="14" spans="1:13">
      <c r="A14">
        <v>13</v>
      </c>
      <c r="B14">
        <v>1006</v>
      </c>
      <c r="C14">
        <v>11</v>
      </c>
      <c r="D14">
        <v>3</v>
      </c>
      <c r="E14">
        <v>48</v>
      </c>
      <c r="F14">
        <f t="shared" si="0"/>
        <v>144</v>
      </c>
      <c r="G14" t="str">
        <f>VLOOKUP(B14,Orders!$A$2:$D$1201,4,FALSE)</f>
        <v>Delivered</v>
      </c>
      <c r="H14">
        <f t="shared" si="1"/>
        <v>144</v>
      </c>
      <c r="I14" s="12">
        <f>VLOOKUP(B14,Orders!$A$2:$D$1201,3,FALSE)</f>
        <v>46094</v>
      </c>
      <c r="L14" t="str">
        <f>VLOOKUP(C14,Products!$A$2:$D$13,2,FALSE)</f>
        <v>Backpack</v>
      </c>
      <c r="M14" t="str">
        <f t="shared" si="2"/>
        <v>2026-03</v>
      </c>
    </row>
    <row r="15" spans="1:13">
      <c r="A15">
        <v>14</v>
      </c>
      <c r="B15">
        <v>1006</v>
      </c>
      <c r="C15">
        <v>9</v>
      </c>
      <c r="D15">
        <v>1</v>
      </c>
      <c r="E15">
        <v>30</v>
      </c>
      <c r="F15">
        <f t="shared" si="0"/>
        <v>30</v>
      </c>
      <c r="G15" t="str">
        <f>VLOOKUP(B15,Orders!$A$2:$D$1201,4,FALSE)</f>
        <v>Delivered</v>
      </c>
      <c r="H15">
        <f t="shared" si="1"/>
        <v>30</v>
      </c>
      <c r="I15" s="12">
        <f>VLOOKUP(B15,Orders!$A$2:$D$1201,3,FALSE)</f>
        <v>46094</v>
      </c>
      <c r="L15" t="str">
        <f>VLOOKUP(C15,Products!$A$2:$D$13,2,FALSE)</f>
        <v>Lamp</v>
      </c>
      <c r="M15" t="str">
        <f t="shared" si="2"/>
        <v>2026-03</v>
      </c>
    </row>
    <row r="16" spans="1:13">
      <c r="A16">
        <v>15</v>
      </c>
      <c r="B16">
        <v>1007</v>
      </c>
      <c r="C16">
        <v>12</v>
      </c>
      <c r="D16">
        <v>4</v>
      </c>
      <c r="E16">
        <v>22</v>
      </c>
      <c r="F16">
        <f t="shared" si="0"/>
        <v>88</v>
      </c>
      <c r="G16" t="str">
        <f>VLOOKUP(B16,Orders!$A$2:$D$1201,4,FALSE)</f>
        <v>Delivered</v>
      </c>
      <c r="H16">
        <f t="shared" si="1"/>
        <v>88</v>
      </c>
      <c r="I16" s="12">
        <f>VLOOKUP(B16,Orders!$A$2:$D$1201,3,FALSE)</f>
        <v>46032</v>
      </c>
      <c r="L16" t="str">
        <f>VLOOKUP(C16,Products!$A$2:$D$13,2,FALSE)</f>
        <v>Storage Box</v>
      </c>
      <c r="M16" t="str">
        <f t="shared" si="2"/>
        <v>2026-01</v>
      </c>
    </row>
    <row r="17" spans="1:13">
      <c r="A17">
        <v>16</v>
      </c>
      <c r="B17">
        <v>1007</v>
      </c>
      <c r="C17">
        <v>6</v>
      </c>
      <c r="D17">
        <v>1</v>
      </c>
      <c r="E17">
        <v>140</v>
      </c>
      <c r="F17">
        <f t="shared" si="0"/>
        <v>140</v>
      </c>
      <c r="G17" t="str">
        <f>VLOOKUP(B17,Orders!$A$2:$D$1201,4,FALSE)</f>
        <v>Delivered</v>
      </c>
      <c r="H17">
        <f t="shared" si="1"/>
        <v>140</v>
      </c>
      <c r="I17" s="12">
        <f>VLOOKUP(B17,Orders!$A$2:$D$1201,3,FALSE)</f>
        <v>46032</v>
      </c>
      <c r="L17" t="str">
        <f>VLOOKUP(C17,Products!$A$2:$D$13,2,FALSE)</f>
        <v>Chair</v>
      </c>
      <c r="M17" t="str">
        <f t="shared" si="2"/>
        <v>2026-01</v>
      </c>
    </row>
    <row r="18" spans="1:13">
      <c r="A18">
        <v>17</v>
      </c>
      <c r="B18">
        <v>1008</v>
      </c>
      <c r="C18">
        <v>12</v>
      </c>
      <c r="D18">
        <v>3</v>
      </c>
      <c r="E18">
        <v>22</v>
      </c>
      <c r="F18">
        <f t="shared" si="0"/>
        <v>66</v>
      </c>
      <c r="G18" t="str">
        <f>VLOOKUP(B18,Orders!$A$2:$D$1201,4,FALSE)</f>
        <v>Delivered</v>
      </c>
      <c r="H18">
        <f t="shared" si="1"/>
        <v>66</v>
      </c>
      <c r="I18" s="12">
        <f>VLOOKUP(B18,Orders!$A$2:$D$1201,3,FALSE)</f>
        <v>46134</v>
      </c>
      <c r="L18" t="str">
        <f>VLOOKUP(C18,Products!$A$2:$D$13,2,FALSE)</f>
        <v>Storage Box</v>
      </c>
      <c r="M18" t="str">
        <f t="shared" si="2"/>
        <v>2026-04</v>
      </c>
    </row>
    <row r="19" spans="1:13">
      <c r="A19">
        <v>18</v>
      </c>
      <c r="B19">
        <v>1008</v>
      </c>
      <c r="C19">
        <v>11</v>
      </c>
      <c r="D19">
        <v>4</v>
      </c>
      <c r="E19">
        <v>48</v>
      </c>
      <c r="F19">
        <f t="shared" si="0"/>
        <v>192</v>
      </c>
      <c r="G19" t="str">
        <f>VLOOKUP(B19,Orders!$A$2:$D$1201,4,FALSE)</f>
        <v>Delivered</v>
      </c>
      <c r="H19">
        <f t="shared" si="1"/>
        <v>192</v>
      </c>
      <c r="I19" s="12">
        <f>VLOOKUP(B19,Orders!$A$2:$D$1201,3,FALSE)</f>
        <v>46134</v>
      </c>
      <c r="L19" t="str">
        <f>VLOOKUP(C19,Products!$A$2:$D$13,2,FALSE)</f>
        <v>Backpack</v>
      </c>
      <c r="M19" t="str">
        <f t="shared" si="2"/>
        <v>2026-04</v>
      </c>
    </row>
    <row r="20" spans="1:13">
      <c r="A20">
        <v>19</v>
      </c>
      <c r="B20">
        <v>1008</v>
      </c>
      <c r="C20">
        <v>4</v>
      </c>
      <c r="D20">
        <v>1</v>
      </c>
      <c r="E20">
        <v>25</v>
      </c>
      <c r="F20">
        <f t="shared" si="0"/>
        <v>25</v>
      </c>
      <c r="G20" t="str">
        <f>VLOOKUP(B20,Orders!$A$2:$D$1201,4,FALSE)</f>
        <v>Delivered</v>
      </c>
      <c r="H20">
        <f t="shared" si="1"/>
        <v>25</v>
      </c>
      <c r="I20" s="12">
        <f>VLOOKUP(B20,Orders!$A$2:$D$1201,3,FALSE)</f>
        <v>46134</v>
      </c>
      <c r="L20" t="str">
        <f>VLOOKUP(C20,Products!$A$2:$D$13,2,FALSE)</f>
        <v>Mouse</v>
      </c>
      <c r="M20" t="str">
        <f t="shared" si="2"/>
        <v>2026-04</v>
      </c>
    </row>
    <row r="21" spans="1:13">
      <c r="A21">
        <v>20</v>
      </c>
      <c r="B21">
        <v>1009</v>
      </c>
      <c r="C21">
        <v>5</v>
      </c>
      <c r="D21">
        <v>3</v>
      </c>
      <c r="E21">
        <v>180</v>
      </c>
      <c r="F21">
        <f t="shared" si="0"/>
        <v>540</v>
      </c>
      <c r="G21" t="str">
        <f>VLOOKUP(B21,Orders!$A$2:$D$1201,4,FALSE)</f>
        <v>Delivered</v>
      </c>
      <c r="H21">
        <f t="shared" si="1"/>
        <v>540</v>
      </c>
      <c r="I21" s="12">
        <f>VLOOKUP(B21,Orders!$A$2:$D$1201,3,FALSE)</f>
        <v>46054</v>
      </c>
      <c r="L21" t="str">
        <f>VLOOKUP(C21,Products!$A$2:$D$13,2,FALSE)</f>
        <v>Desk</v>
      </c>
      <c r="M21" t="str">
        <f t="shared" si="2"/>
        <v>2026-02</v>
      </c>
    </row>
    <row r="22" spans="1:13">
      <c r="A22">
        <v>21</v>
      </c>
      <c r="B22">
        <v>1009</v>
      </c>
      <c r="C22">
        <v>11</v>
      </c>
      <c r="D22">
        <v>4</v>
      </c>
      <c r="E22">
        <v>48</v>
      </c>
      <c r="F22">
        <f t="shared" si="0"/>
        <v>192</v>
      </c>
      <c r="G22" t="str">
        <f>VLOOKUP(B22,Orders!$A$2:$D$1201,4,FALSE)</f>
        <v>Delivered</v>
      </c>
      <c r="H22">
        <f t="shared" si="1"/>
        <v>192</v>
      </c>
      <c r="I22" s="12">
        <f>VLOOKUP(B22,Orders!$A$2:$D$1201,3,FALSE)</f>
        <v>46054</v>
      </c>
      <c r="L22" t="str">
        <f>VLOOKUP(C22,Products!$A$2:$D$13,2,FALSE)</f>
        <v>Backpack</v>
      </c>
      <c r="M22" t="str">
        <f t="shared" si="2"/>
        <v>2026-02</v>
      </c>
    </row>
    <row r="23" spans="1:13">
      <c r="A23">
        <v>22</v>
      </c>
      <c r="B23">
        <v>1009</v>
      </c>
      <c r="C23">
        <v>7</v>
      </c>
      <c r="D23">
        <v>3</v>
      </c>
      <c r="E23">
        <v>65</v>
      </c>
      <c r="F23">
        <f t="shared" si="0"/>
        <v>195</v>
      </c>
      <c r="G23" t="str">
        <f>VLOOKUP(B23,Orders!$A$2:$D$1201,4,FALSE)</f>
        <v>Delivered</v>
      </c>
      <c r="H23">
        <f t="shared" si="1"/>
        <v>195</v>
      </c>
      <c r="I23" s="12">
        <f>VLOOKUP(B23,Orders!$A$2:$D$1201,3,FALSE)</f>
        <v>46054</v>
      </c>
      <c r="L23" t="str">
        <f>VLOOKUP(C23,Products!$A$2:$D$13,2,FALSE)</f>
        <v>Headphones</v>
      </c>
      <c r="M23" t="str">
        <f t="shared" si="2"/>
        <v>2026-02</v>
      </c>
    </row>
    <row r="24" spans="1:13">
      <c r="A24">
        <v>23</v>
      </c>
      <c r="B24">
        <v>1010</v>
      </c>
      <c r="C24">
        <v>10</v>
      </c>
      <c r="D24">
        <v>1</v>
      </c>
      <c r="E24">
        <v>8</v>
      </c>
      <c r="F24">
        <f t="shared" si="0"/>
        <v>8</v>
      </c>
      <c r="G24" t="str">
        <f>VLOOKUP(B24,Orders!$A$2:$D$1201,4,FALSE)</f>
        <v>Delivered</v>
      </c>
      <c r="H24">
        <f t="shared" si="1"/>
        <v>8</v>
      </c>
      <c r="I24" s="12">
        <f>VLOOKUP(B24,Orders!$A$2:$D$1201,3,FALSE)</f>
        <v>46196</v>
      </c>
      <c r="L24" t="str">
        <f>VLOOKUP(C24,Products!$A$2:$D$13,2,FALSE)</f>
        <v>Notebook</v>
      </c>
      <c r="M24" t="str">
        <f t="shared" si="2"/>
        <v>2026-06</v>
      </c>
    </row>
    <row r="25" spans="1:13">
      <c r="A25">
        <v>24</v>
      </c>
      <c r="B25">
        <v>1010</v>
      </c>
      <c r="C25">
        <v>5</v>
      </c>
      <c r="D25">
        <v>3</v>
      </c>
      <c r="E25">
        <v>180</v>
      </c>
      <c r="F25">
        <f t="shared" si="0"/>
        <v>540</v>
      </c>
      <c r="G25" t="str">
        <f>VLOOKUP(B25,Orders!$A$2:$D$1201,4,FALSE)</f>
        <v>Delivered</v>
      </c>
      <c r="H25">
        <f t="shared" si="1"/>
        <v>540</v>
      </c>
      <c r="I25" s="12">
        <f>VLOOKUP(B25,Orders!$A$2:$D$1201,3,FALSE)</f>
        <v>46196</v>
      </c>
      <c r="L25" t="str">
        <f>VLOOKUP(C25,Products!$A$2:$D$13,2,FALSE)</f>
        <v>Desk</v>
      </c>
      <c r="M25" t="str">
        <f t="shared" si="2"/>
        <v>2026-06</v>
      </c>
    </row>
    <row r="26" spans="1:13">
      <c r="A26">
        <v>25</v>
      </c>
      <c r="B26">
        <v>1010</v>
      </c>
      <c r="C26">
        <v>7</v>
      </c>
      <c r="D26">
        <v>3</v>
      </c>
      <c r="E26">
        <v>65</v>
      </c>
      <c r="F26">
        <f t="shared" si="0"/>
        <v>195</v>
      </c>
      <c r="G26" t="str">
        <f>VLOOKUP(B26,Orders!$A$2:$D$1201,4,FALSE)</f>
        <v>Delivered</v>
      </c>
      <c r="H26">
        <f t="shared" si="1"/>
        <v>195</v>
      </c>
      <c r="I26" s="12">
        <f>VLOOKUP(B26,Orders!$A$2:$D$1201,3,FALSE)</f>
        <v>46196</v>
      </c>
      <c r="L26" t="str">
        <f>VLOOKUP(C26,Products!$A$2:$D$13,2,FALSE)</f>
        <v>Headphones</v>
      </c>
      <c r="M26" t="str">
        <f t="shared" si="2"/>
        <v>2026-06</v>
      </c>
    </row>
    <row r="27" spans="1:13">
      <c r="A27">
        <v>26</v>
      </c>
      <c r="B27">
        <v>1011</v>
      </c>
      <c r="C27">
        <v>8</v>
      </c>
      <c r="D27">
        <v>3</v>
      </c>
      <c r="E27">
        <v>55</v>
      </c>
      <c r="F27">
        <f t="shared" si="0"/>
        <v>165</v>
      </c>
      <c r="G27" t="str">
        <f>VLOOKUP(B27,Orders!$A$2:$D$1201,4,FALSE)</f>
        <v>Delivered</v>
      </c>
      <c r="H27">
        <f t="shared" si="1"/>
        <v>165</v>
      </c>
      <c r="I27" s="12">
        <f>VLOOKUP(B27,Orders!$A$2:$D$1201,3,FALSE)</f>
        <v>46142</v>
      </c>
      <c r="L27" t="str">
        <f>VLOOKUP(C27,Products!$A$2:$D$13,2,FALSE)</f>
        <v>Webcam</v>
      </c>
      <c r="M27" t="str">
        <f t="shared" si="2"/>
        <v>2026-04</v>
      </c>
    </row>
    <row r="28" spans="1:13">
      <c r="A28">
        <v>27</v>
      </c>
      <c r="B28">
        <v>1011</v>
      </c>
      <c r="C28">
        <v>3</v>
      </c>
      <c r="D28">
        <v>3</v>
      </c>
      <c r="E28">
        <v>45</v>
      </c>
      <c r="F28">
        <f t="shared" si="0"/>
        <v>135</v>
      </c>
      <c r="G28" t="str">
        <f>VLOOKUP(B28,Orders!$A$2:$D$1201,4,FALSE)</f>
        <v>Delivered</v>
      </c>
      <c r="H28">
        <f t="shared" si="1"/>
        <v>135</v>
      </c>
      <c r="I28" s="12">
        <f>VLOOKUP(B28,Orders!$A$2:$D$1201,3,FALSE)</f>
        <v>46142</v>
      </c>
      <c r="L28" t="str">
        <f>VLOOKUP(C28,Products!$A$2:$D$13,2,FALSE)</f>
        <v>Keyboard</v>
      </c>
      <c r="M28" t="str">
        <f t="shared" si="2"/>
        <v>2026-04</v>
      </c>
    </row>
    <row r="29" spans="1:13">
      <c r="A29">
        <v>28</v>
      </c>
      <c r="B29">
        <v>1011</v>
      </c>
      <c r="C29">
        <v>2</v>
      </c>
      <c r="D29">
        <v>1</v>
      </c>
      <c r="E29">
        <v>220</v>
      </c>
      <c r="F29">
        <f t="shared" si="0"/>
        <v>220</v>
      </c>
      <c r="G29" t="str">
        <f>VLOOKUP(B29,Orders!$A$2:$D$1201,4,FALSE)</f>
        <v>Delivered</v>
      </c>
      <c r="H29">
        <f t="shared" si="1"/>
        <v>220</v>
      </c>
      <c r="I29" s="12">
        <f>VLOOKUP(B29,Orders!$A$2:$D$1201,3,FALSE)</f>
        <v>46142</v>
      </c>
      <c r="L29" t="str">
        <f>VLOOKUP(C29,Products!$A$2:$D$13,2,FALSE)</f>
        <v>Monitor</v>
      </c>
      <c r="M29" t="str">
        <f t="shared" si="2"/>
        <v>2026-04</v>
      </c>
    </row>
    <row r="30" spans="1:13">
      <c r="A30">
        <v>29</v>
      </c>
      <c r="B30">
        <v>1012</v>
      </c>
      <c r="C30">
        <v>8</v>
      </c>
      <c r="D30">
        <v>1</v>
      </c>
      <c r="E30">
        <v>55</v>
      </c>
      <c r="F30">
        <f t="shared" si="0"/>
        <v>55</v>
      </c>
      <c r="G30" t="str">
        <f>VLOOKUP(B30,Orders!$A$2:$D$1201,4,FALSE)</f>
        <v>Delivered</v>
      </c>
      <c r="H30">
        <f t="shared" si="1"/>
        <v>55</v>
      </c>
      <c r="I30" s="12">
        <f>VLOOKUP(B30,Orders!$A$2:$D$1201,3,FALSE)</f>
        <v>46073</v>
      </c>
      <c r="L30" t="str">
        <f>VLOOKUP(C30,Products!$A$2:$D$13,2,FALSE)</f>
        <v>Webcam</v>
      </c>
      <c r="M30" t="str">
        <f t="shared" si="2"/>
        <v>2026-02</v>
      </c>
    </row>
    <row r="31" spans="1:13">
      <c r="A31">
        <v>30</v>
      </c>
      <c r="B31">
        <v>1013</v>
      </c>
      <c r="C31">
        <v>3</v>
      </c>
      <c r="D31">
        <v>1</v>
      </c>
      <c r="E31">
        <v>45</v>
      </c>
      <c r="F31">
        <f t="shared" si="0"/>
        <v>45</v>
      </c>
      <c r="G31" t="str">
        <f>VLOOKUP(B31,Orders!$A$2:$D$1201,4,FALSE)</f>
        <v>Delivered</v>
      </c>
      <c r="H31">
        <f t="shared" si="1"/>
        <v>45</v>
      </c>
      <c r="I31" s="12">
        <f>VLOOKUP(B31,Orders!$A$2:$D$1201,3,FALSE)</f>
        <v>46201</v>
      </c>
      <c r="L31" t="str">
        <f>VLOOKUP(C31,Products!$A$2:$D$13,2,FALSE)</f>
        <v>Keyboard</v>
      </c>
      <c r="M31" t="str">
        <f t="shared" si="2"/>
        <v>2026-06</v>
      </c>
    </row>
    <row r="32" spans="1:13">
      <c r="A32">
        <v>31</v>
      </c>
      <c r="B32">
        <v>1014</v>
      </c>
      <c r="C32">
        <v>1</v>
      </c>
      <c r="D32">
        <v>2</v>
      </c>
      <c r="E32">
        <v>750</v>
      </c>
      <c r="F32">
        <f t="shared" si="0"/>
        <v>1500</v>
      </c>
      <c r="G32" t="str">
        <f>VLOOKUP(B32,Orders!$A$2:$D$1201,4,FALSE)</f>
        <v>Delivered</v>
      </c>
      <c r="H32">
        <f t="shared" si="1"/>
        <v>1500</v>
      </c>
      <c r="I32" s="12">
        <f>VLOOKUP(B32,Orders!$A$2:$D$1201,3,FALSE)</f>
        <v>46079</v>
      </c>
      <c r="L32" t="str">
        <f>VLOOKUP(C32,Products!$A$2:$D$13,2,FALSE)</f>
        <v>Laptop</v>
      </c>
      <c r="M32" t="str">
        <f t="shared" si="2"/>
        <v>2026-02</v>
      </c>
    </row>
    <row r="33" spans="1:13">
      <c r="A33">
        <v>32</v>
      </c>
      <c r="B33">
        <v>1014</v>
      </c>
      <c r="C33">
        <v>9</v>
      </c>
      <c r="D33">
        <v>1</v>
      </c>
      <c r="E33">
        <v>30</v>
      </c>
      <c r="F33">
        <f t="shared" si="0"/>
        <v>30</v>
      </c>
      <c r="G33" t="str">
        <f>VLOOKUP(B33,Orders!$A$2:$D$1201,4,FALSE)</f>
        <v>Delivered</v>
      </c>
      <c r="H33">
        <f t="shared" si="1"/>
        <v>30</v>
      </c>
      <c r="I33" s="12">
        <f>VLOOKUP(B33,Orders!$A$2:$D$1201,3,FALSE)</f>
        <v>46079</v>
      </c>
      <c r="L33" t="str">
        <f>VLOOKUP(C33,Products!$A$2:$D$13,2,FALSE)</f>
        <v>Lamp</v>
      </c>
      <c r="M33" t="str">
        <f t="shared" si="2"/>
        <v>2026-02</v>
      </c>
    </row>
    <row r="34" spans="1:13">
      <c r="A34">
        <v>33</v>
      </c>
      <c r="B34">
        <v>1015</v>
      </c>
      <c r="C34">
        <v>12</v>
      </c>
      <c r="D34">
        <v>4</v>
      </c>
      <c r="E34">
        <v>22</v>
      </c>
      <c r="F34">
        <f t="shared" si="0"/>
        <v>88</v>
      </c>
      <c r="G34" t="str">
        <f>VLOOKUP(B34,Orders!$A$2:$D$1201,4,FALSE)</f>
        <v>Delivered</v>
      </c>
      <c r="H34">
        <f t="shared" si="1"/>
        <v>88</v>
      </c>
      <c r="I34" s="12">
        <f>VLOOKUP(B34,Orders!$A$2:$D$1201,3,FALSE)</f>
        <v>46175</v>
      </c>
      <c r="L34" t="str">
        <f>VLOOKUP(C34,Products!$A$2:$D$13,2,FALSE)</f>
        <v>Storage Box</v>
      </c>
      <c r="M34" t="str">
        <f t="shared" si="2"/>
        <v>2026-06</v>
      </c>
    </row>
    <row r="35" spans="1:13">
      <c r="A35">
        <v>34</v>
      </c>
      <c r="B35">
        <v>1015</v>
      </c>
      <c r="C35">
        <v>9</v>
      </c>
      <c r="D35">
        <v>2</v>
      </c>
      <c r="E35">
        <v>30</v>
      </c>
      <c r="F35">
        <f t="shared" si="0"/>
        <v>60</v>
      </c>
      <c r="G35" t="str">
        <f>VLOOKUP(B35,Orders!$A$2:$D$1201,4,FALSE)</f>
        <v>Delivered</v>
      </c>
      <c r="H35">
        <f t="shared" si="1"/>
        <v>60</v>
      </c>
      <c r="I35" s="12">
        <f>VLOOKUP(B35,Orders!$A$2:$D$1201,3,FALSE)</f>
        <v>46175</v>
      </c>
      <c r="L35" t="str">
        <f>VLOOKUP(C35,Products!$A$2:$D$13,2,FALSE)</f>
        <v>Lamp</v>
      </c>
      <c r="M35" t="str">
        <f t="shared" si="2"/>
        <v>2026-06</v>
      </c>
    </row>
    <row r="36" spans="1:13">
      <c r="A36">
        <v>35</v>
      </c>
      <c r="B36">
        <v>1015</v>
      </c>
      <c r="C36">
        <v>7</v>
      </c>
      <c r="D36">
        <v>4</v>
      </c>
      <c r="E36">
        <v>65</v>
      </c>
      <c r="F36">
        <f t="shared" si="0"/>
        <v>260</v>
      </c>
      <c r="G36" t="str">
        <f>VLOOKUP(B36,Orders!$A$2:$D$1201,4,FALSE)</f>
        <v>Delivered</v>
      </c>
      <c r="H36">
        <f t="shared" si="1"/>
        <v>260</v>
      </c>
      <c r="I36" s="12">
        <f>VLOOKUP(B36,Orders!$A$2:$D$1201,3,FALSE)</f>
        <v>46175</v>
      </c>
      <c r="L36" t="str">
        <f>VLOOKUP(C36,Products!$A$2:$D$13,2,FALSE)</f>
        <v>Headphones</v>
      </c>
      <c r="M36" t="str">
        <f t="shared" si="2"/>
        <v>2026-06</v>
      </c>
    </row>
    <row r="37" spans="1:13">
      <c r="A37">
        <v>36</v>
      </c>
      <c r="B37">
        <v>1016</v>
      </c>
      <c r="C37">
        <v>8</v>
      </c>
      <c r="D37">
        <v>3</v>
      </c>
      <c r="E37">
        <v>55</v>
      </c>
      <c r="F37">
        <f t="shared" si="0"/>
        <v>165</v>
      </c>
      <c r="G37" t="str">
        <f>VLOOKUP(B37,Orders!$A$2:$D$1201,4,FALSE)</f>
        <v>Delivered</v>
      </c>
      <c r="H37">
        <f t="shared" si="1"/>
        <v>165</v>
      </c>
      <c r="I37" s="12">
        <f>VLOOKUP(B37,Orders!$A$2:$D$1201,3,FALSE)</f>
        <v>46156</v>
      </c>
      <c r="L37" t="str">
        <f>VLOOKUP(C37,Products!$A$2:$D$13,2,FALSE)</f>
        <v>Webcam</v>
      </c>
      <c r="M37" t="str">
        <f t="shared" si="2"/>
        <v>2026-05</v>
      </c>
    </row>
    <row r="38" spans="1:13">
      <c r="A38">
        <v>37</v>
      </c>
      <c r="B38">
        <v>1016</v>
      </c>
      <c r="C38">
        <v>2</v>
      </c>
      <c r="D38">
        <v>2</v>
      </c>
      <c r="E38">
        <v>220</v>
      </c>
      <c r="F38">
        <f t="shared" si="0"/>
        <v>440</v>
      </c>
      <c r="G38" t="str">
        <f>VLOOKUP(B38,Orders!$A$2:$D$1201,4,FALSE)</f>
        <v>Delivered</v>
      </c>
      <c r="H38">
        <f t="shared" si="1"/>
        <v>440</v>
      </c>
      <c r="I38" s="12">
        <f>VLOOKUP(B38,Orders!$A$2:$D$1201,3,FALSE)</f>
        <v>46156</v>
      </c>
      <c r="L38" t="str">
        <f>VLOOKUP(C38,Products!$A$2:$D$13,2,FALSE)</f>
        <v>Monitor</v>
      </c>
      <c r="M38" t="str">
        <f t="shared" si="2"/>
        <v>2026-05</v>
      </c>
    </row>
    <row r="39" spans="1:13">
      <c r="A39">
        <v>38</v>
      </c>
      <c r="B39">
        <v>1017</v>
      </c>
      <c r="C39">
        <v>4</v>
      </c>
      <c r="D39">
        <v>4</v>
      </c>
      <c r="E39">
        <v>25</v>
      </c>
      <c r="F39">
        <f t="shared" si="0"/>
        <v>100</v>
      </c>
      <c r="G39" t="str">
        <f>VLOOKUP(B39,Orders!$A$2:$D$1201,4,FALSE)</f>
        <v>Delivered</v>
      </c>
      <c r="H39">
        <f t="shared" si="1"/>
        <v>100</v>
      </c>
      <c r="I39" s="12">
        <f>VLOOKUP(B39,Orders!$A$2:$D$1201,3,FALSE)</f>
        <v>46061</v>
      </c>
      <c r="L39" t="str">
        <f>VLOOKUP(C39,Products!$A$2:$D$13,2,FALSE)</f>
        <v>Mouse</v>
      </c>
      <c r="M39" t="str">
        <f t="shared" si="2"/>
        <v>2026-02</v>
      </c>
    </row>
    <row r="40" spans="1:13">
      <c r="A40">
        <v>39</v>
      </c>
      <c r="B40">
        <v>1017</v>
      </c>
      <c r="C40">
        <v>2</v>
      </c>
      <c r="D40">
        <v>3</v>
      </c>
      <c r="E40">
        <v>220</v>
      </c>
      <c r="F40">
        <f t="shared" si="0"/>
        <v>660</v>
      </c>
      <c r="G40" t="str">
        <f>VLOOKUP(B40,Orders!$A$2:$D$1201,4,FALSE)</f>
        <v>Delivered</v>
      </c>
      <c r="H40">
        <f t="shared" si="1"/>
        <v>660</v>
      </c>
      <c r="I40" s="12">
        <f>VLOOKUP(B40,Orders!$A$2:$D$1201,3,FALSE)</f>
        <v>46061</v>
      </c>
      <c r="L40" t="str">
        <f>VLOOKUP(C40,Products!$A$2:$D$13,2,FALSE)</f>
        <v>Monitor</v>
      </c>
      <c r="M40" t="str">
        <f t="shared" si="2"/>
        <v>2026-02</v>
      </c>
    </row>
    <row r="41" spans="1:13">
      <c r="A41">
        <v>40</v>
      </c>
      <c r="B41">
        <v>1017</v>
      </c>
      <c r="C41">
        <v>7</v>
      </c>
      <c r="D41">
        <v>4</v>
      </c>
      <c r="E41">
        <v>65</v>
      </c>
      <c r="F41">
        <f t="shared" si="0"/>
        <v>260</v>
      </c>
      <c r="G41" t="str">
        <f>VLOOKUP(B41,Orders!$A$2:$D$1201,4,FALSE)</f>
        <v>Delivered</v>
      </c>
      <c r="H41">
        <f t="shared" si="1"/>
        <v>260</v>
      </c>
      <c r="I41" s="12">
        <f>VLOOKUP(B41,Orders!$A$2:$D$1201,3,FALSE)</f>
        <v>46061</v>
      </c>
      <c r="L41" t="str">
        <f>VLOOKUP(C41,Products!$A$2:$D$13,2,FALSE)</f>
        <v>Headphones</v>
      </c>
      <c r="M41" t="str">
        <f t="shared" si="2"/>
        <v>2026-02</v>
      </c>
    </row>
    <row r="42" spans="1:13">
      <c r="A42">
        <v>41</v>
      </c>
      <c r="B42">
        <v>1018</v>
      </c>
      <c r="C42">
        <v>8</v>
      </c>
      <c r="D42">
        <v>3</v>
      </c>
      <c r="E42">
        <v>55</v>
      </c>
      <c r="F42">
        <f t="shared" si="0"/>
        <v>165</v>
      </c>
      <c r="G42" t="str">
        <f>VLOOKUP(B42,Orders!$A$2:$D$1201,4,FALSE)</f>
        <v>Delivered</v>
      </c>
      <c r="H42">
        <f t="shared" si="1"/>
        <v>165</v>
      </c>
      <c r="I42" s="12">
        <f>VLOOKUP(B42,Orders!$A$2:$D$1201,3,FALSE)</f>
        <v>46201</v>
      </c>
      <c r="L42" t="str">
        <f>VLOOKUP(C42,Products!$A$2:$D$13,2,FALSE)</f>
        <v>Webcam</v>
      </c>
      <c r="M42" t="str">
        <f t="shared" si="2"/>
        <v>2026-06</v>
      </c>
    </row>
    <row r="43" spans="1:13">
      <c r="A43">
        <v>42</v>
      </c>
      <c r="B43">
        <v>1018</v>
      </c>
      <c r="C43">
        <v>1</v>
      </c>
      <c r="D43">
        <v>3</v>
      </c>
      <c r="E43">
        <v>750</v>
      </c>
      <c r="F43">
        <f t="shared" si="0"/>
        <v>2250</v>
      </c>
      <c r="G43" t="str">
        <f>VLOOKUP(B43,Orders!$A$2:$D$1201,4,FALSE)</f>
        <v>Delivered</v>
      </c>
      <c r="H43">
        <f t="shared" si="1"/>
        <v>2250</v>
      </c>
      <c r="I43" s="12">
        <f>VLOOKUP(B43,Orders!$A$2:$D$1201,3,FALSE)</f>
        <v>46201</v>
      </c>
      <c r="L43" t="str">
        <f>VLOOKUP(C43,Products!$A$2:$D$13,2,FALSE)</f>
        <v>Laptop</v>
      </c>
      <c r="M43" t="str">
        <f t="shared" si="2"/>
        <v>2026-06</v>
      </c>
    </row>
    <row r="44" spans="1:13">
      <c r="A44">
        <v>43</v>
      </c>
      <c r="B44">
        <v>1019</v>
      </c>
      <c r="C44">
        <v>4</v>
      </c>
      <c r="D44">
        <v>3</v>
      </c>
      <c r="E44">
        <v>25</v>
      </c>
      <c r="F44">
        <f t="shared" si="0"/>
        <v>75</v>
      </c>
      <c r="G44" t="str">
        <f>VLOOKUP(B44,Orders!$A$2:$D$1201,4,FALSE)</f>
        <v>Delivered</v>
      </c>
      <c r="H44">
        <f t="shared" si="1"/>
        <v>75</v>
      </c>
      <c r="I44" s="12">
        <f>VLOOKUP(B44,Orders!$A$2:$D$1201,3,FALSE)</f>
        <v>46160</v>
      </c>
      <c r="L44" t="str">
        <f>VLOOKUP(C44,Products!$A$2:$D$13,2,FALSE)</f>
        <v>Mouse</v>
      </c>
      <c r="M44" t="str">
        <f t="shared" si="2"/>
        <v>2026-05</v>
      </c>
    </row>
    <row r="45" spans="1:13">
      <c r="A45">
        <v>44</v>
      </c>
      <c r="B45">
        <v>1019</v>
      </c>
      <c r="C45">
        <v>8</v>
      </c>
      <c r="D45">
        <v>4</v>
      </c>
      <c r="E45">
        <v>55</v>
      </c>
      <c r="F45">
        <f t="shared" si="0"/>
        <v>220</v>
      </c>
      <c r="G45" t="str">
        <f>VLOOKUP(B45,Orders!$A$2:$D$1201,4,FALSE)</f>
        <v>Delivered</v>
      </c>
      <c r="H45">
        <f t="shared" si="1"/>
        <v>220</v>
      </c>
      <c r="I45" s="12">
        <f>VLOOKUP(B45,Orders!$A$2:$D$1201,3,FALSE)</f>
        <v>46160</v>
      </c>
      <c r="L45" t="str">
        <f>VLOOKUP(C45,Products!$A$2:$D$13,2,FALSE)</f>
        <v>Webcam</v>
      </c>
      <c r="M45" t="str">
        <f t="shared" si="2"/>
        <v>2026-05</v>
      </c>
    </row>
    <row r="46" spans="1:13">
      <c r="A46">
        <v>45</v>
      </c>
      <c r="B46">
        <v>1019</v>
      </c>
      <c r="C46">
        <v>12</v>
      </c>
      <c r="D46">
        <v>4</v>
      </c>
      <c r="E46">
        <v>22</v>
      </c>
      <c r="F46">
        <f t="shared" si="0"/>
        <v>88</v>
      </c>
      <c r="G46" t="str">
        <f>VLOOKUP(B46,Orders!$A$2:$D$1201,4,FALSE)</f>
        <v>Delivered</v>
      </c>
      <c r="H46">
        <f t="shared" si="1"/>
        <v>88</v>
      </c>
      <c r="I46" s="12">
        <f>VLOOKUP(B46,Orders!$A$2:$D$1201,3,FALSE)</f>
        <v>46160</v>
      </c>
      <c r="L46" t="str">
        <f>VLOOKUP(C46,Products!$A$2:$D$13,2,FALSE)</f>
        <v>Storage Box</v>
      </c>
      <c r="M46" t="str">
        <f t="shared" si="2"/>
        <v>2026-05</v>
      </c>
    </row>
    <row r="47" spans="1:13">
      <c r="A47">
        <v>46</v>
      </c>
      <c r="B47">
        <v>1020</v>
      </c>
      <c r="C47">
        <v>9</v>
      </c>
      <c r="D47">
        <v>1</v>
      </c>
      <c r="E47">
        <v>30</v>
      </c>
      <c r="F47">
        <f t="shared" si="0"/>
        <v>30</v>
      </c>
      <c r="G47" t="str">
        <f>VLOOKUP(B47,Orders!$A$2:$D$1201,4,FALSE)</f>
        <v>Delivered</v>
      </c>
      <c r="H47">
        <f t="shared" si="1"/>
        <v>30</v>
      </c>
      <c r="I47" s="12">
        <f>VLOOKUP(B47,Orders!$A$2:$D$1201,3,FALSE)</f>
        <v>46065</v>
      </c>
      <c r="L47" t="str">
        <f>VLOOKUP(C47,Products!$A$2:$D$13,2,FALSE)</f>
        <v>Lamp</v>
      </c>
      <c r="M47" t="str">
        <f t="shared" si="2"/>
        <v>2026-02</v>
      </c>
    </row>
    <row r="48" spans="1:13">
      <c r="A48">
        <v>47</v>
      </c>
      <c r="B48">
        <v>1020</v>
      </c>
      <c r="C48">
        <v>1</v>
      </c>
      <c r="D48">
        <v>1</v>
      </c>
      <c r="E48">
        <v>750</v>
      </c>
      <c r="F48">
        <f t="shared" si="0"/>
        <v>750</v>
      </c>
      <c r="G48" t="str">
        <f>VLOOKUP(B48,Orders!$A$2:$D$1201,4,FALSE)</f>
        <v>Delivered</v>
      </c>
      <c r="H48">
        <f t="shared" si="1"/>
        <v>750</v>
      </c>
      <c r="I48" s="12">
        <f>VLOOKUP(B48,Orders!$A$2:$D$1201,3,FALSE)</f>
        <v>46065</v>
      </c>
      <c r="L48" t="str">
        <f>VLOOKUP(C48,Products!$A$2:$D$13,2,FALSE)</f>
        <v>Laptop</v>
      </c>
      <c r="M48" t="str">
        <f t="shared" si="2"/>
        <v>2026-02</v>
      </c>
    </row>
    <row r="49" spans="1:13">
      <c r="A49">
        <v>48</v>
      </c>
      <c r="B49">
        <v>1020</v>
      </c>
      <c r="C49">
        <v>7</v>
      </c>
      <c r="D49">
        <v>4</v>
      </c>
      <c r="E49">
        <v>65</v>
      </c>
      <c r="F49">
        <f t="shared" si="0"/>
        <v>260</v>
      </c>
      <c r="G49" t="str">
        <f>VLOOKUP(B49,Orders!$A$2:$D$1201,4,FALSE)</f>
        <v>Delivered</v>
      </c>
      <c r="H49">
        <f t="shared" si="1"/>
        <v>260</v>
      </c>
      <c r="I49" s="12">
        <f>VLOOKUP(B49,Orders!$A$2:$D$1201,3,FALSE)</f>
        <v>46065</v>
      </c>
      <c r="L49" t="str">
        <f>VLOOKUP(C49,Products!$A$2:$D$13,2,FALSE)</f>
        <v>Headphones</v>
      </c>
      <c r="M49" t="str">
        <f t="shared" si="2"/>
        <v>2026-02</v>
      </c>
    </row>
    <row r="50" spans="1:13">
      <c r="A50">
        <v>49</v>
      </c>
      <c r="B50">
        <v>1021</v>
      </c>
      <c r="C50">
        <v>7</v>
      </c>
      <c r="D50">
        <v>4</v>
      </c>
      <c r="E50">
        <v>65</v>
      </c>
      <c r="F50">
        <f t="shared" si="0"/>
        <v>260</v>
      </c>
      <c r="G50" t="str">
        <f>VLOOKUP(B50,Orders!$A$2:$D$1201,4,FALSE)</f>
        <v>Delivered</v>
      </c>
      <c r="H50">
        <f t="shared" si="1"/>
        <v>260</v>
      </c>
      <c r="I50" s="12">
        <f>VLOOKUP(B50,Orders!$A$2:$D$1201,3,FALSE)</f>
        <v>46106</v>
      </c>
      <c r="L50" t="str">
        <f>VLOOKUP(C50,Products!$A$2:$D$13,2,FALSE)</f>
        <v>Headphones</v>
      </c>
      <c r="M50" t="str">
        <f t="shared" si="2"/>
        <v>2026-03</v>
      </c>
    </row>
    <row r="51" spans="1:13">
      <c r="A51">
        <v>50</v>
      </c>
      <c r="B51">
        <v>1021</v>
      </c>
      <c r="C51">
        <v>5</v>
      </c>
      <c r="D51">
        <v>3</v>
      </c>
      <c r="E51">
        <v>180</v>
      </c>
      <c r="F51">
        <f t="shared" si="0"/>
        <v>540</v>
      </c>
      <c r="G51" t="str">
        <f>VLOOKUP(B51,Orders!$A$2:$D$1201,4,FALSE)</f>
        <v>Delivered</v>
      </c>
      <c r="H51">
        <f t="shared" si="1"/>
        <v>540</v>
      </c>
      <c r="I51" s="12">
        <f>VLOOKUP(B51,Orders!$A$2:$D$1201,3,FALSE)</f>
        <v>46106</v>
      </c>
      <c r="L51" t="str">
        <f>VLOOKUP(C51,Products!$A$2:$D$13,2,FALSE)</f>
        <v>Desk</v>
      </c>
      <c r="M51" t="str">
        <f t="shared" si="2"/>
        <v>2026-03</v>
      </c>
    </row>
    <row r="52" spans="1:13">
      <c r="A52">
        <v>51</v>
      </c>
      <c r="B52">
        <v>1022</v>
      </c>
      <c r="C52">
        <v>1</v>
      </c>
      <c r="D52">
        <v>2</v>
      </c>
      <c r="E52">
        <v>750</v>
      </c>
      <c r="F52">
        <f t="shared" si="0"/>
        <v>1500</v>
      </c>
      <c r="G52" t="str">
        <f>VLOOKUP(B52,Orders!$A$2:$D$1201,4,FALSE)</f>
        <v>Delivered</v>
      </c>
      <c r="H52">
        <f t="shared" si="1"/>
        <v>1500</v>
      </c>
      <c r="I52" s="12">
        <f>VLOOKUP(B52,Orders!$A$2:$D$1201,3,FALSE)</f>
        <v>46112</v>
      </c>
      <c r="L52" t="str">
        <f>VLOOKUP(C52,Products!$A$2:$D$13,2,FALSE)</f>
        <v>Laptop</v>
      </c>
      <c r="M52" t="str">
        <f t="shared" si="2"/>
        <v>2026-03</v>
      </c>
    </row>
    <row r="53" spans="1:13">
      <c r="A53">
        <v>52</v>
      </c>
      <c r="B53">
        <v>1022</v>
      </c>
      <c r="C53">
        <v>12</v>
      </c>
      <c r="D53">
        <v>1</v>
      </c>
      <c r="E53">
        <v>22</v>
      </c>
      <c r="F53">
        <f t="shared" si="0"/>
        <v>22</v>
      </c>
      <c r="G53" t="str">
        <f>VLOOKUP(B53,Orders!$A$2:$D$1201,4,FALSE)</f>
        <v>Delivered</v>
      </c>
      <c r="H53">
        <f t="shared" si="1"/>
        <v>22</v>
      </c>
      <c r="I53" s="12">
        <f>VLOOKUP(B53,Orders!$A$2:$D$1201,3,FALSE)</f>
        <v>46112</v>
      </c>
      <c r="L53" t="str">
        <f>VLOOKUP(C53,Products!$A$2:$D$13,2,FALSE)</f>
        <v>Storage Box</v>
      </c>
      <c r="M53" t="str">
        <f t="shared" si="2"/>
        <v>2026-03</v>
      </c>
    </row>
    <row r="54" spans="1:13">
      <c r="A54">
        <v>53</v>
      </c>
      <c r="B54">
        <v>1022</v>
      </c>
      <c r="C54">
        <v>4</v>
      </c>
      <c r="D54">
        <v>2</v>
      </c>
      <c r="E54">
        <v>25</v>
      </c>
      <c r="F54">
        <f t="shared" si="0"/>
        <v>50</v>
      </c>
      <c r="G54" t="str">
        <f>VLOOKUP(B54,Orders!$A$2:$D$1201,4,FALSE)</f>
        <v>Delivered</v>
      </c>
      <c r="H54">
        <f t="shared" si="1"/>
        <v>50</v>
      </c>
      <c r="I54" s="12">
        <f>VLOOKUP(B54,Orders!$A$2:$D$1201,3,FALSE)</f>
        <v>46112</v>
      </c>
      <c r="L54" t="str">
        <f>VLOOKUP(C54,Products!$A$2:$D$13,2,FALSE)</f>
        <v>Mouse</v>
      </c>
      <c r="M54" t="str">
        <f t="shared" si="2"/>
        <v>2026-03</v>
      </c>
    </row>
    <row r="55" spans="1:13">
      <c r="A55">
        <v>54</v>
      </c>
      <c r="B55">
        <v>1023</v>
      </c>
      <c r="C55">
        <v>10</v>
      </c>
      <c r="D55">
        <v>1</v>
      </c>
      <c r="E55">
        <v>8</v>
      </c>
      <c r="F55">
        <f t="shared" si="0"/>
        <v>8</v>
      </c>
      <c r="G55" t="str">
        <f>VLOOKUP(B55,Orders!$A$2:$D$1201,4,FALSE)</f>
        <v>Delivered</v>
      </c>
      <c r="H55">
        <f t="shared" si="1"/>
        <v>8</v>
      </c>
      <c r="I55" s="12">
        <f>VLOOKUP(B55,Orders!$A$2:$D$1201,3,FALSE)</f>
        <v>46142</v>
      </c>
      <c r="L55" t="str">
        <f>VLOOKUP(C55,Products!$A$2:$D$13,2,FALSE)</f>
        <v>Notebook</v>
      </c>
      <c r="M55" t="str">
        <f t="shared" si="2"/>
        <v>2026-04</v>
      </c>
    </row>
    <row r="56" spans="1:13">
      <c r="A56">
        <v>55</v>
      </c>
      <c r="B56">
        <v>1024</v>
      </c>
      <c r="C56">
        <v>7</v>
      </c>
      <c r="D56">
        <v>1</v>
      </c>
      <c r="E56">
        <v>65</v>
      </c>
      <c r="F56">
        <f t="shared" si="0"/>
        <v>65</v>
      </c>
      <c r="G56" t="str">
        <f>VLOOKUP(B56,Orders!$A$2:$D$1201,4,FALSE)</f>
        <v>Shipped</v>
      </c>
      <c r="H56">
        <f t="shared" si="1"/>
        <v>65</v>
      </c>
      <c r="I56" s="12">
        <f>VLOOKUP(B56,Orders!$A$2:$D$1201,3,FALSE)</f>
        <v>46029</v>
      </c>
      <c r="L56" t="str">
        <f>VLOOKUP(C56,Products!$A$2:$D$13,2,FALSE)</f>
        <v>Headphones</v>
      </c>
      <c r="M56" t="str">
        <f t="shared" si="2"/>
        <v>2026-01</v>
      </c>
    </row>
    <row r="57" spans="1:13">
      <c r="A57">
        <v>56</v>
      </c>
      <c r="B57">
        <v>1024</v>
      </c>
      <c r="C57">
        <v>12</v>
      </c>
      <c r="D57">
        <v>2</v>
      </c>
      <c r="E57">
        <v>22</v>
      </c>
      <c r="F57">
        <f t="shared" si="0"/>
        <v>44</v>
      </c>
      <c r="G57" t="str">
        <f>VLOOKUP(B57,Orders!$A$2:$D$1201,4,FALSE)</f>
        <v>Shipped</v>
      </c>
      <c r="H57">
        <f t="shared" si="1"/>
        <v>44</v>
      </c>
      <c r="I57" s="12">
        <f>VLOOKUP(B57,Orders!$A$2:$D$1201,3,FALSE)</f>
        <v>46029</v>
      </c>
      <c r="L57" t="str">
        <f>VLOOKUP(C57,Products!$A$2:$D$13,2,FALSE)</f>
        <v>Storage Box</v>
      </c>
      <c r="M57" t="str">
        <f t="shared" si="2"/>
        <v>2026-01</v>
      </c>
    </row>
    <row r="58" spans="1:13">
      <c r="A58">
        <v>57</v>
      </c>
      <c r="B58">
        <v>1024</v>
      </c>
      <c r="C58">
        <v>4</v>
      </c>
      <c r="D58">
        <v>1</v>
      </c>
      <c r="E58">
        <v>25</v>
      </c>
      <c r="F58">
        <f t="shared" si="0"/>
        <v>25</v>
      </c>
      <c r="G58" t="str">
        <f>VLOOKUP(B58,Orders!$A$2:$D$1201,4,FALSE)</f>
        <v>Shipped</v>
      </c>
      <c r="H58">
        <f t="shared" si="1"/>
        <v>25</v>
      </c>
      <c r="I58" s="12">
        <f>VLOOKUP(B58,Orders!$A$2:$D$1201,3,FALSE)</f>
        <v>46029</v>
      </c>
      <c r="L58" t="str">
        <f>VLOOKUP(C58,Products!$A$2:$D$13,2,FALSE)</f>
        <v>Mouse</v>
      </c>
      <c r="M58" t="str">
        <f t="shared" si="2"/>
        <v>2026-01</v>
      </c>
    </row>
    <row r="59" spans="1:13">
      <c r="A59">
        <v>58</v>
      </c>
      <c r="B59">
        <v>1025</v>
      </c>
      <c r="C59">
        <v>1</v>
      </c>
      <c r="D59">
        <v>4</v>
      </c>
      <c r="E59">
        <v>750</v>
      </c>
      <c r="F59">
        <f t="shared" si="0"/>
        <v>3000</v>
      </c>
      <c r="G59" t="str">
        <f>VLOOKUP(B59,Orders!$A$2:$D$1201,4,FALSE)</f>
        <v>Delivered</v>
      </c>
      <c r="H59">
        <f t="shared" si="1"/>
        <v>3000</v>
      </c>
      <c r="I59" s="12">
        <f>VLOOKUP(B59,Orders!$A$2:$D$1201,3,FALSE)</f>
        <v>46198</v>
      </c>
      <c r="L59" t="str">
        <f>VLOOKUP(C59,Products!$A$2:$D$13,2,FALSE)</f>
        <v>Laptop</v>
      </c>
      <c r="M59" t="str">
        <f t="shared" si="2"/>
        <v>2026-06</v>
      </c>
    </row>
    <row r="60" spans="1:13">
      <c r="A60">
        <v>59</v>
      </c>
      <c r="B60">
        <v>1025</v>
      </c>
      <c r="C60">
        <v>6</v>
      </c>
      <c r="D60">
        <v>3</v>
      </c>
      <c r="E60">
        <v>140</v>
      </c>
      <c r="F60">
        <f t="shared" si="0"/>
        <v>420</v>
      </c>
      <c r="G60" t="str">
        <f>VLOOKUP(B60,Orders!$A$2:$D$1201,4,FALSE)</f>
        <v>Delivered</v>
      </c>
      <c r="H60">
        <f t="shared" si="1"/>
        <v>420</v>
      </c>
      <c r="I60" s="12">
        <f>VLOOKUP(B60,Orders!$A$2:$D$1201,3,FALSE)</f>
        <v>46198</v>
      </c>
      <c r="L60" t="str">
        <f>VLOOKUP(C60,Products!$A$2:$D$13,2,FALSE)</f>
        <v>Chair</v>
      </c>
      <c r="M60" t="str">
        <f t="shared" si="2"/>
        <v>2026-06</v>
      </c>
    </row>
    <row r="61" spans="1:13">
      <c r="A61">
        <v>60</v>
      </c>
      <c r="B61">
        <v>1025</v>
      </c>
      <c r="C61">
        <v>9</v>
      </c>
      <c r="D61">
        <v>1</v>
      </c>
      <c r="E61">
        <v>30</v>
      </c>
      <c r="F61">
        <f t="shared" si="0"/>
        <v>30</v>
      </c>
      <c r="G61" t="str">
        <f>VLOOKUP(B61,Orders!$A$2:$D$1201,4,FALSE)</f>
        <v>Delivered</v>
      </c>
      <c r="H61">
        <f t="shared" si="1"/>
        <v>30</v>
      </c>
      <c r="I61" s="12">
        <f>VLOOKUP(B61,Orders!$A$2:$D$1201,3,FALSE)</f>
        <v>46198</v>
      </c>
      <c r="L61" t="str">
        <f>VLOOKUP(C61,Products!$A$2:$D$13,2,FALSE)</f>
        <v>Lamp</v>
      </c>
      <c r="M61" t="str">
        <f t="shared" si="2"/>
        <v>2026-06</v>
      </c>
    </row>
    <row r="62" spans="1:13">
      <c r="A62">
        <v>61</v>
      </c>
      <c r="B62">
        <v>1026</v>
      </c>
      <c r="C62">
        <v>8</v>
      </c>
      <c r="D62">
        <v>2</v>
      </c>
      <c r="E62">
        <v>55</v>
      </c>
      <c r="F62">
        <f t="shared" si="0"/>
        <v>110</v>
      </c>
      <c r="G62" t="str">
        <f>VLOOKUP(B62,Orders!$A$2:$D$1201,4,FALSE)</f>
        <v>Delivered</v>
      </c>
      <c r="H62">
        <f t="shared" si="1"/>
        <v>110</v>
      </c>
      <c r="I62" s="12">
        <f>VLOOKUP(B62,Orders!$A$2:$D$1201,3,FALSE)</f>
        <v>46050</v>
      </c>
      <c r="L62" t="str">
        <f>VLOOKUP(C62,Products!$A$2:$D$13,2,FALSE)</f>
        <v>Webcam</v>
      </c>
      <c r="M62" t="str">
        <f t="shared" si="2"/>
        <v>2026-01</v>
      </c>
    </row>
    <row r="63" spans="1:13">
      <c r="A63">
        <v>62</v>
      </c>
      <c r="B63">
        <v>1026</v>
      </c>
      <c r="C63">
        <v>3</v>
      </c>
      <c r="D63">
        <v>3</v>
      </c>
      <c r="E63">
        <v>45</v>
      </c>
      <c r="F63">
        <f t="shared" si="0"/>
        <v>135</v>
      </c>
      <c r="G63" t="str">
        <f>VLOOKUP(B63,Orders!$A$2:$D$1201,4,FALSE)</f>
        <v>Delivered</v>
      </c>
      <c r="H63">
        <f t="shared" si="1"/>
        <v>135</v>
      </c>
      <c r="I63" s="12">
        <f>VLOOKUP(B63,Orders!$A$2:$D$1201,3,FALSE)</f>
        <v>46050</v>
      </c>
      <c r="L63" t="str">
        <f>VLOOKUP(C63,Products!$A$2:$D$13,2,FALSE)</f>
        <v>Keyboard</v>
      </c>
      <c r="M63" t="str">
        <f t="shared" si="2"/>
        <v>2026-01</v>
      </c>
    </row>
    <row r="64" spans="1:13">
      <c r="A64">
        <v>63</v>
      </c>
      <c r="B64">
        <v>1026</v>
      </c>
      <c r="C64">
        <v>7</v>
      </c>
      <c r="D64">
        <v>4</v>
      </c>
      <c r="E64">
        <v>65</v>
      </c>
      <c r="F64">
        <f t="shared" si="0"/>
        <v>260</v>
      </c>
      <c r="G64" t="str">
        <f>VLOOKUP(B64,Orders!$A$2:$D$1201,4,FALSE)</f>
        <v>Delivered</v>
      </c>
      <c r="H64">
        <f t="shared" si="1"/>
        <v>260</v>
      </c>
      <c r="I64" s="12">
        <f>VLOOKUP(B64,Orders!$A$2:$D$1201,3,FALSE)</f>
        <v>46050</v>
      </c>
      <c r="L64" t="str">
        <f>VLOOKUP(C64,Products!$A$2:$D$13,2,FALSE)</f>
        <v>Headphones</v>
      </c>
      <c r="M64" t="str">
        <f t="shared" si="2"/>
        <v>2026-01</v>
      </c>
    </row>
    <row r="65" spans="1:13">
      <c r="A65">
        <v>64</v>
      </c>
      <c r="B65">
        <v>1027</v>
      </c>
      <c r="C65">
        <v>8</v>
      </c>
      <c r="D65">
        <v>4</v>
      </c>
      <c r="E65">
        <v>55</v>
      </c>
      <c r="F65">
        <f t="shared" si="0"/>
        <v>220</v>
      </c>
      <c r="G65" t="str">
        <f>VLOOKUP(B65,Orders!$A$2:$D$1201,4,FALSE)</f>
        <v>Delivered</v>
      </c>
      <c r="H65">
        <f t="shared" si="1"/>
        <v>220</v>
      </c>
      <c r="I65" s="12">
        <f>VLOOKUP(B65,Orders!$A$2:$D$1201,3,FALSE)</f>
        <v>46085</v>
      </c>
      <c r="L65" t="str">
        <f>VLOOKUP(C65,Products!$A$2:$D$13,2,FALSE)</f>
        <v>Webcam</v>
      </c>
      <c r="M65" t="str">
        <f t="shared" si="2"/>
        <v>2026-03</v>
      </c>
    </row>
    <row r="66" spans="1:13">
      <c r="A66">
        <v>65</v>
      </c>
      <c r="B66">
        <v>1027</v>
      </c>
      <c r="C66">
        <v>4</v>
      </c>
      <c r="D66">
        <v>4</v>
      </c>
      <c r="E66">
        <v>25</v>
      </c>
      <c r="F66">
        <f t="shared" si="0"/>
        <v>100</v>
      </c>
      <c r="G66" t="str">
        <f>VLOOKUP(B66,Orders!$A$2:$D$1201,4,FALSE)</f>
        <v>Delivered</v>
      </c>
      <c r="H66">
        <f t="shared" si="1"/>
        <v>100</v>
      </c>
      <c r="I66" s="12">
        <f>VLOOKUP(B66,Orders!$A$2:$D$1201,3,FALSE)</f>
        <v>46085</v>
      </c>
      <c r="L66" t="str">
        <f>VLOOKUP(C66,Products!$A$2:$D$13,2,FALSE)</f>
        <v>Mouse</v>
      </c>
      <c r="M66" t="str">
        <f t="shared" si="2"/>
        <v>2026-03</v>
      </c>
    </row>
    <row r="67" spans="1:13">
      <c r="A67">
        <v>66</v>
      </c>
      <c r="B67">
        <v>1028</v>
      </c>
      <c r="C67">
        <v>5</v>
      </c>
      <c r="D67">
        <v>3</v>
      </c>
      <c r="E67">
        <v>180</v>
      </c>
      <c r="F67">
        <f t="shared" ref="F67:F130" si="3">D67*E67</f>
        <v>540</v>
      </c>
      <c r="G67" t="str">
        <f>VLOOKUP(B67,Orders!$A$2:$D$1201,4,FALSE)</f>
        <v>Delivered</v>
      </c>
      <c r="H67">
        <f t="shared" ref="H67:H130" si="4">IF(G67="Cancelled",0,F67)</f>
        <v>540</v>
      </c>
      <c r="I67" s="12">
        <f>VLOOKUP(B67,Orders!$A$2:$D$1201,3,FALSE)</f>
        <v>46077</v>
      </c>
      <c r="L67" t="str">
        <f>VLOOKUP(C67,Products!$A$2:$D$13,2,FALSE)</f>
        <v>Desk</v>
      </c>
      <c r="M67" t="str">
        <f t="shared" ref="M67:M130" si="5">TEXT(I67,"yyyy-mm")</f>
        <v>2026-02</v>
      </c>
    </row>
    <row r="68" spans="1:13">
      <c r="A68">
        <v>67</v>
      </c>
      <c r="B68">
        <v>1028</v>
      </c>
      <c r="C68">
        <v>10</v>
      </c>
      <c r="D68">
        <v>1</v>
      </c>
      <c r="E68">
        <v>8</v>
      </c>
      <c r="F68">
        <f t="shared" si="3"/>
        <v>8</v>
      </c>
      <c r="G68" t="str">
        <f>VLOOKUP(B68,Orders!$A$2:$D$1201,4,FALSE)</f>
        <v>Delivered</v>
      </c>
      <c r="H68">
        <f t="shared" si="4"/>
        <v>8</v>
      </c>
      <c r="I68" s="12">
        <f>VLOOKUP(B68,Orders!$A$2:$D$1201,3,FALSE)</f>
        <v>46077</v>
      </c>
      <c r="L68" t="str">
        <f>VLOOKUP(C68,Products!$A$2:$D$13,2,FALSE)</f>
        <v>Notebook</v>
      </c>
      <c r="M68" t="str">
        <f t="shared" si="5"/>
        <v>2026-02</v>
      </c>
    </row>
    <row r="69" spans="1:13">
      <c r="A69">
        <v>68</v>
      </c>
      <c r="B69">
        <v>1029</v>
      </c>
      <c r="C69">
        <v>8</v>
      </c>
      <c r="D69">
        <v>4</v>
      </c>
      <c r="E69">
        <v>55</v>
      </c>
      <c r="F69">
        <f t="shared" si="3"/>
        <v>220</v>
      </c>
      <c r="G69" t="str">
        <f>VLOOKUP(B69,Orders!$A$2:$D$1201,4,FALSE)</f>
        <v>Delivered</v>
      </c>
      <c r="H69">
        <f t="shared" si="4"/>
        <v>220</v>
      </c>
      <c r="I69" s="12">
        <f>VLOOKUP(B69,Orders!$A$2:$D$1201,3,FALSE)</f>
        <v>46148</v>
      </c>
      <c r="L69" t="str">
        <f>VLOOKUP(C69,Products!$A$2:$D$13,2,FALSE)</f>
        <v>Webcam</v>
      </c>
      <c r="M69" t="str">
        <f t="shared" si="5"/>
        <v>2026-05</v>
      </c>
    </row>
    <row r="70" spans="1:13">
      <c r="A70">
        <v>69</v>
      </c>
      <c r="B70">
        <v>1029</v>
      </c>
      <c r="C70">
        <v>11</v>
      </c>
      <c r="D70">
        <v>1</v>
      </c>
      <c r="E70">
        <v>48</v>
      </c>
      <c r="F70">
        <f t="shared" si="3"/>
        <v>48</v>
      </c>
      <c r="G70" t="str">
        <f>VLOOKUP(B70,Orders!$A$2:$D$1201,4,FALSE)</f>
        <v>Delivered</v>
      </c>
      <c r="H70">
        <f t="shared" si="4"/>
        <v>48</v>
      </c>
      <c r="I70" s="12">
        <f>VLOOKUP(B70,Orders!$A$2:$D$1201,3,FALSE)</f>
        <v>46148</v>
      </c>
      <c r="L70" t="str">
        <f>VLOOKUP(C70,Products!$A$2:$D$13,2,FALSE)</f>
        <v>Backpack</v>
      </c>
      <c r="M70" t="str">
        <f t="shared" si="5"/>
        <v>2026-05</v>
      </c>
    </row>
    <row r="71" spans="1:13">
      <c r="A71">
        <v>70</v>
      </c>
      <c r="B71">
        <v>1029</v>
      </c>
      <c r="C71">
        <v>12</v>
      </c>
      <c r="D71">
        <v>1</v>
      </c>
      <c r="E71">
        <v>22</v>
      </c>
      <c r="F71">
        <f t="shared" si="3"/>
        <v>22</v>
      </c>
      <c r="G71" t="str">
        <f>VLOOKUP(B71,Orders!$A$2:$D$1201,4,FALSE)</f>
        <v>Delivered</v>
      </c>
      <c r="H71">
        <f t="shared" si="4"/>
        <v>22</v>
      </c>
      <c r="I71" s="12">
        <f>VLOOKUP(B71,Orders!$A$2:$D$1201,3,FALSE)</f>
        <v>46148</v>
      </c>
      <c r="L71" t="str">
        <f>VLOOKUP(C71,Products!$A$2:$D$13,2,FALSE)</f>
        <v>Storage Box</v>
      </c>
      <c r="M71" t="str">
        <f t="shared" si="5"/>
        <v>2026-05</v>
      </c>
    </row>
    <row r="72" spans="1:13">
      <c r="A72">
        <v>71</v>
      </c>
      <c r="B72">
        <v>1030</v>
      </c>
      <c r="C72">
        <v>6</v>
      </c>
      <c r="D72">
        <v>3</v>
      </c>
      <c r="E72">
        <v>140</v>
      </c>
      <c r="F72">
        <f t="shared" si="3"/>
        <v>420</v>
      </c>
      <c r="G72" t="str">
        <f>VLOOKUP(B72,Orders!$A$2:$D$1201,4,FALSE)</f>
        <v>Delivered</v>
      </c>
      <c r="H72">
        <f t="shared" si="4"/>
        <v>420</v>
      </c>
      <c r="I72" s="12">
        <f>VLOOKUP(B72,Orders!$A$2:$D$1201,3,FALSE)</f>
        <v>46171</v>
      </c>
      <c r="L72" t="str">
        <f>VLOOKUP(C72,Products!$A$2:$D$13,2,FALSE)</f>
        <v>Chair</v>
      </c>
      <c r="M72" t="str">
        <f t="shared" si="5"/>
        <v>2026-05</v>
      </c>
    </row>
    <row r="73" spans="1:13">
      <c r="A73">
        <v>72</v>
      </c>
      <c r="B73">
        <v>1030</v>
      </c>
      <c r="C73">
        <v>7</v>
      </c>
      <c r="D73">
        <v>3</v>
      </c>
      <c r="E73">
        <v>65</v>
      </c>
      <c r="F73">
        <f t="shared" si="3"/>
        <v>195</v>
      </c>
      <c r="G73" t="str">
        <f>VLOOKUP(B73,Orders!$A$2:$D$1201,4,FALSE)</f>
        <v>Delivered</v>
      </c>
      <c r="H73">
        <f t="shared" si="4"/>
        <v>195</v>
      </c>
      <c r="I73" s="12">
        <f>VLOOKUP(B73,Orders!$A$2:$D$1201,3,FALSE)</f>
        <v>46171</v>
      </c>
      <c r="L73" t="str">
        <f>VLOOKUP(C73,Products!$A$2:$D$13,2,FALSE)</f>
        <v>Headphones</v>
      </c>
      <c r="M73" t="str">
        <f t="shared" si="5"/>
        <v>2026-05</v>
      </c>
    </row>
    <row r="74" spans="1:13">
      <c r="A74">
        <v>73</v>
      </c>
      <c r="B74">
        <v>1030</v>
      </c>
      <c r="C74">
        <v>9</v>
      </c>
      <c r="D74">
        <v>4</v>
      </c>
      <c r="E74">
        <v>30</v>
      </c>
      <c r="F74">
        <f t="shared" si="3"/>
        <v>120</v>
      </c>
      <c r="G74" t="str">
        <f>VLOOKUP(B74,Orders!$A$2:$D$1201,4,FALSE)</f>
        <v>Delivered</v>
      </c>
      <c r="H74">
        <f t="shared" si="4"/>
        <v>120</v>
      </c>
      <c r="I74" s="12">
        <f>VLOOKUP(B74,Orders!$A$2:$D$1201,3,FALSE)</f>
        <v>46171</v>
      </c>
      <c r="L74" t="str">
        <f>VLOOKUP(C74,Products!$A$2:$D$13,2,FALSE)</f>
        <v>Lamp</v>
      </c>
      <c r="M74" t="str">
        <f t="shared" si="5"/>
        <v>2026-05</v>
      </c>
    </row>
    <row r="75" spans="1:13">
      <c r="A75">
        <v>74</v>
      </c>
      <c r="B75">
        <v>1031</v>
      </c>
      <c r="C75">
        <v>3</v>
      </c>
      <c r="D75">
        <v>4</v>
      </c>
      <c r="E75">
        <v>45</v>
      </c>
      <c r="F75">
        <f t="shared" si="3"/>
        <v>180</v>
      </c>
      <c r="G75" t="str">
        <f>VLOOKUP(B75,Orders!$A$2:$D$1201,4,FALSE)</f>
        <v>Delivered</v>
      </c>
      <c r="H75">
        <f t="shared" si="4"/>
        <v>180</v>
      </c>
      <c r="I75" s="12">
        <f>VLOOKUP(B75,Orders!$A$2:$D$1201,3,FALSE)</f>
        <v>46103</v>
      </c>
      <c r="L75" t="str">
        <f>VLOOKUP(C75,Products!$A$2:$D$13,2,FALSE)</f>
        <v>Keyboard</v>
      </c>
      <c r="M75" t="str">
        <f t="shared" si="5"/>
        <v>2026-03</v>
      </c>
    </row>
    <row r="76" spans="1:13">
      <c r="A76">
        <v>75</v>
      </c>
      <c r="B76">
        <v>1031</v>
      </c>
      <c r="C76">
        <v>4</v>
      </c>
      <c r="D76">
        <v>3</v>
      </c>
      <c r="E76">
        <v>25</v>
      </c>
      <c r="F76">
        <f t="shared" si="3"/>
        <v>75</v>
      </c>
      <c r="G76" t="str">
        <f>VLOOKUP(B76,Orders!$A$2:$D$1201,4,FALSE)</f>
        <v>Delivered</v>
      </c>
      <c r="H76">
        <f t="shared" si="4"/>
        <v>75</v>
      </c>
      <c r="I76" s="12">
        <f>VLOOKUP(B76,Orders!$A$2:$D$1201,3,FALSE)</f>
        <v>46103</v>
      </c>
      <c r="L76" t="str">
        <f>VLOOKUP(C76,Products!$A$2:$D$13,2,FALSE)</f>
        <v>Mouse</v>
      </c>
      <c r="M76" t="str">
        <f t="shared" si="5"/>
        <v>2026-03</v>
      </c>
    </row>
    <row r="77" spans="1:13">
      <c r="A77">
        <v>76</v>
      </c>
      <c r="B77">
        <v>1031</v>
      </c>
      <c r="C77">
        <v>11</v>
      </c>
      <c r="D77">
        <v>3</v>
      </c>
      <c r="E77">
        <v>48</v>
      </c>
      <c r="F77">
        <f t="shared" si="3"/>
        <v>144</v>
      </c>
      <c r="G77" t="str">
        <f>VLOOKUP(B77,Orders!$A$2:$D$1201,4,FALSE)</f>
        <v>Delivered</v>
      </c>
      <c r="H77">
        <f t="shared" si="4"/>
        <v>144</v>
      </c>
      <c r="I77" s="12">
        <f>VLOOKUP(B77,Orders!$A$2:$D$1201,3,FALSE)</f>
        <v>46103</v>
      </c>
      <c r="L77" t="str">
        <f>VLOOKUP(C77,Products!$A$2:$D$13,2,FALSE)</f>
        <v>Backpack</v>
      </c>
      <c r="M77" t="str">
        <f t="shared" si="5"/>
        <v>2026-03</v>
      </c>
    </row>
    <row r="78" spans="1:13">
      <c r="A78">
        <v>77</v>
      </c>
      <c r="B78">
        <v>1032</v>
      </c>
      <c r="C78">
        <v>5</v>
      </c>
      <c r="D78">
        <v>1</v>
      </c>
      <c r="E78">
        <v>180</v>
      </c>
      <c r="F78">
        <f t="shared" si="3"/>
        <v>180</v>
      </c>
      <c r="G78" t="str">
        <f>VLOOKUP(B78,Orders!$A$2:$D$1201,4,FALSE)</f>
        <v>Delivered</v>
      </c>
      <c r="H78">
        <f t="shared" si="4"/>
        <v>180</v>
      </c>
      <c r="I78" s="12">
        <f>VLOOKUP(B78,Orders!$A$2:$D$1201,3,FALSE)</f>
        <v>46068</v>
      </c>
      <c r="L78" t="str">
        <f>VLOOKUP(C78,Products!$A$2:$D$13,2,FALSE)</f>
        <v>Desk</v>
      </c>
      <c r="M78" t="str">
        <f t="shared" si="5"/>
        <v>2026-02</v>
      </c>
    </row>
    <row r="79" spans="1:13">
      <c r="A79">
        <v>78</v>
      </c>
      <c r="B79">
        <v>1033</v>
      </c>
      <c r="C79">
        <v>1</v>
      </c>
      <c r="D79">
        <v>3</v>
      </c>
      <c r="E79">
        <v>750</v>
      </c>
      <c r="F79">
        <f t="shared" si="3"/>
        <v>2250</v>
      </c>
      <c r="G79" t="str">
        <f>VLOOKUP(B79,Orders!$A$2:$D$1201,4,FALSE)</f>
        <v>Cancelled</v>
      </c>
      <c r="H79">
        <f t="shared" si="4"/>
        <v>0</v>
      </c>
      <c r="I79" s="12">
        <f>VLOOKUP(B79,Orders!$A$2:$D$1201,3,FALSE)</f>
        <v>46186</v>
      </c>
      <c r="L79" t="str">
        <f>VLOOKUP(C79,Products!$A$2:$D$13,2,FALSE)</f>
        <v>Laptop</v>
      </c>
      <c r="M79" t="str">
        <f t="shared" si="5"/>
        <v>2026-06</v>
      </c>
    </row>
    <row r="80" spans="1:13">
      <c r="A80">
        <v>79</v>
      </c>
      <c r="B80">
        <v>1034</v>
      </c>
      <c r="C80">
        <v>1</v>
      </c>
      <c r="D80">
        <v>3</v>
      </c>
      <c r="E80">
        <v>750</v>
      </c>
      <c r="F80">
        <f t="shared" si="3"/>
        <v>2250</v>
      </c>
      <c r="G80" t="str">
        <f>VLOOKUP(B80,Orders!$A$2:$D$1201,4,FALSE)</f>
        <v>Delivered</v>
      </c>
      <c r="H80">
        <f t="shared" si="4"/>
        <v>2250</v>
      </c>
      <c r="I80" s="12">
        <f>VLOOKUP(B80,Orders!$A$2:$D$1201,3,FALSE)</f>
        <v>46143</v>
      </c>
      <c r="L80" t="str">
        <f>VLOOKUP(C80,Products!$A$2:$D$13,2,FALSE)</f>
        <v>Laptop</v>
      </c>
      <c r="M80" t="str">
        <f t="shared" si="5"/>
        <v>2026-05</v>
      </c>
    </row>
    <row r="81" spans="1:13">
      <c r="A81">
        <v>80</v>
      </c>
      <c r="B81">
        <v>1035</v>
      </c>
      <c r="C81">
        <v>3</v>
      </c>
      <c r="D81">
        <v>3</v>
      </c>
      <c r="E81">
        <v>45</v>
      </c>
      <c r="F81">
        <f t="shared" si="3"/>
        <v>135</v>
      </c>
      <c r="G81" t="str">
        <f>VLOOKUP(B81,Orders!$A$2:$D$1201,4,FALSE)</f>
        <v>Delivered</v>
      </c>
      <c r="H81">
        <f t="shared" si="4"/>
        <v>135</v>
      </c>
      <c r="I81" s="12">
        <f>VLOOKUP(B81,Orders!$A$2:$D$1201,3,FALSE)</f>
        <v>46148</v>
      </c>
      <c r="L81" t="str">
        <f>VLOOKUP(C81,Products!$A$2:$D$13,2,FALSE)</f>
        <v>Keyboard</v>
      </c>
      <c r="M81" t="str">
        <f t="shared" si="5"/>
        <v>2026-05</v>
      </c>
    </row>
    <row r="82" spans="1:13">
      <c r="A82">
        <v>81</v>
      </c>
      <c r="B82">
        <v>1036</v>
      </c>
      <c r="C82">
        <v>7</v>
      </c>
      <c r="D82">
        <v>3</v>
      </c>
      <c r="E82">
        <v>65</v>
      </c>
      <c r="F82">
        <f t="shared" si="3"/>
        <v>195</v>
      </c>
      <c r="G82" t="str">
        <f>VLOOKUP(B82,Orders!$A$2:$D$1201,4,FALSE)</f>
        <v>Delivered</v>
      </c>
      <c r="H82">
        <f t="shared" si="4"/>
        <v>195</v>
      </c>
      <c r="I82" s="12">
        <f>VLOOKUP(B82,Orders!$A$2:$D$1201,3,FALSE)</f>
        <v>46178</v>
      </c>
      <c r="L82" t="str">
        <f>VLOOKUP(C82,Products!$A$2:$D$13,2,FALSE)</f>
        <v>Headphones</v>
      </c>
      <c r="M82" t="str">
        <f t="shared" si="5"/>
        <v>2026-06</v>
      </c>
    </row>
    <row r="83" spans="1:13">
      <c r="A83">
        <v>82</v>
      </c>
      <c r="B83">
        <v>1036</v>
      </c>
      <c r="C83">
        <v>8</v>
      </c>
      <c r="D83">
        <v>4</v>
      </c>
      <c r="E83">
        <v>55</v>
      </c>
      <c r="F83">
        <f t="shared" si="3"/>
        <v>220</v>
      </c>
      <c r="G83" t="str">
        <f>VLOOKUP(B83,Orders!$A$2:$D$1201,4,FALSE)</f>
        <v>Delivered</v>
      </c>
      <c r="H83">
        <f t="shared" si="4"/>
        <v>220</v>
      </c>
      <c r="I83" s="12">
        <f>VLOOKUP(B83,Orders!$A$2:$D$1201,3,FALSE)</f>
        <v>46178</v>
      </c>
      <c r="L83" t="str">
        <f>VLOOKUP(C83,Products!$A$2:$D$13,2,FALSE)</f>
        <v>Webcam</v>
      </c>
      <c r="M83" t="str">
        <f t="shared" si="5"/>
        <v>2026-06</v>
      </c>
    </row>
    <row r="84" spans="1:13">
      <c r="A84">
        <v>83</v>
      </c>
      <c r="B84">
        <v>1036</v>
      </c>
      <c r="C84">
        <v>11</v>
      </c>
      <c r="D84">
        <v>3</v>
      </c>
      <c r="E84">
        <v>48</v>
      </c>
      <c r="F84">
        <f t="shared" si="3"/>
        <v>144</v>
      </c>
      <c r="G84" t="str">
        <f>VLOOKUP(B84,Orders!$A$2:$D$1201,4,FALSE)</f>
        <v>Delivered</v>
      </c>
      <c r="H84">
        <f t="shared" si="4"/>
        <v>144</v>
      </c>
      <c r="I84" s="12">
        <f>VLOOKUP(B84,Orders!$A$2:$D$1201,3,FALSE)</f>
        <v>46178</v>
      </c>
      <c r="L84" t="str">
        <f>VLOOKUP(C84,Products!$A$2:$D$13,2,FALSE)</f>
        <v>Backpack</v>
      </c>
      <c r="M84" t="str">
        <f t="shared" si="5"/>
        <v>2026-06</v>
      </c>
    </row>
    <row r="85" spans="1:13">
      <c r="A85">
        <v>84</v>
      </c>
      <c r="B85">
        <v>1037</v>
      </c>
      <c r="C85">
        <v>2</v>
      </c>
      <c r="D85">
        <v>2</v>
      </c>
      <c r="E85">
        <v>220</v>
      </c>
      <c r="F85">
        <f t="shared" si="3"/>
        <v>440</v>
      </c>
      <c r="G85" t="str">
        <f>VLOOKUP(B85,Orders!$A$2:$D$1201,4,FALSE)</f>
        <v>Delivered</v>
      </c>
      <c r="H85">
        <f t="shared" si="4"/>
        <v>440</v>
      </c>
      <c r="I85" s="12">
        <f>VLOOKUP(B85,Orders!$A$2:$D$1201,3,FALSE)</f>
        <v>46076</v>
      </c>
      <c r="L85" t="str">
        <f>VLOOKUP(C85,Products!$A$2:$D$13,2,FALSE)</f>
        <v>Monitor</v>
      </c>
      <c r="M85" t="str">
        <f t="shared" si="5"/>
        <v>2026-02</v>
      </c>
    </row>
    <row r="86" spans="1:13">
      <c r="A86">
        <v>85</v>
      </c>
      <c r="B86">
        <v>1037</v>
      </c>
      <c r="C86">
        <v>3</v>
      </c>
      <c r="D86">
        <v>1</v>
      </c>
      <c r="E86">
        <v>45</v>
      </c>
      <c r="F86">
        <f t="shared" si="3"/>
        <v>45</v>
      </c>
      <c r="G86" t="str">
        <f>VLOOKUP(B86,Orders!$A$2:$D$1201,4,FALSE)</f>
        <v>Delivered</v>
      </c>
      <c r="H86">
        <f t="shared" si="4"/>
        <v>45</v>
      </c>
      <c r="I86" s="12">
        <f>VLOOKUP(B86,Orders!$A$2:$D$1201,3,FALSE)</f>
        <v>46076</v>
      </c>
      <c r="L86" t="str">
        <f>VLOOKUP(C86,Products!$A$2:$D$13,2,FALSE)</f>
        <v>Keyboard</v>
      </c>
      <c r="M86" t="str">
        <f t="shared" si="5"/>
        <v>2026-02</v>
      </c>
    </row>
    <row r="87" spans="1:13">
      <c r="A87">
        <v>86</v>
      </c>
      <c r="B87">
        <v>1037</v>
      </c>
      <c r="C87">
        <v>4</v>
      </c>
      <c r="D87">
        <v>2</v>
      </c>
      <c r="E87">
        <v>25</v>
      </c>
      <c r="F87">
        <f t="shared" si="3"/>
        <v>50</v>
      </c>
      <c r="G87" t="str">
        <f>VLOOKUP(B87,Orders!$A$2:$D$1201,4,FALSE)</f>
        <v>Delivered</v>
      </c>
      <c r="H87">
        <f t="shared" si="4"/>
        <v>50</v>
      </c>
      <c r="I87" s="12">
        <f>VLOOKUP(B87,Orders!$A$2:$D$1201,3,FALSE)</f>
        <v>46076</v>
      </c>
      <c r="L87" t="str">
        <f>VLOOKUP(C87,Products!$A$2:$D$13,2,FALSE)</f>
        <v>Mouse</v>
      </c>
      <c r="M87" t="str">
        <f t="shared" si="5"/>
        <v>2026-02</v>
      </c>
    </row>
    <row r="88" spans="1:13">
      <c r="A88">
        <v>87</v>
      </c>
      <c r="B88">
        <v>1038</v>
      </c>
      <c r="C88">
        <v>8</v>
      </c>
      <c r="D88">
        <v>3</v>
      </c>
      <c r="E88">
        <v>55</v>
      </c>
      <c r="F88">
        <f t="shared" si="3"/>
        <v>165</v>
      </c>
      <c r="G88" t="str">
        <f>VLOOKUP(B88,Orders!$A$2:$D$1201,4,FALSE)</f>
        <v>Delivered</v>
      </c>
      <c r="H88">
        <f t="shared" si="4"/>
        <v>165</v>
      </c>
      <c r="I88" s="12">
        <f>VLOOKUP(B88,Orders!$A$2:$D$1201,3,FALSE)</f>
        <v>46031</v>
      </c>
      <c r="L88" t="str">
        <f>VLOOKUP(C88,Products!$A$2:$D$13,2,FALSE)</f>
        <v>Webcam</v>
      </c>
      <c r="M88" t="str">
        <f t="shared" si="5"/>
        <v>2026-01</v>
      </c>
    </row>
    <row r="89" spans="1:13">
      <c r="A89">
        <v>88</v>
      </c>
      <c r="B89">
        <v>1038</v>
      </c>
      <c r="C89">
        <v>2</v>
      </c>
      <c r="D89">
        <v>2</v>
      </c>
      <c r="E89">
        <v>220</v>
      </c>
      <c r="F89">
        <f t="shared" si="3"/>
        <v>440</v>
      </c>
      <c r="G89" t="str">
        <f>VLOOKUP(B89,Orders!$A$2:$D$1201,4,FALSE)</f>
        <v>Delivered</v>
      </c>
      <c r="H89">
        <f t="shared" si="4"/>
        <v>440</v>
      </c>
      <c r="I89" s="12">
        <f>VLOOKUP(B89,Orders!$A$2:$D$1201,3,FALSE)</f>
        <v>46031</v>
      </c>
      <c r="L89" t="str">
        <f>VLOOKUP(C89,Products!$A$2:$D$13,2,FALSE)</f>
        <v>Monitor</v>
      </c>
      <c r="M89" t="str">
        <f t="shared" si="5"/>
        <v>2026-01</v>
      </c>
    </row>
    <row r="90" spans="1:13">
      <c r="A90">
        <v>89</v>
      </c>
      <c r="B90">
        <v>1038</v>
      </c>
      <c r="C90">
        <v>4</v>
      </c>
      <c r="D90">
        <v>4</v>
      </c>
      <c r="E90">
        <v>25</v>
      </c>
      <c r="F90">
        <f t="shared" si="3"/>
        <v>100</v>
      </c>
      <c r="G90" t="str">
        <f>VLOOKUP(B90,Orders!$A$2:$D$1201,4,FALSE)</f>
        <v>Delivered</v>
      </c>
      <c r="H90">
        <f t="shared" si="4"/>
        <v>100</v>
      </c>
      <c r="I90" s="12">
        <f>VLOOKUP(B90,Orders!$A$2:$D$1201,3,FALSE)</f>
        <v>46031</v>
      </c>
      <c r="L90" t="str">
        <f>VLOOKUP(C90,Products!$A$2:$D$13,2,FALSE)</f>
        <v>Mouse</v>
      </c>
      <c r="M90" t="str">
        <f t="shared" si="5"/>
        <v>2026-01</v>
      </c>
    </row>
    <row r="91" spans="1:13">
      <c r="A91">
        <v>90</v>
      </c>
      <c r="B91">
        <v>1039</v>
      </c>
      <c r="C91">
        <v>10</v>
      </c>
      <c r="D91">
        <v>3</v>
      </c>
      <c r="E91">
        <v>8</v>
      </c>
      <c r="F91">
        <f t="shared" si="3"/>
        <v>24</v>
      </c>
      <c r="G91" t="str">
        <f>VLOOKUP(B91,Orders!$A$2:$D$1201,4,FALSE)</f>
        <v>Delivered</v>
      </c>
      <c r="H91">
        <f t="shared" si="4"/>
        <v>24</v>
      </c>
      <c r="I91" s="12">
        <f>VLOOKUP(B91,Orders!$A$2:$D$1201,3,FALSE)</f>
        <v>46059</v>
      </c>
      <c r="L91" t="str">
        <f>VLOOKUP(C91,Products!$A$2:$D$13,2,FALSE)</f>
        <v>Notebook</v>
      </c>
      <c r="M91" t="str">
        <f t="shared" si="5"/>
        <v>2026-02</v>
      </c>
    </row>
    <row r="92" spans="1:13">
      <c r="A92">
        <v>91</v>
      </c>
      <c r="B92">
        <v>1039</v>
      </c>
      <c r="C92">
        <v>12</v>
      </c>
      <c r="D92">
        <v>4</v>
      </c>
      <c r="E92">
        <v>22</v>
      </c>
      <c r="F92">
        <f t="shared" si="3"/>
        <v>88</v>
      </c>
      <c r="G92" t="str">
        <f>VLOOKUP(B92,Orders!$A$2:$D$1201,4,FALSE)</f>
        <v>Delivered</v>
      </c>
      <c r="H92">
        <f t="shared" si="4"/>
        <v>88</v>
      </c>
      <c r="I92" s="12">
        <f>VLOOKUP(B92,Orders!$A$2:$D$1201,3,FALSE)</f>
        <v>46059</v>
      </c>
      <c r="L92" t="str">
        <f>VLOOKUP(C92,Products!$A$2:$D$13,2,FALSE)</f>
        <v>Storage Box</v>
      </c>
      <c r="M92" t="str">
        <f t="shared" si="5"/>
        <v>2026-02</v>
      </c>
    </row>
    <row r="93" spans="1:13">
      <c r="A93">
        <v>92</v>
      </c>
      <c r="B93">
        <v>1040</v>
      </c>
      <c r="C93">
        <v>10</v>
      </c>
      <c r="D93">
        <v>1</v>
      </c>
      <c r="E93">
        <v>8</v>
      </c>
      <c r="F93">
        <f t="shared" si="3"/>
        <v>8</v>
      </c>
      <c r="G93" t="str">
        <f>VLOOKUP(B93,Orders!$A$2:$D$1201,4,FALSE)</f>
        <v>Delivered</v>
      </c>
      <c r="H93">
        <f t="shared" si="4"/>
        <v>8</v>
      </c>
      <c r="I93" s="12">
        <f>VLOOKUP(B93,Orders!$A$2:$D$1201,3,FALSE)</f>
        <v>46151</v>
      </c>
      <c r="L93" t="str">
        <f>VLOOKUP(C93,Products!$A$2:$D$13,2,FALSE)</f>
        <v>Notebook</v>
      </c>
      <c r="M93" t="str">
        <f t="shared" si="5"/>
        <v>2026-05</v>
      </c>
    </row>
    <row r="94" spans="1:13">
      <c r="A94">
        <v>93</v>
      </c>
      <c r="B94">
        <v>1041</v>
      </c>
      <c r="C94">
        <v>1</v>
      </c>
      <c r="D94">
        <v>1</v>
      </c>
      <c r="E94">
        <v>750</v>
      </c>
      <c r="F94">
        <f t="shared" si="3"/>
        <v>750</v>
      </c>
      <c r="G94" t="str">
        <f>VLOOKUP(B94,Orders!$A$2:$D$1201,4,FALSE)</f>
        <v>Delivered</v>
      </c>
      <c r="H94">
        <f t="shared" si="4"/>
        <v>750</v>
      </c>
      <c r="I94" s="12">
        <f>VLOOKUP(B94,Orders!$A$2:$D$1201,3,FALSE)</f>
        <v>46046</v>
      </c>
      <c r="L94" t="str">
        <f>VLOOKUP(C94,Products!$A$2:$D$13,2,FALSE)</f>
        <v>Laptop</v>
      </c>
      <c r="M94" t="str">
        <f t="shared" si="5"/>
        <v>2026-01</v>
      </c>
    </row>
    <row r="95" spans="1:13">
      <c r="A95">
        <v>94</v>
      </c>
      <c r="B95">
        <v>1041</v>
      </c>
      <c r="C95">
        <v>11</v>
      </c>
      <c r="D95">
        <v>2</v>
      </c>
      <c r="E95">
        <v>48</v>
      </c>
      <c r="F95">
        <f t="shared" si="3"/>
        <v>96</v>
      </c>
      <c r="G95" t="str">
        <f>VLOOKUP(B95,Orders!$A$2:$D$1201,4,FALSE)</f>
        <v>Delivered</v>
      </c>
      <c r="H95">
        <f t="shared" si="4"/>
        <v>96</v>
      </c>
      <c r="I95" s="12">
        <f>VLOOKUP(B95,Orders!$A$2:$D$1201,3,FALSE)</f>
        <v>46046</v>
      </c>
      <c r="L95" t="str">
        <f>VLOOKUP(C95,Products!$A$2:$D$13,2,FALSE)</f>
        <v>Backpack</v>
      </c>
      <c r="M95" t="str">
        <f t="shared" si="5"/>
        <v>2026-01</v>
      </c>
    </row>
    <row r="96" spans="1:13">
      <c r="A96">
        <v>95</v>
      </c>
      <c r="B96">
        <v>1041</v>
      </c>
      <c r="C96">
        <v>5</v>
      </c>
      <c r="D96">
        <v>4</v>
      </c>
      <c r="E96">
        <v>180</v>
      </c>
      <c r="F96">
        <f t="shared" si="3"/>
        <v>720</v>
      </c>
      <c r="G96" t="str">
        <f>VLOOKUP(B96,Orders!$A$2:$D$1201,4,FALSE)</f>
        <v>Delivered</v>
      </c>
      <c r="H96">
        <f t="shared" si="4"/>
        <v>720</v>
      </c>
      <c r="I96" s="12">
        <f>VLOOKUP(B96,Orders!$A$2:$D$1201,3,FALSE)</f>
        <v>46046</v>
      </c>
      <c r="L96" t="str">
        <f>VLOOKUP(C96,Products!$A$2:$D$13,2,FALSE)</f>
        <v>Desk</v>
      </c>
      <c r="M96" t="str">
        <f t="shared" si="5"/>
        <v>2026-01</v>
      </c>
    </row>
    <row r="97" spans="1:13">
      <c r="A97">
        <v>96</v>
      </c>
      <c r="B97">
        <v>1042</v>
      </c>
      <c r="C97">
        <v>8</v>
      </c>
      <c r="D97">
        <v>3</v>
      </c>
      <c r="E97">
        <v>55</v>
      </c>
      <c r="F97">
        <f t="shared" si="3"/>
        <v>165</v>
      </c>
      <c r="G97" t="str">
        <f>VLOOKUP(B97,Orders!$A$2:$D$1201,4,FALSE)</f>
        <v>Delivered</v>
      </c>
      <c r="H97">
        <f t="shared" si="4"/>
        <v>165</v>
      </c>
      <c r="I97" s="12">
        <f>VLOOKUP(B97,Orders!$A$2:$D$1201,3,FALSE)</f>
        <v>46134</v>
      </c>
      <c r="L97" t="str">
        <f>VLOOKUP(C97,Products!$A$2:$D$13,2,FALSE)</f>
        <v>Webcam</v>
      </c>
      <c r="M97" t="str">
        <f t="shared" si="5"/>
        <v>2026-04</v>
      </c>
    </row>
    <row r="98" spans="1:13">
      <c r="A98">
        <v>97</v>
      </c>
      <c r="B98">
        <v>1043</v>
      </c>
      <c r="C98">
        <v>11</v>
      </c>
      <c r="D98">
        <v>1</v>
      </c>
      <c r="E98">
        <v>48</v>
      </c>
      <c r="F98">
        <f t="shared" si="3"/>
        <v>48</v>
      </c>
      <c r="G98" t="str">
        <f>VLOOKUP(B98,Orders!$A$2:$D$1201,4,FALSE)</f>
        <v>Delivered</v>
      </c>
      <c r="H98">
        <f t="shared" si="4"/>
        <v>48</v>
      </c>
      <c r="I98" s="12">
        <f>VLOOKUP(B98,Orders!$A$2:$D$1201,3,FALSE)</f>
        <v>46107</v>
      </c>
      <c r="L98" t="str">
        <f>VLOOKUP(C98,Products!$A$2:$D$13,2,FALSE)</f>
        <v>Backpack</v>
      </c>
      <c r="M98" t="str">
        <f t="shared" si="5"/>
        <v>2026-03</v>
      </c>
    </row>
    <row r="99" spans="1:13">
      <c r="A99">
        <v>98</v>
      </c>
      <c r="B99">
        <v>1043</v>
      </c>
      <c r="C99">
        <v>7</v>
      </c>
      <c r="D99">
        <v>4</v>
      </c>
      <c r="E99">
        <v>65</v>
      </c>
      <c r="F99">
        <f t="shared" si="3"/>
        <v>260</v>
      </c>
      <c r="G99" t="str">
        <f>VLOOKUP(B99,Orders!$A$2:$D$1201,4,FALSE)</f>
        <v>Delivered</v>
      </c>
      <c r="H99">
        <f t="shared" si="4"/>
        <v>260</v>
      </c>
      <c r="I99" s="12">
        <f>VLOOKUP(B99,Orders!$A$2:$D$1201,3,FALSE)</f>
        <v>46107</v>
      </c>
      <c r="L99" t="str">
        <f>VLOOKUP(C99,Products!$A$2:$D$13,2,FALSE)</f>
        <v>Headphones</v>
      </c>
      <c r="M99" t="str">
        <f t="shared" si="5"/>
        <v>2026-03</v>
      </c>
    </row>
    <row r="100" spans="1:13">
      <c r="A100">
        <v>99</v>
      </c>
      <c r="B100">
        <v>1044</v>
      </c>
      <c r="C100">
        <v>9</v>
      </c>
      <c r="D100">
        <v>1</v>
      </c>
      <c r="E100">
        <v>30</v>
      </c>
      <c r="F100">
        <f t="shared" si="3"/>
        <v>30</v>
      </c>
      <c r="G100" t="str">
        <f>VLOOKUP(B100,Orders!$A$2:$D$1201,4,FALSE)</f>
        <v>Delivered</v>
      </c>
      <c r="H100">
        <f t="shared" si="4"/>
        <v>30</v>
      </c>
      <c r="I100" s="12">
        <f>VLOOKUP(B100,Orders!$A$2:$D$1201,3,FALSE)</f>
        <v>46154</v>
      </c>
      <c r="L100" t="str">
        <f>VLOOKUP(C100,Products!$A$2:$D$13,2,FALSE)</f>
        <v>Lamp</v>
      </c>
      <c r="M100" t="str">
        <f t="shared" si="5"/>
        <v>2026-05</v>
      </c>
    </row>
    <row r="101" spans="1:13">
      <c r="A101">
        <v>100</v>
      </c>
      <c r="B101">
        <v>1044</v>
      </c>
      <c r="C101">
        <v>8</v>
      </c>
      <c r="D101">
        <v>2</v>
      </c>
      <c r="E101">
        <v>55</v>
      </c>
      <c r="F101">
        <f t="shared" si="3"/>
        <v>110</v>
      </c>
      <c r="G101" t="str">
        <f>VLOOKUP(B101,Orders!$A$2:$D$1201,4,FALSE)</f>
        <v>Delivered</v>
      </c>
      <c r="H101">
        <f t="shared" si="4"/>
        <v>110</v>
      </c>
      <c r="I101" s="12">
        <f>VLOOKUP(B101,Orders!$A$2:$D$1201,3,FALSE)</f>
        <v>46154</v>
      </c>
      <c r="L101" t="str">
        <f>VLOOKUP(C101,Products!$A$2:$D$13,2,FALSE)</f>
        <v>Webcam</v>
      </c>
      <c r="M101" t="str">
        <f t="shared" si="5"/>
        <v>2026-05</v>
      </c>
    </row>
    <row r="102" spans="1:13">
      <c r="A102">
        <v>101</v>
      </c>
      <c r="B102">
        <v>1044</v>
      </c>
      <c r="C102">
        <v>7</v>
      </c>
      <c r="D102">
        <v>3</v>
      </c>
      <c r="E102">
        <v>65</v>
      </c>
      <c r="F102">
        <f t="shared" si="3"/>
        <v>195</v>
      </c>
      <c r="G102" t="str">
        <f>VLOOKUP(B102,Orders!$A$2:$D$1201,4,FALSE)</f>
        <v>Delivered</v>
      </c>
      <c r="H102">
        <f t="shared" si="4"/>
        <v>195</v>
      </c>
      <c r="I102" s="12">
        <f>VLOOKUP(B102,Orders!$A$2:$D$1201,3,FALSE)</f>
        <v>46154</v>
      </c>
      <c r="L102" t="str">
        <f>VLOOKUP(C102,Products!$A$2:$D$13,2,FALSE)</f>
        <v>Headphones</v>
      </c>
      <c r="M102" t="str">
        <f t="shared" si="5"/>
        <v>2026-05</v>
      </c>
    </row>
    <row r="103" spans="1:13">
      <c r="A103">
        <v>102</v>
      </c>
      <c r="B103">
        <v>1045</v>
      </c>
      <c r="C103">
        <v>8</v>
      </c>
      <c r="D103">
        <v>1</v>
      </c>
      <c r="E103">
        <v>55</v>
      </c>
      <c r="F103">
        <f t="shared" si="3"/>
        <v>55</v>
      </c>
      <c r="G103" t="str">
        <f>VLOOKUP(B103,Orders!$A$2:$D$1201,4,FALSE)</f>
        <v>Delivered</v>
      </c>
      <c r="H103">
        <f t="shared" si="4"/>
        <v>55</v>
      </c>
      <c r="I103" s="12">
        <f>VLOOKUP(B103,Orders!$A$2:$D$1201,3,FALSE)</f>
        <v>46075</v>
      </c>
      <c r="L103" t="str">
        <f>VLOOKUP(C103,Products!$A$2:$D$13,2,FALSE)</f>
        <v>Webcam</v>
      </c>
      <c r="M103" t="str">
        <f t="shared" si="5"/>
        <v>2026-02</v>
      </c>
    </row>
    <row r="104" spans="1:13">
      <c r="A104">
        <v>103</v>
      </c>
      <c r="B104">
        <v>1045</v>
      </c>
      <c r="C104">
        <v>12</v>
      </c>
      <c r="D104">
        <v>1</v>
      </c>
      <c r="E104">
        <v>22</v>
      </c>
      <c r="F104">
        <f t="shared" si="3"/>
        <v>22</v>
      </c>
      <c r="G104" t="str">
        <f>VLOOKUP(B104,Orders!$A$2:$D$1201,4,FALSE)</f>
        <v>Delivered</v>
      </c>
      <c r="H104">
        <f t="shared" si="4"/>
        <v>22</v>
      </c>
      <c r="I104" s="12">
        <f>VLOOKUP(B104,Orders!$A$2:$D$1201,3,FALSE)</f>
        <v>46075</v>
      </c>
      <c r="L104" t="str">
        <f>VLOOKUP(C104,Products!$A$2:$D$13,2,FALSE)</f>
        <v>Storage Box</v>
      </c>
      <c r="M104" t="str">
        <f t="shared" si="5"/>
        <v>2026-02</v>
      </c>
    </row>
    <row r="105" spans="1:13">
      <c r="A105">
        <v>104</v>
      </c>
      <c r="B105">
        <v>1046</v>
      </c>
      <c r="C105">
        <v>2</v>
      </c>
      <c r="D105">
        <v>1</v>
      </c>
      <c r="E105">
        <v>220</v>
      </c>
      <c r="F105">
        <f t="shared" si="3"/>
        <v>220</v>
      </c>
      <c r="G105" t="str">
        <f>VLOOKUP(B105,Orders!$A$2:$D$1201,4,FALSE)</f>
        <v>Delivered</v>
      </c>
      <c r="H105">
        <f t="shared" si="4"/>
        <v>220</v>
      </c>
      <c r="I105" s="12">
        <f>VLOOKUP(B105,Orders!$A$2:$D$1201,3,FALSE)</f>
        <v>46102</v>
      </c>
      <c r="L105" t="str">
        <f>VLOOKUP(C105,Products!$A$2:$D$13,2,FALSE)</f>
        <v>Monitor</v>
      </c>
      <c r="M105" t="str">
        <f t="shared" si="5"/>
        <v>2026-03</v>
      </c>
    </row>
    <row r="106" spans="1:13">
      <c r="A106">
        <v>105</v>
      </c>
      <c r="B106">
        <v>1046</v>
      </c>
      <c r="C106">
        <v>4</v>
      </c>
      <c r="D106">
        <v>4</v>
      </c>
      <c r="E106">
        <v>25</v>
      </c>
      <c r="F106">
        <f t="shared" si="3"/>
        <v>100</v>
      </c>
      <c r="G106" t="str">
        <f>VLOOKUP(B106,Orders!$A$2:$D$1201,4,FALSE)</f>
        <v>Delivered</v>
      </c>
      <c r="H106">
        <f t="shared" si="4"/>
        <v>100</v>
      </c>
      <c r="I106" s="12">
        <f>VLOOKUP(B106,Orders!$A$2:$D$1201,3,FALSE)</f>
        <v>46102</v>
      </c>
      <c r="L106" t="str">
        <f>VLOOKUP(C106,Products!$A$2:$D$13,2,FALSE)</f>
        <v>Mouse</v>
      </c>
      <c r="M106" t="str">
        <f t="shared" si="5"/>
        <v>2026-03</v>
      </c>
    </row>
    <row r="107" spans="1:13">
      <c r="A107">
        <v>106</v>
      </c>
      <c r="B107">
        <v>1047</v>
      </c>
      <c r="C107">
        <v>8</v>
      </c>
      <c r="D107">
        <v>2</v>
      </c>
      <c r="E107">
        <v>55</v>
      </c>
      <c r="F107">
        <f t="shared" si="3"/>
        <v>110</v>
      </c>
      <c r="G107" t="str">
        <f>VLOOKUP(B107,Orders!$A$2:$D$1201,4,FALSE)</f>
        <v>Delivered</v>
      </c>
      <c r="H107">
        <f t="shared" si="4"/>
        <v>110</v>
      </c>
      <c r="I107" s="12">
        <f>VLOOKUP(B107,Orders!$A$2:$D$1201,3,FALSE)</f>
        <v>46097</v>
      </c>
      <c r="L107" t="str">
        <f>VLOOKUP(C107,Products!$A$2:$D$13,2,FALSE)</f>
        <v>Webcam</v>
      </c>
      <c r="M107" t="str">
        <f t="shared" si="5"/>
        <v>2026-03</v>
      </c>
    </row>
    <row r="108" spans="1:13">
      <c r="A108">
        <v>107</v>
      </c>
      <c r="B108">
        <v>1047</v>
      </c>
      <c r="C108">
        <v>12</v>
      </c>
      <c r="D108">
        <v>4</v>
      </c>
      <c r="E108">
        <v>22</v>
      </c>
      <c r="F108">
        <f t="shared" si="3"/>
        <v>88</v>
      </c>
      <c r="G108" t="str">
        <f>VLOOKUP(B108,Orders!$A$2:$D$1201,4,FALSE)</f>
        <v>Delivered</v>
      </c>
      <c r="H108">
        <f t="shared" si="4"/>
        <v>88</v>
      </c>
      <c r="I108" s="12">
        <f>VLOOKUP(B108,Orders!$A$2:$D$1201,3,FALSE)</f>
        <v>46097</v>
      </c>
      <c r="L108" t="str">
        <f>VLOOKUP(C108,Products!$A$2:$D$13,2,FALSE)</f>
        <v>Storage Box</v>
      </c>
      <c r="M108" t="str">
        <f t="shared" si="5"/>
        <v>2026-03</v>
      </c>
    </row>
    <row r="109" spans="1:13">
      <c r="A109">
        <v>108</v>
      </c>
      <c r="B109">
        <v>1048</v>
      </c>
      <c r="C109">
        <v>6</v>
      </c>
      <c r="D109">
        <v>3</v>
      </c>
      <c r="E109">
        <v>140</v>
      </c>
      <c r="F109">
        <f t="shared" si="3"/>
        <v>420</v>
      </c>
      <c r="G109" t="str">
        <f>VLOOKUP(B109,Orders!$A$2:$D$1201,4,FALSE)</f>
        <v>Cancelled</v>
      </c>
      <c r="H109">
        <f t="shared" si="4"/>
        <v>0</v>
      </c>
      <c r="I109" s="12">
        <f>VLOOKUP(B109,Orders!$A$2:$D$1201,3,FALSE)</f>
        <v>46057</v>
      </c>
      <c r="L109" t="str">
        <f>VLOOKUP(C109,Products!$A$2:$D$13,2,FALSE)</f>
        <v>Chair</v>
      </c>
      <c r="M109" t="str">
        <f t="shared" si="5"/>
        <v>2026-02</v>
      </c>
    </row>
    <row r="110" spans="1:13">
      <c r="A110">
        <v>109</v>
      </c>
      <c r="B110">
        <v>1048</v>
      </c>
      <c r="C110">
        <v>9</v>
      </c>
      <c r="D110">
        <v>1</v>
      </c>
      <c r="E110">
        <v>30</v>
      </c>
      <c r="F110">
        <f t="shared" si="3"/>
        <v>30</v>
      </c>
      <c r="G110" t="str">
        <f>VLOOKUP(B110,Orders!$A$2:$D$1201,4,FALSE)</f>
        <v>Cancelled</v>
      </c>
      <c r="H110">
        <f t="shared" si="4"/>
        <v>0</v>
      </c>
      <c r="I110" s="12">
        <f>VLOOKUP(B110,Orders!$A$2:$D$1201,3,FALSE)</f>
        <v>46057</v>
      </c>
      <c r="L110" t="str">
        <f>VLOOKUP(C110,Products!$A$2:$D$13,2,FALSE)</f>
        <v>Lamp</v>
      </c>
      <c r="M110" t="str">
        <f t="shared" si="5"/>
        <v>2026-02</v>
      </c>
    </row>
    <row r="111" spans="1:13">
      <c r="A111">
        <v>110</v>
      </c>
      <c r="B111">
        <v>1049</v>
      </c>
      <c r="C111">
        <v>8</v>
      </c>
      <c r="D111">
        <v>4</v>
      </c>
      <c r="E111">
        <v>55</v>
      </c>
      <c r="F111">
        <f t="shared" si="3"/>
        <v>220</v>
      </c>
      <c r="G111" t="str">
        <f>VLOOKUP(B111,Orders!$A$2:$D$1201,4,FALSE)</f>
        <v>Delivered</v>
      </c>
      <c r="H111">
        <f t="shared" si="4"/>
        <v>220</v>
      </c>
      <c r="I111" s="12">
        <f>VLOOKUP(B111,Orders!$A$2:$D$1201,3,FALSE)</f>
        <v>46095</v>
      </c>
      <c r="L111" t="str">
        <f>VLOOKUP(C111,Products!$A$2:$D$13,2,FALSE)</f>
        <v>Webcam</v>
      </c>
      <c r="M111" t="str">
        <f t="shared" si="5"/>
        <v>2026-03</v>
      </c>
    </row>
    <row r="112" spans="1:13">
      <c r="A112">
        <v>111</v>
      </c>
      <c r="B112">
        <v>1049</v>
      </c>
      <c r="C112">
        <v>3</v>
      </c>
      <c r="D112">
        <v>3</v>
      </c>
      <c r="E112">
        <v>45</v>
      </c>
      <c r="F112">
        <f t="shared" si="3"/>
        <v>135</v>
      </c>
      <c r="G112" t="str">
        <f>VLOOKUP(B112,Orders!$A$2:$D$1201,4,FALSE)</f>
        <v>Delivered</v>
      </c>
      <c r="H112">
        <f t="shared" si="4"/>
        <v>135</v>
      </c>
      <c r="I112" s="12">
        <f>VLOOKUP(B112,Orders!$A$2:$D$1201,3,FALSE)</f>
        <v>46095</v>
      </c>
      <c r="L112" t="str">
        <f>VLOOKUP(C112,Products!$A$2:$D$13,2,FALSE)</f>
        <v>Keyboard</v>
      </c>
      <c r="M112" t="str">
        <f t="shared" si="5"/>
        <v>2026-03</v>
      </c>
    </row>
    <row r="113" spans="1:13">
      <c r="A113">
        <v>112</v>
      </c>
      <c r="B113">
        <v>1049</v>
      </c>
      <c r="C113">
        <v>12</v>
      </c>
      <c r="D113">
        <v>3</v>
      </c>
      <c r="E113">
        <v>22</v>
      </c>
      <c r="F113">
        <f t="shared" si="3"/>
        <v>66</v>
      </c>
      <c r="G113" t="str">
        <f>VLOOKUP(B113,Orders!$A$2:$D$1201,4,FALSE)</f>
        <v>Delivered</v>
      </c>
      <c r="H113">
        <f t="shared" si="4"/>
        <v>66</v>
      </c>
      <c r="I113" s="12">
        <f>VLOOKUP(B113,Orders!$A$2:$D$1201,3,FALSE)</f>
        <v>46095</v>
      </c>
      <c r="L113" t="str">
        <f>VLOOKUP(C113,Products!$A$2:$D$13,2,FALSE)</f>
        <v>Storage Box</v>
      </c>
      <c r="M113" t="str">
        <f t="shared" si="5"/>
        <v>2026-03</v>
      </c>
    </row>
    <row r="114" spans="1:13">
      <c r="A114">
        <v>113</v>
      </c>
      <c r="B114">
        <v>1050</v>
      </c>
      <c r="C114">
        <v>7</v>
      </c>
      <c r="D114">
        <v>1</v>
      </c>
      <c r="E114">
        <v>65</v>
      </c>
      <c r="F114">
        <f t="shared" si="3"/>
        <v>65</v>
      </c>
      <c r="G114" t="str">
        <f>VLOOKUP(B114,Orders!$A$2:$D$1201,4,FALSE)</f>
        <v>Pending</v>
      </c>
      <c r="H114">
        <f t="shared" si="4"/>
        <v>65</v>
      </c>
      <c r="I114" s="12">
        <f>VLOOKUP(B114,Orders!$A$2:$D$1201,3,FALSE)</f>
        <v>46071</v>
      </c>
      <c r="L114" t="str">
        <f>VLOOKUP(C114,Products!$A$2:$D$13,2,FALSE)</f>
        <v>Headphones</v>
      </c>
      <c r="M114" t="str">
        <f t="shared" si="5"/>
        <v>2026-02</v>
      </c>
    </row>
    <row r="115" spans="1:13">
      <c r="A115">
        <v>114</v>
      </c>
      <c r="B115">
        <v>1050</v>
      </c>
      <c r="C115">
        <v>4</v>
      </c>
      <c r="D115">
        <v>3</v>
      </c>
      <c r="E115">
        <v>25</v>
      </c>
      <c r="F115">
        <f t="shared" si="3"/>
        <v>75</v>
      </c>
      <c r="G115" t="str">
        <f>VLOOKUP(B115,Orders!$A$2:$D$1201,4,FALSE)</f>
        <v>Pending</v>
      </c>
      <c r="H115">
        <f t="shared" si="4"/>
        <v>75</v>
      </c>
      <c r="I115" s="12">
        <f>VLOOKUP(B115,Orders!$A$2:$D$1201,3,FALSE)</f>
        <v>46071</v>
      </c>
      <c r="L115" t="str">
        <f>VLOOKUP(C115,Products!$A$2:$D$13,2,FALSE)</f>
        <v>Mouse</v>
      </c>
      <c r="M115" t="str">
        <f t="shared" si="5"/>
        <v>2026-02</v>
      </c>
    </row>
    <row r="116" spans="1:13">
      <c r="A116">
        <v>115</v>
      </c>
      <c r="B116">
        <v>1050</v>
      </c>
      <c r="C116">
        <v>12</v>
      </c>
      <c r="D116">
        <v>4</v>
      </c>
      <c r="E116">
        <v>22</v>
      </c>
      <c r="F116">
        <f t="shared" si="3"/>
        <v>88</v>
      </c>
      <c r="G116" t="str">
        <f>VLOOKUP(B116,Orders!$A$2:$D$1201,4,FALSE)</f>
        <v>Pending</v>
      </c>
      <c r="H116">
        <f t="shared" si="4"/>
        <v>88</v>
      </c>
      <c r="I116" s="12">
        <f>VLOOKUP(B116,Orders!$A$2:$D$1201,3,FALSE)</f>
        <v>46071</v>
      </c>
      <c r="L116" t="str">
        <f>VLOOKUP(C116,Products!$A$2:$D$13,2,FALSE)</f>
        <v>Storage Box</v>
      </c>
      <c r="M116" t="str">
        <f t="shared" si="5"/>
        <v>2026-02</v>
      </c>
    </row>
    <row r="117" spans="1:13">
      <c r="A117">
        <v>116</v>
      </c>
      <c r="B117">
        <v>1051</v>
      </c>
      <c r="C117">
        <v>1</v>
      </c>
      <c r="D117">
        <v>3</v>
      </c>
      <c r="E117">
        <v>750</v>
      </c>
      <c r="F117">
        <f t="shared" si="3"/>
        <v>2250</v>
      </c>
      <c r="G117" t="str">
        <f>VLOOKUP(B117,Orders!$A$2:$D$1201,4,FALSE)</f>
        <v>Delivered</v>
      </c>
      <c r="H117">
        <f t="shared" si="4"/>
        <v>2250</v>
      </c>
      <c r="I117" s="12">
        <f>VLOOKUP(B117,Orders!$A$2:$D$1201,3,FALSE)</f>
        <v>46120</v>
      </c>
      <c r="L117" t="str">
        <f>VLOOKUP(C117,Products!$A$2:$D$13,2,FALSE)</f>
        <v>Laptop</v>
      </c>
      <c r="M117" t="str">
        <f t="shared" si="5"/>
        <v>2026-04</v>
      </c>
    </row>
    <row r="118" spans="1:13">
      <c r="A118">
        <v>117</v>
      </c>
      <c r="B118">
        <v>1051</v>
      </c>
      <c r="C118">
        <v>3</v>
      </c>
      <c r="D118">
        <v>1</v>
      </c>
      <c r="E118">
        <v>45</v>
      </c>
      <c r="F118">
        <f t="shared" si="3"/>
        <v>45</v>
      </c>
      <c r="G118" t="str">
        <f>VLOOKUP(B118,Orders!$A$2:$D$1201,4,FALSE)</f>
        <v>Delivered</v>
      </c>
      <c r="H118">
        <f t="shared" si="4"/>
        <v>45</v>
      </c>
      <c r="I118" s="12">
        <f>VLOOKUP(B118,Orders!$A$2:$D$1201,3,FALSE)</f>
        <v>46120</v>
      </c>
      <c r="L118" t="str">
        <f>VLOOKUP(C118,Products!$A$2:$D$13,2,FALSE)</f>
        <v>Keyboard</v>
      </c>
      <c r="M118" t="str">
        <f t="shared" si="5"/>
        <v>2026-04</v>
      </c>
    </row>
    <row r="119" spans="1:13">
      <c r="A119">
        <v>118</v>
      </c>
      <c r="B119">
        <v>1052</v>
      </c>
      <c r="C119">
        <v>3</v>
      </c>
      <c r="D119">
        <v>3</v>
      </c>
      <c r="E119">
        <v>45</v>
      </c>
      <c r="F119">
        <f t="shared" si="3"/>
        <v>135</v>
      </c>
      <c r="G119" t="str">
        <f>VLOOKUP(B119,Orders!$A$2:$D$1201,4,FALSE)</f>
        <v>Delivered</v>
      </c>
      <c r="H119">
        <f t="shared" si="4"/>
        <v>135</v>
      </c>
      <c r="I119" s="12">
        <f>VLOOKUP(B119,Orders!$A$2:$D$1201,3,FALSE)</f>
        <v>46026</v>
      </c>
      <c r="L119" t="str">
        <f>VLOOKUP(C119,Products!$A$2:$D$13,2,FALSE)</f>
        <v>Keyboard</v>
      </c>
      <c r="M119" t="str">
        <f t="shared" si="5"/>
        <v>2026-01</v>
      </c>
    </row>
    <row r="120" spans="1:13">
      <c r="A120">
        <v>119</v>
      </c>
      <c r="B120">
        <v>1052</v>
      </c>
      <c r="C120">
        <v>2</v>
      </c>
      <c r="D120">
        <v>3</v>
      </c>
      <c r="E120">
        <v>220</v>
      </c>
      <c r="F120">
        <f t="shared" si="3"/>
        <v>660</v>
      </c>
      <c r="G120" t="str">
        <f>VLOOKUP(B120,Orders!$A$2:$D$1201,4,FALSE)</f>
        <v>Delivered</v>
      </c>
      <c r="H120">
        <f t="shared" si="4"/>
        <v>660</v>
      </c>
      <c r="I120" s="12">
        <f>VLOOKUP(B120,Orders!$A$2:$D$1201,3,FALSE)</f>
        <v>46026</v>
      </c>
      <c r="L120" t="str">
        <f>VLOOKUP(C120,Products!$A$2:$D$13,2,FALSE)</f>
        <v>Monitor</v>
      </c>
      <c r="M120" t="str">
        <f t="shared" si="5"/>
        <v>2026-01</v>
      </c>
    </row>
    <row r="121" spans="1:13">
      <c r="A121">
        <v>120</v>
      </c>
      <c r="B121">
        <v>1052</v>
      </c>
      <c r="C121">
        <v>8</v>
      </c>
      <c r="D121">
        <v>4</v>
      </c>
      <c r="E121">
        <v>55</v>
      </c>
      <c r="F121">
        <f t="shared" si="3"/>
        <v>220</v>
      </c>
      <c r="G121" t="str">
        <f>VLOOKUP(B121,Orders!$A$2:$D$1201,4,FALSE)</f>
        <v>Delivered</v>
      </c>
      <c r="H121">
        <f t="shared" si="4"/>
        <v>220</v>
      </c>
      <c r="I121" s="12">
        <f>VLOOKUP(B121,Orders!$A$2:$D$1201,3,FALSE)</f>
        <v>46026</v>
      </c>
      <c r="L121" t="str">
        <f>VLOOKUP(C121,Products!$A$2:$D$13,2,FALSE)</f>
        <v>Webcam</v>
      </c>
      <c r="M121" t="str">
        <f t="shared" si="5"/>
        <v>2026-01</v>
      </c>
    </row>
    <row r="122" spans="1:13">
      <c r="A122">
        <v>121</v>
      </c>
      <c r="B122">
        <v>1053</v>
      </c>
      <c r="C122">
        <v>1</v>
      </c>
      <c r="D122">
        <v>2</v>
      </c>
      <c r="E122">
        <v>750</v>
      </c>
      <c r="F122">
        <f t="shared" si="3"/>
        <v>1500</v>
      </c>
      <c r="G122" t="str">
        <f>VLOOKUP(B122,Orders!$A$2:$D$1201,4,FALSE)</f>
        <v>Shipped</v>
      </c>
      <c r="H122">
        <f t="shared" si="4"/>
        <v>1500</v>
      </c>
      <c r="I122" s="12">
        <f>VLOOKUP(B122,Orders!$A$2:$D$1201,3,FALSE)</f>
        <v>46120</v>
      </c>
      <c r="L122" t="str">
        <f>VLOOKUP(C122,Products!$A$2:$D$13,2,FALSE)</f>
        <v>Laptop</v>
      </c>
      <c r="M122" t="str">
        <f t="shared" si="5"/>
        <v>2026-04</v>
      </c>
    </row>
    <row r="123" spans="1:13">
      <c r="A123">
        <v>122</v>
      </c>
      <c r="B123">
        <v>1053</v>
      </c>
      <c r="C123">
        <v>10</v>
      </c>
      <c r="D123">
        <v>3</v>
      </c>
      <c r="E123">
        <v>8</v>
      </c>
      <c r="F123">
        <f t="shared" si="3"/>
        <v>24</v>
      </c>
      <c r="G123" t="str">
        <f>VLOOKUP(B123,Orders!$A$2:$D$1201,4,FALSE)</f>
        <v>Shipped</v>
      </c>
      <c r="H123">
        <f t="shared" si="4"/>
        <v>24</v>
      </c>
      <c r="I123" s="12">
        <f>VLOOKUP(B123,Orders!$A$2:$D$1201,3,FALSE)</f>
        <v>46120</v>
      </c>
      <c r="L123" t="str">
        <f>VLOOKUP(C123,Products!$A$2:$D$13,2,FALSE)</f>
        <v>Notebook</v>
      </c>
      <c r="M123" t="str">
        <f t="shared" si="5"/>
        <v>2026-04</v>
      </c>
    </row>
    <row r="124" spans="1:13">
      <c r="A124">
        <v>123</v>
      </c>
      <c r="B124">
        <v>1053</v>
      </c>
      <c r="C124">
        <v>2</v>
      </c>
      <c r="D124">
        <v>2</v>
      </c>
      <c r="E124">
        <v>220</v>
      </c>
      <c r="F124">
        <f t="shared" si="3"/>
        <v>440</v>
      </c>
      <c r="G124" t="str">
        <f>VLOOKUP(B124,Orders!$A$2:$D$1201,4,FALSE)</f>
        <v>Shipped</v>
      </c>
      <c r="H124">
        <f t="shared" si="4"/>
        <v>440</v>
      </c>
      <c r="I124" s="12">
        <f>VLOOKUP(B124,Orders!$A$2:$D$1201,3,FALSE)</f>
        <v>46120</v>
      </c>
      <c r="L124" t="str">
        <f>VLOOKUP(C124,Products!$A$2:$D$13,2,FALSE)</f>
        <v>Monitor</v>
      </c>
      <c r="M124" t="str">
        <f t="shared" si="5"/>
        <v>2026-04</v>
      </c>
    </row>
    <row r="125" spans="1:13">
      <c r="A125">
        <v>124</v>
      </c>
      <c r="B125">
        <v>1054</v>
      </c>
      <c r="C125">
        <v>3</v>
      </c>
      <c r="D125">
        <v>1</v>
      </c>
      <c r="E125">
        <v>45</v>
      </c>
      <c r="F125">
        <f t="shared" si="3"/>
        <v>45</v>
      </c>
      <c r="G125" t="str">
        <f>VLOOKUP(B125,Orders!$A$2:$D$1201,4,FALSE)</f>
        <v>Delivered</v>
      </c>
      <c r="H125">
        <f t="shared" si="4"/>
        <v>45</v>
      </c>
      <c r="I125" s="12">
        <f>VLOOKUP(B125,Orders!$A$2:$D$1201,3,FALSE)</f>
        <v>46048</v>
      </c>
      <c r="L125" t="str">
        <f>VLOOKUP(C125,Products!$A$2:$D$13,2,FALSE)</f>
        <v>Keyboard</v>
      </c>
      <c r="M125" t="str">
        <f t="shared" si="5"/>
        <v>2026-01</v>
      </c>
    </row>
    <row r="126" spans="1:13">
      <c r="A126">
        <v>125</v>
      </c>
      <c r="B126">
        <v>1054</v>
      </c>
      <c r="C126">
        <v>5</v>
      </c>
      <c r="D126">
        <v>1</v>
      </c>
      <c r="E126">
        <v>180</v>
      </c>
      <c r="F126">
        <f t="shared" si="3"/>
        <v>180</v>
      </c>
      <c r="G126" t="str">
        <f>VLOOKUP(B126,Orders!$A$2:$D$1201,4,FALSE)</f>
        <v>Delivered</v>
      </c>
      <c r="H126">
        <f t="shared" si="4"/>
        <v>180</v>
      </c>
      <c r="I126" s="12">
        <f>VLOOKUP(B126,Orders!$A$2:$D$1201,3,FALSE)</f>
        <v>46048</v>
      </c>
      <c r="L126" t="str">
        <f>VLOOKUP(C126,Products!$A$2:$D$13,2,FALSE)</f>
        <v>Desk</v>
      </c>
      <c r="M126" t="str">
        <f t="shared" si="5"/>
        <v>2026-01</v>
      </c>
    </row>
    <row r="127" spans="1:13">
      <c r="A127">
        <v>126</v>
      </c>
      <c r="B127">
        <v>1055</v>
      </c>
      <c r="C127">
        <v>11</v>
      </c>
      <c r="D127">
        <v>2</v>
      </c>
      <c r="E127">
        <v>48</v>
      </c>
      <c r="F127">
        <f t="shared" si="3"/>
        <v>96</v>
      </c>
      <c r="G127" t="str">
        <f>VLOOKUP(B127,Orders!$A$2:$D$1201,4,FALSE)</f>
        <v>Delivered</v>
      </c>
      <c r="H127">
        <f t="shared" si="4"/>
        <v>96</v>
      </c>
      <c r="I127" s="12">
        <f>VLOOKUP(B127,Orders!$A$2:$D$1201,3,FALSE)</f>
        <v>46060</v>
      </c>
      <c r="L127" t="str">
        <f>VLOOKUP(C127,Products!$A$2:$D$13,2,FALSE)</f>
        <v>Backpack</v>
      </c>
      <c r="M127" t="str">
        <f t="shared" si="5"/>
        <v>2026-02</v>
      </c>
    </row>
    <row r="128" spans="1:13">
      <c r="A128">
        <v>127</v>
      </c>
      <c r="B128">
        <v>1055</v>
      </c>
      <c r="C128">
        <v>3</v>
      </c>
      <c r="D128">
        <v>1</v>
      </c>
      <c r="E128">
        <v>45</v>
      </c>
      <c r="F128">
        <f t="shared" si="3"/>
        <v>45</v>
      </c>
      <c r="G128" t="str">
        <f>VLOOKUP(B128,Orders!$A$2:$D$1201,4,FALSE)</f>
        <v>Delivered</v>
      </c>
      <c r="H128">
        <f t="shared" si="4"/>
        <v>45</v>
      </c>
      <c r="I128" s="12">
        <f>VLOOKUP(B128,Orders!$A$2:$D$1201,3,FALSE)</f>
        <v>46060</v>
      </c>
      <c r="L128" t="str">
        <f>VLOOKUP(C128,Products!$A$2:$D$13,2,FALSE)</f>
        <v>Keyboard</v>
      </c>
      <c r="M128" t="str">
        <f t="shared" si="5"/>
        <v>2026-02</v>
      </c>
    </row>
    <row r="129" spans="1:13">
      <c r="A129">
        <v>128</v>
      </c>
      <c r="B129">
        <v>1055</v>
      </c>
      <c r="C129">
        <v>12</v>
      </c>
      <c r="D129">
        <v>4</v>
      </c>
      <c r="E129">
        <v>22</v>
      </c>
      <c r="F129">
        <f t="shared" si="3"/>
        <v>88</v>
      </c>
      <c r="G129" t="str">
        <f>VLOOKUP(B129,Orders!$A$2:$D$1201,4,FALSE)</f>
        <v>Delivered</v>
      </c>
      <c r="H129">
        <f t="shared" si="4"/>
        <v>88</v>
      </c>
      <c r="I129" s="12">
        <f>VLOOKUP(B129,Orders!$A$2:$D$1201,3,FALSE)</f>
        <v>46060</v>
      </c>
      <c r="L129" t="str">
        <f>VLOOKUP(C129,Products!$A$2:$D$13,2,FALSE)</f>
        <v>Storage Box</v>
      </c>
      <c r="M129" t="str">
        <f t="shared" si="5"/>
        <v>2026-02</v>
      </c>
    </row>
    <row r="130" spans="1:13">
      <c r="A130">
        <v>129</v>
      </c>
      <c r="B130">
        <v>1056</v>
      </c>
      <c r="C130">
        <v>5</v>
      </c>
      <c r="D130">
        <v>1</v>
      </c>
      <c r="E130">
        <v>180</v>
      </c>
      <c r="F130">
        <f t="shared" si="3"/>
        <v>180</v>
      </c>
      <c r="G130" t="str">
        <f>VLOOKUP(B130,Orders!$A$2:$D$1201,4,FALSE)</f>
        <v>Delivered</v>
      </c>
      <c r="H130">
        <f t="shared" si="4"/>
        <v>180</v>
      </c>
      <c r="I130" s="12">
        <f>VLOOKUP(B130,Orders!$A$2:$D$1201,3,FALSE)</f>
        <v>46082</v>
      </c>
      <c r="L130" t="str">
        <f>VLOOKUP(C130,Products!$A$2:$D$13,2,FALSE)</f>
        <v>Desk</v>
      </c>
      <c r="M130" t="str">
        <f t="shared" si="5"/>
        <v>2026-03</v>
      </c>
    </row>
    <row r="131" spans="1:13">
      <c r="A131">
        <v>130</v>
      </c>
      <c r="B131">
        <v>1056</v>
      </c>
      <c r="C131">
        <v>11</v>
      </c>
      <c r="D131">
        <v>4</v>
      </c>
      <c r="E131">
        <v>48</v>
      </c>
      <c r="F131">
        <f t="shared" ref="F131:F194" si="6">D131*E131</f>
        <v>192</v>
      </c>
      <c r="G131" t="str">
        <f>VLOOKUP(B131,Orders!$A$2:$D$1201,4,FALSE)</f>
        <v>Delivered</v>
      </c>
      <c r="H131">
        <f t="shared" ref="H131:H194" si="7">IF(G131="Cancelled",0,F131)</f>
        <v>192</v>
      </c>
      <c r="I131" s="12">
        <f>VLOOKUP(B131,Orders!$A$2:$D$1201,3,FALSE)</f>
        <v>46082</v>
      </c>
      <c r="L131" t="str">
        <f>VLOOKUP(C131,Products!$A$2:$D$13,2,FALSE)</f>
        <v>Backpack</v>
      </c>
      <c r="M131" t="str">
        <f t="shared" ref="M131:M194" si="8">TEXT(I131,"yyyy-mm")</f>
        <v>2026-03</v>
      </c>
    </row>
    <row r="132" spans="1:13">
      <c r="A132">
        <v>131</v>
      </c>
      <c r="B132">
        <v>1057</v>
      </c>
      <c r="C132">
        <v>7</v>
      </c>
      <c r="D132">
        <v>3</v>
      </c>
      <c r="E132">
        <v>65</v>
      </c>
      <c r="F132">
        <f t="shared" si="6"/>
        <v>195</v>
      </c>
      <c r="G132" t="str">
        <f>VLOOKUP(B132,Orders!$A$2:$D$1201,4,FALSE)</f>
        <v>Pending</v>
      </c>
      <c r="H132">
        <f t="shared" si="7"/>
        <v>195</v>
      </c>
      <c r="I132" s="12">
        <f>VLOOKUP(B132,Orders!$A$2:$D$1201,3,FALSE)</f>
        <v>46111</v>
      </c>
      <c r="L132" t="str">
        <f>VLOOKUP(C132,Products!$A$2:$D$13,2,FALSE)</f>
        <v>Headphones</v>
      </c>
      <c r="M132" t="str">
        <f t="shared" si="8"/>
        <v>2026-03</v>
      </c>
    </row>
    <row r="133" spans="1:13">
      <c r="A133">
        <v>132</v>
      </c>
      <c r="B133">
        <v>1057</v>
      </c>
      <c r="C133">
        <v>5</v>
      </c>
      <c r="D133">
        <v>2</v>
      </c>
      <c r="E133">
        <v>180</v>
      </c>
      <c r="F133">
        <f t="shared" si="6"/>
        <v>360</v>
      </c>
      <c r="G133" t="str">
        <f>VLOOKUP(B133,Orders!$A$2:$D$1201,4,FALSE)</f>
        <v>Pending</v>
      </c>
      <c r="H133">
        <f t="shared" si="7"/>
        <v>360</v>
      </c>
      <c r="I133" s="12">
        <f>VLOOKUP(B133,Orders!$A$2:$D$1201,3,FALSE)</f>
        <v>46111</v>
      </c>
      <c r="L133" t="str">
        <f>VLOOKUP(C133,Products!$A$2:$D$13,2,FALSE)</f>
        <v>Desk</v>
      </c>
      <c r="M133" t="str">
        <f t="shared" si="8"/>
        <v>2026-03</v>
      </c>
    </row>
    <row r="134" spans="1:13">
      <c r="A134">
        <v>133</v>
      </c>
      <c r="B134">
        <v>1057</v>
      </c>
      <c r="C134">
        <v>8</v>
      </c>
      <c r="D134">
        <v>4</v>
      </c>
      <c r="E134">
        <v>55</v>
      </c>
      <c r="F134">
        <f t="shared" si="6"/>
        <v>220</v>
      </c>
      <c r="G134" t="str">
        <f>VLOOKUP(B134,Orders!$A$2:$D$1201,4,FALSE)</f>
        <v>Pending</v>
      </c>
      <c r="H134">
        <f t="shared" si="7"/>
        <v>220</v>
      </c>
      <c r="I134" s="12">
        <f>VLOOKUP(B134,Orders!$A$2:$D$1201,3,FALSE)</f>
        <v>46111</v>
      </c>
      <c r="L134" t="str">
        <f>VLOOKUP(C134,Products!$A$2:$D$13,2,FALSE)</f>
        <v>Webcam</v>
      </c>
      <c r="M134" t="str">
        <f t="shared" si="8"/>
        <v>2026-03</v>
      </c>
    </row>
    <row r="135" spans="1:13">
      <c r="A135">
        <v>134</v>
      </c>
      <c r="B135">
        <v>1058</v>
      </c>
      <c r="C135">
        <v>10</v>
      </c>
      <c r="D135">
        <v>3</v>
      </c>
      <c r="E135">
        <v>8</v>
      </c>
      <c r="F135">
        <f t="shared" si="6"/>
        <v>24</v>
      </c>
      <c r="G135" t="str">
        <f>VLOOKUP(B135,Orders!$A$2:$D$1201,4,FALSE)</f>
        <v>Delivered</v>
      </c>
      <c r="H135">
        <f t="shared" si="7"/>
        <v>24</v>
      </c>
      <c r="I135" s="12">
        <f>VLOOKUP(B135,Orders!$A$2:$D$1201,3,FALSE)</f>
        <v>46050</v>
      </c>
      <c r="L135" t="str">
        <f>VLOOKUP(C135,Products!$A$2:$D$13,2,FALSE)</f>
        <v>Notebook</v>
      </c>
      <c r="M135" t="str">
        <f t="shared" si="8"/>
        <v>2026-01</v>
      </c>
    </row>
    <row r="136" spans="1:13">
      <c r="A136">
        <v>135</v>
      </c>
      <c r="B136">
        <v>1058</v>
      </c>
      <c r="C136">
        <v>5</v>
      </c>
      <c r="D136">
        <v>1</v>
      </c>
      <c r="E136">
        <v>180</v>
      </c>
      <c r="F136">
        <f t="shared" si="6"/>
        <v>180</v>
      </c>
      <c r="G136" t="str">
        <f>VLOOKUP(B136,Orders!$A$2:$D$1201,4,FALSE)</f>
        <v>Delivered</v>
      </c>
      <c r="H136">
        <f t="shared" si="7"/>
        <v>180</v>
      </c>
      <c r="I136" s="12">
        <f>VLOOKUP(B136,Orders!$A$2:$D$1201,3,FALSE)</f>
        <v>46050</v>
      </c>
      <c r="L136" t="str">
        <f>VLOOKUP(C136,Products!$A$2:$D$13,2,FALSE)</f>
        <v>Desk</v>
      </c>
      <c r="M136" t="str">
        <f t="shared" si="8"/>
        <v>2026-01</v>
      </c>
    </row>
    <row r="137" spans="1:13">
      <c r="A137">
        <v>136</v>
      </c>
      <c r="B137">
        <v>1059</v>
      </c>
      <c r="C137">
        <v>12</v>
      </c>
      <c r="D137">
        <v>2</v>
      </c>
      <c r="E137">
        <v>22</v>
      </c>
      <c r="F137">
        <f t="shared" si="6"/>
        <v>44</v>
      </c>
      <c r="G137" t="str">
        <f>VLOOKUP(B137,Orders!$A$2:$D$1201,4,FALSE)</f>
        <v>Delivered</v>
      </c>
      <c r="H137">
        <f t="shared" si="7"/>
        <v>44</v>
      </c>
      <c r="I137" s="12">
        <f>VLOOKUP(B137,Orders!$A$2:$D$1201,3,FALSE)</f>
        <v>46198</v>
      </c>
      <c r="L137" t="str">
        <f>VLOOKUP(C137,Products!$A$2:$D$13,2,FALSE)</f>
        <v>Storage Box</v>
      </c>
      <c r="M137" t="str">
        <f t="shared" si="8"/>
        <v>2026-06</v>
      </c>
    </row>
    <row r="138" spans="1:13">
      <c r="A138">
        <v>137</v>
      </c>
      <c r="B138">
        <v>1059</v>
      </c>
      <c r="C138">
        <v>8</v>
      </c>
      <c r="D138">
        <v>3</v>
      </c>
      <c r="E138">
        <v>55</v>
      </c>
      <c r="F138">
        <f t="shared" si="6"/>
        <v>165</v>
      </c>
      <c r="G138" t="str">
        <f>VLOOKUP(B138,Orders!$A$2:$D$1201,4,FALSE)</f>
        <v>Delivered</v>
      </c>
      <c r="H138">
        <f t="shared" si="7"/>
        <v>165</v>
      </c>
      <c r="I138" s="12">
        <f>VLOOKUP(B138,Orders!$A$2:$D$1201,3,FALSE)</f>
        <v>46198</v>
      </c>
      <c r="L138" t="str">
        <f>VLOOKUP(C138,Products!$A$2:$D$13,2,FALSE)</f>
        <v>Webcam</v>
      </c>
      <c r="M138" t="str">
        <f t="shared" si="8"/>
        <v>2026-06</v>
      </c>
    </row>
    <row r="139" spans="1:13">
      <c r="A139">
        <v>138</v>
      </c>
      <c r="B139">
        <v>1059</v>
      </c>
      <c r="C139">
        <v>5</v>
      </c>
      <c r="D139">
        <v>2</v>
      </c>
      <c r="E139">
        <v>180</v>
      </c>
      <c r="F139">
        <f t="shared" si="6"/>
        <v>360</v>
      </c>
      <c r="G139" t="str">
        <f>VLOOKUP(B139,Orders!$A$2:$D$1201,4,FALSE)</f>
        <v>Delivered</v>
      </c>
      <c r="H139">
        <f t="shared" si="7"/>
        <v>360</v>
      </c>
      <c r="I139" s="12">
        <f>VLOOKUP(B139,Orders!$A$2:$D$1201,3,FALSE)</f>
        <v>46198</v>
      </c>
      <c r="L139" t="str">
        <f>VLOOKUP(C139,Products!$A$2:$D$13,2,FALSE)</f>
        <v>Desk</v>
      </c>
      <c r="M139" t="str">
        <f t="shared" si="8"/>
        <v>2026-06</v>
      </c>
    </row>
    <row r="140" spans="1:13">
      <c r="A140">
        <v>139</v>
      </c>
      <c r="B140">
        <v>1060</v>
      </c>
      <c r="C140">
        <v>2</v>
      </c>
      <c r="D140">
        <v>3</v>
      </c>
      <c r="E140">
        <v>220</v>
      </c>
      <c r="F140">
        <f t="shared" si="6"/>
        <v>660</v>
      </c>
      <c r="G140" t="str">
        <f>VLOOKUP(B140,Orders!$A$2:$D$1201,4,FALSE)</f>
        <v>Delivered</v>
      </c>
      <c r="H140">
        <f t="shared" si="7"/>
        <v>660</v>
      </c>
      <c r="I140" s="12">
        <f>VLOOKUP(B140,Orders!$A$2:$D$1201,3,FALSE)</f>
        <v>46191</v>
      </c>
      <c r="L140" t="str">
        <f>VLOOKUP(C140,Products!$A$2:$D$13,2,FALSE)</f>
        <v>Monitor</v>
      </c>
      <c r="M140" t="str">
        <f t="shared" si="8"/>
        <v>2026-06</v>
      </c>
    </row>
    <row r="141" spans="1:13">
      <c r="A141">
        <v>140</v>
      </c>
      <c r="B141">
        <v>1060</v>
      </c>
      <c r="C141">
        <v>11</v>
      </c>
      <c r="D141">
        <v>4</v>
      </c>
      <c r="E141">
        <v>48</v>
      </c>
      <c r="F141">
        <f t="shared" si="6"/>
        <v>192</v>
      </c>
      <c r="G141" t="str">
        <f>VLOOKUP(B141,Orders!$A$2:$D$1201,4,FALSE)</f>
        <v>Delivered</v>
      </c>
      <c r="H141">
        <f t="shared" si="7"/>
        <v>192</v>
      </c>
      <c r="I141" s="12">
        <f>VLOOKUP(B141,Orders!$A$2:$D$1201,3,FALSE)</f>
        <v>46191</v>
      </c>
      <c r="L141" t="str">
        <f>VLOOKUP(C141,Products!$A$2:$D$13,2,FALSE)</f>
        <v>Backpack</v>
      </c>
      <c r="M141" t="str">
        <f t="shared" si="8"/>
        <v>2026-06</v>
      </c>
    </row>
    <row r="142" spans="1:13">
      <c r="A142">
        <v>141</v>
      </c>
      <c r="B142">
        <v>1060</v>
      </c>
      <c r="C142">
        <v>1</v>
      </c>
      <c r="D142">
        <v>1</v>
      </c>
      <c r="E142">
        <v>750</v>
      </c>
      <c r="F142">
        <f t="shared" si="6"/>
        <v>750</v>
      </c>
      <c r="G142" t="str">
        <f>VLOOKUP(B142,Orders!$A$2:$D$1201,4,FALSE)</f>
        <v>Delivered</v>
      </c>
      <c r="H142">
        <f t="shared" si="7"/>
        <v>750</v>
      </c>
      <c r="I142" s="12">
        <f>VLOOKUP(B142,Orders!$A$2:$D$1201,3,FALSE)</f>
        <v>46191</v>
      </c>
      <c r="L142" t="str">
        <f>VLOOKUP(C142,Products!$A$2:$D$13,2,FALSE)</f>
        <v>Laptop</v>
      </c>
      <c r="M142" t="str">
        <f t="shared" si="8"/>
        <v>2026-06</v>
      </c>
    </row>
    <row r="143" spans="1:13">
      <c r="A143">
        <v>142</v>
      </c>
      <c r="B143">
        <v>1061</v>
      </c>
      <c r="C143">
        <v>3</v>
      </c>
      <c r="D143">
        <v>3</v>
      </c>
      <c r="E143">
        <v>45</v>
      </c>
      <c r="F143">
        <f t="shared" si="6"/>
        <v>135</v>
      </c>
      <c r="G143" t="str">
        <f>VLOOKUP(B143,Orders!$A$2:$D$1201,4,FALSE)</f>
        <v>Delivered</v>
      </c>
      <c r="H143">
        <f t="shared" si="7"/>
        <v>135</v>
      </c>
      <c r="I143" s="12">
        <f>VLOOKUP(B143,Orders!$A$2:$D$1201,3,FALSE)</f>
        <v>46106</v>
      </c>
      <c r="L143" t="str">
        <f>VLOOKUP(C143,Products!$A$2:$D$13,2,FALSE)</f>
        <v>Keyboard</v>
      </c>
      <c r="M143" t="str">
        <f t="shared" si="8"/>
        <v>2026-03</v>
      </c>
    </row>
    <row r="144" spans="1:13">
      <c r="A144">
        <v>143</v>
      </c>
      <c r="B144">
        <v>1062</v>
      </c>
      <c r="C144">
        <v>6</v>
      </c>
      <c r="D144">
        <v>1</v>
      </c>
      <c r="E144">
        <v>140</v>
      </c>
      <c r="F144">
        <f t="shared" si="6"/>
        <v>140</v>
      </c>
      <c r="G144" t="str">
        <f>VLOOKUP(B144,Orders!$A$2:$D$1201,4,FALSE)</f>
        <v>Shipped</v>
      </c>
      <c r="H144">
        <f t="shared" si="7"/>
        <v>140</v>
      </c>
      <c r="I144" s="12">
        <f>VLOOKUP(B144,Orders!$A$2:$D$1201,3,FALSE)</f>
        <v>46146</v>
      </c>
      <c r="L144" t="str">
        <f>VLOOKUP(C144,Products!$A$2:$D$13,2,FALSE)</f>
        <v>Chair</v>
      </c>
      <c r="M144" t="str">
        <f t="shared" si="8"/>
        <v>2026-05</v>
      </c>
    </row>
    <row r="145" spans="1:13">
      <c r="A145">
        <v>144</v>
      </c>
      <c r="B145">
        <v>1062</v>
      </c>
      <c r="C145">
        <v>2</v>
      </c>
      <c r="D145">
        <v>2</v>
      </c>
      <c r="E145">
        <v>220</v>
      </c>
      <c r="F145">
        <f t="shared" si="6"/>
        <v>440</v>
      </c>
      <c r="G145" t="str">
        <f>VLOOKUP(B145,Orders!$A$2:$D$1201,4,FALSE)</f>
        <v>Shipped</v>
      </c>
      <c r="H145">
        <f t="shared" si="7"/>
        <v>440</v>
      </c>
      <c r="I145" s="12">
        <f>VLOOKUP(B145,Orders!$A$2:$D$1201,3,FALSE)</f>
        <v>46146</v>
      </c>
      <c r="L145" t="str">
        <f>VLOOKUP(C145,Products!$A$2:$D$13,2,FALSE)</f>
        <v>Monitor</v>
      </c>
      <c r="M145" t="str">
        <f t="shared" si="8"/>
        <v>2026-05</v>
      </c>
    </row>
    <row r="146" spans="1:13">
      <c r="A146">
        <v>145</v>
      </c>
      <c r="B146">
        <v>1062</v>
      </c>
      <c r="C146">
        <v>8</v>
      </c>
      <c r="D146">
        <v>2</v>
      </c>
      <c r="E146">
        <v>55</v>
      </c>
      <c r="F146">
        <f t="shared" si="6"/>
        <v>110</v>
      </c>
      <c r="G146" t="str">
        <f>VLOOKUP(B146,Orders!$A$2:$D$1201,4,FALSE)</f>
        <v>Shipped</v>
      </c>
      <c r="H146">
        <f t="shared" si="7"/>
        <v>110</v>
      </c>
      <c r="I146" s="12">
        <f>VLOOKUP(B146,Orders!$A$2:$D$1201,3,FALSE)</f>
        <v>46146</v>
      </c>
      <c r="L146" t="str">
        <f>VLOOKUP(C146,Products!$A$2:$D$13,2,FALSE)</f>
        <v>Webcam</v>
      </c>
      <c r="M146" t="str">
        <f t="shared" si="8"/>
        <v>2026-05</v>
      </c>
    </row>
    <row r="147" spans="1:13">
      <c r="A147">
        <v>146</v>
      </c>
      <c r="B147">
        <v>1063</v>
      </c>
      <c r="C147">
        <v>2</v>
      </c>
      <c r="D147">
        <v>1</v>
      </c>
      <c r="E147">
        <v>220</v>
      </c>
      <c r="F147">
        <f t="shared" si="6"/>
        <v>220</v>
      </c>
      <c r="G147" t="str">
        <f>VLOOKUP(B147,Orders!$A$2:$D$1201,4,FALSE)</f>
        <v>Pending</v>
      </c>
      <c r="H147">
        <f t="shared" si="7"/>
        <v>220</v>
      </c>
      <c r="I147" s="12">
        <f>VLOOKUP(B147,Orders!$A$2:$D$1201,3,FALSE)</f>
        <v>46195</v>
      </c>
      <c r="L147" t="str">
        <f>VLOOKUP(C147,Products!$A$2:$D$13,2,FALSE)</f>
        <v>Monitor</v>
      </c>
      <c r="M147" t="str">
        <f t="shared" si="8"/>
        <v>2026-06</v>
      </c>
    </row>
    <row r="148" spans="1:13">
      <c r="A148">
        <v>147</v>
      </c>
      <c r="B148">
        <v>1063</v>
      </c>
      <c r="C148">
        <v>7</v>
      </c>
      <c r="D148">
        <v>3</v>
      </c>
      <c r="E148">
        <v>65</v>
      </c>
      <c r="F148">
        <f t="shared" si="6"/>
        <v>195</v>
      </c>
      <c r="G148" t="str">
        <f>VLOOKUP(B148,Orders!$A$2:$D$1201,4,FALSE)</f>
        <v>Pending</v>
      </c>
      <c r="H148">
        <f t="shared" si="7"/>
        <v>195</v>
      </c>
      <c r="I148" s="12">
        <f>VLOOKUP(B148,Orders!$A$2:$D$1201,3,FALSE)</f>
        <v>46195</v>
      </c>
      <c r="L148" t="str">
        <f>VLOOKUP(C148,Products!$A$2:$D$13,2,FALSE)</f>
        <v>Headphones</v>
      </c>
      <c r="M148" t="str">
        <f t="shared" si="8"/>
        <v>2026-06</v>
      </c>
    </row>
    <row r="149" spans="1:13">
      <c r="A149">
        <v>148</v>
      </c>
      <c r="B149">
        <v>1064</v>
      </c>
      <c r="C149">
        <v>7</v>
      </c>
      <c r="D149">
        <v>1</v>
      </c>
      <c r="E149">
        <v>65</v>
      </c>
      <c r="F149">
        <f t="shared" si="6"/>
        <v>65</v>
      </c>
      <c r="G149" t="str">
        <f>VLOOKUP(B149,Orders!$A$2:$D$1201,4,FALSE)</f>
        <v>Delivered</v>
      </c>
      <c r="H149">
        <f t="shared" si="7"/>
        <v>65</v>
      </c>
      <c r="I149" s="12">
        <f>VLOOKUP(B149,Orders!$A$2:$D$1201,3,FALSE)</f>
        <v>46054</v>
      </c>
      <c r="L149" t="str">
        <f>VLOOKUP(C149,Products!$A$2:$D$13,2,FALSE)</f>
        <v>Headphones</v>
      </c>
      <c r="M149" t="str">
        <f t="shared" si="8"/>
        <v>2026-02</v>
      </c>
    </row>
    <row r="150" spans="1:13">
      <c r="A150">
        <v>149</v>
      </c>
      <c r="B150">
        <v>1064</v>
      </c>
      <c r="C150">
        <v>11</v>
      </c>
      <c r="D150">
        <v>2</v>
      </c>
      <c r="E150">
        <v>48</v>
      </c>
      <c r="F150">
        <f t="shared" si="6"/>
        <v>96</v>
      </c>
      <c r="G150" t="str">
        <f>VLOOKUP(B150,Orders!$A$2:$D$1201,4,FALSE)</f>
        <v>Delivered</v>
      </c>
      <c r="H150">
        <f t="shared" si="7"/>
        <v>96</v>
      </c>
      <c r="I150" s="12">
        <f>VLOOKUP(B150,Orders!$A$2:$D$1201,3,FALSE)</f>
        <v>46054</v>
      </c>
      <c r="L150" t="str">
        <f>VLOOKUP(C150,Products!$A$2:$D$13,2,FALSE)</f>
        <v>Backpack</v>
      </c>
      <c r="M150" t="str">
        <f t="shared" si="8"/>
        <v>2026-02</v>
      </c>
    </row>
    <row r="151" spans="1:13">
      <c r="A151">
        <v>150</v>
      </c>
      <c r="B151">
        <v>1064</v>
      </c>
      <c r="C151">
        <v>6</v>
      </c>
      <c r="D151">
        <v>4</v>
      </c>
      <c r="E151">
        <v>140</v>
      </c>
      <c r="F151">
        <f t="shared" si="6"/>
        <v>560</v>
      </c>
      <c r="G151" t="str">
        <f>VLOOKUP(B151,Orders!$A$2:$D$1201,4,FALSE)</f>
        <v>Delivered</v>
      </c>
      <c r="H151">
        <f t="shared" si="7"/>
        <v>560</v>
      </c>
      <c r="I151" s="12">
        <f>VLOOKUP(B151,Orders!$A$2:$D$1201,3,FALSE)</f>
        <v>46054</v>
      </c>
      <c r="L151" t="str">
        <f>VLOOKUP(C151,Products!$A$2:$D$13,2,FALSE)</f>
        <v>Chair</v>
      </c>
      <c r="M151" t="str">
        <f t="shared" si="8"/>
        <v>2026-02</v>
      </c>
    </row>
    <row r="152" spans="1:13">
      <c r="A152">
        <v>151</v>
      </c>
      <c r="B152">
        <v>1065</v>
      </c>
      <c r="C152">
        <v>5</v>
      </c>
      <c r="D152">
        <v>1</v>
      </c>
      <c r="E152">
        <v>180</v>
      </c>
      <c r="F152">
        <f t="shared" si="6"/>
        <v>180</v>
      </c>
      <c r="G152" t="str">
        <f>VLOOKUP(B152,Orders!$A$2:$D$1201,4,FALSE)</f>
        <v>Delivered</v>
      </c>
      <c r="H152">
        <f t="shared" si="7"/>
        <v>180</v>
      </c>
      <c r="I152" s="12">
        <f>VLOOKUP(B152,Orders!$A$2:$D$1201,3,FALSE)</f>
        <v>46079</v>
      </c>
      <c r="L152" t="str">
        <f>VLOOKUP(C152,Products!$A$2:$D$13,2,FALSE)</f>
        <v>Desk</v>
      </c>
      <c r="M152" t="str">
        <f t="shared" si="8"/>
        <v>2026-02</v>
      </c>
    </row>
    <row r="153" spans="1:13">
      <c r="A153">
        <v>152</v>
      </c>
      <c r="B153">
        <v>1065</v>
      </c>
      <c r="C153">
        <v>11</v>
      </c>
      <c r="D153">
        <v>2</v>
      </c>
      <c r="E153">
        <v>48</v>
      </c>
      <c r="F153">
        <f t="shared" si="6"/>
        <v>96</v>
      </c>
      <c r="G153" t="str">
        <f>VLOOKUP(B153,Orders!$A$2:$D$1201,4,FALSE)</f>
        <v>Delivered</v>
      </c>
      <c r="H153">
        <f t="shared" si="7"/>
        <v>96</v>
      </c>
      <c r="I153" s="12">
        <f>VLOOKUP(B153,Orders!$A$2:$D$1201,3,FALSE)</f>
        <v>46079</v>
      </c>
      <c r="L153" t="str">
        <f>VLOOKUP(C153,Products!$A$2:$D$13,2,FALSE)</f>
        <v>Backpack</v>
      </c>
      <c r="M153" t="str">
        <f t="shared" si="8"/>
        <v>2026-02</v>
      </c>
    </row>
    <row r="154" spans="1:13">
      <c r="A154">
        <v>153</v>
      </c>
      <c r="B154">
        <v>1065</v>
      </c>
      <c r="C154">
        <v>7</v>
      </c>
      <c r="D154">
        <v>1</v>
      </c>
      <c r="E154">
        <v>65</v>
      </c>
      <c r="F154">
        <f t="shared" si="6"/>
        <v>65</v>
      </c>
      <c r="G154" t="str">
        <f>VLOOKUP(B154,Orders!$A$2:$D$1201,4,FALSE)</f>
        <v>Delivered</v>
      </c>
      <c r="H154">
        <f t="shared" si="7"/>
        <v>65</v>
      </c>
      <c r="I154" s="12">
        <f>VLOOKUP(B154,Orders!$A$2:$D$1201,3,FALSE)</f>
        <v>46079</v>
      </c>
      <c r="L154" t="str">
        <f>VLOOKUP(C154,Products!$A$2:$D$13,2,FALSE)</f>
        <v>Headphones</v>
      </c>
      <c r="M154" t="str">
        <f t="shared" si="8"/>
        <v>2026-02</v>
      </c>
    </row>
    <row r="155" spans="1:13">
      <c r="A155">
        <v>154</v>
      </c>
      <c r="B155">
        <v>1066</v>
      </c>
      <c r="C155">
        <v>8</v>
      </c>
      <c r="D155">
        <v>4</v>
      </c>
      <c r="E155">
        <v>55</v>
      </c>
      <c r="F155">
        <f t="shared" si="6"/>
        <v>220</v>
      </c>
      <c r="G155" t="str">
        <f>VLOOKUP(B155,Orders!$A$2:$D$1201,4,FALSE)</f>
        <v>Cancelled</v>
      </c>
      <c r="H155">
        <f t="shared" si="7"/>
        <v>0</v>
      </c>
      <c r="I155" s="12">
        <f>VLOOKUP(B155,Orders!$A$2:$D$1201,3,FALSE)</f>
        <v>46083</v>
      </c>
      <c r="L155" t="str">
        <f>VLOOKUP(C155,Products!$A$2:$D$13,2,FALSE)</f>
        <v>Webcam</v>
      </c>
      <c r="M155" t="str">
        <f t="shared" si="8"/>
        <v>2026-03</v>
      </c>
    </row>
    <row r="156" spans="1:13">
      <c r="A156">
        <v>155</v>
      </c>
      <c r="B156">
        <v>1066</v>
      </c>
      <c r="C156">
        <v>6</v>
      </c>
      <c r="D156">
        <v>2</v>
      </c>
      <c r="E156">
        <v>140</v>
      </c>
      <c r="F156">
        <f t="shared" si="6"/>
        <v>280</v>
      </c>
      <c r="G156" t="str">
        <f>VLOOKUP(B156,Orders!$A$2:$D$1201,4,FALSE)</f>
        <v>Cancelled</v>
      </c>
      <c r="H156">
        <f t="shared" si="7"/>
        <v>0</v>
      </c>
      <c r="I156" s="12">
        <f>VLOOKUP(B156,Orders!$A$2:$D$1201,3,FALSE)</f>
        <v>46083</v>
      </c>
      <c r="L156" t="str">
        <f>VLOOKUP(C156,Products!$A$2:$D$13,2,FALSE)</f>
        <v>Chair</v>
      </c>
      <c r="M156" t="str">
        <f t="shared" si="8"/>
        <v>2026-03</v>
      </c>
    </row>
    <row r="157" spans="1:13">
      <c r="A157">
        <v>156</v>
      </c>
      <c r="B157">
        <v>1067</v>
      </c>
      <c r="C157">
        <v>7</v>
      </c>
      <c r="D157">
        <v>3</v>
      </c>
      <c r="E157">
        <v>65</v>
      </c>
      <c r="F157">
        <f t="shared" si="6"/>
        <v>195</v>
      </c>
      <c r="G157" t="str">
        <f>VLOOKUP(B157,Orders!$A$2:$D$1201,4,FALSE)</f>
        <v>Delivered</v>
      </c>
      <c r="H157">
        <f t="shared" si="7"/>
        <v>195</v>
      </c>
      <c r="I157" s="12">
        <f>VLOOKUP(B157,Orders!$A$2:$D$1201,3,FALSE)</f>
        <v>46129</v>
      </c>
      <c r="L157" t="str">
        <f>VLOOKUP(C157,Products!$A$2:$D$13,2,FALSE)</f>
        <v>Headphones</v>
      </c>
      <c r="M157" t="str">
        <f t="shared" si="8"/>
        <v>2026-04</v>
      </c>
    </row>
    <row r="158" spans="1:13">
      <c r="A158">
        <v>157</v>
      </c>
      <c r="B158">
        <v>1067</v>
      </c>
      <c r="C158">
        <v>5</v>
      </c>
      <c r="D158">
        <v>2</v>
      </c>
      <c r="E158">
        <v>180</v>
      </c>
      <c r="F158">
        <f t="shared" si="6"/>
        <v>360</v>
      </c>
      <c r="G158" t="str">
        <f>VLOOKUP(B158,Orders!$A$2:$D$1201,4,FALSE)</f>
        <v>Delivered</v>
      </c>
      <c r="H158">
        <f t="shared" si="7"/>
        <v>360</v>
      </c>
      <c r="I158" s="12">
        <f>VLOOKUP(B158,Orders!$A$2:$D$1201,3,FALSE)</f>
        <v>46129</v>
      </c>
      <c r="L158" t="str">
        <f>VLOOKUP(C158,Products!$A$2:$D$13,2,FALSE)</f>
        <v>Desk</v>
      </c>
      <c r="M158" t="str">
        <f t="shared" si="8"/>
        <v>2026-04</v>
      </c>
    </row>
    <row r="159" spans="1:13">
      <c r="A159">
        <v>158</v>
      </c>
      <c r="B159">
        <v>1067</v>
      </c>
      <c r="C159">
        <v>1</v>
      </c>
      <c r="D159">
        <v>4</v>
      </c>
      <c r="E159">
        <v>750</v>
      </c>
      <c r="F159">
        <f t="shared" si="6"/>
        <v>3000</v>
      </c>
      <c r="G159" t="str">
        <f>VLOOKUP(B159,Orders!$A$2:$D$1201,4,FALSE)</f>
        <v>Delivered</v>
      </c>
      <c r="H159">
        <f t="shared" si="7"/>
        <v>3000</v>
      </c>
      <c r="I159" s="12">
        <f>VLOOKUP(B159,Orders!$A$2:$D$1201,3,FALSE)</f>
        <v>46129</v>
      </c>
      <c r="L159" t="str">
        <f>VLOOKUP(C159,Products!$A$2:$D$13,2,FALSE)</f>
        <v>Laptop</v>
      </c>
      <c r="M159" t="str">
        <f t="shared" si="8"/>
        <v>2026-04</v>
      </c>
    </row>
    <row r="160" spans="1:13">
      <c r="A160">
        <v>159</v>
      </c>
      <c r="B160">
        <v>1068</v>
      </c>
      <c r="C160">
        <v>7</v>
      </c>
      <c r="D160">
        <v>3</v>
      </c>
      <c r="E160">
        <v>65</v>
      </c>
      <c r="F160">
        <f t="shared" si="6"/>
        <v>195</v>
      </c>
      <c r="G160" t="str">
        <f>VLOOKUP(B160,Orders!$A$2:$D$1201,4,FALSE)</f>
        <v>Delivered</v>
      </c>
      <c r="H160">
        <f t="shared" si="7"/>
        <v>195</v>
      </c>
      <c r="I160" s="12">
        <f>VLOOKUP(B160,Orders!$A$2:$D$1201,3,FALSE)</f>
        <v>46117</v>
      </c>
      <c r="L160" t="str">
        <f>VLOOKUP(C160,Products!$A$2:$D$13,2,FALSE)</f>
        <v>Headphones</v>
      </c>
      <c r="M160" t="str">
        <f t="shared" si="8"/>
        <v>2026-04</v>
      </c>
    </row>
    <row r="161" spans="1:13">
      <c r="A161">
        <v>160</v>
      </c>
      <c r="B161">
        <v>1069</v>
      </c>
      <c r="C161">
        <v>6</v>
      </c>
      <c r="D161">
        <v>2</v>
      </c>
      <c r="E161">
        <v>140</v>
      </c>
      <c r="F161">
        <f t="shared" si="6"/>
        <v>280</v>
      </c>
      <c r="G161" t="str">
        <f>VLOOKUP(B161,Orders!$A$2:$D$1201,4,FALSE)</f>
        <v>Delivered</v>
      </c>
      <c r="H161">
        <f t="shared" si="7"/>
        <v>280</v>
      </c>
      <c r="I161" s="12">
        <f>VLOOKUP(B161,Orders!$A$2:$D$1201,3,FALSE)</f>
        <v>46046</v>
      </c>
      <c r="L161" t="str">
        <f>VLOOKUP(C161,Products!$A$2:$D$13,2,FALSE)</f>
        <v>Chair</v>
      </c>
      <c r="M161" t="str">
        <f t="shared" si="8"/>
        <v>2026-01</v>
      </c>
    </row>
    <row r="162" spans="1:13">
      <c r="A162">
        <v>161</v>
      </c>
      <c r="B162">
        <v>1070</v>
      </c>
      <c r="C162">
        <v>3</v>
      </c>
      <c r="D162">
        <v>1</v>
      </c>
      <c r="E162">
        <v>45</v>
      </c>
      <c r="F162">
        <f t="shared" si="6"/>
        <v>45</v>
      </c>
      <c r="G162" t="str">
        <f>VLOOKUP(B162,Orders!$A$2:$D$1201,4,FALSE)</f>
        <v>Delivered</v>
      </c>
      <c r="H162">
        <f t="shared" si="7"/>
        <v>45</v>
      </c>
      <c r="I162" s="12">
        <f>VLOOKUP(B162,Orders!$A$2:$D$1201,3,FALSE)</f>
        <v>46076</v>
      </c>
      <c r="L162" t="str">
        <f>VLOOKUP(C162,Products!$A$2:$D$13,2,FALSE)</f>
        <v>Keyboard</v>
      </c>
      <c r="M162" t="str">
        <f t="shared" si="8"/>
        <v>2026-02</v>
      </c>
    </row>
    <row r="163" spans="1:13">
      <c r="A163">
        <v>162</v>
      </c>
      <c r="B163">
        <v>1070</v>
      </c>
      <c r="C163">
        <v>10</v>
      </c>
      <c r="D163">
        <v>3</v>
      </c>
      <c r="E163">
        <v>8</v>
      </c>
      <c r="F163">
        <f t="shared" si="6"/>
        <v>24</v>
      </c>
      <c r="G163" t="str">
        <f>VLOOKUP(B163,Orders!$A$2:$D$1201,4,FALSE)</f>
        <v>Delivered</v>
      </c>
      <c r="H163">
        <f t="shared" si="7"/>
        <v>24</v>
      </c>
      <c r="I163" s="12">
        <f>VLOOKUP(B163,Orders!$A$2:$D$1201,3,FALSE)</f>
        <v>46076</v>
      </c>
      <c r="L163" t="str">
        <f>VLOOKUP(C163,Products!$A$2:$D$13,2,FALSE)</f>
        <v>Notebook</v>
      </c>
      <c r="M163" t="str">
        <f t="shared" si="8"/>
        <v>2026-02</v>
      </c>
    </row>
    <row r="164" spans="1:13">
      <c r="A164">
        <v>163</v>
      </c>
      <c r="B164">
        <v>1071</v>
      </c>
      <c r="C164">
        <v>1</v>
      </c>
      <c r="D164">
        <v>3</v>
      </c>
      <c r="E164">
        <v>750</v>
      </c>
      <c r="F164">
        <f t="shared" si="6"/>
        <v>2250</v>
      </c>
      <c r="G164" t="str">
        <f>VLOOKUP(B164,Orders!$A$2:$D$1201,4,FALSE)</f>
        <v>Delivered</v>
      </c>
      <c r="H164">
        <f t="shared" si="7"/>
        <v>2250</v>
      </c>
      <c r="I164" s="12">
        <f>VLOOKUP(B164,Orders!$A$2:$D$1201,3,FALSE)</f>
        <v>46067</v>
      </c>
      <c r="L164" t="str">
        <f>VLOOKUP(C164,Products!$A$2:$D$13,2,FALSE)</f>
        <v>Laptop</v>
      </c>
      <c r="M164" t="str">
        <f t="shared" si="8"/>
        <v>2026-02</v>
      </c>
    </row>
    <row r="165" spans="1:13">
      <c r="A165">
        <v>164</v>
      </c>
      <c r="B165">
        <v>1072</v>
      </c>
      <c r="C165">
        <v>2</v>
      </c>
      <c r="D165">
        <v>4</v>
      </c>
      <c r="E165">
        <v>220</v>
      </c>
      <c r="F165">
        <f t="shared" si="6"/>
        <v>880</v>
      </c>
      <c r="G165" t="str">
        <f>VLOOKUP(B165,Orders!$A$2:$D$1201,4,FALSE)</f>
        <v>Delivered</v>
      </c>
      <c r="H165">
        <f t="shared" si="7"/>
        <v>880</v>
      </c>
      <c r="I165" s="12">
        <f>VLOOKUP(B165,Orders!$A$2:$D$1201,3,FALSE)</f>
        <v>46090</v>
      </c>
      <c r="L165" t="str">
        <f>VLOOKUP(C165,Products!$A$2:$D$13,2,FALSE)</f>
        <v>Monitor</v>
      </c>
      <c r="M165" t="str">
        <f t="shared" si="8"/>
        <v>2026-03</v>
      </c>
    </row>
    <row r="166" spans="1:13">
      <c r="A166">
        <v>165</v>
      </c>
      <c r="B166">
        <v>1072</v>
      </c>
      <c r="C166">
        <v>12</v>
      </c>
      <c r="D166">
        <v>3</v>
      </c>
      <c r="E166">
        <v>22</v>
      </c>
      <c r="F166">
        <f t="shared" si="6"/>
        <v>66</v>
      </c>
      <c r="G166" t="str">
        <f>VLOOKUP(B166,Orders!$A$2:$D$1201,4,FALSE)</f>
        <v>Delivered</v>
      </c>
      <c r="H166">
        <f t="shared" si="7"/>
        <v>66</v>
      </c>
      <c r="I166" s="12">
        <f>VLOOKUP(B166,Orders!$A$2:$D$1201,3,FALSE)</f>
        <v>46090</v>
      </c>
      <c r="L166" t="str">
        <f>VLOOKUP(C166,Products!$A$2:$D$13,2,FALSE)</f>
        <v>Storage Box</v>
      </c>
      <c r="M166" t="str">
        <f t="shared" si="8"/>
        <v>2026-03</v>
      </c>
    </row>
    <row r="167" spans="1:13">
      <c r="A167">
        <v>166</v>
      </c>
      <c r="B167">
        <v>1072</v>
      </c>
      <c r="C167">
        <v>8</v>
      </c>
      <c r="D167">
        <v>1</v>
      </c>
      <c r="E167">
        <v>55</v>
      </c>
      <c r="F167">
        <f t="shared" si="6"/>
        <v>55</v>
      </c>
      <c r="G167" t="str">
        <f>VLOOKUP(B167,Orders!$A$2:$D$1201,4,FALSE)</f>
        <v>Delivered</v>
      </c>
      <c r="H167">
        <f t="shared" si="7"/>
        <v>55</v>
      </c>
      <c r="I167" s="12">
        <f>VLOOKUP(B167,Orders!$A$2:$D$1201,3,FALSE)</f>
        <v>46090</v>
      </c>
      <c r="L167" t="str">
        <f>VLOOKUP(C167,Products!$A$2:$D$13,2,FALSE)</f>
        <v>Webcam</v>
      </c>
      <c r="M167" t="str">
        <f t="shared" si="8"/>
        <v>2026-03</v>
      </c>
    </row>
    <row r="168" spans="1:13">
      <c r="A168">
        <v>167</v>
      </c>
      <c r="B168">
        <v>1073</v>
      </c>
      <c r="C168">
        <v>1</v>
      </c>
      <c r="D168">
        <v>4</v>
      </c>
      <c r="E168">
        <v>750</v>
      </c>
      <c r="F168">
        <f t="shared" si="6"/>
        <v>3000</v>
      </c>
      <c r="G168" t="str">
        <f>VLOOKUP(B168,Orders!$A$2:$D$1201,4,FALSE)</f>
        <v>Delivered</v>
      </c>
      <c r="H168">
        <f t="shared" si="7"/>
        <v>3000</v>
      </c>
      <c r="I168" s="12">
        <f>VLOOKUP(B168,Orders!$A$2:$D$1201,3,FALSE)</f>
        <v>46191</v>
      </c>
      <c r="L168" t="str">
        <f>VLOOKUP(C168,Products!$A$2:$D$13,2,FALSE)</f>
        <v>Laptop</v>
      </c>
      <c r="M168" t="str">
        <f t="shared" si="8"/>
        <v>2026-06</v>
      </c>
    </row>
    <row r="169" spans="1:13">
      <c r="A169">
        <v>168</v>
      </c>
      <c r="B169">
        <v>1073</v>
      </c>
      <c r="C169">
        <v>12</v>
      </c>
      <c r="D169">
        <v>4</v>
      </c>
      <c r="E169">
        <v>22</v>
      </c>
      <c r="F169">
        <f t="shared" si="6"/>
        <v>88</v>
      </c>
      <c r="G169" t="str">
        <f>VLOOKUP(B169,Orders!$A$2:$D$1201,4,FALSE)</f>
        <v>Delivered</v>
      </c>
      <c r="H169">
        <f t="shared" si="7"/>
        <v>88</v>
      </c>
      <c r="I169" s="12">
        <f>VLOOKUP(B169,Orders!$A$2:$D$1201,3,FALSE)</f>
        <v>46191</v>
      </c>
      <c r="L169" t="str">
        <f>VLOOKUP(C169,Products!$A$2:$D$13,2,FALSE)</f>
        <v>Storage Box</v>
      </c>
      <c r="M169" t="str">
        <f t="shared" si="8"/>
        <v>2026-06</v>
      </c>
    </row>
    <row r="170" spans="1:13">
      <c r="A170">
        <v>169</v>
      </c>
      <c r="B170">
        <v>1073</v>
      </c>
      <c r="C170">
        <v>8</v>
      </c>
      <c r="D170">
        <v>1</v>
      </c>
      <c r="E170">
        <v>55</v>
      </c>
      <c r="F170">
        <f t="shared" si="6"/>
        <v>55</v>
      </c>
      <c r="G170" t="str">
        <f>VLOOKUP(B170,Orders!$A$2:$D$1201,4,FALSE)</f>
        <v>Delivered</v>
      </c>
      <c r="H170">
        <f t="shared" si="7"/>
        <v>55</v>
      </c>
      <c r="I170" s="12">
        <f>VLOOKUP(B170,Orders!$A$2:$D$1201,3,FALSE)</f>
        <v>46191</v>
      </c>
      <c r="L170" t="str">
        <f>VLOOKUP(C170,Products!$A$2:$D$13,2,FALSE)</f>
        <v>Webcam</v>
      </c>
      <c r="M170" t="str">
        <f t="shared" si="8"/>
        <v>2026-06</v>
      </c>
    </row>
    <row r="171" spans="1:13">
      <c r="A171">
        <v>170</v>
      </c>
      <c r="B171">
        <v>1074</v>
      </c>
      <c r="C171">
        <v>5</v>
      </c>
      <c r="D171">
        <v>3</v>
      </c>
      <c r="E171">
        <v>180</v>
      </c>
      <c r="F171">
        <f t="shared" si="6"/>
        <v>540</v>
      </c>
      <c r="G171" t="str">
        <f>VLOOKUP(B171,Orders!$A$2:$D$1201,4,FALSE)</f>
        <v>Delivered</v>
      </c>
      <c r="H171">
        <f t="shared" si="7"/>
        <v>540</v>
      </c>
      <c r="I171" s="12">
        <f>VLOOKUP(B171,Orders!$A$2:$D$1201,3,FALSE)</f>
        <v>46105</v>
      </c>
      <c r="L171" t="str">
        <f>VLOOKUP(C171,Products!$A$2:$D$13,2,FALSE)</f>
        <v>Desk</v>
      </c>
      <c r="M171" t="str">
        <f t="shared" si="8"/>
        <v>2026-03</v>
      </c>
    </row>
    <row r="172" spans="1:13">
      <c r="A172">
        <v>171</v>
      </c>
      <c r="B172">
        <v>1075</v>
      </c>
      <c r="C172">
        <v>11</v>
      </c>
      <c r="D172">
        <v>4</v>
      </c>
      <c r="E172">
        <v>48</v>
      </c>
      <c r="F172">
        <f t="shared" si="6"/>
        <v>192</v>
      </c>
      <c r="G172" t="str">
        <f>VLOOKUP(B172,Orders!$A$2:$D$1201,4,FALSE)</f>
        <v>Delivered</v>
      </c>
      <c r="H172">
        <f t="shared" si="7"/>
        <v>192</v>
      </c>
      <c r="I172" s="12">
        <f>VLOOKUP(B172,Orders!$A$2:$D$1201,3,FALSE)</f>
        <v>46177</v>
      </c>
      <c r="L172" t="str">
        <f>VLOOKUP(C172,Products!$A$2:$D$13,2,FALSE)</f>
        <v>Backpack</v>
      </c>
      <c r="M172" t="str">
        <f t="shared" si="8"/>
        <v>2026-06</v>
      </c>
    </row>
    <row r="173" spans="1:13">
      <c r="A173">
        <v>172</v>
      </c>
      <c r="B173">
        <v>1075</v>
      </c>
      <c r="C173">
        <v>9</v>
      </c>
      <c r="D173">
        <v>4</v>
      </c>
      <c r="E173">
        <v>30</v>
      </c>
      <c r="F173">
        <f t="shared" si="6"/>
        <v>120</v>
      </c>
      <c r="G173" t="str">
        <f>VLOOKUP(B173,Orders!$A$2:$D$1201,4,FALSE)</f>
        <v>Delivered</v>
      </c>
      <c r="H173">
        <f t="shared" si="7"/>
        <v>120</v>
      </c>
      <c r="I173" s="12">
        <f>VLOOKUP(B173,Orders!$A$2:$D$1201,3,FALSE)</f>
        <v>46177</v>
      </c>
      <c r="L173" t="str">
        <f>VLOOKUP(C173,Products!$A$2:$D$13,2,FALSE)</f>
        <v>Lamp</v>
      </c>
      <c r="M173" t="str">
        <f t="shared" si="8"/>
        <v>2026-06</v>
      </c>
    </row>
    <row r="174" spans="1:13">
      <c r="A174">
        <v>173</v>
      </c>
      <c r="B174">
        <v>1075</v>
      </c>
      <c r="C174">
        <v>4</v>
      </c>
      <c r="D174">
        <v>2</v>
      </c>
      <c r="E174">
        <v>25</v>
      </c>
      <c r="F174">
        <f t="shared" si="6"/>
        <v>50</v>
      </c>
      <c r="G174" t="str">
        <f>VLOOKUP(B174,Orders!$A$2:$D$1201,4,FALSE)</f>
        <v>Delivered</v>
      </c>
      <c r="H174">
        <f t="shared" si="7"/>
        <v>50</v>
      </c>
      <c r="I174" s="12">
        <f>VLOOKUP(B174,Orders!$A$2:$D$1201,3,FALSE)</f>
        <v>46177</v>
      </c>
      <c r="L174" t="str">
        <f>VLOOKUP(C174,Products!$A$2:$D$13,2,FALSE)</f>
        <v>Mouse</v>
      </c>
      <c r="M174" t="str">
        <f t="shared" si="8"/>
        <v>2026-06</v>
      </c>
    </row>
    <row r="175" spans="1:13">
      <c r="A175">
        <v>174</v>
      </c>
      <c r="B175">
        <v>1076</v>
      </c>
      <c r="C175">
        <v>5</v>
      </c>
      <c r="D175">
        <v>4</v>
      </c>
      <c r="E175">
        <v>180</v>
      </c>
      <c r="F175">
        <f t="shared" si="6"/>
        <v>720</v>
      </c>
      <c r="G175" t="str">
        <f>VLOOKUP(B175,Orders!$A$2:$D$1201,4,FALSE)</f>
        <v>Delivered</v>
      </c>
      <c r="H175">
        <f t="shared" si="7"/>
        <v>720</v>
      </c>
      <c r="I175" s="12">
        <f>VLOOKUP(B175,Orders!$A$2:$D$1201,3,FALSE)</f>
        <v>46047</v>
      </c>
      <c r="L175" t="str">
        <f>VLOOKUP(C175,Products!$A$2:$D$13,2,FALSE)</f>
        <v>Desk</v>
      </c>
      <c r="M175" t="str">
        <f t="shared" si="8"/>
        <v>2026-01</v>
      </c>
    </row>
    <row r="176" spans="1:13">
      <c r="A176">
        <v>175</v>
      </c>
      <c r="B176">
        <v>1076</v>
      </c>
      <c r="C176">
        <v>6</v>
      </c>
      <c r="D176">
        <v>1</v>
      </c>
      <c r="E176">
        <v>140</v>
      </c>
      <c r="F176">
        <f t="shared" si="6"/>
        <v>140</v>
      </c>
      <c r="G176" t="str">
        <f>VLOOKUP(B176,Orders!$A$2:$D$1201,4,FALSE)</f>
        <v>Delivered</v>
      </c>
      <c r="H176">
        <f t="shared" si="7"/>
        <v>140</v>
      </c>
      <c r="I176" s="12">
        <f>VLOOKUP(B176,Orders!$A$2:$D$1201,3,FALSE)</f>
        <v>46047</v>
      </c>
      <c r="L176" t="str">
        <f>VLOOKUP(C176,Products!$A$2:$D$13,2,FALSE)</f>
        <v>Chair</v>
      </c>
      <c r="M176" t="str">
        <f t="shared" si="8"/>
        <v>2026-01</v>
      </c>
    </row>
    <row r="177" spans="1:13">
      <c r="A177">
        <v>176</v>
      </c>
      <c r="B177">
        <v>1076</v>
      </c>
      <c r="C177">
        <v>3</v>
      </c>
      <c r="D177">
        <v>1</v>
      </c>
      <c r="E177">
        <v>45</v>
      </c>
      <c r="F177">
        <f t="shared" si="6"/>
        <v>45</v>
      </c>
      <c r="G177" t="str">
        <f>VLOOKUP(B177,Orders!$A$2:$D$1201,4,FALSE)</f>
        <v>Delivered</v>
      </c>
      <c r="H177">
        <f t="shared" si="7"/>
        <v>45</v>
      </c>
      <c r="I177" s="12">
        <f>VLOOKUP(B177,Orders!$A$2:$D$1201,3,FALSE)</f>
        <v>46047</v>
      </c>
      <c r="L177" t="str">
        <f>VLOOKUP(C177,Products!$A$2:$D$13,2,FALSE)</f>
        <v>Keyboard</v>
      </c>
      <c r="M177" t="str">
        <f t="shared" si="8"/>
        <v>2026-01</v>
      </c>
    </row>
    <row r="178" spans="1:13">
      <c r="A178">
        <v>177</v>
      </c>
      <c r="B178">
        <v>1077</v>
      </c>
      <c r="C178">
        <v>10</v>
      </c>
      <c r="D178">
        <v>3</v>
      </c>
      <c r="E178">
        <v>8</v>
      </c>
      <c r="F178">
        <f t="shared" si="6"/>
        <v>24</v>
      </c>
      <c r="G178" t="str">
        <f>VLOOKUP(B178,Orders!$A$2:$D$1201,4,FALSE)</f>
        <v>Delivered</v>
      </c>
      <c r="H178">
        <f t="shared" si="7"/>
        <v>24</v>
      </c>
      <c r="I178" s="12">
        <f>VLOOKUP(B178,Orders!$A$2:$D$1201,3,FALSE)</f>
        <v>46118</v>
      </c>
      <c r="L178" t="str">
        <f>VLOOKUP(C178,Products!$A$2:$D$13,2,FALSE)</f>
        <v>Notebook</v>
      </c>
      <c r="M178" t="str">
        <f t="shared" si="8"/>
        <v>2026-04</v>
      </c>
    </row>
    <row r="179" spans="1:13">
      <c r="A179">
        <v>178</v>
      </c>
      <c r="B179">
        <v>1078</v>
      </c>
      <c r="C179">
        <v>2</v>
      </c>
      <c r="D179">
        <v>2</v>
      </c>
      <c r="E179">
        <v>220</v>
      </c>
      <c r="F179">
        <f t="shared" si="6"/>
        <v>440</v>
      </c>
      <c r="G179" t="str">
        <f>VLOOKUP(B179,Orders!$A$2:$D$1201,4,FALSE)</f>
        <v>Shipped</v>
      </c>
      <c r="H179">
        <f t="shared" si="7"/>
        <v>440</v>
      </c>
      <c r="I179" s="12">
        <f>VLOOKUP(B179,Orders!$A$2:$D$1201,3,FALSE)</f>
        <v>46036</v>
      </c>
      <c r="L179" t="str">
        <f>VLOOKUP(C179,Products!$A$2:$D$13,2,FALSE)</f>
        <v>Monitor</v>
      </c>
      <c r="M179" t="str">
        <f t="shared" si="8"/>
        <v>2026-01</v>
      </c>
    </row>
    <row r="180" spans="1:13">
      <c r="A180">
        <v>179</v>
      </c>
      <c r="B180">
        <v>1078</v>
      </c>
      <c r="C180">
        <v>10</v>
      </c>
      <c r="D180">
        <v>2</v>
      </c>
      <c r="E180">
        <v>8</v>
      </c>
      <c r="F180">
        <f t="shared" si="6"/>
        <v>16</v>
      </c>
      <c r="G180" t="str">
        <f>VLOOKUP(B180,Orders!$A$2:$D$1201,4,FALSE)</f>
        <v>Shipped</v>
      </c>
      <c r="H180">
        <f t="shared" si="7"/>
        <v>16</v>
      </c>
      <c r="I180" s="12">
        <f>VLOOKUP(B180,Orders!$A$2:$D$1201,3,FALSE)</f>
        <v>46036</v>
      </c>
      <c r="L180" t="str">
        <f>VLOOKUP(C180,Products!$A$2:$D$13,2,FALSE)</f>
        <v>Notebook</v>
      </c>
      <c r="M180" t="str">
        <f t="shared" si="8"/>
        <v>2026-01</v>
      </c>
    </row>
    <row r="181" spans="1:13">
      <c r="A181">
        <v>180</v>
      </c>
      <c r="B181">
        <v>1079</v>
      </c>
      <c r="C181">
        <v>2</v>
      </c>
      <c r="D181">
        <v>2</v>
      </c>
      <c r="E181">
        <v>220</v>
      </c>
      <c r="F181">
        <f t="shared" si="6"/>
        <v>440</v>
      </c>
      <c r="G181" t="str">
        <f>VLOOKUP(B181,Orders!$A$2:$D$1201,4,FALSE)</f>
        <v>Delivered</v>
      </c>
      <c r="H181">
        <f t="shared" si="7"/>
        <v>440</v>
      </c>
      <c r="I181" s="12">
        <f>VLOOKUP(B181,Orders!$A$2:$D$1201,3,FALSE)</f>
        <v>46050</v>
      </c>
      <c r="L181" t="str">
        <f>VLOOKUP(C181,Products!$A$2:$D$13,2,FALSE)</f>
        <v>Monitor</v>
      </c>
      <c r="M181" t="str">
        <f t="shared" si="8"/>
        <v>2026-01</v>
      </c>
    </row>
    <row r="182" spans="1:13">
      <c r="A182">
        <v>181</v>
      </c>
      <c r="B182">
        <v>1079</v>
      </c>
      <c r="C182">
        <v>5</v>
      </c>
      <c r="D182">
        <v>4</v>
      </c>
      <c r="E182">
        <v>180</v>
      </c>
      <c r="F182">
        <f t="shared" si="6"/>
        <v>720</v>
      </c>
      <c r="G182" t="str">
        <f>VLOOKUP(B182,Orders!$A$2:$D$1201,4,FALSE)</f>
        <v>Delivered</v>
      </c>
      <c r="H182">
        <f t="shared" si="7"/>
        <v>720</v>
      </c>
      <c r="I182" s="12">
        <f>VLOOKUP(B182,Orders!$A$2:$D$1201,3,FALSE)</f>
        <v>46050</v>
      </c>
      <c r="L182" t="str">
        <f>VLOOKUP(C182,Products!$A$2:$D$13,2,FALSE)</f>
        <v>Desk</v>
      </c>
      <c r="M182" t="str">
        <f t="shared" si="8"/>
        <v>2026-01</v>
      </c>
    </row>
    <row r="183" spans="1:13">
      <c r="A183">
        <v>182</v>
      </c>
      <c r="B183">
        <v>1080</v>
      </c>
      <c r="C183">
        <v>11</v>
      </c>
      <c r="D183">
        <v>2</v>
      </c>
      <c r="E183">
        <v>48</v>
      </c>
      <c r="F183">
        <f t="shared" si="6"/>
        <v>96</v>
      </c>
      <c r="G183" t="str">
        <f>VLOOKUP(B183,Orders!$A$2:$D$1201,4,FALSE)</f>
        <v>Delivered</v>
      </c>
      <c r="H183">
        <f t="shared" si="7"/>
        <v>96</v>
      </c>
      <c r="I183" s="12">
        <f>VLOOKUP(B183,Orders!$A$2:$D$1201,3,FALSE)</f>
        <v>46195</v>
      </c>
      <c r="L183" t="str">
        <f>VLOOKUP(C183,Products!$A$2:$D$13,2,FALSE)</f>
        <v>Backpack</v>
      </c>
      <c r="M183" t="str">
        <f t="shared" si="8"/>
        <v>2026-06</v>
      </c>
    </row>
    <row r="184" spans="1:13">
      <c r="A184">
        <v>183</v>
      </c>
      <c r="B184">
        <v>1080</v>
      </c>
      <c r="C184">
        <v>5</v>
      </c>
      <c r="D184">
        <v>3</v>
      </c>
      <c r="E184">
        <v>180</v>
      </c>
      <c r="F184">
        <f t="shared" si="6"/>
        <v>540</v>
      </c>
      <c r="G184" t="str">
        <f>VLOOKUP(B184,Orders!$A$2:$D$1201,4,FALSE)</f>
        <v>Delivered</v>
      </c>
      <c r="H184">
        <f t="shared" si="7"/>
        <v>540</v>
      </c>
      <c r="I184" s="12">
        <f>VLOOKUP(B184,Orders!$A$2:$D$1201,3,FALSE)</f>
        <v>46195</v>
      </c>
      <c r="L184" t="str">
        <f>VLOOKUP(C184,Products!$A$2:$D$13,2,FALSE)</f>
        <v>Desk</v>
      </c>
      <c r="M184" t="str">
        <f t="shared" si="8"/>
        <v>2026-06</v>
      </c>
    </row>
    <row r="185" spans="1:13">
      <c r="A185">
        <v>184</v>
      </c>
      <c r="B185">
        <v>1080</v>
      </c>
      <c r="C185">
        <v>1</v>
      </c>
      <c r="D185">
        <v>3</v>
      </c>
      <c r="E185">
        <v>750</v>
      </c>
      <c r="F185">
        <f t="shared" si="6"/>
        <v>2250</v>
      </c>
      <c r="G185" t="str">
        <f>VLOOKUP(B185,Orders!$A$2:$D$1201,4,FALSE)</f>
        <v>Delivered</v>
      </c>
      <c r="H185">
        <f t="shared" si="7"/>
        <v>2250</v>
      </c>
      <c r="I185" s="12">
        <f>VLOOKUP(B185,Orders!$A$2:$D$1201,3,FALSE)</f>
        <v>46195</v>
      </c>
      <c r="L185" t="str">
        <f>VLOOKUP(C185,Products!$A$2:$D$13,2,FALSE)</f>
        <v>Laptop</v>
      </c>
      <c r="M185" t="str">
        <f t="shared" si="8"/>
        <v>2026-06</v>
      </c>
    </row>
    <row r="186" spans="1:13">
      <c r="A186">
        <v>185</v>
      </c>
      <c r="B186">
        <v>1081</v>
      </c>
      <c r="C186">
        <v>12</v>
      </c>
      <c r="D186">
        <v>1</v>
      </c>
      <c r="E186">
        <v>22</v>
      </c>
      <c r="F186">
        <f t="shared" si="6"/>
        <v>22</v>
      </c>
      <c r="G186" t="str">
        <f>VLOOKUP(B186,Orders!$A$2:$D$1201,4,FALSE)</f>
        <v>Delivered</v>
      </c>
      <c r="H186">
        <f t="shared" si="7"/>
        <v>22</v>
      </c>
      <c r="I186" s="12">
        <f>VLOOKUP(B186,Orders!$A$2:$D$1201,3,FALSE)</f>
        <v>46167</v>
      </c>
      <c r="L186" t="str">
        <f>VLOOKUP(C186,Products!$A$2:$D$13,2,FALSE)</f>
        <v>Storage Box</v>
      </c>
      <c r="M186" t="str">
        <f t="shared" si="8"/>
        <v>2026-05</v>
      </c>
    </row>
    <row r="187" spans="1:13">
      <c r="A187">
        <v>186</v>
      </c>
      <c r="B187">
        <v>1082</v>
      </c>
      <c r="C187">
        <v>6</v>
      </c>
      <c r="D187">
        <v>1</v>
      </c>
      <c r="E187">
        <v>140</v>
      </c>
      <c r="F187">
        <f t="shared" si="6"/>
        <v>140</v>
      </c>
      <c r="G187" t="str">
        <f>VLOOKUP(B187,Orders!$A$2:$D$1201,4,FALSE)</f>
        <v>Delivered</v>
      </c>
      <c r="H187">
        <f t="shared" si="7"/>
        <v>140</v>
      </c>
      <c r="I187" s="12">
        <f>VLOOKUP(B187,Orders!$A$2:$D$1201,3,FALSE)</f>
        <v>46110</v>
      </c>
      <c r="L187" t="str">
        <f>VLOOKUP(C187,Products!$A$2:$D$13,2,FALSE)</f>
        <v>Chair</v>
      </c>
      <c r="M187" t="str">
        <f t="shared" si="8"/>
        <v>2026-03</v>
      </c>
    </row>
    <row r="188" spans="1:13">
      <c r="A188">
        <v>187</v>
      </c>
      <c r="B188">
        <v>1082</v>
      </c>
      <c r="C188">
        <v>10</v>
      </c>
      <c r="D188">
        <v>1</v>
      </c>
      <c r="E188">
        <v>8</v>
      </c>
      <c r="F188">
        <f t="shared" si="6"/>
        <v>8</v>
      </c>
      <c r="G188" t="str">
        <f>VLOOKUP(B188,Orders!$A$2:$D$1201,4,FALSE)</f>
        <v>Delivered</v>
      </c>
      <c r="H188">
        <f t="shared" si="7"/>
        <v>8</v>
      </c>
      <c r="I188" s="12">
        <f>VLOOKUP(B188,Orders!$A$2:$D$1201,3,FALSE)</f>
        <v>46110</v>
      </c>
      <c r="L188" t="str">
        <f>VLOOKUP(C188,Products!$A$2:$D$13,2,FALSE)</f>
        <v>Notebook</v>
      </c>
      <c r="M188" t="str">
        <f t="shared" si="8"/>
        <v>2026-03</v>
      </c>
    </row>
    <row r="189" spans="1:13">
      <c r="A189">
        <v>188</v>
      </c>
      <c r="B189">
        <v>1082</v>
      </c>
      <c r="C189">
        <v>11</v>
      </c>
      <c r="D189">
        <v>2</v>
      </c>
      <c r="E189">
        <v>48</v>
      </c>
      <c r="F189">
        <f t="shared" si="6"/>
        <v>96</v>
      </c>
      <c r="G189" t="str">
        <f>VLOOKUP(B189,Orders!$A$2:$D$1201,4,FALSE)</f>
        <v>Delivered</v>
      </c>
      <c r="H189">
        <f t="shared" si="7"/>
        <v>96</v>
      </c>
      <c r="I189" s="12">
        <f>VLOOKUP(B189,Orders!$A$2:$D$1201,3,FALSE)</f>
        <v>46110</v>
      </c>
      <c r="L189" t="str">
        <f>VLOOKUP(C189,Products!$A$2:$D$13,2,FALSE)</f>
        <v>Backpack</v>
      </c>
      <c r="M189" t="str">
        <f t="shared" si="8"/>
        <v>2026-03</v>
      </c>
    </row>
    <row r="190" spans="1:13">
      <c r="A190">
        <v>189</v>
      </c>
      <c r="B190">
        <v>1083</v>
      </c>
      <c r="C190">
        <v>8</v>
      </c>
      <c r="D190">
        <v>2</v>
      </c>
      <c r="E190">
        <v>55</v>
      </c>
      <c r="F190">
        <f t="shared" si="6"/>
        <v>110</v>
      </c>
      <c r="G190" t="str">
        <f>VLOOKUP(B190,Orders!$A$2:$D$1201,4,FALSE)</f>
        <v>Delivered</v>
      </c>
      <c r="H190">
        <f t="shared" si="7"/>
        <v>110</v>
      </c>
      <c r="I190" s="12">
        <f>VLOOKUP(B190,Orders!$A$2:$D$1201,3,FALSE)</f>
        <v>46136</v>
      </c>
      <c r="L190" t="str">
        <f>VLOOKUP(C190,Products!$A$2:$D$13,2,FALSE)</f>
        <v>Webcam</v>
      </c>
      <c r="M190" t="str">
        <f t="shared" si="8"/>
        <v>2026-04</v>
      </c>
    </row>
    <row r="191" spans="1:13">
      <c r="A191">
        <v>190</v>
      </c>
      <c r="B191">
        <v>1083</v>
      </c>
      <c r="C191">
        <v>7</v>
      </c>
      <c r="D191">
        <v>1</v>
      </c>
      <c r="E191">
        <v>65</v>
      </c>
      <c r="F191">
        <f t="shared" si="6"/>
        <v>65</v>
      </c>
      <c r="G191" t="str">
        <f>VLOOKUP(B191,Orders!$A$2:$D$1201,4,FALSE)</f>
        <v>Delivered</v>
      </c>
      <c r="H191">
        <f t="shared" si="7"/>
        <v>65</v>
      </c>
      <c r="I191" s="12">
        <f>VLOOKUP(B191,Orders!$A$2:$D$1201,3,FALSE)</f>
        <v>46136</v>
      </c>
      <c r="L191" t="str">
        <f>VLOOKUP(C191,Products!$A$2:$D$13,2,FALSE)</f>
        <v>Headphones</v>
      </c>
      <c r="M191" t="str">
        <f t="shared" si="8"/>
        <v>2026-04</v>
      </c>
    </row>
    <row r="192" spans="1:13">
      <c r="A192">
        <v>191</v>
      </c>
      <c r="B192">
        <v>1083</v>
      </c>
      <c r="C192">
        <v>5</v>
      </c>
      <c r="D192">
        <v>3</v>
      </c>
      <c r="E192">
        <v>180</v>
      </c>
      <c r="F192">
        <f t="shared" si="6"/>
        <v>540</v>
      </c>
      <c r="G192" t="str">
        <f>VLOOKUP(B192,Orders!$A$2:$D$1201,4,FALSE)</f>
        <v>Delivered</v>
      </c>
      <c r="H192">
        <f t="shared" si="7"/>
        <v>540</v>
      </c>
      <c r="I192" s="12">
        <f>VLOOKUP(B192,Orders!$A$2:$D$1201,3,FALSE)</f>
        <v>46136</v>
      </c>
      <c r="L192" t="str">
        <f>VLOOKUP(C192,Products!$A$2:$D$13,2,FALSE)</f>
        <v>Desk</v>
      </c>
      <c r="M192" t="str">
        <f t="shared" si="8"/>
        <v>2026-04</v>
      </c>
    </row>
    <row r="193" spans="1:13">
      <c r="A193">
        <v>192</v>
      </c>
      <c r="B193">
        <v>1084</v>
      </c>
      <c r="C193">
        <v>7</v>
      </c>
      <c r="D193">
        <v>1</v>
      </c>
      <c r="E193">
        <v>65</v>
      </c>
      <c r="F193">
        <f t="shared" si="6"/>
        <v>65</v>
      </c>
      <c r="G193" t="str">
        <f>VLOOKUP(B193,Orders!$A$2:$D$1201,4,FALSE)</f>
        <v>Delivered</v>
      </c>
      <c r="H193">
        <f t="shared" si="7"/>
        <v>65</v>
      </c>
      <c r="I193" s="12">
        <f>VLOOKUP(B193,Orders!$A$2:$D$1201,3,FALSE)</f>
        <v>46157</v>
      </c>
      <c r="L193" t="str">
        <f>VLOOKUP(C193,Products!$A$2:$D$13,2,FALSE)</f>
        <v>Headphones</v>
      </c>
      <c r="M193" t="str">
        <f t="shared" si="8"/>
        <v>2026-05</v>
      </c>
    </row>
    <row r="194" spans="1:13">
      <c r="A194">
        <v>193</v>
      </c>
      <c r="B194">
        <v>1085</v>
      </c>
      <c r="C194">
        <v>8</v>
      </c>
      <c r="D194">
        <v>4</v>
      </c>
      <c r="E194">
        <v>55</v>
      </c>
      <c r="F194">
        <f t="shared" si="6"/>
        <v>220</v>
      </c>
      <c r="G194" t="str">
        <f>VLOOKUP(B194,Orders!$A$2:$D$1201,4,FALSE)</f>
        <v>Delivered</v>
      </c>
      <c r="H194">
        <f t="shared" si="7"/>
        <v>220</v>
      </c>
      <c r="I194" s="12">
        <f>VLOOKUP(B194,Orders!$A$2:$D$1201,3,FALSE)</f>
        <v>46088</v>
      </c>
      <c r="L194" t="str">
        <f>VLOOKUP(C194,Products!$A$2:$D$13,2,FALSE)</f>
        <v>Webcam</v>
      </c>
      <c r="M194" t="str">
        <f t="shared" si="8"/>
        <v>2026-03</v>
      </c>
    </row>
    <row r="195" spans="1:13">
      <c r="A195">
        <v>194</v>
      </c>
      <c r="B195">
        <v>1086</v>
      </c>
      <c r="C195">
        <v>7</v>
      </c>
      <c r="D195">
        <v>1</v>
      </c>
      <c r="E195">
        <v>65</v>
      </c>
      <c r="F195">
        <f t="shared" ref="F195:F258" si="9">D195*E195</f>
        <v>65</v>
      </c>
      <c r="G195" t="str">
        <f>VLOOKUP(B195,Orders!$A$2:$D$1201,4,FALSE)</f>
        <v>Delivered</v>
      </c>
      <c r="H195">
        <f t="shared" ref="H195:H258" si="10">IF(G195="Cancelled",0,F195)</f>
        <v>65</v>
      </c>
      <c r="I195" s="12">
        <f>VLOOKUP(B195,Orders!$A$2:$D$1201,3,FALSE)</f>
        <v>46166</v>
      </c>
      <c r="L195" t="str">
        <f>VLOOKUP(C195,Products!$A$2:$D$13,2,FALSE)</f>
        <v>Headphones</v>
      </c>
      <c r="M195" t="str">
        <f t="shared" ref="M195:M258" si="11">TEXT(I195,"yyyy-mm")</f>
        <v>2026-05</v>
      </c>
    </row>
    <row r="196" spans="1:13">
      <c r="A196">
        <v>195</v>
      </c>
      <c r="B196">
        <v>1087</v>
      </c>
      <c r="C196">
        <v>11</v>
      </c>
      <c r="D196">
        <v>1</v>
      </c>
      <c r="E196">
        <v>48</v>
      </c>
      <c r="F196">
        <f t="shared" si="9"/>
        <v>48</v>
      </c>
      <c r="G196" t="str">
        <f>VLOOKUP(B196,Orders!$A$2:$D$1201,4,FALSE)</f>
        <v>Delivered</v>
      </c>
      <c r="H196">
        <f t="shared" si="10"/>
        <v>48</v>
      </c>
      <c r="I196" s="12">
        <f>VLOOKUP(B196,Orders!$A$2:$D$1201,3,FALSE)</f>
        <v>46170</v>
      </c>
      <c r="L196" t="str">
        <f>VLOOKUP(C196,Products!$A$2:$D$13,2,FALSE)</f>
        <v>Backpack</v>
      </c>
      <c r="M196" t="str">
        <f t="shared" si="11"/>
        <v>2026-05</v>
      </c>
    </row>
    <row r="197" spans="1:13">
      <c r="A197">
        <v>196</v>
      </c>
      <c r="B197">
        <v>1087</v>
      </c>
      <c r="C197">
        <v>7</v>
      </c>
      <c r="D197">
        <v>4</v>
      </c>
      <c r="E197">
        <v>65</v>
      </c>
      <c r="F197">
        <f t="shared" si="9"/>
        <v>260</v>
      </c>
      <c r="G197" t="str">
        <f>VLOOKUP(B197,Orders!$A$2:$D$1201,4,FALSE)</f>
        <v>Delivered</v>
      </c>
      <c r="H197">
        <f t="shared" si="10"/>
        <v>260</v>
      </c>
      <c r="I197" s="12">
        <f>VLOOKUP(B197,Orders!$A$2:$D$1201,3,FALSE)</f>
        <v>46170</v>
      </c>
      <c r="L197" t="str">
        <f>VLOOKUP(C197,Products!$A$2:$D$13,2,FALSE)</f>
        <v>Headphones</v>
      </c>
      <c r="M197" t="str">
        <f t="shared" si="11"/>
        <v>2026-05</v>
      </c>
    </row>
    <row r="198" spans="1:13">
      <c r="A198">
        <v>197</v>
      </c>
      <c r="B198">
        <v>1087</v>
      </c>
      <c r="C198">
        <v>5</v>
      </c>
      <c r="D198">
        <v>1</v>
      </c>
      <c r="E198">
        <v>180</v>
      </c>
      <c r="F198">
        <f t="shared" si="9"/>
        <v>180</v>
      </c>
      <c r="G198" t="str">
        <f>VLOOKUP(B198,Orders!$A$2:$D$1201,4,FALSE)</f>
        <v>Delivered</v>
      </c>
      <c r="H198">
        <f t="shared" si="10"/>
        <v>180</v>
      </c>
      <c r="I198" s="12">
        <f>VLOOKUP(B198,Orders!$A$2:$D$1201,3,FALSE)</f>
        <v>46170</v>
      </c>
      <c r="L198" t="str">
        <f>VLOOKUP(C198,Products!$A$2:$D$13,2,FALSE)</f>
        <v>Desk</v>
      </c>
      <c r="M198" t="str">
        <f t="shared" si="11"/>
        <v>2026-05</v>
      </c>
    </row>
    <row r="199" spans="1:13">
      <c r="A199">
        <v>198</v>
      </c>
      <c r="B199">
        <v>1088</v>
      </c>
      <c r="C199">
        <v>2</v>
      </c>
      <c r="D199">
        <v>4</v>
      </c>
      <c r="E199">
        <v>220</v>
      </c>
      <c r="F199">
        <f t="shared" si="9"/>
        <v>880</v>
      </c>
      <c r="G199" t="str">
        <f>VLOOKUP(B199,Orders!$A$2:$D$1201,4,FALSE)</f>
        <v>Shipped</v>
      </c>
      <c r="H199">
        <f t="shared" si="10"/>
        <v>880</v>
      </c>
      <c r="I199" s="12">
        <f>VLOOKUP(B199,Orders!$A$2:$D$1201,3,FALSE)</f>
        <v>46199</v>
      </c>
      <c r="L199" t="str">
        <f>VLOOKUP(C199,Products!$A$2:$D$13,2,FALSE)</f>
        <v>Monitor</v>
      </c>
      <c r="M199" t="str">
        <f t="shared" si="11"/>
        <v>2026-06</v>
      </c>
    </row>
    <row r="200" spans="1:13">
      <c r="A200">
        <v>199</v>
      </c>
      <c r="B200">
        <v>1088</v>
      </c>
      <c r="C200">
        <v>4</v>
      </c>
      <c r="D200">
        <v>4</v>
      </c>
      <c r="E200">
        <v>25</v>
      </c>
      <c r="F200">
        <f t="shared" si="9"/>
        <v>100</v>
      </c>
      <c r="G200" t="str">
        <f>VLOOKUP(B200,Orders!$A$2:$D$1201,4,FALSE)</f>
        <v>Shipped</v>
      </c>
      <c r="H200">
        <f t="shared" si="10"/>
        <v>100</v>
      </c>
      <c r="I200" s="12">
        <f>VLOOKUP(B200,Orders!$A$2:$D$1201,3,FALSE)</f>
        <v>46199</v>
      </c>
      <c r="L200" t="str">
        <f>VLOOKUP(C200,Products!$A$2:$D$13,2,FALSE)</f>
        <v>Mouse</v>
      </c>
      <c r="M200" t="str">
        <f t="shared" si="11"/>
        <v>2026-06</v>
      </c>
    </row>
    <row r="201" spans="1:13">
      <c r="A201">
        <v>200</v>
      </c>
      <c r="B201">
        <v>1089</v>
      </c>
      <c r="C201">
        <v>3</v>
      </c>
      <c r="D201">
        <v>1</v>
      </c>
      <c r="E201">
        <v>45</v>
      </c>
      <c r="F201">
        <f t="shared" si="9"/>
        <v>45</v>
      </c>
      <c r="G201" t="str">
        <f>VLOOKUP(B201,Orders!$A$2:$D$1201,4,FALSE)</f>
        <v>Delivered</v>
      </c>
      <c r="H201">
        <f t="shared" si="10"/>
        <v>45</v>
      </c>
      <c r="I201" s="12">
        <f>VLOOKUP(B201,Orders!$A$2:$D$1201,3,FALSE)</f>
        <v>46102</v>
      </c>
      <c r="L201" t="str">
        <f>VLOOKUP(C201,Products!$A$2:$D$13,2,FALSE)</f>
        <v>Keyboard</v>
      </c>
      <c r="M201" t="str">
        <f t="shared" si="11"/>
        <v>2026-03</v>
      </c>
    </row>
    <row r="202" spans="1:13">
      <c r="A202">
        <v>201</v>
      </c>
      <c r="B202">
        <v>1089</v>
      </c>
      <c r="C202">
        <v>2</v>
      </c>
      <c r="D202">
        <v>2</v>
      </c>
      <c r="E202">
        <v>220</v>
      </c>
      <c r="F202">
        <f t="shared" si="9"/>
        <v>440</v>
      </c>
      <c r="G202" t="str">
        <f>VLOOKUP(B202,Orders!$A$2:$D$1201,4,FALSE)</f>
        <v>Delivered</v>
      </c>
      <c r="H202">
        <f t="shared" si="10"/>
        <v>440</v>
      </c>
      <c r="I202" s="12">
        <f>VLOOKUP(B202,Orders!$A$2:$D$1201,3,FALSE)</f>
        <v>46102</v>
      </c>
      <c r="L202" t="str">
        <f>VLOOKUP(C202,Products!$A$2:$D$13,2,FALSE)</f>
        <v>Monitor</v>
      </c>
      <c r="M202" t="str">
        <f t="shared" si="11"/>
        <v>2026-03</v>
      </c>
    </row>
    <row r="203" spans="1:13">
      <c r="A203">
        <v>202</v>
      </c>
      <c r="B203">
        <v>1090</v>
      </c>
      <c r="C203">
        <v>4</v>
      </c>
      <c r="D203">
        <v>2</v>
      </c>
      <c r="E203">
        <v>25</v>
      </c>
      <c r="F203">
        <f t="shared" si="9"/>
        <v>50</v>
      </c>
      <c r="G203" t="str">
        <f>VLOOKUP(B203,Orders!$A$2:$D$1201,4,FALSE)</f>
        <v>Delivered</v>
      </c>
      <c r="H203">
        <f t="shared" si="10"/>
        <v>50</v>
      </c>
      <c r="I203" s="12">
        <f>VLOOKUP(B203,Orders!$A$2:$D$1201,3,FALSE)</f>
        <v>46060</v>
      </c>
      <c r="L203" t="str">
        <f>VLOOKUP(C203,Products!$A$2:$D$13,2,FALSE)</f>
        <v>Mouse</v>
      </c>
      <c r="M203" t="str">
        <f t="shared" si="11"/>
        <v>2026-02</v>
      </c>
    </row>
    <row r="204" spans="1:13">
      <c r="A204">
        <v>203</v>
      </c>
      <c r="B204">
        <v>1090</v>
      </c>
      <c r="C204">
        <v>3</v>
      </c>
      <c r="D204">
        <v>1</v>
      </c>
      <c r="E204">
        <v>45</v>
      </c>
      <c r="F204">
        <f t="shared" si="9"/>
        <v>45</v>
      </c>
      <c r="G204" t="str">
        <f>VLOOKUP(B204,Orders!$A$2:$D$1201,4,FALSE)</f>
        <v>Delivered</v>
      </c>
      <c r="H204">
        <f t="shared" si="10"/>
        <v>45</v>
      </c>
      <c r="I204" s="12">
        <f>VLOOKUP(B204,Orders!$A$2:$D$1201,3,FALSE)</f>
        <v>46060</v>
      </c>
      <c r="L204" t="str">
        <f>VLOOKUP(C204,Products!$A$2:$D$13,2,FALSE)</f>
        <v>Keyboard</v>
      </c>
      <c r="M204" t="str">
        <f t="shared" si="11"/>
        <v>2026-02</v>
      </c>
    </row>
    <row r="205" spans="1:13">
      <c r="A205">
        <v>204</v>
      </c>
      <c r="B205">
        <v>1091</v>
      </c>
      <c r="C205">
        <v>11</v>
      </c>
      <c r="D205">
        <v>3</v>
      </c>
      <c r="E205">
        <v>48</v>
      </c>
      <c r="F205">
        <f t="shared" si="9"/>
        <v>144</v>
      </c>
      <c r="G205" t="str">
        <f>VLOOKUP(B205,Orders!$A$2:$D$1201,4,FALSE)</f>
        <v>Delivered</v>
      </c>
      <c r="H205">
        <f t="shared" si="10"/>
        <v>144</v>
      </c>
      <c r="I205" s="12">
        <f>VLOOKUP(B205,Orders!$A$2:$D$1201,3,FALSE)</f>
        <v>46171</v>
      </c>
      <c r="L205" t="str">
        <f>VLOOKUP(C205,Products!$A$2:$D$13,2,FALSE)</f>
        <v>Backpack</v>
      </c>
      <c r="M205" t="str">
        <f t="shared" si="11"/>
        <v>2026-05</v>
      </c>
    </row>
    <row r="206" spans="1:13">
      <c r="A206">
        <v>205</v>
      </c>
      <c r="B206">
        <v>1091</v>
      </c>
      <c r="C206">
        <v>10</v>
      </c>
      <c r="D206">
        <v>2</v>
      </c>
      <c r="E206">
        <v>8</v>
      </c>
      <c r="F206">
        <f t="shared" si="9"/>
        <v>16</v>
      </c>
      <c r="G206" t="str">
        <f>VLOOKUP(B206,Orders!$A$2:$D$1201,4,FALSE)</f>
        <v>Delivered</v>
      </c>
      <c r="H206">
        <f t="shared" si="10"/>
        <v>16</v>
      </c>
      <c r="I206" s="12">
        <f>VLOOKUP(B206,Orders!$A$2:$D$1201,3,FALSE)</f>
        <v>46171</v>
      </c>
      <c r="L206" t="str">
        <f>VLOOKUP(C206,Products!$A$2:$D$13,2,FALSE)</f>
        <v>Notebook</v>
      </c>
      <c r="M206" t="str">
        <f t="shared" si="11"/>
        <v>2026-05</v>
      </c>
    </row>
    <row r="207" spans="1:13">
      <c r="A207">
        <v>206</v>
      </c>
      <c r="B207">
        <v>1091</v>
      </c>
      <c r="C207">
        <v>6</v>
      </c>
      <c r="D207">
        <v>4</v>
      </c>
      <c r="E207">
        <v>140</v>
      </c>
      <c r="F207">
        <f t="shared" si="9"/>
        <v>560</v>
      </c>
      <c r="G207" t="str">
        <f>VLOOKUP(B207,Orders!$A$2:$D$1201,4,FALSE)</f>
        <v>Delivered</v>
      </c>
      <c r="H207">
        <f t="shared" si="10"/>
        <v>560</v>
      </c>
      <c r="I207" s="12">
        <f>VLOOKUP(B207,Orders!$A$2:$D$1201,3,FALSE)</f>
        <v>46171</v>
      </c>
      <c r="L207" t="str">
        <f>VLOOKUP(C207,Products!$A$2:$D$13,2,FALSE)</f>
        <v>Chair</v>
      </c>
      <c r="M207" t="str">
        <f t="shared" si="11"/>
        <v>2026-05</v>
      </c>
    </row>
    <row r="208" spans="1:13">
      <c r="A208">
        <v>207</v>
      </c>
      <c r="B208">
        <v>1092</v>
      </c>
      <c r="C208">
        <v>5</v>
      </c>
      <c r="D208">
        <v>4</v>
      </c>
      <c r="E208">
        <v>180</v>
      </c>
      <c r="F208">
        <f t="shared" si="9"/>
        <v>720</v>
      </c>
      <c r="G208" t="str">
        <f>VLOOKUP(B208,Orders!$A$2:$D$1201,4,FALSE)</f>
        <v>Delivered</v>
      </c>
      <c r="H208">
        <f t="shared" si="10"/>
        <v>720</v>
      </c>
      <c r="I208" s="12">
        <f>VLOOKUP(B208,Orders!$A$2:$D$1201,3,FALSE)</f>
        <v>46174</v>
      </c>
      <c r="L208" t="str">
        <f>VLOOKUP(C208,Products!$A$2:$D$13,2,FALSE)</f>
        <v>Desk</v>
      </c>
      <c r="M208" t="str">
        <f t="shared" si="11"/>
        <v>2026-06</v>
      </c>
    </row>
    <row r="209" spans="1:13">
      <c r="A209">
        <v>208</v>
      </c>
      <c r="B209">
        <v>1093</v>
      </c>
      <c r="C209">
        <v>10</v>
      </c>
      <c r="D209">
        <v>4</v>
      </c>
      <c r="E209">
        <v>8</v>
      </c>
      <c r="F209">
        <f t="shared" si="9"/>
        <v>32</v>
      </c>
      <c r="G209" t="str">
        <f>VLOOKUP(B209,Orders!$A$2:$D$1201,4,FALSE)</f>
        <v>Cancelled</v>
      </c>
      <c r="H209">
        <f t="shared" si="10"/>
        <v>0</v>
      </c>
      <c r="I209" s="12">
        <f>VLOOKUP(B209,Orders!$A$2:$D$1201,3,FALSE)</f>
        <v>46188</v>
      </c>
      <c r="L209" t="str">
        <f>VLOOKUP(C209,Products!$A$2:$D$13,2,FALSE)</f>
        <v>Notebook</v>
      </c>
      <c r="M209" t="str">
        <f t="shared" si="11"/>
        <v>2026-06</v>
      </c>
    </row>
    <row r="210" spans="1:13">
      <c r="A210">
        <v>209</v>
      </c>
      <c r="B210">
        <v>1093</v>
      </c>
      <c r="C210">
        <v>9</v>
      </c>
      <c r="D210">
        <v>1</v>
      </c>
      <c r="E210">
        <v>30</v>
      </c>
      <c r="F210">
        <f t="shared" si="9"/>
        <v>30</v>
      </c>
      <c r="G210" t="str">
        <f>VLOOKUP(B210,Orders!$A$2:$D$1201,4,FALSE)</f>
        <v>Cancelled</v>
      </c>
      <c r="H210">
        <f t="shared" si="10"/>
        <v>0</v>
      </c>
      <c r="I210" s="12">
        <f>VLOOKUP(B210,Orders!$A$2:$D$1201,3,FALSE)</f>
        <v>46188</v>
      </c>
      <c r="L210" t="str">
        <f>VLOOKUP(C210,Products!$A$2:$D$13,2,FALSE)</f>
        <v>Lamp</v>
      </c>
      <c r="M210" t="str">
        <f t="shared" si="11"/>
        <v>2026-06</v>
      </c>
    </row>
    <row r="211" spans="1:13">
      <c r="A211">
        <v>210</v>
      </c>
      <c r="B211">
        <v>1093</v>
      </c>
      <c r="C211">
        <v>7</v>
      </c>
      <c r="D211">
        <v>4</v>
      </c>
      <c r="E211">
        <v>65</v>
      </c>
      <c r="F211">
        <f t="shared" si="9"/>
        <v>260</v>
      </c>
      <c r="G211" t="str">
        <f>VLOOKUP(B211,Orders!$A$2:$D$1201,4,FALSE)</f>
        <v>Cancelled</v>
      </c>
      <c r="H211">
        <f t="shared" si="10"/>
        <v>0</v>
      </c>
      <c r="I211" s="12">
        <f>VLOOKUP(B211,Orders!$A$2:$D$1201,3,FALSE)</f>
        <v>46188</v>
      </c>
      <c r="L211" t="str">
        <f>VLOOKUP(C211,Products!$A$2:$D$13,2,FALSE)</f>
        <v>Headphones</v>
      </c>
      <c r="M211" t="str">
        <f t="shared" si="11"/>
        <v>2026-06</v>
      </c>
    </row>
    <row r="212" spans="1:13">
      <c r="A212">
        <v>211</v>
      </c>
      <c r="B212">
        <v>1094</v>
      </c>
      <c r="C212">
        <v>8</v>
      </c>
      <c r="D212">
        <v>1</v>
      </c>
      <c r="E212">
        <v>55</v>
      </c>
      <c r="F212">
        <f t="shared" si="9"/>
        <v>55</v>
      </c>
      <c r="G212" t="str">
        <f>VLOOKUP(B212,Orders!$A$2:$D$1201,4,FALSE)</f>
        <v>Delivered</v>
      </c>
      <c r="H212">
        <f t="shared" si="10"/>
        <v>55</v>
      </c>
      <c r="I212" s="12">
        <f>VLOOKUP(B212,Orders!$A$2:$D$1201,3,FALSE)</f>
        <v>46169</v>
      </c>
      <c r="L212" t="str">
        <f>VLOOKUP(C212,Products!$A$2:$D$13,2,FALSE)</f>
        <v>Webcam</v>
      </c>
      <c r="M212" t="str">
        <f t="shared" si="11"/>
        <v>2026-05</v>
      </c>
    </row>
    <row r="213" spans="1:13">
      <c r="A213">
        <v>212</v>
      </c>
      <c r="B213">
        <v>1094</v>
      </c>
      <c r="C213">
        <v>9</v>
      </c>
      <c r="D213">
        <v>4</v>
      </c>
      <c r="E213">
        <v>30</v>
      </c>
      <c r="F213">
        <f t="shared" si="9"/>
        <v>120</v>
      </c>
      <c r="G213" t="str">
        <f>VLOOKUP(B213,Orders!$A$2:$D$1201,4,FALSE)</f>
        <v>Delivered</v>
      </c>
      <c r="H213">
        <f t="shared" si="10"/>
        <v>120</v>
      </c>
      <c r="I213" s="12">
        <f>VLOOKUP(B213,Orders!$A$2:$D$1201,3,FALSE)</f>
        <v>46169</v>
      </c>
      <c r="L213" t="str">
        <f>VLOOKUP(C213,Products!$A$2:$D$13,2,FALSE)</f>
        <v>Lamp</v>
      </c>
      <c r="M213" t="str">
        <f t="shared" si="11"/>
        <v>2026-05</v>
      </c>
    </row>
    <row r="214" spans="1:13">
      <c r="A214">
        <v>213</v>
      </c>
      <c r="B214">
        <v>1094</v>
      </c>
      <c r="C214">
        <v>3</v>
      </c>
      <c r="D214">
        <v>1</v>
      </c>
      <c r="E214">
        <v>45</v>
      </c>
      <c r="F214">
        <f t="shared" si="9"/>
        <v>45</v>
      </c>
      <c r="G214" t="str">
        <f>VLOOKUP(B214,Orders!$A$2:$D$1201,4,FALSE)</f>
        <v>Delivered</v>
      </c>
      <c r="H214">
        <f t="shared" si="10"/>
        <v>45</v>
      </c>
      <c r="I214" s="12">
        <f>VLOOKUP(B214,Orders!$A$2:$D$1201,3,FALSE)</f>
        <v>46169</v>
      </c>
      <c r="L214" t="str">
        <f>VLOOKUP(C214,Products!$A$2:$D$13,2,FALSE)</f>
        <v>Keyboard</v>
      </c>
      <c r="M214" t="str">
        <f t="shared" si="11"/>
        <v>2026-05</v>
      </c>
    </row>
    <row r="215" spans="1:13">
      <c r="A215">
        <v>214</v>
      </c>
      <c r="B215">
        <v>1095</v>
      </c>
      <c r="C215">
        <v>12</v>
      </c>
      <c r="D215">
        <v>4</v>
      </c>
      <c r="E215">
        <v>22</v>
      </c>
      <c r="F215">
        <f t="shared" si="9"/>
        <v>88</v>
      </c>
      <c r="G215" t="str">
        <f>VLOOKUP(B215,Orders!$A$2:$D$1201,4,FALSE)</f>
        <v>Delivered</v>
      </c>
      <c r="H215">
        <f t="shared" si="10"/>
        <v>88</v>
      </c>
      <c r="I215" s="12">
        <f>VLOOKUP(B215,Orders!$A$2:$D$1201,3,FALSE)</f>
        <v>46152</v>
      </c>
      <c r="L215" t="str">
        <f>VLOOKUP(C215,Products!$A$2:$D$13,2,FALSE)</f>
        <v>Storage Box</v>
      </c>
      <c r="M215" t="str">
        <f t="shared" si="11"/>
        <v>2026-05</v>
      </c>
    </row>
    <row r="216" spans="1:13">
      <c r="A216">
        <v>215</v>
      </c>
      <c r="B216">
        <v>1096</v>
      </c>
      <c r="C216">
        <v>6</v>
      </c>
      <c r="D216">
        <v>1</v>
      </c>
      <c r="E216">
        <v>140</v>
      </c>
      <c r="F216">
        <f t="shared" si="9"/>
        <v>140</v>
      </c>
      <c r="G216" t="str">
        <f>VLOOKUP(B216,Orders!$A$2:$D$1201,4,FALSE)</f>
        <v>Shipped</v>
      </c>
      <c r="H216">
        <f t="shared" si="10"/>
        <v>140</v>
      </c>
      <c r="I216" s="12">
        <f>VLOOKUP(B216,Orders!$A$2:$D$1201,3,FALSE)</f>
        <v>46118</v>
      </c>
      <c r="L216" t="str">
        <f>VLOOKUP(C216,Products!$A$2:$D$13,2,FALSE)</f>
        <v>Chair</v>
      </c>
      <c r="M216" t="str">
        <f t="shared" si="11"/>
        <v>2026-04</v>
      </c>
    </row>
    <row r="217" spans="1:13">
      <c r="A217">
        <v>216</v>
      </c>
      <c r="B217">
        <v>1096</v>
      </c>
      <c r="C217">
        <v>11</v>
      </c>
      <c r="D217">
        <v>3</v>
      </c>
      <c r="E217">
        <v>48</v>
      </c>
      <c r="F217">
        <f t="shared" si="9"/>
        <v>144</v>
      </c>
      <c r="G217" t="str">
        <f>VLOOKUP(B217,Orders!$A$2:$D$1201,4,FALSE)</f>
        <v>Shipped</v>
      </c>
      <c r="H217">
        <f t="shared" si="10"/>
        <v>144</v>
      </c>
      <c r="I217" s="12">
        <f>VLOOKUP(B217,Orders!$A$2:$D$1201,3,FALSE)</f>
        <v>46118</v>
      </c>
      <c r="L217" t="str">
        <f>VLOOKUP(C217,Products!$A$2:$D$13,2,FALSE)</f>
        <v>Backpack</v>
      </c>
      <c r="M217" t="str">
        <f t="shared" si="11"/>
        <v>2026-04</v>
      </c>
    </row>
    <row r="218" spans="1:13">
      <c r="A218">
        <v>217</v>
      </c>
      <c r="B218">
        <v>1097</v>
      </c>
      <c r="C218">
        <v>12</v>
      </c>
      <c r="D218">
        <v>2</v>
      </c>
      <c r="E218">
        <v>22</v>
      </c>
      <c r="F218">
        <f t="shared" si="9"/>
        <v>44</v>
      </c>
      <c r="G218" t="str">
        <f>VLOOKUP(B218,Orders!$A$2:$D$1201,4,FALSE)</f>
        <v>Delivered</v>
      </c>
      <c r="H218">
        <f t="shared" si="10"/>
        <v>44</v>
      </c>
      <c r="I218" s="12">
        <f>VLOOKUP(B218,Orders!$A$2:$D$1201,3,FALSE)</f>
        <v>46165</v>
      </c>
      <c r="L218" t="str">
        <f>VLOOKUP(C218,Products!$A$2:$D$13,2,FALSE)</f>
        <v>Storage Box</v>
      </c>
      <c r="M218" t="str">
        <f t="shared" si="11"/>
        <v>2026-05</v>
      </c>
    </row>
    <row r="219" spans="1:13">
      <c r="A219">
        <v>218</v>
      </c>
      <c r="B219">
        <v>1097</v>
      </c>
      <c r="C219">
        <v>11</v>
      </c>
      <c r="D219">
        <v>3</v>
      </c>
      <c r="E219">
        <v>48</v>
      </c>
      <c r="F219">
        <f t="shared" si="9"/>
        <v>144</v>
      </c>
      <c r="G219" t="str">
        <f>VLOOKUP(B219,Orders!$A$2:$D$1201,4,FALSE)</f>
        <v>Delivered</v>
      </c>
      <c r="H219">
        <f t="shared" si="10"/>
        <v>144</v>
      </c>
      <c r="I219" s="12">
        <f>VLOOKUP(B219,Orders!$A$2:$D$1201,3,FALSE)</f>
        <v>46165</v>
      </c>
      <c r="L219" t="str">
        <f>VLOOKUP(C219,Products!$A$2:$D$13,2,FALSE)</f>
        <v>Backpack</v>
      </c>
      <c r="M219" t="str">
        <f t="shared" si="11"/>
        <v>2026-05</v>
      </c>
    </row>
    <row r="220" spans="1:13">
      <c r="A220">
        <v>219</v>
      </c>
      <c r="B220">
        <v>1098</v>
      </c>
      <c r="C220">
        <v>10</v>
      </c>
      <c r="D220">
        <v>1</v>
      </c>
      <c r="E220">
        <v>8</v>
      </c>
      <c r="F220">
        <f t="shared" si="9"/>
        <v>8</v>
      </c>
      <c r="G220" t="str">
        <f>VLOOKUP(B220,Orders!$A$2:$D$1201,4,FALSE)</f>
        <v>Delivered</v>
      </c>
      <c r="H220">
        <f t="shared" si="10"/>
        <v>8</v>
      </c>
      <c r="I220" s="12">
        <f>VLOOKUP(B220,Orders!$A$2:$D$1201,3,FALSE)</f>
        <v>46190</v>
      </c>
      <c r="L220" t="str">
        <f>VLOOKUP(C220,Products!$A$2:$D$13,2,FALSE)</f>
        <v>Notebook</v>
      </c>
      <c r="M220" t="str">
        <f t="shared" si="11"/>
        <v>2026-06</v>
      </c>
    </row>
    <row r="221" spans="1:13">
      <c r="A221">
        <v>220</v>
      </c>
      <c r="B221">
        <v>1099</v>
      </c>
      <c r="C221">
        <v>11</v>
      </c>
      <c r="D221">
        <v>4</v>
      </c>
      <c r="E221">
        <v>48</v>
      </c>
      <c r="F221">
        <f t="shared" si="9"/>
        <v>192</v>
      </c>
      <c r="G221" t="str">
        <f>VLOOKUP(B221,Orders!$A$2:$D$1201,4,FALSE)</f>
        <v>Delivered</v>
      </c>
      <c r="H221">
        <f t="shared" si="10"/>
        <v>192</v>
      </c>
      <c r="I221" s="12">
        <f>VLOOKUP(B221,Orders!$A$2:$D$1201,3,FALSE)</f>
        <v>46194</v>
      </c>
      <c r="L221" t="str">
        <f>VLOOKUP(C221,Products!$A$2:$D$13,2,FALSE)</f>
        <v>Backpack</v>
      </c>
      <c r="M221" t="str">
        <f t="shared" si="11"/>
        <v>2026-06</v>
      </c>
    </row>
    <row r="222" spans="1:13">
      <c r="A222">
        <v>221</v>
      </c>
      <c r="B222">
        <v>1100</v>
      </c>
      <c r="C222">
        <v>4</v>
      </c>
      <c r="D222">
        <v>2</v>
      </c>
      <c r="E222">
        <v>25</v>
      </c>
      <c r="F222">
        <f t="shared" si="9"/>
        <v>50</v>
      </c>
      <c r="G222" t="str">
        <f>VLOOKUP(B222,Orders!$A$2:$D$1201,4,FALSE)</f>
        <v>Shipped</v>
      </c>
      <c r="H222">
        <f t="shared" si="10"/>
        <v>50</v>
      </c>
      <c r="I222" s="12">
        <f>VLOOKUP(B222,Orders!$A$2:$D$1201,3,FALSE)</f>
        <v>46110</v>
      </c>
      <c r="L222" t="str">
        <f>VLOOKUP(C222,Products!$A$2:$D$13,2,FALSE)</f>
        <v>Mouse</v>
      </c>
      <c r="M222" t="str">
        <f t="shared" si="11"/>
        <v>2026-03</v>
      </c>
    </row>
    <row r="223" spans="1:13">
      <c r="A223">
        <v>222</v>
      </c>
      <c r="B223">
        <v>1101</v>
      </c>
      <c r="C223">
        <v>9</v>
      </c>
      <c r="D223">
        <v>2</v>
      </c>
      <c r="E223">
        <v>30</v>
      </c>
      <c r="F223">
        <f t="shared" si="9"/>
        <v>60</v>
      </c>
      <c r="G223" t="str">
        <f>VLOOKUP(B223,Orders!$A$2:$D$1201,4,FALSE)</f>
        <v>Delivered</v>
      </c>
      <c r="H223">
        <f t="shared" si="10"/>
        <v>60</v>
      </c>
      <c r="I223" s="12">
        <f>VLOOKUP(B223,Orders!$A$2:$D$1201,3,FALSE)</f>
        <v>46048</v>
      </c>
      <c r="L223" t="str">
        <f>VLOOKUP(C223,Products!$A$2:$D$13,2,FALSE)</f>
        <v>Lamp</v>
      </c>
      <c r="M223" t="str">
        <f t="shared" si="11"/>
        <v>2026-01</v>
      </c>
    </row>
    <row r="224" spans="1:13">
      <c r="A224">
        <v>223</v>
      </c>
      <c r="B224">
        <v>1101</v>
      </c>
      <c r="C224">
        <v>1</v>
      </c>
      <c r="D224">
        <v>4</v>
      </c>
      <c r="E224">
        <v>750</v>
      </c>
      <c r="F224">
        <f t="shared" si="9"/>
        <v>3000</v>
      </c>
      <c r="G224" t="str">
        <f>VLOOKUP(B224,Orders!$A$2:$D$1201,4,FALSE)</f>
        <v>Delivered</v>
      </c>
      <c r="H224">
        <f t="shared" si="10"/>
        <v>3000</v>
      </c>
      <c r="I224" s="12">
        <f>VLOOKUP(B224,Orders!$A$2:$D$1201,3,FALSE)</f>
        <v>46048</v>
      </c>
      <c r="L224" t="str">
        <f>VLOOKUP(C224,Products!$A$2:$D$13,2,FALSE)</f>
        <v>Laptop</v>
      </c>
      <c r="M224" t="str">
        <f t="shared" si="11"/>
        <v>2026-01</v>
      </c>
    </row>
    <row r="225" spans="1:13">
      <c r="A225">
        <v>224</v>
      </c>
      <c r="B225">
        <v>1101</v>
      </c>
      <c r="C225">
        <v>6</v>
      </c>
      <c r="D225">
        <v>2</v>
      </c>
      <c r="E225">
        <v>140</v>
      </c>
      <c r="F225">
        <f t="shared" si="9"/>
        <v>280</v>
      </c>
      <c r="G225" t="str">
        <f>VLOOKUP(B225,Orders!$A$2:$D$1201,4,FALSE)</f>
        <v>Delivered</v>
      </c>
      <c r="H225">
        <f t="shared" si="10"/>
        <v>280</v>
      </c>
      <c r="I225" s="12">
        <f>VLOOKUP(B225,Orders!$A$2:$D$1201,3,FALSE)</f>
        <v>46048</v>
      </c>
      <c r="L225" t="str">
        <f>VLOOKUP(C225,Products!$A$2:$D$13,2,FALSE)</f>
        <v>Chair</v>
      </c>
      <c r="M225" t="str">
        <f t="shared" si="11"/>
        <v>2026-01</v>
      </c>
    </row>
    <row r="226" spans="1:13">
      <c r="A226">
        <v>225</v>
      </c>
      <c r="B226">
        <v>1102</v>
      </c>
      <c r="C226">
        <v>12</v>
      </c>
      <c r="D226">
        <v>3</v>
      </c>
      <c r="E226">
        <v>22</v>
      </c>
      <c r="F226">
        <f t="shared" si="9"/>
        <v>66</v>
      </c>
      <c r="G226" t="str">
        <f>VLOOKUP(B226,Orders!$A$2:$D$1201,4,FALSE)</f>
        <v>Delivered</v>
      </c>
      <c r="H226">
        <f t="shared" si="10"/>
        <v>66</v>
      </c>
      <c r="I226" s="12">
        <f>VLOOKUP(B226,Orders!$A$2:$D$1201,3,FALSE)</f>
        <v>46135</v>
      </c>
      <c r="L226" t="str">
        <f>VLOOKUP(C226,Products!$A$2:$D$13,2,FALSE)</f>
        <v>Storage Box</v>
      </c>
      <c r="M226" t="str">
        <f t="shared" si="11"/>
        <v>2026-04</v>
      </c>
    </row>
    <row r="227" spans="1:13">
      <c r="A227">
        <v>226</v>
      </c>
      <c r="B227">
        <v>1102</v>
      </c>
      <c r="C227">
        <v>4</v>
      </c>
      <c r="D227">
        <v>4</v>
      </c>
      <c r="E227">
        <v>25</v>
      </c>
      <c r="F227">
        <f t="shared" si="9"/>
        <v>100</v>
      </c>
      <c r="G227" t="str">
        <f>VLOOKUP(B227,Orders!$A$2:$D$1201,4,FALSE)</f>
        <v>Delivered</v>
      </c>
      <c r="H227">
        <f t="shared" si="10"/>
        <v>100</v>
      </c>
      <c r="I227" s="12">
        <f>VLOOKUP(B227,Orders!$A$2:$D$1201,3,FALSE)</f>
        <v>46135</v>
      </c>
      <c r="L227" t="str">
        <f>VLOOKUP(C227,Products!$A$2:$D$13,2,FALSE)</f>
        <v>Mouse</v>
      </c>
      <c r="M227" t="str">
        <f t="shared" si="11"/>
        <v>2026-04</v>
      </c>
    </row>
    <row r="228" spans="1:13">
      <c r="A228">
        <v>227</v>
      </c>
      <c r="B228">
        <v>1102</v>
      </c>
      <c r="C228">
        <v>8</v>
      </c>
      <c r="D228">
        <v>2</v>
      </c>
      <c r="E228">
        <v>55</v>
      </c>
      <c r="F228">
        <f t="shared" si="9"/>
        <v>110</v>
      </c>
      <c r="G228" t="str">
        <f>VLOOKUP(B228,Orders!$A$2:$D$1201,4,FALSE)</f>
        <v>Delivered</v>
      </c>
      <c r="H228">
        <f t="shared" si="10"/>
        <v>110</v>
      </c>
      <c r="I228" s="12">
        <f>VLOOKUP(B228,Orders!$A$2:$D$1201,3,FALSE)</f>
        <v>46135</v>
      </c>
      <c r="L228" t="str">
        <f>VLOOKUP(C228,Products!$A$2:$D$13,2,FALSE)</f>
        <v>Webcam</v>
      </c>
      <c r="M228" t="str">
        <f t="shared" si="11"/>
        <v>2026-04</v>
      </c>
    </row>
    <row r="229" spans="1:13">
      <c r="A229">
        <v>228</v>
      </c>
      <c r="B229">
        <v>1103</v>
      </c>
      <c r="C229">
        <v>8</v>
      </c>
      <c r="D229">
        <v>4</v>
      </c>
      <c r="E229">
        <v>55</v>
      </c>
      <c r="F229">
        <f t="shared" si="9"/>
        <v>220</v>
      </c>
      <c r="G229" t="str">
        <f>VLOOKUP(B229,Orders!$A$2:$D$1201,4,FALSE)</f>
        <v>Delivered</v>
      </c>
      <c r="H229">
        <f t="shared" si="10"/>
        <v>220</v>
      </c>
      <c r="I229" s="12">
        <f>VLOOKUP(B229,Orders!$A$2:$D$1201,3,FALSE)</f>
        <v>46072</v>
      </c>
      <c r="L229" t="str">
        <f>VLOOKUP(C229,Products!$A$2:$D$13,2,FALSE)</f>
        <v>Webcam</v>
      </c>
      <c r="M229" t="str">
        <f t="shared" si="11"/>
        <v>2026-02</v>
      </c>
    </row>
    <row r="230" spans="1:13">
      <c r="A230">
        <v>229</v>
      </c>
      <c r="B230">
        <v>1103</v>
      </c>
      <c r="C230">
        <v>5</v>
      </c>
      <c r="D230">
        <v>4</v>
      </c>
      <c r="E230">
        <v>180</v>
      </c>
      <c r="F230">
        <f t="shared" si="9"/>
        <v>720</v>
      </c>
      <c r="G230" t="str">
        <f>VLOOKUP(B230,Orders!$A$2:$D$1201,4,FALSE)</f>
        <v>Delivered</v>
      </c>
      <c r="H230">
        <f t="shared" si="10"/>
        <v>720</v>
      </c>
      <c r="I230" s="12">
        <f>VLOOKUP(B230,Orders!$A$2:$D$1201,3,FALSE)</f>
        <v>46072</v>
      </c>
      <c r="L230" t="str">
        <f>VLOOKUP(C230,Products!$A$2:$D$13,2,FALSE)</f>
        <v>Desk</v>
      </c>
      <c r="M230" t="str">
        <f t="shared" si="11"/>
        <v>2026-02</v>
      </c>
    </row>
    <row r="231" spans="1:13">
      <c r="A231">
        <v>230</v>
      </c>
      <c r="B231">
        <v>1104</v>
      </c>
      <c r="C231">
        <v>9</v>
      </c>
      <c r="D231">
        <v>1</v>
      </c>
      <c r="E231">
        <v>30</v>
      </c>
      <c r="F231">
        <f t="shared" si="9"/>
        <v>30</v>
      </c>
      <c r="G231" t="str">
        <f>VLOOKUP(B231,Orders!$A$2:$D$1201,4,FALSE)</f>
        <v>Delivered</v>
      </c>
      <c r="H231">
        <f t="shared" si="10"/>
        <v>30</v>
      </c>
      <c r="I231" s="12">
        <f>VLOOKUP(B231,Orders!$A$2:$D$1201,3,FALSE)</f>
        <v>46087</v>
      </c>
      <c r="L231" t="str">
        <f>VLOOKUP(C231,Products!$A$2:$D$13,2,FALSE)</f>
        <v>Lamp</v>
      </c>
      <c r="M231" t="str">
        <f t="shared" si="11"/>
        <v>2026-03</v>
      </c>
    </row>
    <row r="232" spans="1:13">
      <c r="A232">
        <v>231</v>
      </c>
      <c r="B232">
        <v>1104</v>
      </c>
      <c r="C232">
        <v>2</v>
      </c>
      <c r="D232">
        <v>3</v>
      </c>
      <c r="E232">
        <v>220</v>
      </c>
      <c r="F232">
        <f t="shared" si="9"/>
        <v>660</v>
      </c>
      <c r="G232" t="str">
        <f>VLOOKUP(B232,Orders!$A$2:$D$1201,4,FALSE)</f>
        <v>Delivered</v>
      </c>
      <c r="H232">
        <f t="shared" si="10"/>
        <v>660</v>
      </c>
      <c r="I232" s="12">
        <f>VLOOKUP(B232,Orders!$A$2:$D$1201,3,FALSE)</f>
        <v>46087</v>
      </c>
      <c r="L232" t="str">
        <f>VLOOKUP(C232,Products!$A$2:$D$13,2,FALSE)</f>
        <v>Monitor</v>
      </c>
      <c r="M232" t="str">
        <f t="shared" si="11"/>
        <v>2026-03</v>
      </c>
    </row>
    <row r="233" spans="1:13">
      <c r="A233">
        <v>232</v>
      </c>
      <c r="B233">
        <v>1105</v>
      </c>
      <c r="C233">
        <v>8</v>
      </c>
      <c r="D233">
        <v>3</v>
      </c>
      <c r="E233">
        <v>55</v>
      </c>
      <c r="F233">
        <f t="shared" si="9"/>
        <v>165</v>
      </c>
      <c r="G233" t="str">
        <f>VLOOKUP(B233,Orders!$A$2:$D$1201,4,FALSE)</f>
        <v>Delivered</v>
      </c>
      <c r="H233">
        <f t="shared" si="10"/>
        <v>165</v>
      </c>
      <c r="I233" s="12">
        <f>VLOOKUP(B233,Orders!$A$2:$D$1201,3,FALSE)</f>
        <v>46060</v>
      </c>
      <c r="L233" t="str">
        <f>VLOOKUP(C233,Products!$A$2:$D$13,2,FALSE)</f>
        <v>Webcam</v>
      </c>
      <c r="M233" t="str">
        <f t="shared" si="11"/>
        <v>2026-02</v>
      </c>
    </row>
    <row r="234" spans="1:13">
      <c r="A234">
        <v>233</v>
      </c>
      <c r="B234">
        <v>1106</v>
      </c>
      <c r="C234">
        <v>4</v>
      </c>
      <c r="D234">
        <v>3</v>
      </c>
      <c r="E234">
        <v>25</v>
      </c>
      <c r="F234">
        <f t="shared" si="9"/>
        <v>75</v>
      </c>
      <c r="G234" t="str">
        <f>VLOOKUP(B234,Orders!$A$2:$D$1201,4,FALSE)</f>
        <v>Delivered</v>
      </c>
      <c r="H234">
        <f t="shared" si="10"/>
        <v>75</v>
      </c>
      <c r="I234" s="12">
        <f>VLOOKUP(B234,Orders!$A$2:$D$1201,3,FALSE)</f>
        <v>46083</v>
      </c>
      <c r="L234" t="str">
        <f>VLOOKUP(C234,Products!$A$2:$D$13,2,FALSE)</f>
        <v>Mouse</v>
      </c>
      <c r="M234" t="str">
        <f t="shared" si="11"/>
        <v>2026-03</v>
      </c>
    </row>
    <row r="235" spans="1:13">
      <c r="A235">
        <v>234</v>
      </c>
      <c r="B235">
        <v>1106</v>
      </c>
      <c r="C235">
        <v>1</v>
      </c>
      <c r="D235">
        <v>1</v>
      </c>
      <c r="E235">
        <v>750</v>
      </c>
      <c r="F235">
        <f t="shared" si="9"/>
        <v>750</v>
      </c>
      <c r="G235" t="str">
        <f>VLOOKUP(B235,Orders!$A$2:$D$1201,4,FALSE)</f>
        <v>Delivered</v>
      </c>
      <c r="H235">
        <f t="shared" si="10"/>
        <v>750</v>
      </c>
      <c r="I235" s="12">
        <f>VLOOKUP(B235,Orders!$A$2:$D$1201,3,FALSE)</f>
        <v>46083</v>
      </c>
      <c r="L235" t="str">
        <f>VLOOKUP(C235,Products!$A$2:$D$13,2,FALSE)</f>
        <v>Laptop</v>
      </c>
      <c r="M235" t="str">
        <f t="shared" si="11"/>
        <v>2026-03</v>
      </c>
    </row>
    <row r="236" spans="1:13">
      <c r="A236">
        <v>235</v>
      </c>
      <c r="B236">
        <v>1107</v>
      </c>
      <c r="C236">
        <v>3</v>
      </c>
      <c r="D236">
        <v>1</v>
      </c>
      <c r="E236">
        <v>45</v>
      </c>
      <c r="F236">
        <f t="shared" si="9"/>
        <v>45</v>
      </c>
      <c r="G236" t="str">
        <f>VLOOKUP(B236,Orders!$A$2:$D$1201,4,FALSE)</f>
        <v>Delivered</v>
      </c>
      <c r="H236">
        <f t="shared" si="10"/>
        <v>45</v>
      </c>
      <c r="I236" s="12">
        <f>VLOOKUP(B236,Orders!$A$2:$D$1201,3,FALSE)</f>
        <v>46032</v>
      </c>
      <c r="L236" t="str">
        <f>VLOOKUP(C236,Products!$A$2:$D$13,2,FALSE)</f>
        <v>Keyboard</v>
      </c>
      <c r="M236" t="str">
        <f t="shared" si="11"/>
        <v>2026-01</v>
      </c>
    </row>
    <row r="237" spans="1:13">
      <c r="A237">
        <v>236</v>
      </c>
      <c r="B237">
        <v>1107</v>
      </c>
      <c r="C237">
        <v>8</v>
      </c>
      <c r="D237">
        <v>1</v>
      </c>
      <c r="E237">
        <v>55</v>
      </c>
      <c r="F237">
        <f t="shared" si="9"/>
        <v>55</v>
      </c>
      <c r="G237" t="str">
        <f>VLOOKUP(B237,Orders!$A$2:$D$1201,4,FALSE)</f>
        <v>Delivered</v>
      </c>
      <c r="H237">
        <f t="shared" si="10"/>
        <v>55</v>
      </c>
      <c r="I237" s="12">
        <f>VLOOKUP(B237,Orders!$A$2:$D$1201,3,FALSE)</f>
        <v>46032</v>
      </c>
      <c r="L237" t="str">
        <f>VLOOKUP(C237,Products!$A$2:$D$13,2,FALSE)</f>
        <v>Webcam</v>
      </c>
      <c r="M237" t="str">
        <f t="shared" si="11"/>
        <v>2026-01</v>
      </c>
    </row>
    <row r="238" spans="1:13">
      <c r="A238">
        <v>237</v>
      </c>
      <c r="B238">
        <v>1107</v>
      </c>
      <c r="C238">
        <v>11</v>
      </c>
      <c r="D238">
        <v>1</v>
      </c>
      <c r="E238">
        <v>48</v>
      </c>
      <c r="F238">
        <f t="shared" si="9"/>
        <v>48</v>
      </c>
      <c r="G238" t="str">
        <f>VLOOKUP(B238,Orders!$A$2:$D$1201,4,FALSE)</f>
        <v>Delivered</v>
      </c>
      <c r="H238">
        <f t="shared" si="10"/>
        <v>48</v>
      </c>
      <c r="I238" s="12">
        <f>VLOOKUP(B238,Orders!$A$2:$D$1201,3,FALSE)</f>
        <v>46032</v>
      </c>
      <c r="L238" t="str">
        <f>VLOOKUP(C238,Products!$A$2:$D$13,2,FALSE)</f>
        <v>Backpack</v>
      </c>
      <c r="M238" t="str">
        <f t="shared" si="11"/>
        <v>2026-01</v>
      </c>
    </row>
    <row r="239" spans="1:13">
      <c r="A239">
        <v>238</v>
      </c>
      <c r="B239">
        <v>1108</v>
      </c>
      <c r="C239">
        <v>4</v>
      </c>
      <c r="D239">
        <v>1</v>
      </c>
      <c r="E239">
        <v>25</v>
      </c>
      <c r="F239">
        <f t="shared" si="9"/>
        <v>25</v>
      </c>
      <c r="G239" t="str">
        <f>VLOOKUP(B239,Orders!$A$2:$D$1201,4,FALSE)</f>
        <v>Delivered</v>
      </c>
      <c r="H239">
        <f t="shared" si="10"/>
        <v>25</v>
      </c>
      <c r="I239" s="12">
        <f>VLOOKUP(B239,Orders!$A$2:$D$1201,3,FALSE)</f>
        <v>46178</v>
      </c>
      <c r="L239" t="str">
        <f>VLOOKUP(C239,Products!$A$2:$D$13,2,FALSE)</f>
        <v>Mouse</v>
      </c>
      <c r="M239" t="str">
        <f t="shared" si="11"/>
        <v>2026-06</v>
      </c>
    </row>
    <row r="240" spans="1:13">
      <c r="A240">
        <v>239</v>
      </c>
      <c r="B240">
        <v>1108</v>
      </c>
      <c r="C240">
        <v>5</v>
      </c>
      <c r="D240">
        <v>1</v>
      </c>
      <c r="E240">
        <v>180</v>
      </c>
      <c r="F240">
        <f t="shared" si="9"/>
        <v>180</v>
      </c>
      <c r="G240" t="str">
        <f>VLOOKUP(B240,Orders!$A$2:$D$1201,4,FALSE)</f>
        <v>Delivered</v>
      </c>
      <c r="H240">
        <f t="shared" si="10"/>
        <v>180</v>
      </c>
      <c r="I240" s="12">
        <f>VLOOKUP(B240,Orders!$A$2:$D$1201,3,FALSE)</f>
        <v>46178</v>
      </c>
      <c r="L240" t="str">
        <f>VLOOKUP(C240,Products!$A$2:$D$13,2,FALSE)</f>
        <v>Desk</v>
      </c>
      <c r="M240" t="str">
        <f t="shared" si="11"/>
        <v>2026-06</v>
      </c>
    </row>
    <row r="241" spans="1:13">
      <c r="A241">
        <v>240</v>
      </c>
      <c r="B241">
        <v>1109</v>
      </c>
      <c r="C241">
        <v>9</v>
      </c>
      <c r="D241">
        <v>2</v>
      </c>
      <c r="E241">
        <v>30</v>
      </c>
      <c r="F241">
        <f t="shared" si="9"/>
        <v>60</v>
      </c>
      <c r="G241" t="str">
        <f>VLOOKUP(B241,Orders!$A$2:$D$1201,4,FALSE)</f>
        <v>Delivered</v>
      </c>
      <c r="H241">
        <f t="shared" si="10"/>
        <v>60</v>
      </c>
      <c r="I241" s="12">
        <f>VLOOKUP(B241,Orders!$A$2:$D$1201,3,FALSE)</f>
        <v>46051</v>
      </c>
      <c r="L241" t="str">
        <f>VLOOKUP(C241,Products!$A$2:$D$13,2,FALSE)</f>
        <v>Lamp</v>
      </c>
      <c r="M241" t="str">
        <f t="shared" si="11"/>
        <v>2026-01</v>
      </c>
    </row>
    <row r="242" spans="1:13">
      <c r="A242">
        <v>241</v>
      </c>
      <c r="B242">
        <v>1109</v>
      </c>
      <c r="C242">
        <v>1</v>
      </c>
      <c r="D242">
        <v>2</v>
      </c>
      <c r="E242">
        <v>750</v>
      </c>
      <c r="F242">
        <f t="shared" si="9"/>
        <v>1500</v>
      </c>
      <c r="G242" t="str">
        <f>VLOOKUP(B242,Orders!$A$2:$D$1201,4,FALSE)</f>
        <v>Delivered</v>
      </c>
      <c r="H242">
        <f t="shared" si="10"/>
        <v>1500</v>
      </c>
      <c r="I242" s="12">
        <f>VLOOKUP(B242,Orders!$A$2:$D$1201,3,FALSE)</f>
        <v>46051</v>
      </c>
      <c r="L242" t="str">
        <f>VLOOKUP(C242,Products!$A$2:$D$13,2,FALSE)</f>
        <v>Laptop</v>
      </c>
      <c r="M242" t="str">
        <f t="shared" si="11"/>
        <v>2026-01</v>
      </c>
    </row>
    <row r="243" spans="1:13">
      <c r="A243">
        <v>242</v>
      </c>
      <c r="B243">
        <v>1109</v>
      </c>
      <c r="C243">
        <v>12</v>
      </c>
      <c r="D243">
        <v>3</v>
      </c>
      <c r="E243">
        <v>22</v>
      </c>
      <c r="F243">
        <f t="shared" si="9"/>
        <v>66</v>
      </c>
      <c r="G243" t="str">
        <f>VLOOKUP(B243,Orders!$A$2:$D$1201,4,FALSE)</f>
        <v>Delivered</v>
      </c>
      <c r="H243">
        <f t="shared" si="10"/>
        <v>66</v>
      </c>
      <c r="I243" s="12">
        <f>VLOOKUP(B243,Orders!$A$2:$D$1201,3,FALSE)</f>
        <v>46051</v>
      </c>
      <c r="L243" t="str">
        <f>VLOOKUP(C243,Products!$A$2:$D$13,2,FALSE)</f>
        <v>Storage Box</v>
      </c>
      <c r="M243" t="str">
        <f t="shared" si="11"/>
        <v>2026-01</v>
      </c>
    </row>
    <row r="244" spans="1:13">
      <c r="A244">
        <v>243</v>
      </c>
      <c r="B244">
        <v>1110</v>
      </c>
      <c r="C244">
        <v>6</v>
      </c>
      <c r="D244">
        <v>1</v>
      </c>
      <c r="E244">
        <v>140</v>
      </c>
      <c r="F244">
        <f t="shared" si="9"/>
        <v>140</v>
      </c>
      <c r="G244" t="str">
        <f>VLOOKUP(B244,Orders!$A$2:$D$1201,4,FALSE)</f>
        <v>Delivered</v>
      </c>
      <c r="H244">
        <f t="shared" si="10"/>
        <v>140</v>
      </c>
      <c r="I244" s="12">
        <f>VLOOKUP(B244,Orders!$A$2:$D$1201,3,FALSE)</f>
        <v>46070</v>
      </c>
      <c r="L244" t="str">
        <f>VLOOKUP(C244,Products!$A$2:$D$13,2,FALSE)</f>
        <v>Chair</v>
      </c>
      <c r="M244" t="str">
        <f t="shared" si="11"/>
        <v>2026-02</v>
      </c>
    </row>
    <row r="245" spans="1:13">
      <c r="A245">
        <v>244</v>
      </c>
      <c r="B245">
        <v>1110</v>
      </c>
      <c r="C245">
        <v>2</v>
      </c>
      <c r="D245">
        <v>4</v>
      </c>
      <c r="E245">
        <v>220</v>
      </c>
      <c r="F245">
        <f t="shared" si="9"/>
        <v>880</v>
      </c>
      <c r="G245" t="str">
        <f>VLOOKUP(B245,Orders!$A$2:$D$1201,4,FALSE)</f>
        <v>Delivered</v>
      </c>
      <c r="H245">
        <f t="shared" si="10"/>
        <v>880</v>
      </c>
      <c r="I245" s="12">
        <f>VLOOKUP(B245,Orders!$A$2:$D$1201,3,FALSE)</f>
        <v>46070</v>
      </c>
      <c r="L245" t="str">
        <f>VLOOKUP(C245,Products!$A$2:$D$13,2,FALSE)</f>
        <v>Monitor</v>
      </c>
      <c r="M245" t="str">
        <f t="shared" si="11"/>
        <v>2026-02</v>
      </c>
    </row>
    <row r="246" spans="1:13">
      <c r="A246">
        <v>245</v>
      </c>
      <c r="B246">
        <v>1110</v>
      </c>
      <c r="C246">
        <v>9</v>
      </c>
      <c r="D246">
        <v>4</v>
      </c>
      <c r="E246">
        <v>30</v>
      </c>
      <c r="F246">
        <f t="shared" si="9"/>
        <v>120</v>
      </c>
      <c r="G246" t="str">
        <f>VLOOKUP(B246,Orders!$A$2:$D$1201,4,FALSE)</f>
        <v>Delivered</v>
      </c>
      <c r="H246">
        <f t="shared" si="10"/>
        <v>120</v>
      </c>
      <c r="I246" s="12">
        <f>VLOOKUP(B246,Orders!$A$2:$D$1201,3,FALSE)</f>
        <v>46070</v>
      </c>
      <c r="L246" t="str">
        <f>VLOOKUP(C246,Products!$A$2:$D$13,2,FALSE)</f>
        <v>Lamp</v>
      </c>
      <c r="M246" t="str">
        <f t="shared" si="11"/>
        <v>2026-02</v>
      </c>
    </row>
    <row r="247" spans="1:13">
      <c r="A247">
        <v>246</v>
      </c>
      <c r="B247">
        <v>1111</v>
      </c>
      <c r="C247">
        <v>4</v>
      </c>
      <c r="D247">
        <v>1</v>
      </c>
      <c r="E247">
        <v>25</v>
      </c>
      <c r="F247">
        <f t="shared" si="9"/>
        <v>25</v>
      </c>
      <c r="G247" t="str">
        <f>VLOOKUP(B247,Orders!$A$2:$D$1201,4,FALSE)</f>
        <v>Delivered</v>
      </c>
      <c r="H247">
        <f t="shared" si="10"/>
        <v>25</v>
      </c>
      <c r="I247" s="12">
        <f>VLOOKUP(B247,Orders!$A$2:$D$1201,3,FALSE)</f>
        <v>46027</v>
      </c>
      <c r="L247" t="str">
        <f>VLOOKUP(C247,Products!$A$2:$D$13,2,FALSE)</f>
        <v>Mouse</v>
      </c>
      <c r="M247" t="str">
        <f t="shared" si="11"/>
        <v>2026-01</v>
      </c>
    </row>
    <row r="248" spans="1:13">
      <c r="A248">
        <v>247</v>
      </c>
      <c r="B248">
        <v>1111</v>
      </c>
      <c r="C248">
        <v>11</v>
      </c>
      <c r="D248">
        <v>3</v>
      </c>
      <c r="E248">
        <v>48</v>
      </c>
      <c r="F248">
        <f t="shared" si="9"/>
        <v>144</v>
      </c>
      <c r="G248" t="str">
        <f>VLOOKUP(B248,Orders!$A$2:$D$1201,4,FALSE)</f>
        <v>Delivered</v>
      </c>
      <c r="H248">
        <f t="shared" si="10"/>
        <v>144</v>
      </c>
      <c r="I248" s="12">
        <f>VLOOKUP(B248,Orders!$A$2:$D$1201,3,FALSE)</f>
        <v>46027</v>
      </c>
      <c r="L248" t="str">
        <f>VLOOKUP(C248,Products!$A$2:$D$13,2,FALSE)</f>
        <v>Backpack</v>
      </c>
      <c r="M248" t="str">
        <f t="shared" si="11"/>
        <v>2026-01</v>
      </c>
    </row>
    <row r="249" spans="1:13">
      <c r="A249">
        <v>248</v>
      </c>
      <c r="B249">
        <v>1112</v>
      </c>
      <c r="C249">
        <v>8</v>
      </c>
      <c r="D249">
        <v>2</v>
      </c>
      <c r="E249">
        <v>55</v>
      </c>
      <c r="F249">
        <f t="shared" si="9"/>
        <v>110</v>
      </c>
      <c r="G249" t="str">
        <f>VLOOKUP(B249,Orders!$A$2:$D$1201,4,FALSE)</f>
        <v>Delivered</v>
      </c>
      <c r="H249">
        <f t="shared" si="10"/>
        <v>110</v>
      </c>
      <c r="I249" s="12">
        <f>VLOOKUP(B249,Orders!$A$2:$D$1201,3,FALSE)</f>
        <v>46067</v>
      </c>
      <c r="L249" t="str">
        <f>VLOOKUP(C249,Products!$A$2:$D$13,2,FALSE)</f>
        <v>Webcam</v>
      </c>
      <c r="M249" t="str">
        <f t="shared" si="11"/>
        <v>2026-02</v>
      </c>
    </row>
    <row r="250" spans="1:13">
      <c r="A250">
        <v>249</v>
      </c>
      <c r="B250">
        <v>1112</v>
      </c>
      <c r="C250">
        <v>11</v>
      </c>
      <c r="D250">
        <v>1</v>
      </c>
      <c r="E250">
        <v>48</v>
      </c>
      <c r="F250">
        <f t="shared" si="9"/>
        <v>48</v>
      </c>
      <c r="G250" t="str">
        <f>VLOOKUP(B250,Orders!$A$2:$D$1201,4,FALSE)</f>
        <v>Delivered</v>
      </c>
      <c r="H250">
        <f t="shared" si="10"/>
        <v>48</v>
      </c>
      <c r="I250" s="12">
        <f>VLOOKUP(B250,Orders!$A$2:$D$1201,3,FALSE)</f>
        <v>46067</v>
      </c>
      <c r="L250" t="str">
        <f>VLOOKUP(C250,Products!$A$2:$D$13,2,FALSE)</f>
        <v>Backpack</v>
      </c>
      <c r="M250" t="str">
        <f t="shared" si="11"/>
        <v>2026-02</v>
      </c>
    </row>
    <row r="251" spans="1:13">
      <c r="A251">
        <v>250</v>
      </c>
      <c r="B251">
        <v>1112</v>
      </c>
      <c r="C251">
        <v>3</v>
      </c>
      <c r="D251">
        <v>4</v>
      </c>
      <c r="E251">
        <v>45</v>
      </c>
      <c r="F251">
        <f t="shared" si="9"/>
        <v>180</v>
      </c>
      <c r="G251" t="str">
        <f>VLOOKUP(B251,Orders!$A$2:$D$1201,4,FALSE)</f>
        <v>Delivered</v>
      </c>
      <c r="H251">
        <f t="shared" si="10"/>
        <v>180</v>
      </c>
      <c r="I251" s="12">
        <f>VLOOKUP(B251,Orders!$A$2:$D$1201,3,FALSE)</f>
        <v>46067</v>
      </c>
      <c r="L251" t="str">
        <f>VLOOKUP(C251,Products!$A$2:$D$13,2,FALSE)</f>
        <v>Keyboard</v>
      </c>
      <c r="M251" t="str">
        <f t="shared" si="11"/>
        <v>2026-02</v>
      </c>
    </row>
    <row r="252" spans="1:13">
      <c r="A252">
        <v>251</v>
      </c>
      <c r="B252">
        <v>1113</v>
      </c>
      <c r="C252">
        <v>9</v>
      </c>
      <c r="D252">
        <v>3</v>
      </c>
      <c r="E252">
        <v>30</v>
      </c>
      <c r="F252">
        <f t="shared" si="9"/>
        <v>90</v>
      </c>
      <c r="G252" t="str">
        <f>VLOOKUP(B252,Orders!$A$2:$D$1201,4,FALSE)</f>
        <v>Shipped</v>
      </c>
      <c r="H252">
        <f t="shared" si="10"/>
        <v>90</v>
      </c>
      <c r="I252" s="12">
        <f>VLOOKUP(B252,Orders!$A$2:$D$1201,3,FALSE)</f>
        <v>46103</v>
      </c>
      <c r="L252" t="str">
        <f>VLOOKUP(C252,Products!$A$2:$D$13,2,FALSE)</f>
        <v>Lamp</v>
      </c>
      <c r="M252" t="str">
        <f t="shared" si="11"/>
        <v>2026-03</v>
      </c>
    </row>
    <row r="253" spans="1:13">
      <c r="A253">
        <v>252</v>
      </c>
      <c r="B253">
        <v>1113</v>
      </c>
      <c r="C253">
        <v>8</v>
      </c>
      <c r="D253">
        <v>1</v>
      </c>
      <c r="E253">
        <v>55</v>
      </c>
      <c r="F253">
        <f t="shared" si="9"/>
        <v>55</v>
      </c>
      <c r="G253" t="str">
        <f>VLOOKUP(B253,Orders!$A$2:$D$1201,4,FALSE)</f>
        <v>Shipped</v>
      </c>
      <c r="H253">
        <f t="shared" si="10"/>
        <v>55</v>
      </c>
      <c r="I253" s="12">
        <f>VLOOKUP(B253,Orders!$A$2:$D$1201,3,FALSE)</f>
        <v>46103</v>
      </c>
      <c r="L253" t="str">
        <f>VLOOKUP(C253,Products!$A$2:$D$13,2,FALSE)</f>
        <v>Webcam</v>
      </c>
      <c r="M253" t="str">
        <f t="shared" si="11"/>
        <v>2026-03</v>
      </c>
    </row>
    <row r="254" spans="1:13">
      <c r="A254">
        <v>253</v>
      </c>
      <c r="B254">
        <v>1114</v>
      </c>
      <c r="C254">
        <v>6</v>
      </c>
      <c r="D254">
        <v>3</v>
      </c>
      <c r="E254">
        <v>140</v>
      </c>
      <c r="F254">
        <f t="shared" si="9"/>
        <v>420</v>
      </c>
      <c r="G254" t="str">
        <f>VLOOKUP(B254,Orders!$A$2:$D$1201,4,FALSE)</f>
        <v>Delivered</v>
      </c>
      <c r="H254">
        <f t="shared" si="10"/>
        <v>420</v>
      </c>
      <c r="I254" s="12">
        <f>VLOOKUP(B254,Orders!$A$2:$D$1201,3,FALSE)</f>
        <v>46096</v>
      </c>
      <c r="L254" t="str">
        <f>VLOOKUP(C254,Products!$A$2:$D$13,2,FALSE)</f>
        <v>Chair</v>
      </c>
      <c r="M254" t="str">
        <f t="shared" si="11"/>
        <v>2026-03</v>
      </c>
    </row>
    <row r="255" spans="1:13">
      <c r="A255">
        <v>254</v>
      </c>
      <c r="B255">
        <v>1114</v>
      </c>
      <c r="C255">
        <v>5</v>
      </c>
      <c r="D255">
        <v>4</v>
      </c>
      <c r="E255">
        <v>180</v>
      </c>
      <c r="F255">
        <f t="shared" si="9"/>
        <v>720</v>
      </c>
      <c r="G255" t="str">
        <f>VLOOKUP(B255,Orders!$A$2:$D$1201,4,FALSE)</f>
        <v>Delivered</v>
      </c>
      <c r="H255">
        <f t="shared" si="10"/>
        <v>720</v>
      </c>
      <c r="I255" s="12">
        <f>VLOOKUP(B255,Orders!$A$2:$D$1201,3,FALSE)</f>
        <v>46096</v>
      </c>
      <c r="L255" t="str">
        <f>VLOOKUP(C255,Products!$A$2:$D$13,2,FALSE)</f>
        <v>Desk</v>
      </c>
      <c r="M255" t="str">
        <f t="shared" si="11"/>
        <v>2026-03</v>
      </c>
    </row>
    <row r="256" spans="1:13">
      <c r="A256">
        <v>255</v>
      </c>
      <c r="B256">
        <v>1114</v>
      </c>
      <c r="C256">
        <v>2</v>
      </c>
      <c r="D256">
        <v>4</v>
      </c>
      <c r="E256">
        <v>220</v>
      </c>
      <c r="F256">
        <f t="shared" si="9"/>
        <v>880</v>
      </c>
      <c r="G256" t="str">
        <f>VLOOKUP(B256,Orders!$A$2:$D$1201,4,FALSE)</f>
        <v>Delivered</v>
      </c>
      <c r="H256">
        <f t="shared" si="10"/>
        <v>880</v>
      </c>
      <c r="I256" s="12">
        <f>VLOOKUP(B256,Orders!$A$2:$D$1201,3,FALSE)</f>
        <v>46096</v>
      </c>
      <c r="L256" t="str">
        <f>VLOOKUP(C256,Products!$A$2:$D$13,2,FALSE)</f>
        <v>Monitor</v>
      </c>
      <c r="M256" t="str">
        <f t="shared" si="11"/>
        <v>2026-03</v>
      </c>
    </row>
    <row r="257" spans="1:13">
      <c r="A257">
        <v>256</v>
      </c>
      <c r="B257">
        <v>1115</v>
      </c>
      <c r="C257">
        <v>5</v>
      </c>
      <c r="D257">
        <v>1</v>
      </c>
      <c r="E257">
        <v>180</v>
      </c>
      <c r="F257">
        <f t="shared" si="9"/>
        <v>180</v>
      </c>
      <c r="G257" t="str">
        <f>VLOOKUP(B257,Orders!$A$2:$D$1201,4,FALSE)</f>
        <v>Delivered</v>
      </c>
      <c r="H257">
        <f t="shared" si="10"/>
        <v>180</v>
      </c>
      <c r="I257" s="12">
        <f>VLOOKUP(B257,Orders!$A$2:$D$1201,3,FALSE)</f>
        <v>46150</v>
      </c>
      <c r="L257" t="str">
        <f>VLOOKUP(C257,Products!$A$2:$D$13,2,FALSE)</f>
        <v>Desk</v>
      </c>
      <c r="M257" t="str">
        <f t="shared" si="11"/>
        <v>2026-05</v>
      </c>
    </row>
    <row r="258" spans="1:13">
      <c r="A258">
        <v>257</v>
      </c>
      <c r="B258">
        <v>1115</v>
      </c>
      <c r="C258">
        <v>2</v>
      </c>
      <c r="D258">
        <v>4</v>
      </c>
      <c r="E258">
        <v>220</v>
      </c>
      <c r="F258">
        <f t="shared" si="9"/>
        <v>880</v>
      </c>
      <c r="G258" t="str">
        <f>VLOOKUP(B258,Orders!$A$2:$D$1201,4,FALSE)</f>
        <v>Delivered</v>
      </c>
      <c r="H258">
        <f t="shared" si="10"/>
        <v>880</v>
      </c>
      <c r="I258" s="12">
        <f>VLOOKUP(B258,Orders!$A$2:$D$1201,3,FALSE)</f>
        <v>46150</v>
      </c>
      <c r="L258" t="str">
        <f>VLOOKUP(C258,Products!$A$2:$D$13,2,FALSE)</f>
        <v>Monitor</v>
      </c>
      <c r="M258" t="str">
        <f t="shared" si="11"/>
        <v>2026-05</v>
      </c>
    </row>
    <row r="259" spans="1:13">
      <c r="A259">
        <v>258</v>
      </c>
      <c r="B259">
        <v>1115</v>
      </c>
      <c r="C259">
        <v>7</v>
      </c>
      <c r="D259">
        <v>2</v>
      </c>
      <c r="E259">
        <v>65</v>
      </c>
      <c r="F259">
        <f t="shared" ref="F259:F322" si="12">D259*E259</f>
        <v>130</v>
      </c>
      <c r="G259" t="str">
        <f>VLOOKUP(B259,Orders!$A$2:$D$1201,4,FALSE)</f>
        <v>Delivered</v>
      </c>
      <c r="H259">
        <f t="shared" ref="H259:H322" si="13">IF(G259="Cancelled",0,F259)</f>
        <v>130</v>
      </c>
      <c r="I259" s="12">
        <f>VLOOKUP(B259,Orders!$A$2:$D$1201,3,FALSE)</f>
        <v>46150</v>
      </c>
      <c r="L259" t="str">
        <f>VLOOKUP(C259,Products!$A$2:$D$13,2,FALSE)</f>
        <v>Headphones</v>
      </c>
      <c r="M259" t="str">
        <f t="shared" ref="M259:M322" si="14">TEXT(I259,"yyyy-mm")</f>
        <v>2026-05</v>
      </c>
    </row>
    <row r="260" spans="1:13">
      <c r="A260">
        <v>259</v>
      </c>
      <c r="B260">
        <v>1116</v>
      </c>
      <c r="C260">
        <v>12</v>
      </c>
      <c r="D260">
        <v>4</v>
      </c>
      <c r="E260">
        <v>22</v>
      </c>
      <c r="F260">
        <f t="shared" si="12"/>
        <v>88</v>
      </c>
      <c r="G260" t="str">
        <f>VLOOKUP(B260,Orders!$A$2:$D$1201,4,FALSE)</f>
        <v>Delivered</v>
      </c>
      <c r="H260">
        <f t="shared" si="13"/>
        <v>88</v>
      </c>
      <c r="I260" s="12">
        <f>VLOOKUP(B260,Orders!$A$2:$D$1201,3,FALSE)</f>
        <v>46098</v>
      </c>
      <c r="L260" t="str">
        <f>VLOOKUP(C260,Products!$A$2:$D$13,2,FALSE)</f>
        <v>Storage Box</v>
      </c>
      <c r="M260" t="str">
        <f t="shared" si="14"/>
        <v>2026-03</v>
      </c>
    </row>
    <row r="261" spans="1:13">
      <c r="A261">
        <v>260</v>
      </c>
      <c r="B261">
        <v>1117</v>
      </c>
      <c r="C261">
        <v>1</v>
      </c>
      <c r="D261">
        <v>3</v>
      </c>
      <c r="E261">
        <v>750</v>
      </c>
      <c r="F261">
        <f t="shared" si="12"/>
        <v>2250</v>
      </c>
      <c r="G261" t="str">
        <f>VLOOKUP(B261,Orders!$A$2:$D$1201,4,FALSE)</f>
        <v>Pending</v>
      </c>
      <c r="H261">
        <f t="shared" si="13"/>
        <v>2250</v>
      </c>
      <c r="I261" s="12">
        <f>VLOOKUP(B261,Orders!$A$2:$D$1201,3,FALSE)</f>
        <v>46180</v>
      </c>
      <c r="L261" t="str">
        <f>VLOOKUP(C261,Products!$A$2:$D$13,2,FALSE)</f>
        <v>Laptop</v>
      </c>
      <c r="M261" t="str">
        <f t="shared" si="14"/>
        <v>2026-06</v>
      </c>
    </row>
    <row r="262" spans="1:13">
      <c r="A262">
        <v>261</v>
      </c>
      <c r="B262">
        <v>1117</v>
      </c>
      <c r="C262">
        <v>2</v>
      </c>
      <c r="D262">
        <v>2</v>
      </c>
      <c r="E262">
        <v>220</v>
      </c>
      <c r="F262">
        <f t="shared" si="12"/>
        <v>440</v>
      </c>
      <c r="G262" t="str">
        <f>VLOOKUP(B262,Orders!$A$2:$D$1201,4,FALSE)</f>
        <v>Pending</v>
      </c>
      <c r="H262">
        <f t="shared" si="13"/>
        <v>440</v>
      </c>
      <c r="I262" s="12">
        <f>VLOOKUP(B262,Orders!$A$2:$D$1201,3,FALSE)</f>
        <v>46180</v>
      </c>
      <c r="L262" t="str">
        <f>VLOOKUP(C262,Products!$A$2:$D$13,2,FALSE)</f>
        <v>Monitor</v>
      </c>
      <c r="M262" t="str">
        <f t="shared" si="14"/>
        <v>2026-06</v>
      </c>
    </row>
    <row r="263" spans="1:13">
      <c r="A263">
        <v>262</v>
      </c>
      <c r="B263">
        <v>1117</v>
      </c>
      <c r="C263">
        <v>7</v>
      </c>
      <c r="D263">
        <v>1</v>
      </c>
      <c r="E263">
        <v>65</v>
      </c>
      <c r="F263">
        <f t="shared" si="12"/>
        <v>65</v>
      </c>
      <c r="G263" t="str">
        <f>VLOOKUP(B263,Orders!$A$2:$D$1201,4,FALSE)</f>
        <v>Pending</v>
      </c>
      <c r="H263">
        <f t="shared" si="13"/>
        <v>65</v>
      </c>
      <c r="I263" s="12">
        <f>VLOOKUP(B263,Orders!$A$2:$D$1201,3,FALSE)</f>
        <v>46180</v>
      </c>
      <c r="L263" t="str">
        <f>VLOOKUP(C263,Products!$A$2:$D$13,2,FALSE)</f>
        <v>Headphones</v>
      </c>
      <c r="M263" t="str">
        <f t="shared" si="14"/>
        <v>2026-06</v>
      </c>
    </row>
    <row r="264" spans="1:13">
      <c r="A264">
        <v>263</v>
      </c>
      <c r="B264">
        <v>1118</v>
      </c>
      <c r="C264">
        <v>3</v>
      </c>
      <c r="D264">
        <v>1</v>
      </c>
      <c r="E264">
        <v>45</v>
      </c>
      <c r="F264">
        <f t="shared" si="12"/>
        <v>45</v>
      </c>
      <c r="G264" t="str">
        <f>VLOOKUP(B264,Orders!$A$2:$D$1201,4,FALSE)</f>
        <v>Delivered</v>
      </c>
      <c r="H264">
        <f t="shared" si="13"/>
        <v>45</v>
      </c>
      <c r="I264" s="12">
        <f>VLOOKUP(B264,Orders!$A$2:$D$1201,3,FALSE)</f>
        <v>46178</v>
      </c>
      <c r="L264" t="str">
        <f>VLOOKUP(C264,Products!$A$2:$D$13,2,FALSE)</f>
        <v>Keyboard</v>
      </c>
      <c r="M264" t="str">
        <f t="shared" si="14"/>
        <v>2026-06</v>
      </c>
    </row>
    <row r="265" spans="1:13">
      <c r="A265">
        <v>264</v>
      </c>
      <c r="B265">
        <v>1119</v>
      </c>
      <c r="C265">
        <v>6</v>
      </c>
      <c r="D265">
        <v>1</v>
      </c>
      <c r="E265">
        <v>140</v>
      </c>
      <c r="F265">
        <f t="shared" si="12"/>
        <v>140</v>
      </c>
      <c r="G265" t="str">
        <f>VLOOKUP(B265,Orders!$A$2:$D$1201,4,FALSE)</f>
        <v>Delivered</v>
      </c>
      <c r="H265">
        <f t="shared" si="13"/>
        <v>140</v>
      </c>
      <c r="I265" s="12">
        <f>VLOOKUP(B265,Orders!$A$2:$D$1201,3,FALSE)</f>
        <v>46031</v>
      </c>
      <c r="L265" t="str">
        <f>VLOOKUP(C265,Products!$A$2:$D$13,2,FALSE)</f>
        <v>Chair</v>
      </c>
      <c r="M265" t="str">
        <f t="shared" si="14"/>
        <v>2026-01</v>
      </c>
    </row>
    <row r="266" spans="1:13">
      <c r="A266">
        <v>265</v>
      </c>
      <c r="B266">
        <v>1119</v>
      </c>
      <c r="C266">
        <v>8</v>
      </c>
      <c r="D266">
        <v>2</v>
      </c>
      <c r="E266">
        <v>55</v>
      </c>
      <c r="F266">
        <f t="shared" si="12"/>
        <v>110</v>
      </c>
      <c r="G266" t="str">
        <f>VLOOKUP(B266,Orders!$A$2:$D$1201,4,FALSE)</f>
        <v>Delivered</v>
      </c>
      <c r="H266">
        <f t="shared" si="13"/>
        <v>110</v>
      </c>
      <c r="I266" s="12">
        <f>VLOOKUP(B266,Orders!$A$2:$D$1201,3,FALSE)</f>
        <v>46031</v>
      </c>
      <c r="L266" t="str">
        <f>VLOOKUP(C266,Products!$A$2:$D$13,2,FALSE)</f>
        <v>Webcam</v>
      </c>
      <c r="M266" t="str">
        <f t="shared" si="14"/>
        <v>2026-01</v>
      </c>
    </row>
    <row r="267" spans="1:13">
      <c r="A267">
        <v>266</v>
      </c>
      <c r="B267">
        <v>1120</v>
      </c>
      <c r="C267">
        <v>9</v>
      </c>
      <c r="D267">
        <v>1</v>
      </c>
      <c r="E267">
        <v>30</v>
      </c>
      <c r="F267">
        <f t="shared" si="12"/>
        <v>30</v>
      </c>
      <c r="G267" t="str">
        <f>VLOOKUP(B267,Orders!$A$2:$D$1201,4,FALSE)</f>
        <v>Delivered</v>
      </c>
      <c r="H267">
        <f t="shared" si="13"/>
        <v>30</v>
      </c>
      <c r="I267" s="12">
        <f>VLOOKUP(B267,Orders!$A$2:$D$1201,3,FALSE)</f>
        <v>46052</v>
      </c>
      <c r="L267" t="str">
        <f>VLOOKUP(C267,Products!$A$2:$D$13,2,FALSE)</f>
        <v>Lamp</v>
      </c>
      <c r="M267" t="str">
        <f t="shared" si="14"/>
        <v>2026-01</v>
      </c>
    </row>
    <row r="268" spans="1:13">
      <c r="A268">
        <v>267</v>
      </c>
      <c r="B268">
        <v>1120</v>
      </c>
      <c r="C268">
        <v>7</v>
      </c>
      <c r="D268">
        <v>3</v>
      </c>
      <c r="E268">
        <v>65</v>
      </c>
      <c r="F268">
        <f t="shared" si="12"/>
        <v>195</v>
      </c>
      <c r="G268" t="str">
        <f>VLOOKUP(B268,Orders!$A$2:$D$1201,4,FALSE)</f>
        <v>Delivered</v>
      </c>
      <c r="H268">
        <f t="shared" si="13"/>
        <v>195</v>
      </c>
      <c r="I268" s="12">
        <f>VLOOKUP(B268,Orders!$A$2:$D$1201,3,FALSE)</f>
        <v>46052</v>
      </c>
      <c r="L268" t="str">
        <f>VLOOKUP(C268,Products!$A$2:$D$13,2,FALSE)</f>
        <v>Headphones</v>
      </c>
      <c r="M268" t="str">
        <f t="shared" si="14"/>
        <v>2026-01</v>
      </c>
    </row>
    <row r="269" spans="1:13">
      <c r="A269">
        <v>268</v>
      </c>
      <c r="B269">
        <v>1121</v>
      </c>
      <c r="C269">
        <v>2</v>
      </c>
      <c r="D269">
        <v>2</v>
      </c>
      <c r="E269">
        <v>220</v>
      </c>
      <c r="F269">
        <f t="shared" si="12"/>
        <v>440</v>
      </c>
      <c r="G269" t="str">
        <f>VLOOKUP(B269,Orders!$A$2:$D$1201,4,FALSE)</f>
        <v>Delivered</v>
      </c>
      <c r="H269">
        <f t="shared" si="13"/>
        <v>440</v>
      </c>
      <c r="I269" s="12">
        <f>VLOOKUP(B269,Orders!$A$2:$D$1201,3,FALSE)</f>
        <v>46096</v>
      </c>
      <c r="L269" t="str">
        <f>VLOOKUP(C269,Products!$A$2:$D$13,2,FALSE)</f>
        <v>Monitor</v>
      </c>
      <c r="M269" t="str">
        <f t="shared" si="14"/>
        <v>2026-03</v>
      </c>
    </row>
    <row r="270" spans="1:13">
      <c r="A270">
        <v>269</v>
      </c>
      <c r="B270">
        <v>1122</v>
      </c>
      <c r="C270">
        <v>6</v>
      </c>
      <c r="D270">
        <v>3</v>
      </c>
      <c r="E270">
        <v>140</v>
      </c>
      <c r="F270">
        <f t="shared" si="12"/>
        <v>420</v>
      </c>
      <c r="G270" t="str">
        <f>VLOOKUP(B270,Orders!$A$2:$D$1201,4,FALSE)</f>
        <v>Delivered</v>
      </c>
      <c r="H270">
        <f t="shared" si="13"/>
        <v>420</v>
      </c>
      <c r="I270" s="12">
        <f>VLOOKUP(B270,Orders!$A$2:$D$1201,3,FALSE)</f>
        <v>46045</v>
      </c>
      <c r="L270" t="str">
        <f>VLOOKUP(C270,Products!$A$2:$D$13,2,FALSE)</f>
        <v>Chair</v>
      </c>
      <c r="M270" t="str">
        <f t="shared" si="14"/>
        <v>2026-01</v>
      </c>
    </row>
    <row r="271" spans="1:13">
      <c r="A271">
        <v>270</v>
      </c>
      <c r="B271">
        <v>1122</v>
      </c>
      <c r="C271">
        <v>2</v>
      </c>
      <c r="D271">
        <v>3</v>
      </c>
      <c r="E271">
        <v>220</v>
      </c>
      <c r="F271">
        <f t="shared" si="12"/>
        <v>660</v>
      </c>
      <c r="G271" t="str">
        <f>VLOOKUP(B271,Orders!$A$2:$D$1201,4,FALSE)</f>
        <v>Delivered</v>
      </c>
      <c r="H271">
        <f t="shared" si="13"/>
        <v>660</v>
      </c>
      <c r="I271" s="12">
        <f>VLOOKUP(B271,Orders!$A$2:$D$1201,3,FALSE)</f>
        <v>46045</v>
      </c>
      <c r="L271" t="str">
        <f>VLOOKUP(C271,Products!$A$2:$D$13,2,FALSE)</f>
        <v>Monitor</v>
      </c>
      <c r="M271" t="str">
        <f t="shared" si="14"/>
        <v>2026-01</v>
      </c>
    </row>
    <row r="272" spans="1:13">
      <c r="A272">
        <v>271</v>
      </c>
      <c r="B272">
        <v>1122</v>
      </c>
      <c r="C272">
        <v>9</v>
      </c>
      <c r="D272">
        <v>2</v>
      </c>
      <c r="E272">
        <v>30</v>
      </c>
      <c r="F272">
        <f t="shared" si="12"/>
        <v>60</v>
      </c>
      <c r="G272" t="str">
        <f>VLOOKUP(B272,Orders!$A$2:$D$1201,4,FALSE)</f>
        <v>Delivered</v>
      </c>
      <c r="H272">
        <f t="shared" si="13"/>
        <v>60</v>
      </c>
      <c r="I272" s="12">
        <f>VLOOKUP(B272,Orders!$A$2:$D$1201,3,FALSE)</f>
        <v>46045</v>
      </c>
      <c r="L272" t="str">
        <f>VLOOKUP(C272,Products!$A$2:$D$13,2,FALSE)</f>
        <v>Lamp</v>
      </c>
      <c r="M272" t="str">
        <f t="shared" si="14"/>
        <v>2026-01</v>
      </c>
    </row>
    <row r="273" spans="1:13">
      <c r="A273">
        <v>272</v>
      </c>
      <c r="B273">
        <v>1123</v>
      </c>
      <c r="C273">
        <v>4</v>
      </c>
      <c r="D273">
        <v>4</v>
      </c>
      <c r="E273">
        <v>25</v>
      </c>
      <c r="F273">
        <f t="shared" si="12"/>
        <v>100</v>
      </c>
      <c r="G273" t="str">
        <f>VLOOKUP(B273,Orders!$A$2:$D$1201,4,FALSE)</f>
        <v>Delivered</v>
      </c>
      <c r="H273">
        <f t="shared" si="13"/>
        <v>100</v>
      </c>
      <c r="I273" s="12">
        <f>VLOOKUP(B273,Orders!$A$2:$D$1201,3,FALSE)</f>
        <v>46153</v>
      </c>
      <c r="L273" t="str">
        <f>VLOOKUP(C273,Products!$A$2:$D$13,2,FALSE)</f>
        <v>Mouse</v>
      </c>
      <c r="M273" t="str">
        <f t="shared" si="14"/>
        <v>2026-05</v>
      </c>
    </row>
    <row r="274" spans="1:13">
      <c r="A274">
        <v>273</v>
      </c>
      <c r="B274">
        <v>1124</v>
      </c>
      <c r="C274">
        <v>5</v>
      </c>
      <c r="D274">
        <v>4</v>
      </c>
      <c r="E274">
        <v>180</v>
      </c>
      <c r="F274">
        <f t="shared" si="12"/>
        <v>720</v>
      </c>
      <c r="G274" t="str">
        <f>VLOOKUP(B274,Orders!$A$2:$D$1201,4,FALSE)</f>
        <v>Delivered</v>
      </c>
      <c r="H274">
        <f t="shared" si="13"/>
        <v>720</v>
      </c>
      <c r="I274" s="12">
        <f>VLOOKUP(B274,Orders!$A$2:$D$1201,3,FALSE)</f>
        <v>46056</v>
      </c>
      <c r="L274" t="str">
        <f>VLOOKUP(C274,Products!$A$2:$D$13,2,FALSE)</f>
        <v>Desk</v>
      </c>
      <c r="M274" t="str">
        <f t="shared" si="14"/>
        <v>2026-02</v>
      </c>
    </row>
    <row r="275" spans="1:13">
      <c r="A275">
        <v>274</v>
      </c>
      <c r="B275">
        <v>1125</v>
      </c>
      <c r="C275">
        <v>2</v>
      </c>
      <c r="D275">
        <v>3</v>
      </c>
      <c r="E275">
        <v>220</v>
      </c>
      <c r="F275">
        <f t="shared" si="12"/>
        <v>660</v>
      </c>
      <c r="G275" t="str">
        <f>VLOOKUP(B275,Orders!$A$2:$D$1201,4,FALSE)</f>
        <v>Delivered</v>
      </c>
      <c r="H275">
        <f t="shared" si="13"/>
        <v>660</v>
      </c>
      <c r="I275" s="12">
        <f>VLOOKUP(B275,Orders!$A$2:$D$1201,3,FALSE)</f>
        <v>46170</v>
      </c>
      <c r="L275" t="str">
        <f>VLOOKUP(C275,Products!$A$2:$D$13,2,FALSE)</f>
        <v>Monitor</v>
      </c>
      <c r="M275" t="str">
        <f t="shared" si="14"/>
        <v>2026-05</v>
      </c>
    </row>
    <row r="276" spans="1:13">
      <c r="A276">
        <v>275</v>
      </c>
      <c r="B276">
        <v>1125</v>
      </c>
      <c r="C276">
        <v>8</v>
      </c>
      <c r="D276">
        <v>2</v>
      </c>
      <c r="E276">
        <v>55</v>
      </c>
      <c r="F276">
        <f t="shared" si="12"/>
        <v>110</v>
      </c>
      <c r="G276" t="str">
        <f>VLOOKUP(B276,Orders!$A$2:$D$1201,4,FALSE)</f>
        <v>Delivered</v>
      </c>
      <c r="H276">
        <f t="shared" si="13"/>
        <v>110</v>
      </c>
      <c r="I276" s="12">
        <f>VLOOKUP(B276,Orders!$A$2:$D$1201,3,FALSE)</f>
        <v>46170</v>
      </c>
      <c r="L276" t="str">
        <f>VLOOKUP(C276,Products!$A$2:$D$13,2,FALSE)</f>
        <v>Webcam</v>
      </c>
      <c r="M276" t="str">
        <f t="shared" si="14"/>
        <v>2026-05</v>
      </c>
    </row>
    <row r="277" spans="1:13">
      <c r="A277">
        <v>276</v>
      </c>
      <c r="B277">
        <v>1125</v>
      </c>
      <c r="C277">
        <v>11</v>
      </c>
      <c r="D277">
        <v>2</v>
      </c>
      <c r="E277">
        <v>48</v>
      </c>
      <c r="F277">
        <f t="shared" si="12"/>
        <v>96</v>
      </c>
      <c r="G277" t="str">
        <f>VLOOKUP(B277,Orders!$A$2:$D$1201,4,FALSE)</f>
        <v>Delivered</v>
      </c>
      <c r="H277">
        <f t="shared" si="13"/>
        <v>96</v>
      </c>
      <c r="I277" s="12">
        <f>VLOOKUP(B277,Orders!$A$2:$D$1201,3,FALSE)</f>
        <v>46170</v>
      </c>
      <c r="L277" t="str">
        <f>VLOOKUP(C277,Products!$A$2:$D$13,2,FALSE)</f>
        <v>Backpack</v>
      </c>
      <c r="M277" t="str">
        <f t="shared" si="14"/>
        <v>2026-05</v>
      </c>
    </row>
    <row r="278" spans="1:13">
      <c r="A278">
        <v>277</v>
      </c>
      <c r="B278">
        <v>1126</v>
      </c>
      <c r="C278">
        <v>3</v>
      </c>
      <c r="D278">
        <v>3</v>
      </c>
      <c r="E278">
        <v>45</v>
      </c>
      <c r="F278">
        <f t="shared" si="12"/>
        <v>135</v>
      </c>
      <c r="G278" t="str">
        <f>VLOOKUP(B278,Orders!$A$2:$D$1201,4,FALSE)</f>
        <v>Delivered</v>
      </c>
      <c r="H278">
        <f t="shared" si="13"/>
        <v>135</v>
      </c>
      <c r="I278" s="12">
        <f>VLOOKUP(B278,Orders!$A$2:$D$1201,3,FALSE)</f>
        <v>46054</v>
      </c>
      <c r="L278" t="str">
        <f>VLOOKUP(C278,Products!$A$2:$D$13,2,FALSE)</f>
        <v>Keyboard</v>
      </c>
      <c r="M278" t="str">
        <f t="shared" si="14"/>
        <v>2026-02</v>
      </c>
    </row>
    <row r="279" spans="1:13">
      <c r="A279">
        <v>278</v>
      </c>
      <c r="B279">
        <v>1127</v>
      </c>
      <c r="C279">
        <v>11</v>
      </c>
      <c r="D279">
        <v>3</v>
      </c>
      <c r="E279">
        <v>48</v>
      </c>
      <c r="F279">
        <f t="shared" si="12"/>
        <v>144</v>
      </c>
      <c r="G279" t="str">
        <f>VLOOKUP(B279,Orders!$A$2:$D$1201,4,FALSE)</f>
        <v>Delivered</v>
      </c>
      <c r="H279">
        <f t="shared" si="13"/>
        <v>144</v>
      </c>
      <c r="I279" s="12">
        <f>VLOOKUP(B279,Orders!$A$2:$D$1201,3,FALSE)</f>
        <v>46095</v>
      </c>
      <c r="L279" t="str">
        <f>VLOOKUP(C279,Products!$A$2:$D$13,2,FALSE)</f>
        <v>Backpack</v>
      </c>
      <c r="M279" t="str">
        <f t="shared" si="14"/>
        <v>2026-03</v>
      </c>
    </row>
    <row r="280" spans="1:13">
      <c r="A280">
        <v>279</v>
      </c>
      <c r="B280">
        <v>1128</v>
      </c>
      <c r="C280">
        <v>3</v>
      </c>
      <c r="D280">
        <v>3</v>
      </c>
      <c r="E280">
        <v>45</v>
      </c>
      <c r="F280">
        <f t="shared" si="12"/>
        <v>135</v>
      </c>
      <c r="G280" t="str">
        <f>VLOOKUP(B280,Orders!$A$2:$D$1201,4,FALSE)</f>
        <v>Delivered</v>
      </c>
      <c r="H280">
        <f t="shared" si="13"/>
        <v>135</v>
      </c>
      <c r="I280" s="12">
        <f>VLOOKUP(B280,Orders!$A$2:$D$1201,3,FALSE)</f>
        <v>46187</v>
      </c>
      <c r="L280" t="str">
        <f>VLOOKUP(C280,Products!$A$2:$D$13,2,FALSE)</f>
        <v>Keyboard</v>
      </c>
      <c r="M280" t="str">
        <f t="shared" si="14"/>
        <v>2026-06</v>
      </c>
    </row>
    <row r="281" spans="1:13">
      <c r="A281">
        <v>280</v>
      </c>
      <c r="B281">
        <v>1129</v>
      </c>
      <c r="C281">
        <v>11</v>
      </c>
      <c r="D281">
        <v>4</v>
      </c>
      <c r="E281">
        <v>48</v>
      </c>
      <c r="F281">
        <f t="shared" si="12"/>
        <v>192</v>
      </c>
      <c r="G281" t="str">
        <f>VLOOKUP(B281,Orders!$A$2:$D$1201,4,FALSE)</f>
        <v>Delivered</v>
      </c>
      <c r="H281">
        <f t="shared" si="13"/>
        <v>192</v>
      </c>
      <c r="I281" s="12">
        <f>VLOOKUP(B281,Orders!$A$2:$D$1201,3,FALSE)</f>
        <v>46043</v>
      </c>
      <c r="L281" t="str">
        <f>VLOOKUP(C281,Products!$A$2:$D$13,2,FALSE)</f>
        <v>Backpack</v>
      </c>
      <c r="M281" t="str">
        <f t="shared" si="14"/>
        <v>2026-01</v>
      </c>
    </row>
    <row r="282" spans="1:13">
      <c r="A282">
        <v>281</v>
      </c>
      <c r="B282">
        <v>1129</v>
      </c>
      <c r="C282">
        <v>4</v>
      </c>
      <c r="D282">
        <v>1</v>
      </c>
      <c r="E282">
        <v>25</v>
      </c>
      <c r="F282">
        <f t="shared" si="12"/>
        <v>25</v>
      </c>
      <c r="G282" t="str">
        <f>VLOOKUP(B282,Orders!$A$2:$D$1201,4,FALSE)</f>
        <v>Delivered</v>
      </c>
      <c r="H282">
        <f t="shared" si="13"/>
        <v>25</v>
      </c>
      <c r="I282" s="12">
        <f>VLOOKUP(B282,Orders!$A$2:$D$1201,3,FALSE)</f>
        <v>46043</v>
      </c>
      <c r="L282" t="str">
        <f>VLOOKUP(C282,Products!$A$2:$D$13,2,FALSE)</f>
        <v>Mouse</v>
      </c>
      <c r="M282" t="str">
        <f t="shared" si="14"/>
        <v>2026-01</v>
      </c>
    </row>
    <row r="283" spans="1:13">
      <c r="A283">
        <v>282</v>
      </c>
      <c r="B283">
        <v>1130</v>
      </c>
      <c r="C283">
        <v>8</v>
      </c>
      <c r="D283">
        <v>1</v>
      </c>
      <c r="E283">
        <v>55</v>
      </c>
      <c r="F283">
        <f t="shared" si="12"/>
        <v>55</v>
      </c>
      <c r="G283" t="str">
        <f>VLOOKUP(B283,Orders!$A$2:$D$1201,4,FALSE)</f>
        <v>Delivered</v>
      </c>
      <c r="H283">
        <f t="shared" si="13"/>
        <v>55</v>
      </c>
      <c r="I283" s="12">
        <f>VLOOKUP(B283,Orders!$A$2:$D$1201,3,FALSE)</f>
        <v>46146</v>
      </c>
      <c r="L283" t="str">
        <f>VLOOKUP(C283,Products!$A$2:$D$13,2,FALSE)</f>
        <v>Webcam</v>
      </c>
      <c r="M283" t="str">
        <f t="shared" si="14"/>
        <v>2026-05</v>
      </c>
    </row>
    <row r="284" spans="1:13">
      <c r="A284">
        <v>283</v>
      </c>
      <c r="B284">
        <v>1130</v>
      </c>
      <c r="C284">
        <v>2</v>
      </c>
      <c r="D284">
        <v>2</v>
      </c>
      <c r="E284">
        <v>220</v>
      </c>
      <c r="F284">
        <f t="shared" si="12"/>
        <v>440</v>
      </c>
      <c r="G284" t="str">
        <f>VLOOKUP(B284,Orders!$A$2:$D$1201,4,FALSE)</f>
        <v>Delivered</v>
      </c>
      <c r="H284">
        <f t="shared" si="13"/>
        <v>440</v>
      </c>
      <c r="I284" s="12">
        <f>VLOOKUP(B284,Orders!$A$2:$D$1201,3,FALSE)</f>
        <v>46146</v>
      </c>
      <c r="L284" t="str">
        <f>VLOOKUP(C284,Products!$A$2:$D$13,2,FALSE)</f>
        <v>Monitor</v>
      </c>
      <c r="M284" t="str">
        <f t="shared" si="14"/>
        <v>2026-05</v>
      </c>
    </row>
    <row r="285" spans="1:13">
      <c r="A285">
        <v>284</v>
      </c>
      <c r="B285">
        <v>1131</v>
      </c>
      <c r="C285">
        <v>6</v>
      </c>
      <c r="D285">
        <v>3</v>
      </c>
      <c r="E285">
        <v>140</v>
      </c>
      <c r="F285">
        <f t="shared" si="12"/>
        <v>420</v>
      </c>
      <c r="G285" t="str">
        <f>VLOOKUP(B285,Orders!$A$2:$D$1201,4,FALSE)</f>
        <v>Delivered</v>
      </c>
      <c r="H285">
        <f t="shared" si="13"/>
        <v>420</v>
      </c>
      <c r="I285" s="12">
        <f>VLOOKUP(B285,Orders!$A$2:$D$1201,3,FALSE)</f>
        <v>46059</v>
      </c>
      <c r="L285" t="str">
        <f>VLOOKUP(C285,Products!$A$2:$D$13,2,FALSE)</f>
        <v>Chair</v>
      </c>
      <c r="M285" t="str">
        <f t="shared" si="14"/>
        <v>2026-02</v>
      </c>
    </row>
    <row r="286" spans="1:13">
      <c r="A286">
        <v>285</v>
      </c>
      <c r="B286">
        <v>1131</v>
      </c>
      <c r="C286">
        <v>7</v>
      </c>
      <c r="D286">
        <v>1</v>
      </c>
      <c r="E286">
        <v>65</v>
      </c>
      <c r="F286">
        <f t="shared" si="12"/>
        <v>65</v>
      </c>
      <c r="G286" t="str">
        <f>VLOOKUP(B286,Orders!$A$2:$D$1201,4,FALSE)</f>
        <v>Delivered</v>
      </c>
      <c r="H286">
        <f t="shared" si="13"/>
        <v>65</v>
      </c>
      <c r="I286" s="12">
        <f>VLOOKUP(B286,Orders!$A$2:$D$1201,3,FALSE)</f>
        <v>46059</v>
      </c>
      <c r="L286" t="str">
        <f>VLOOKUP(C286,Products!$A$2:$D$13,2,FALSE)</f>
        <v>Headphones</v>
      </c>
      <c r="M286" t="str">
        <f t="shared" si="14"/>
        <v>2026-02</v>
      </c>
    </row>
    <row r="287" spans="1:13">
      <c r="A287">
        <v>286</v>
      </c>
      <c r="B287">
        <v>1131</v>
      </c>
      <c r="C287">
        <v>3</v>
      </c>
      <c r="D287">
        <v>3</v>
      </c>
      <c r="E287">
        <v>45</v>
      </c>
      <c r="F287">
        <f t="shared" si="12"/>
        <v>135</v>
      </c>
      <c r="G287" t="str">
        <f>VLOOKUP(B287,Orders!$A$2:$D$1201,4,FALSE)</f>
        <v>Delivered</v>
      </c>
      <c r="H287">
        <f t="shared" si="13"/>
        <v>135</v>
      </c>
      <c r="I287" s="12">
        <f>VLOOKUP(B287,Orders!$A$2:$D$1201,3,FALSE)</f>
        <v>46059</v>
      </c>
      <c r="L287" t="str">
        <f>VLOOKUP(C287,Products!$A$2:$D$13,2,FALSE)</f>
        <v>Keyboard</v>
      </c>
      <c r="M287" t="str">
        <f t="shared" si="14"/>
        <v>2026-02</v>
      </c>
    </row>
    <row r="288" spans="1:13">
      <c r="A288">
        <v>287</v>
      </c>
      <c r="B288">
        <v>1132</v>
      </c>
      <c r="C288">
        <v>7</v>
      </c>
      <c r="D288">
        <v>3</v>
      </c>
      <c r="E288">
        <v>65</v>
      </c>
      <c r="F288">
        <f t="shared" si="12"/>
        <v>195</v>
      </c>
      <c r="G288" t="str">
        <f>VLOOKUP(B288,Orders!$A$2:$D$1201,4,FALSE)</f>
        <v>Delivered</v>
      </c>
      <c r="H288">
        <f t="shared" si="13"/>
        <v>195</v>
      </c>
      <c r="I288" s="12">
        <f>VLOOKUP(B288,Orders!$A$2:$D$1201,3,FALSE)</f>
        <v>46047</v>
      </c>
      <c r="L288" t="str">
        <f>VLOOKUP(C288,Products!$A$2:$D$13,2,FALSE)</f>
        <v>Headphones</v>
      </c>
      <c r="M288" t="str">
        <f t="shared" si="14"/>
        <v>2026-01</v>
      </c>
    </row>
    <row r="289" spans="1:13">
      <c r="A289">
        <v>288</v>
      </c>
      <c r="B289">
        <v>1132</v>
      </c>
      <c r="C289">
        <v>4</v>
      </c>
      <c r="D289">
        <v>3</v>
      </c>
      <c r="E289">
        <v>25</v>
      </c>
      <c r="F289">
        <f t="shared" si="12"/>
        <v>75</v>
      </c>
      <c r="G289" t="str">
        <f>VLOOKUP(B289,Orders!$A$2:$D$1201,4,FALSE)</f>
        <v>Delivered</v>
      </c>
      <c r="H289">
        <f t="shared" si="13"/>
        <v>75</v>
      </c>
      <c r="I289" s="12">
        <f>VLOOKUP(B289,Orders!$A$2:$D$1201,3,FALSE)</f>
        <v>46047</v>
      </c>
      <c r="L289" t="str">
        <f>VLOOKUP(C289,Products!$A$2:$D$13,2,FALSE)</f>
        <v>Mouse</v>
      </c>
      <c r="M289" t="str">
        <f t="shared" si="14"/>
        <v>2026-01</v>
      </c>
    </row>
    <row r="290" spans="1:13">
      <c r="A290">
        <v>289</v>
      </c>
      <c r="B290">
        <v>1132</v>
      </c>
      <c r="C290">
        <v>3</v>
      </c>
      <c r="D290">
        <v>2</v>
      </c>
      <c r="E290">
        <v>45</v>
      </c>
      <c r="F290">
        <f t="shared" si="12"/>
        <v>90</v>
      </c>
      <c r="G290" t="str">
        <f>VLOOKUP(B290,Orders!$A$2:$D$1201,4,FALSE)</f>
        <v>Delivered</v>
      </c>
      <c r="H290">
        <f t="shared" si="13"/>
        <v>90</v>
      </c>
      <c r="I290" s="12">
        <f>VLOOKUP(B290,Orders!$A$2:$D$1201,3,FALSE)</f>
        <v>46047</v>
      </c>
      <c r="L290" t="str">
        <f>VLOOKUP(C290,Products!$A$2:$D$13,2,FALSE)</f>
        <v>Keyboard</v>
      </c>
      <c r="M290" t="str">
        <f t="shared" si="14"/>
        <v>2026-01</v>
      </c>
    </row>
    <row r="291" spans="1:13">
      <c r="A291">
        <v>290</v>
      </c>
      <c r="B291">
        <v>1133</v>
      </c>
      <c r="C291">
        <v>9</v>
      </c>
      <c r="D291">
        <v>2</v>
      </c>
      <c r="E291">
        <v>30</v>
      </c>
      <c r="F291">
        <f t="shared" si="12"/>
        <v>60</v>
      </c>
      <c r="G291" t="str">
        <f>VLOOKUP(B291,Orders!$A$2:$D$1201,4,FALSE)</f>
        <v>Delivered</v>
      </c>
      <c r="H291">
        <f t="shared" si="13"/>
        <v>60</v>
      </c>
      <c r="I291" s="12">
        <f>VLOOKUP(B291,Orders!$A$2:$D$1201,3,FALSE)</f>
        <v>46101</v>
      </c>
      <c r="L291" t="str">
        <f>VLOOKUP(C291,Products!$A$2:$D$13,2,FALSE)</f>
        <v>Lamp</v>
      </c>
      <c r="M291" t="str">
        <f t="shared" si="14"/>
        <v>2026-03</v>
      </c>
    </row>
    <row r="292" spans="1:13">
      <c r="A292">
        <v>291</v>
      </c>
      <c r="B292">
        <v>1133</v>
      </c>
      <c r="C292">
        <v>8</v>
      </c>
      <c r="D292">
        <v>2</v>
      </c>
      <c r="E292">
        <v>55</v>
      </c>
      <c r="F292">
        <f t="shared" si="12"/>
        <v>110</v>
      </c>
      <c r="G292" t="str">
        <f>VLOOKUP(B292,Orders!$A$2:$D$1201,4,FALSE)</f>
        <v>Delivered</v>
      </c>
      <c r="H292">
        <f t="shared" si="13"/>
        <v>110</v>
      </c>
      <c r="I292" s="12">
        <f>VLOOKUP(B292,Orders!$A$2:$D$1201,3,FALSE)</f>
        <v>46101</v>
      </c>
      <c r="L292" t="str">
        <f>VLOOKUP(C292,Products!$A$2:$D$13,2,FALSE)</f>
        <v>Webcam</v>
      </c>
      <c r="M292" t="str">
        <f t="shared" si="14"/>
        <v>2026-03</v>
      </c>
    </row>
    <row r="293" spans="1:13">
      <c r="A293">
        <v>292</v>
      </c>
      <c r="B293">
        <v>1134</v>
      </c>
      <c r="C293">
        <v>1</v>
      </c>
      <c r="D293">
        <v>2</v>
      </c>
      <c r="E293">
        <v>750</v>
      </c>
      <c r="F293">
        <f t="shared" si="12"/>
        <v>1500</v>
      </c>
      <c r="G293" t="str">
        <f>VLOOKUP(B293,Orders!$A$2:$D$1201,4,FALSE)</f>
        <v>Delivered</v>
      </c>
      <c r="H293">
        <f t="shared" si="13"/>
        <v>1500</v>
      </c>
      <c r="I293" s="12">
        <f>VLOOKUP(B293,Orders!$A$2:$D$1201,3,FALSE)</f>
        <v>46190</v>
      </c>
      <c r="L293" t="str">
        <f>VLOOKUP(C293,Products!$A$2:$D$13,2,FALSE)</f>
        <v>Laptop</v>
      </c>
      <c r="M293" t="str">
        <f t="shared" si="14"/>
        <v>2026-06</v>
      </c>
    </row>
    <row r="294" spans="1:13">
      <c r="A294">
        <v>293</v>
      </c>
      <c r="B294">
        <v>1134</v>
      </c>
      <c r="C294">
        <v>2</v>
      </c>
      <c r="D294">
        <v>3</v>
      </c>
      <c r="E294">
        <v>220</v>
      </c>
      <c r="F294">
        <f t="shared" si="12"/>
        <v>660</v>
      </c>
      <c r="G294" t="str">
        <f>VLOOKUP(B294,Orders!$A$2:$D$1201,4,FALSE)</f>
        <v>Delivered</v>
      </c>
      <c r="H294">
        <f t="shared" si="13"/>
        <v>660</v>
      </c>
      <c r="I294" s="12">
        <f>VLOOKUP(B294,Orders!$A$2:$D$1201,3,FALSE)</f>
        <v>46190</v>
      </c>
      <c r="L294" t="str">
        <f>VLOOKUP(C294,Products!$A$2:$D$13,2,FALSE)</f>
        <v>Monitor</v>
      </c>
      <c r="M294" t="str">
        <f t="shared" si="14"/>
        <v>2026-06</v>
      </c>
    </row>
    <row r="295" spans="1:13">
      <c r="A295">
        <v>294</v>
      </c>
      <c r="B295">
        <v>1134</v>
      </c>
      <c r="C295">
        <v>7</v>
      </c>
      <c r="D295">
        <v>3</v>
      </c>
      <c r="E295">
        <v>65</v>
      </c>
      <c r="F295">
        <f t="shared" si="12"/>
        <v>195</v>
      </c>
      <c r="G295" t="str">
        <f>VLOOKUP(B295,Orders!$A$2:$D$1201,4,FALSE)</f>
        <v>Delivered</v>
      </c>
      <c r="H295">
        <f t="shared" si="13"/>
        <v>195</v>
      </c>
      <c r="I295" s="12">
        <f>VLOOKUP(B295,Orders!$A$2:$D$1201,3,FALSE)</f>
        <v>46190</v>
      </c>
      <c r="L295" t="str">
        <f>VLOOKUP(C295,Products!$A$2:$D$13,2,FALSE)</f>
        <v>Headphones</v>
      </c>
      <c r="M295" t="str">
        <f t="shared" si="14"/>
        <v>2026-06</v>
      </c>
    </row>
    <row r="296" spans="1:13">
      <c r="A296">
        <v>295</v>
      </c>
      <c r="B296">
        <v>1135</v>
      </c>
      <c r="C296">
        <v>2</v>
      </c>
      <c r="D296">
        <v>4</v>
      </c>
      <c r="E296">
        <v>220</v>
      </c>
      <c r="F296">
        <f t="shared" si="12"/>
        <v>880</v>
      </c>
      <c r="G296" t="str">
        <f>VLOOKUP(B296,Orders!$A$2:$D$1201,4,FALSE)</f>
        <v>Delivered</v>
      </c>
      <c r="H296">
        <f t="shared" si="13"/>
        <v>880</v>
      </c>
      <c r="I296" s="12">
        <f>VLOOKUP(B296,Orders!$A$2:$D$1201,3,FALSE)</f>
        <v>46166</v>
      </c>
      <c r="L296" t="str">
        <f>VLOOKUP(C296,Products!$A$2:$D$13,2,FALSE)</f>
        <v>Monitor</v>
      </c>
      <c r="M296" t="str">
        <f t="shared" si="14"/>
        <v>2026-05</v>
      </c>
    </row>
    <row r="297" spans="1:13">
      <c r="A297">
        <v>296</v>
      </c>
      <c r="B297">
        <v>1135</v>
      </c>
      <c r="C297">
        <v>7</v>
      </c>
      <c r="D297">
        <v>3</v>
      </c>
      <c r="E297">
        <v>65</v>
      </c>
      <c r="F297">
        <f t="shared" si="12"/>
        <v>195</v>
      </c>
      <c r="G297" t="str">
        <f>VLOOKUP(B297,Orders!$A$2:$D$1201,4,FALSE)</f>
        <v>Delivered</v>
      </c>
      <c r="H297">
        <f t="shared" si="13"/>
        <v>195</v>
      </c>
      <c r="I297" s="12">
        <f>VLOOKUP(B297,Orders!$A$2:$D$1201,3,FALSE)</f>
        <v>46166</v>
      </c>
      <c r="L297" t="str">
        <f>VLOOKUP(C297,Products!$A$2:$D$13,2,FALSE)</f>
        <v>Headphones</v>
      </c>
      <c r="M297" t="str">
        <f t="shared" si="14"/>
        <v>2026-05</v>
      </c>
    </row>
    <row r="298" spans="1:13">
      <c r="A298">
        <v>297</v>
      </c>
      <c r="B298">
        <v>1136</v>
      </c>
      <c r="C298">
        <v>6</v>
      </c>
      <c r="D298">
        <v>4</v>
      </c>
      <c r="E298">
        <v>140</v>
      </c>
      <c r="F298">
        <f t="shared" si="12"/>
        <v>560</v>
      </c>
      <c r="G298" t="str">
        <f>VLOOKUP(B298,Orders!$A$2:$D$1201,4,FALSE)</f>
        <v>Delivered</v>
      </c>
      <c r="H298">
        <f t="shared" si="13"/>
        <v>560</v>
      </c>
      <c r="I298" s="12">
        <f>VLOOKUP(B298,Orders!$A$2:$D$1201,3,FALSE)</f>
        <v>46047</v>
      </c>
      <c r="L298" t="str">
        <f>VLOOKUP(C298,Products!$A$2:$D$13,2,FALSE)</f>
        <v>Chair</v>
      </c>
      <c r="M298" t="str">
        <f t="shared" si="14"/>
        <v>2026-01</v>
      </c>
    </row>
    <row r="299" spans="1:13">
      <c r="A299">
        <v>298</v>
      </c>
      <c r="B299">
        <v>1136</v>
      </c>
      <c r="C299">
        <v>3</v>
      </c>
      <c r="D299">
        <v>1</v>
      </c>
      <c r="E299">
        <v>45</v>
      </c>
      <c r="F299">
        <f t="shared" si="12"/>
        <v>45</v>
      </c>
      <c r="G299" t="str">
        <f>VLOOKUP(B299,Orders!$A$2:$D$1201,4,FALSE)</f>
        <v>Delivered</v>
      </c>
      <c r="H299">
        <f t="shared" si="13"/>
        <v>45</v>
      </c>
      <c r="I299" s="12">
        <f>VLOOKUP(B299,Orders!$A$2:$D$1201,3,FALSE)</f>
        <v>46047</v>
      </c>
      <c r="L299" t="str">
        <f>VLOOKUP(C299,Products!$A$2:$D$13,2,FALSE)</f>
        <v>Keyboard</v>
      </c>
      <c r="M299" t="str">
        <f t="shared" si="14"/>
        <v>2026-01</v>
      </c>
    </row>
    <row r="300" spans="1:13">
      <c r="A300">
        <v>299</v>
      </c>
      <c r="B300">
        <v>1136</v>
      </c>
      <c r="C300">
        <v>4</v>
      </c>
      <c r="D300">
        <v>1</v>
      </c>
      <c r="E300">
        <v>25</v>
      </c>
      <c r="F300">
        <f t="shared" si="12"/>
        <v>25</v>
      </c>
      <c r="G300" t="str">
        <f>VLOOKUP(B300,Orders!$A$2:$D$1201,4,FALSE)</f>
        <v>Delivered</v>
      </c>
      <c r="H300">
        <f t="shared" si="13"/>
        <v>25</v>
      </c>
      <c r="I300" s="12">
        <f>VLOOKUP(B300,Orders!$A$2:$D$1201,3,FALSE)</f>
        <v>46047</v>
      </c>
      <c r="L300" t="str">
        <f>VLOOKUP(C300,Products!$A$2:$D$13,2,FALSE)</f>
        <v>Mouse</v>
      </c>
      <c r="M300" t="str">
        <f t="shared" si="14"/>
        <v>2026-01</v>
      </c>
    </row>
    <row r="301" spans="1:13">
      <c r="A301">
        <v>300</v>
      </c>
      <c r="B301">
        <v>1137</v>
      </c>
      <c r="C301">
        <v>6</v>
      </c>
      <c r="D301">
        <v>3</v>
      </c>
      <c r="E301">
        <v>140</v>
      </c>
      <c r="F301">
        <f t="shared" si="12"/>
        <v>420</v>
      </c>
      <c r="G301" t="str">
        <f>VLOOKUP(B301,Orders!$A$2:$D$1201,4,FALSE)</f>
        <v>Delivered</v>
      </c>
      <c r="H301">
        <f t="shared" si="13"/>
        <v>420</v>
      </c>
      <c r="I301" s="12">
        <f>VLOOKUP(B301,Orders!$A$2:$D$1201,3,FALSE)</f>
        <v>46139</v>
      </c>
      <c r="L301" t="str">
        <f>VLOOKUP(C301,Products!$A$2:$D$13,2,FALSE)</f>
        <v>Chair</v>
      </c>
      <c r="M301" t="str">
        <f t="shared" si="14"/>
        <v>2026-04</v>
      </c>
    </row>
    <row r="302" spans="1:13">
      <c r="A302">
        <v>301</v>
      </c>
      <c r="B302">
        <v>1138</v>
      </c>
      <c r="C302">
        <v>8</v>
      </c>
      <c r="D302">
        <v>4</v>
      </c>
      <c r="E302">
        <v>55</v>
      </c>
      <c r="F302">
        <f t="shared" si="12"/>
        <v>220</v>
      </c>
      <c r="G302" t="str">
        <f>VLOOKUP(B302,Orders!$A$2:$D$1201,4,FALSE)</f>
        <v>Delivered</v>
      </c>
      <c r="H302">
        <f t="shared" si="13"/>
        <v>220</v>
      </c>
      <c r="I302" s="12">
        <f>VLOOKUP(B302,Orders!$A$2:$D$1201,3,FALSE)</f>
        <v>46174</v>
      </c>
      <c r="L302" t="str">
        <f>VLOOKUP(C302,Products!$A$2:$D$13,2,FALSE)</f>
        <v>Webcam</v>
      </c>
      <c r="M302" t="str">
        <f t="shared" si="14"/>
        <v>2026-06</v>
      </c>
    </row>
    <row r="303" spans="1:13">
      <c r="A303">
        <v>302</v>
      </c>
      <c r="B303">
        <v>1138</v>
      </c>
      <c r="C303">
        <v>10</v>
      </c>
      <c r="D303">
        <v>1</v>
      </c>
      <c r="E303">
        <v>8</v>
      </c>
      <c r="F303">
        <f t="shared" si="12"/>
        <v>8</v>
      </c>
      <c r="G303" t="str">
        <f>VLOOKUP(B303,Orders!$A$2:$D$1201,4,FALSE)</f>
        <v>Delivered</v>
      </c>
      <c r="H303">
        <f t="shared" si="13"/>
        <v>8</v>
      </c>
      <c r="I303" s="12">
        <f>VLOOKUP(B303,Orders!$A$2:$D$1201,3,FALSE)</f>
        <v>46174</v>
      </c>
      <c r="L303" t="str">
        <f>VLOOKUP(C303,Products!$A$2:$D$13,2,FALSE)</f>
        <v>Notebook</v>
      </c>
      <c r="M303" t="str">
        <f t="shared" si="14"/>
        <v>2026-06</v>
      </c>
    </row>
    <row r="304" spans="1:13">
      <c r="A304">
        <v>303</v>
      </c>
      <c r="B304">
        <v>1138</v>
      </c>
      <c r="C304">
        <v>5</v>
      </c>
      <c r="D304">
        <v>3</v>
      </c>
      <c r="E304">
        <v>180</v>
      </c>
      <c r="F304">
        <f t="shared" si="12"/>
        <v>540</v>
      </c>
      <c r="G304" t="str">
        <f>VLOOKUP(B304,Orders!$A$2:$D$1201,4,FALSE)</f>
        <v>Delivered</v>
      </c>
      <c r="H304">
        <f t="shared" si="13"/>
        <v>540</v>
      </c>
      <c r="I304" s="12">
        <f>VLOOKUP(B304,Orders!$A$2:$D$1201,3,FALSE)</f>
        <v>46174</v>
      </c>
      <c r="L304" t="str">
        <f>VLOOKUP(C304,Products!$A$2:$D$13,2,FALSE)</f>
        <v>Desk</v>
      </c>
      <c r="M304" t="str">
        <f t="shared" si="14"/>
        <v>2026-06</v>
      </c>
    </row>
    <row r="305" spans="1:13">
      <c r="A305">
        <v>304</v>
      </c>
      <c r="B305">
        <v>1139</v>
      </c>
      <c r="C305">
        <v>11</v>
      </c>
      <c r="D305">
        <v>2</v>
      </c>
      <c r="E305">
        <v>48</v>
      </c>
      <c r="F305">
        <f t="shared" si="12"/>
        <v>96</v>
      </c>
      <c r="G305" t="str">
        <f>VLOOKUP(B305,Orders!$A$2:$D$1201,4,FALSE)</f>
        <v>Delivered</v>
      </c>
      <c r="H305">
        <f t="shared" si="13"/>
        <v>96</v>
      </c>
      <c r="I305" s="12">
        <f>VLOOKUP(B305,Orders!$A$2:$D$1201,3,FALSE)</f>
        <v>46199</v>
      </c>
      <c r="L305" t="str">
        <f>VLOOKUP(C305,Products!$A$2:$D$13,2,FALSE)</f>
        <v>Backpack</v>
      </c>
      <c r="M305" t="str">
        <f t="shared" si="14"/>
        <v>2026-06</v>
      </c>
    </row>
    <row r="306" spans="1:13">
      <c r="A306">
        <v>305</v>
      </c>
      <c r="B306">
        <v>1139</v>
      </c>
      <c r="C306">
        <v>10</v>
      </c>
      <c r="D306">
        <v>1</v>
      </c>
      <c r="E306">
        <v>8</v>
      </c>
      <c r="F306">
        <f t="shared" si="12"/>
        <v>8</v>
      </c>
      <c r="G306" t="str">
        <f>VLOOKUP(B306,Orders!$A$2:$D$1201,4,FALSE)</f>
        <v>Delivered</v>
      </c>
      <c r="H306">
        <f t="shared" si="13"/>
        <v>8</v>
      </c>
      <c r="I306" s="12">
        <f>VLOOKUP(B306,Orders!$A$2:$D$1201,3,FALSE)</f>
        <v>46199</v>
      </c>
      <c r="L306" t="str">
        <f>VLOOKUP(C306,Products!$A$2:$D$13,2,FALSE)</f>
        <v>Notebook</v>
      </c>
      <c r="M306" t="str">
        <f t="shared" si="14"/>
        <v>2026-06</v>
      </c>
    </row>
    <row r="307" spans="1:13">
      <c r="A307">
        <v>306</v>
      </c>
      <c r="B307">
        <v>1140</v>
      </c>
      <c r="C307">
        <v>10</v>
      </c>
      <c r="D307">
        <v>1</v>
      </c>
      <c r="E307">
        <v>8</v>
      </c>
      <c r="F307">
        <f t="shared" si="12"/>
        <v>8</v>
      </c>
      <c r="G307" t="str">
        <f>VLOOKUP(B307,Orders!$A$2:$D$1201,4,FALSE)</f>
        <v>Delivered</v>
      </c>
      <c r="H307">
        <f t="shared" si="13"/>
        <v>8</v>
      </c>
      <c r="I307" s="12">
        <f>VLOOKUP(B307,Orders!$A$2:$D$1201,3,FALSE)</f>
        <v>46120</v>
      </c>
      <c r="L307" t="str">
        <f>VLOOKUP(C307,Products!$A$2:$D$13,2,FALSE)</f>
        <v>Notebook</v>
      </c>
      <c r="M307" t="str">
        <f t="shared" si="14"/>
        <v>2026-04</v>
      </c>
    </row>
    <row r="308" spans="1:13">
      <c r="A308">
        <v>307</v>
      </c>
      <c r="B308">
        <v>1141</v>
      </c>
      <c r="C308">
        <v>8</v>
      </c>
      <c r="D308">
        <v>2</v>
      </c>
      <c r="E308">
        <v>55</v>
      </c>
      <c r="F308">
        <f t="shared" si="12"/>
        <v>110</v>
      </c>
      <c r="G308" t="str">
        <f>VLOOKUP(B308,Orders!$A$2:$D$1201,4,FALSE)</f>
        <v>Delivered</v>
      </c>
      <c r="H308">
        <f t="shared" si="13"/>
        <v>110</v>
      </c>
      <c r="I308" s="12">
        <f>VLOOKUP(B308,Orders!$A$2:$D$1201,3,FALSE)</f>
        <v>46199</v>
      </c>
      <c r="L308" t="str">
        <f>VLOOKUP(C308,Products!$A$2:$D$13,2,FALSE)</f>
        <v>Webcam</v>
      </c>
      <c r="M308" t="str">
        <f t="shared" si="14"/>
        <v>2026-06</v>
      </c>
    </row>
    <row r="309" spans="1:13">
      <c r="A309">
        <v>308</v>
      </c>
      <c r="B309">
        <v>1141</v>
      </c>
      <c r="C309">
        <v>1</v>
      </c>
      <c r="D309">
        <v>3</v>
      </c>
      <c r="E309">
        <v>750</v>
      </c>
      <c r="F309">
        <f t="shared" si="12"/>
        <v>2250</v>
      </c>
      <c r="G309" t="str">
        <f>VLOOKUP(B309,Orders!$A$2:$D$1201,4,FALSE)</f>
        <v>Delivered</v>
      </c>
      <c r="H309">
        <f t="shared" si="13"/>
        <v>2250</v>
      </c>
      <c r="I309" s="12">
        <f>VLOOKUP(B309,Orders!$A$2:$D$1201,3,FALSE)</f>
        <v>46199</v>
      </c>
      <c r="L309" t="str">
        <f>VLOOKUP(C309,Products!$A$2:$D$13,2,FALSE)</f>
        <v>Laptop</v>
      </c>
      <c r="M309" t="str">
        <f t="shared" si="14"/>
        <v>2026-06</v>
      </c>
    </row>
    <row r="310" spans="1:13">
      <c r="A310">
        <v>309</v>
      </c>
      <c r="B310">
        <v>1141</v>
      </c>
      <c r="C310">
        <v>3</v>
      </c>
      <c r="D310">
        <v>4</v>
      </c>
      <c r="E310">
        <v>45</v>
      </c>
      <c r="F310">
        <f t="shared" si="12"/>
        <v>180</v>
      </c>
      <c r="G310" t="str">
        <f>VLOOKUP(B310,Orders!$A$2:$D$1201,4,FALSE)</f>
        <v>Delivered</v>
      </c>
      <c r="H310">
        <f t="shared" si="13"/>
        <v>180</v>
      </c>
      <c r="I310" s="12">
        <f>VLOOKUP(B310,Orders!$A$2:$D$1201,3,FALSE)</f>
        <v>46199</v>
      </c>
      <c r="L310" t="str">
        <f>VLOOKUP(C310,Products!$A$2:$D$13,2,FALSE)</f>
        <v>Keyboard</v>
      </c>
      <c r="M310" t="str">
        <f t="shared" si="14"/>
        <v>2026-06</v>
      </c>
    </row>
    <row r="311" spans="1:13">
      <c r="A311">
        <v>310</v>
      </c>
      <c r="B311">
        <v>1142</v>
      </c>
      <c r="C311">
        <v>8</v>
      </c>
      <c r="D311">
        <v>3</v>
      </c>
      <c r="E311">
        <v>55</v>
      </c>
      <c r="F311">
        <f t="shared" si="12"/>
        <v>165</v>
      </c>
      <c r="G311" t="str">
        <f>VLOOKUP(B311,Orders!$A$2:$D$1201,4,FALSE)</f>
        <v>Delivered</v>
      </c>
      <c r="H311">
        <f t="shared" si="13"/>
        <v>165</v>
      </c>
      <c r="I311" s="12">
        <f>VLOOKUP(B311,Orders!$A$2:$D$1201,3,FALSE)</f>
        <v>46110</v>
      </c>
      <c r="L311" t="str">
        <f>VLOOKUP(C311,Products!$A$2:$D$13,2,FALSE)</f>
        <v>Webcam</v>
      </c>
      <c r="M311" t="str">
        <f t="shared" si="14"/>
        <v>2026-03</v>
      </c>
    </row>
    <row r="312" spans="1:13">
      <c r="A312">
        <v>311</v>
      </c>
      <c r="B312">
        <v>1142</v>
      </c>
      <c r="C312">
        <v>4</v>
      </c>
      <c r="D312">
        <v>3</v>
      </c>
      <c r="E312">
        <v>25</v>
      </c>
      <c r="F312">
        <f t="shared" si="12"/>
        <v>75</v>
      </c>
      <c r="G312" t="str">
        <f>VLOOKUP(B312,Orders!$A$2:$D$1201,4,FALSE)</f>
        <v>Delivered</v>
      </c>
      <c r="H312">
        <f t="shared" si="13"/>
        <v>75</v>
      </c>
      <c r="I312" s="12">
        <f>VLOOKUP(B312,Orders!$A$2:$D$1201,3,FALSE)</f>
        <v>46110</v>
      </c>
      <c r="L312" t="str">
        <f>VLOOKUP(C312,Products!$A$2:$D$13,2,FALSE)</f>
        <v>Mouse</v>
      </c>
      <c r="M312" t="str">
        <f t="shared" si="14"/>
        <v>2026-03</v>
      </c>
    </row>
    <row r="313" spans="1:13">
      <c r="A313">
        <v>312</v>
      </c>
      <c r="B313">
        <v>1142</v>
      </c>
      <c r="C313">
        <v>11</v>
      </c>
      <c r="D313">
        <v>2</v>
      </c>
      <c r="E313">
        <v>48</v>
      </c>
      <c r="F313">
        <f t="shared" si="12"/>
        <v>96</v>
      </c>
      <c r="G313" t="str">
        <f>VLOOKUP(B313,Orders!$A$2:$D$1201,4,FALSE)</f>
        <v>Delivered</v>
      </c>
      <c r="H313">
        <f t="shared" si="13"/>
        <v>96</v>
      </c>
      <c r="I313" s="12">
        <f>VLOOKUP(B313,Orders!$A$2:$D$1201,3,FALSE)</f>
        <v>46110</v>
      </c>
      <c r="L313" t="str">
        <f>VLOOKUP(C313,Products!$A$2:$D$13,2,FALSE)</f>
        <v>Backpack</v>
      </c>
      <c r="M313" t="str">
        <f t="shared" si="14"/>
        <v>2026-03</v>
      </c>
    </row>
    <row r="314" spans="1:13">
      <c r="A314">
        <v>313</v>
      </c>
      <c r="B314">
        <v>1143</v>
      </c>
      <c r="C314">
        <v>8</v>
      </c>
      <c r="D314">
        <v>3</v>
      </c>
      <c r="E314">
        <v>55</v>
      </c>
      <c r="F314">
        <f t="shared" si="12"/>
        <v>165</v>
      </c>
      <c r="G314" t="str">
        <f>VLOOKUP(B314,Orders!$A$2:$D$1201,4,FALSE)</f>
        <v>Delivered</v>
      </c>
      <c r="H314">
        <f t="shared" si="13"/>
        <v>165</v>
      </c>
      <c r="I314" s="12">
        <f>VLOOKUP(B314,Orders!$A$2:$D$1201,3,FALSE)</f>
        <v>46076</v>
      </c>
      <c r="L314" t="str">
        <f>VLOOKUP(C314,Products!$A$2:$D$13,2,FALSE)</f>
        <v>Webcam</v>
      </c>
      <c r="M314" t="str">
        <f t="shared" si="14"/>
        <v>2026-02</v>
      </c>
    </row>
    <row r="315" spans="1:13">
      <c r="A315">
        <v>314</v>
      </c>
      <c r="B315">
        <v>1143</v>
      </c>
      <c r="C315">
        <v>6</v>
      </c>
      <c r="D315">
        <v>3</v>
      </c>
      <c r="E315">
        <v>140</v>
      </c>
      <c r="F315">
        <f t="shared" si="12"/>
        <v>420</v>
      </c>
      <c r="G315" t="str">
        <f>VLOOKUP(B315,Orders!$A$2:$D$1201,4,FALSE)</f>
        <v>Delivered</v>
      </c>
      <c r="H315">
        <f t="shared" si="13"/>
        <v>420</v>
      </c>
      <c r="I315" s="12">
        <f>VLOOKUP(B315,Orders!$A$2:$D$1201,3,FALSE)</f>
        <v>46076</v>
      </c>
      <c r="L315" t="str">
        <f>VLOOKUP(C315,Products!$A$2:$D$13,2,FALSE)</f>
        <v>Chair</v>
      </c>
      <c r="M315" t="str">
        <f t="shared" si="14"/>
        <v>2026-02</v>
      </c>
    </row>
    <row r="316" spans="1:13">
      <c r="A316">
        <v>315</v>
      </c>
      <c r="B316">
        <v>1144</v>
      </c>
      <c r="C316">
        <v>1</v>
      </c>
      <c r="D316">
        <v>1</v>
      </c>
      <c r="E316">
        <v>750</v>
      </c>
      <c r="F316">
        <f t="shared" si="12"/>
        <v>750</v>
      </c>
      <c r="G316" t="str">
        <f>VLOOKUP(B316,Orders!$A$2:$D$1201,4,FALSE)</f>
        <v>Shipped</v>
      </c>
      <c r="H316">
        <f t="shared" si="13"/>
        <v>750</v>
      </c>
      <c r="I316" s="12">
        <f>VLOOKUP(B316,Orders!$A$2:$D$1201,3,FALSE)</f>
        <v>46111</v>
      </c>
      <c r="L316" t="str">
        <f>VLOOKUP(C316,Products!$A$2:$D$13,2,FALSE)</f>
        <v>Laptop</v>
      </c>
      <c r="M316" t="str">
        <f t="shared" si="14"/>
        <v>2026-03</v>
      </c>
    </row>
    <row r="317" spans="1:13">
      <c r="A317">
        <v>316</v>
      </c>
      <c r="B317">
        <v>1144</v>
      </c>
      <c r="C317">
        <v>5</v>
      </c>
      <c r="D317">
        <v>3</v>
      </c>
      <c r="E317">
        <v>180</v>
      </c>
      <c r="F317">
        <f t="shared" si="12"/>
        <v>540</v>
      </c>
      <c r="G317" t="str">
        <f>VLOOKUP(B317,Orders!$A$2:$D$1201,4,FALSE)</f>
        <v>Shipped</v>
      </c>
      <c r="H317">
        <f t="shared" si="13"/>
        <v>540</v>
      </c>
      <c r="I317" s="12">
        <f>VLOOKUP(B317,Orders!$A$2:$D$1201,3,FALSE)</f>
        <v>46111</v>
      </c>
      <c r="L317" t="str">
        <f>VLOOKUP(C317,Products!$A$2:$D$13,2,FALSE)</f>
        <v>Desk</v>
      </c>
      <c r="M317" t="str">
        <f t="shared" si="14"/>
        <v>2026-03</v>
      </c>
    </row>
    <row r="318" spans="1:13">
      <c r="A318">
        <v>317</v>
      </c>
      <c r="B318">
        <v>1145</v>
      </c>
      <c r="C318">
        <v>9</v>
      </c>
      <c r="D318">
        <v>3</v>
      </c>
      <c r="E318">
        <v>30</v>
      </c>
      <c r="F318">
        <f t="shared" si="12"/>
        <v>90</v>
      </c>
      <c r="G318" t="str">
        <f>VLOOKUP(B318,Orders!$A$2:$D$1201,4,FALSE)</f>
        <v>Delivered</v>
      </c>
      <c r="H318">
        <f t="shared" si="13"/>
        <v>90</v>
      </c>
      <c r="I318" s="12">
        <f>VLOOKUP(B318,Orders!$A$2:$D$1201,3,FALSE)</f>
        <v>46088</v>
      </c>
      <c r="L318" t="str">
        <f>VLOOKUP(C318,Products!$A$2:$D$13,2,FALSE)</f>
        <v>Lamp</v>
      </c>
      <c r="M318" t="str">
        <f t="shared" si="14"/>
        <v>2026-03</v>
      </c>
    </row>
    <row r="319" spans="1:13">
      <c r="A319">
        <v>318</v>
      </c>
      <c r="B319">
        <v>1146</v>
      </c>
      <c r="C319">
        <v>9</v>
      </c>
      <c r="D319">
        <v>1</v>
      </c>
      <c r="E319">
        <v>30</v>
      </c>
      <c r="F319">
        <f t="shared" si="12"/>
        <v>30</v>
      </c>
      <c r="G319" t="str">
        <f>VLOOKUP(B319,Orders!$A$2:$D$1201,4,FALSE)</f>
        <v>Delivered</v>
      </c>
      <c r="H319">
        <f t="shared" si="13"/>
        <v>30</v>
      </c>
      <c r="I319" s="12">
        <f>VLOOKUP(B319,Orders!$A$2:$D$1201,3,FALSE)</f>
        <v>46173</v>
      </c>
      <c r="L319" t="str">
        <f>VLOOKUP(C319,Products!$A$2:$D$13,2,FALSE)</f>
        <v>Lamp</v>
      </c>
      <c r="M319" t="str">
        <f t="shared" si="14"/>
        <v>2026-05</v>
      </c>
    </row>
    <row r="320" spans="1:13">
      <c r="A320">
        <v>319</v>
      </c>
      <c r="B320">
        <v>1146</v>
      </c>
      <c r="C320">
        <v>4</v>
      </c>
      <c r="D320">
        <v>1</v>
      </c>
      <c r="E320">
        <v>25</v>
      </c>
      <c r="F320">
        <f t="shared" si="12"/>
        <v>25</v>
      </c>
      <c r="G320" t="str">
        <f>VLOOKUP(B320,Orders!$A$2:$D$1201,4,FALSE)</f>
        <v>Delivered</v>
      </c>
      <c r="H320">
        <f t="shared" si="13"/>
        <v>25</v>
      </c>
      <c r="I320" s="12">
        <f>VLOOKUP(B320,Orders!$A$2:$D$1201,3,FALSE)</f>
        <v>46173</v>
      </c>
      <c r="L320" t="str">
        <f>VLOOKUP(C320,Products!$A$2:$D$13,2,FALSE)</f>
        <v>Mouse</v>
      </c>
      <c r="M320" t="str">
        <f t="shared" si="14"/>
        <v>2026-05</v>
      </c>
    </row>
    <row r="321" spans="1:13">
      <c r="A321">
        <v>320</v>
      </c>
      <c r="B321">
        <v>1146</v>
      </c>
      <c r="C321">
        <v>11</v>
      </c>
      <c r="D321">
        <v>4</v>
      </c>
      <c r="E321">
        <v>48</v>
      </c>
      <c r="F321">
        <f t="shared" si="12"/>
        <v>192</v>
      </c>
      <c r="G321" t="str">
        <f>VLOOKUP(B321,Orders!$A$2:$D$1201,4,FALSE)</f>
        <v>Delivered</v>
      </c>
      <c r="H321">
        <f t="shared" si="13"/>
        <v>192</v>
      </c>
      <c r="I321" s="12">
        <f>VLOOKUP(B321,Orders!$A$2:$D$1201,3,FALSE)</f>
        <v>46173</v>
      </c>
      <c r="L321" t="str">
        <f>VLOOKUP(C321,Products!$A$2:$D$13,2,FALSE)</f>
        <v>Backpack</v>
      </c>
      <c r="M321" t="str">
        <f t="shared" si="14"/>
        <v>2026-05</v>
      </c>
    </row>
    <row r="322" spans="1:13">
      <c r="A322">
        <v>321</v>
      </c>
      <c r="B322">
        <v>1147</v>
      </c>
      <c r="C322">
        <v>11</v>
      </c>
      <c r="D322">
        <v>4</v>
      </c>
      <c r="E322">
        <v>48</v>
      </c>
      <c r="F322">
        <f t="shared" si="12"/>
        <v>192</v>
      </c>
      <c r="G322" t="str">
        <f>VLOOKUP(B322,Orders!$A$2:$D$1201,4,FALSE)</f>
        <v>Shipped</v>
      </c>
      <c r="H322">
        <f t="shared" si="13"/>
        <v>192</v>
      </c>
      <c r="I322" s="12">
        <f>VLOOKUP(B322,Orders!$A$2:$D$1201,3,FALSE)</f>
        <v>46024</v>
      </c>
      <c r="L322" t="str">
        <f>VLOOKUP(C322,Products!$A$2:$D$13,2,FALSE)</f>
        <v>Backpack</v>
      </c>
      <c r="M322" t="str">
        <f t="shared" si="14"/>
        <v>2026-01</v>
      </c>
    </row>
    <row r="323" spans="1:13">
      <c r="A323">
        <v>322</v>
      </c>
      <c r="B323">
        <v>1147</v>
      </c>
      <c r="C323">
        <v>8</v>
      </c>
      <c r="D323">
        <v>2</v>
      </c>
      <c r="E323">
        <v>55</v>
      </c>
      <c r="F323">
        <f t="shared" ref="F323:F386" si="15">D323*E323</f>
        <v>110</v>
      </c>
      <c r="G323" t="str">
        <f>VLOOKUP(B323,Orders!$A$2:$D$1201,4,FALSE)</f>
        <v>Shipped</v>
      </c>
      <c r="H323">
        <f t="shared" ref="H323:H386" si="16">IF(G323="Cancelled",0,F323)</f>
        <v>110</v>
      </c>
      <c r="I323" s="12">
        <f>VLOOKUP(B323,Orders!$A$2:$D$1201,3,FALSE)</f>
        <v>46024</v>
      </c>
      <c r="L323" t="str">
        <f>VLOOKUP(C323,Products!$A$2:$D$13,2,FALSE)</f>
        <v>Webcam</v>
      </c>
      <c r="M323" t="str">
        <f t="shared" ref="M323:M386" si="17">TEXT(I323,"yyyy-mm")</f>
        <v>2026-01</v>
      </c>
    </row>
    <row r="324" spans="1:13">
      <c r="A324">
        <v>323</v>
      </c>
      <c r="B324">
        <v>1148</v>
      </c>
      <c r="C324">
        <v>11</v>
      </c>
      <c r="D324">
        <v>2</v>
      </c>
      <c r="E324">
        <v>48</v>
      </c>
      <c r="F324">
        <f t="shared" si="15"/>
        <v>96</v>
      </c>
      <c r="G324" t="str">
        <f>VLOOKUP(B324,Orders!$A$2:$D$1201,4,FALSE)</f>
        <v>Delivered</v>
      </c>
      <c r="H324">
        <f t="shared" si="16"/>
        <v>96</v>
      </c>
      <c r="I324" s="12">
        <f>VLOOKUP(B324,Orders!$A$2:$D$1201,3,FALSE)</f>
        <v>46105</v>
      </c>
      <c r="L324" t="str">
        <f>VLOOKUP(C324,Products!$A$2:$D$13,2,FALSE)</f>
        <v>Backpack</v>
      </c>
      <c r="M324" t="str">
        <f t="shared" si="17"/>
        <v>2026-03</v>
      </c>
    </row>
    <row r="325" spans="1:13">
      <c r="A325">
        <v>324</v>
      </c>
      <c r="B325">
        <v>1149</v>
      </c>
      <c r="C325">
        <v>7</v>
      </c>
      <c r="D325">
        <v>4</v>
      </c>
      <c r="E325">
        <v>65</v>
      </c>
      <c r="F325">
        <f t="shared" si="15"/>
        <v>260</v>
      </c>
      <c r="G325" t="str">
        <f>VLOOKUP(B325,Orders!$A$2:$D$1201,4,FALSE)</f>
        <v>Cancelled</v>
      </c>
      <c r="H325">
        <f t="shared" si="16"/>
        <v>0</v>
      </c>
      <c r="I325" s="12">
        <f>VLOOKUP(B325,Orders!$A$2:$D$1201,3,FALSE)</f>
        <v>46129</v>
      </c>
      <c r="L325" t="str">
        <f>VLOOKUP(C325,Products!$A$2:$D$13,2,FALSE)</f>
        <v>Headphones</v>
      </c>
      <c r="M325" t="str">
        <f t="shared" si="17"/>
        <v>2026-04</v>
      </c>
    </row>
    <row r="326" spans="1:13">
      <c r="A326">
        <v>325</v>
      </c>
      <c r="B326">
        <v>1150</v>
      </c>
      <c r="C326">
        <v>1</v>
      </c>
      <c r="D326">
        <v>3</v>
      </c>
      <c r="E326">
        <v>750</v>
      </c>
      <c r="F326">
        <f t="shared" si="15"/>
        <v>2250</v>
      </c>
      <c r="G326" t="str">
        <f>VLOOKUP(B326,Orders!$A$2:$D$1201,4,FALSE)</f>
        <v>Shipped</v>
      </c>
      <c r="H326">
        <f t="shared" si="16"/>
        <v>2250</v>
      </c>
      <c r="I326" s="12">
        <f>VLOOKUP(B326,Orders!$A$2:$D$1201,3,FALSE)</f>
        <v>46070</v>
      </c>
      <c r="L326" t="str">
        <f>VLOOKUP(C326,Products!$A$2:$D$13,2,FALSE)</f>
        <v>Laptop</v>
      </c>
      <c r="M326" t="str">
        <f t="shared" si="17"/>
        <v>2026-02</v>
      </c>
    </row>
    <row r="327" spans="1:13">
      <c r="A327">
        <v>326</v>
      </c>
      <c r="B327">
        <v>1151</v>
      </c>
      <c r="C327">
        <v>8</v>
      </c>
      <c r="D327">
        <v>4</v>
      </c>
      <c r="E327">
        <v>55</v>
      </c>
      <c r="F327">
        <f t="shared" si="15"/>
        <v>220</v>
      </c>
      <c r="G327" t="str">
        <f>VLOOKUP(B327,Orders!$A$2:$D$1201,4,FALSE)</f>
        <v>Delivered</v>
      </c>
      <c r="H327">
        <f t="shared" si="16"/>
        <v>220</v>
      </c>
      <c r="I327" s="12">
        <f>VLOOKUP(B327,Orders!$A$2:$D$1201,3,FALSE)</f>
        <v>46108</v>
      </c>
      <c r="L327" t="str">
        <f>VLOOKUP(C327,Products!$A$2:$D$13,2,FALSE)</f>
        <v>Webcam</v>
      </c>
      <c r="M327" t="str">
        <f t="shared" si="17"/>
        <v>2026-03</v>
      </c>
    </row>
    <row r="328" spans="1:13">
      <c r="A328">
        <v>327</v>
      </c>
      <c r="B328">
        <v>1151</v>
      </c>
      <c r="C328">
        <v>3</v>
      </c>
      <c r="D328">
        <v>3</v>
      </c>
      <c r="E328">
        <v>45</v>
      </c>
      <c r="F328">
        <f t="shared" si="15"/>
        <v>135</v>
      </c>
      <c r="G328" t="str">
        <f>VLOOKUP(B328,Orders!$A$2:$D$1201,4,FALSE)</f>
        <v>Delivered</v>
      </c>
      <c r="H328">
        <f t="shared" si="16"/>
        <v>135</v>
      </c>
      <c r="I328" s="12">
        <f>VLOOKUP(B328,Orders!$A$2:$D$1201,3,FALSE)</f>
        <v>46108</v>
      </c>
      <c r="L328" t="str">
        <f>VLOOKUP(C328,Products!$A$2:$D$13,2,FALSE)</f>
        <v>Keyboard</v>
      </c>
      <c r="M328" t="str">
        <f t="shared" si="17"/>
        <v>2026-03</v>
      </c>
    </row>
    <row r="329" spans="1:13">
      <c r="A329">
        <v>328</v>
      </c>
      <c r="B329">
        <v>1151</v>
      </c>
      <c r="C329">
        <v>9</v>
      </c>
      <c r="D329">
        <v>2</v>
      </c>
      <c r="E329">
        <v>30</v>
      </c>
      <c r="F329">
        <f t="shared" si="15"/>
        <v>60</v>
      </c>
      <c r="G329" t="str">
        <f>VLOOKUP(B329,Orders!$A$2:$D$1201,4,FALSE)</f>
        <v>Delivered</v>
      </c>
      <c r="H329">
        <f t="shared" si="16"/>
        <v>60</v>
      </c>
      <c r="I329" s="12">
        <f>VLOOKUP(B329,Orders!$A$2:$D$1201,3,FALSE)</f>
        <v>46108</v>
      </c>
      <c r="L329" t="str">
        <f>VLOOKUP(C329,Products!$A$2:$D$13,2,FALSE)</f>
        <v>Lamp</v>
      </c>
      <c r="M329" t="str">
        <f t="shared" si="17"/>
        <v>2026-03</v>
      </c>
    </row>
    <row r="330" spans="1:13">
      <c r="A330">
        <v>329</v>
      </c>
      <c r="B330">
        <v>1152</v>
      </c>
      <c r="C330">
        <v>6</v>
      </c>
      <c r="D330">
        <v>2</v>
      </c>
      <c r="E330">
        <v>140</v>
      </c>
      <c r="F330">
        <f t="shared" si="15"/>
        <v>280</v>
      </c>
      <c r="G330" t="str">
        <f>VLOOKUP(B330,Orders!$A$2:$D$1201,4,FALSE)</f>
        <v>Delivered</v>
      </c>
      <c r="H330">
        <f t="shared" si="16"/>
        <v>280</v>
      </c>
      <c r="I330" s="12">
        <f>VLOOKUP(B330,Orders!$A$2:$D$1201,3,FALSE)</f>
        <v>46088</v>
      </c>
      <c r="L330" t="str">
        <f>VLOOKUP(C330,Products!$A$2:$D$13,2,FALSE)</f>
        <v>Chair</v>
      </c>
      <c r="M330" t="str">
        <f t="shared" si="17"/>
        <v>2026-03</v>
      </c>
    </row>
    <row r="331" spans="1:13">
      <c r="A331">
        <v>330</v>
      </c>
      <c r="B331">
        <v>1152</v>
      </c>
      <c r="C331">
        <v>5</v>
      </c>
      <c r="D331">
        <v>2</v>
      </c>
      <c r="E331">
        <v>180</v>
      </c>
      <c r="F331">
        <f t="shared" si="15"/>
        <v>360</v>
      </c>
      <c r="G331" t="str">
        <f>VLOOKUP(B331,Orders!$A$2:$D$1201,4,FALSE)</f>
        <v>Delivered</v>
      </c>
      <c r="H331">
        <f t="shared" si="16"/>
        <v>360</v>
      </c>
      <c r="I331" s="12">
        <f>VLOOKUP(B331,Orders!$A$2:$D$1201,3,FALSE)</f>
        <v>46088</v>
      </c>
      <c r="L331" t="str">
        <f>VLOOKUP(C331,Products!$A$2:$D$13,2,FALSE)</f>
        <v>Desk</v>
      </c>
      <c r="M331" t="str">
        <f t="shared" si="17"/>
        <v>2026-03</v>
      </c>
    </row>
    <row r="332" spans="1:13">
      <c r="A332">
        <v>331</v>
      </c>
      <c r="B332">
        <v>1152</v>
      </c>
      <c r="C332">
        <v>10</v>
      </c>
      <c r="D332">
        <v>4</v>
      </c>
      <c r="E332">
        <v>8</v>
      </c>
      <c r="F332">
        <f t="shared" si="15"/>
        <v>32</v>
      </c>
      <c r="G332" t="str">
        <f>VLOOKUP(B332,Orders!$A$2:$D$1201,4,FALSE)</f>
        <v>Delivered</v>
      </c>
      <c r="H332">
        <f t="shared" si="16"/>
        <v>32</v>
      </c>
      <c r="I332" s="12">
        <f>VLOOKUP(B332,Orders!$A$2:$D$1201,3,FALSE)</f>
        <v>46088</v>
      </c>
      <c r="L332" t="str">
        <f>VLOOKUP(C332,Products!$A$2:$D$13,2,FALSE)</f>
        <v>Notebook</v>
      </c>
      <c r="M332" t="str">
        <f t="shared" si="17"/>
        <v>2026-03</v>
      </c>
    </row>
    <row r="333" spans="1:13">
      <c r="A333">
        <v>332</v>
      </c>
      <c r="B333">
        <v>1153</v>
      </c>
      <c r="C333">
        <v>6</v>
      </c>
      <c r="D333">
        <v>1</v>
      </c>
      <c r="E333">
        <v>140</v>
      </c>
      <c r="F333">
        <f t="shared" si="15"/>
        <v>140</v>
      </c>
      <c r="G333" t="str">
        <f>VLOOKUP(B333,Orders!$A$2:$D$1201,4,FALSE)</f>
        <v>Delivered</v>
      </c>
      <c r="H333">
        <f t="shared" si="16"/>
        <v>140</v>
      </c>
      <c r="I333" s="12">
        <f>VLOOKUP(B333,Orders!$A$2:$D$1201,3,FALSE)</f>
        <v>46047</v>
      </c>
      <c r="L333" t="str">
        <f>VLOOKUP(C333,Products!$A$2:$D$13,2,FALSE)</f>
        <v>Chair</v>
      </c>
      <c r="M333" t="str">
        <f t="shared" si="17"/>
        <v>2026-01</v>
      </c>
    </row>
    <row r="334" spans="1:13">
      <c r="A334">
        <v>333</v>
      </c>
      <c r="B334">
        <v>1153</v>
      </c>
      <c r="C334">
        <v>4</v>
      </c>
      <c r="D334">
        <v>3</v>
      </c>
      <c r="E334">
        <v>25</v>
      </c>
      <c r="F334">
        <f t="shared" si="15"/>
        <v>75</v>
      </c>
      <c r="G334" t="str">
        <f>VLOOKUP(B334,Orders!$A$2:$D$1201,4,FALSE)</f>
        <v>Delivered</v>
      </c>
      <c r="H334">
        <f t="shared" si="16"/>
        <v>75</v>
      </c>
      <c r="I334" s="12">
        <f>VLOOKUP(B334,Orders!$A$2:$D$1201,3,FALSE)</f>
        <v>46047</v>
      </c>
      <c r="L334" t="str">
        <f>VLOOKUP(C334,Products!$A$2:$D$13,2,FALSE)</f>
        <v>Mouse</v>
      </c>
      <c r="M334" t="str">
        <f t="shared" si="17"/>
        <v>2026-01</v>
      </c>
    </row>
    <row r="335" spans="1:13">
      <c r="A335">
        <v>334</v>
      </c>
      <c r="B335">
        <v>1154</v>
      </c>
      <c r="C335">
        <v>5</v>
      </c>
      <c r="D335">
        <v>3</v>
      </c>
      <c r="E335">
        <v>180</v>
      </c>
      <c r="F335">
        <f t="shared" si="15"/>
        <v>540</v>
      </c>
      <c r="G335" t="str">
        <f>VLOOKUP(B335,Orders!$A$2:$D$1201,4,FALSE)</f>
        <v>Delivered</v>
      </c>
      <c r="H335">
        <f t="shared" si="16"/>
        <v>540</v>
      </c>
      <c r="I335" s="12">
        <f>VLOOKUP(B335,Orders!$A$2:$D$1201,3,FALSE)</f>
        <v>46100</v>
      </c>
      <c r="L335" t="str">
        <f>VLOOKUP(C335,Products!$A$2:$D$13,2,FALSE)</f>
        <v>Desk</v>
      </c>
      <c r="M335" t="str">
        <f t="shared" si="17"/>
        <v>2026-03</v>
      </c>
    </row>
    <row r="336" spans="1:13">
      <c r="A336">
        <v>335</v>
      </c>
      <c r="B336">
        <v>1155</v>
      </c>
      <c r="C336">
        <v>5</v>
      </c>
      <c r="D336">
        <v>3</v>
      </c>
      <c r="E336">
        <v>180</v>
      </c>
      <c r="F336">
        <f t="shared" si="15"/>
        <v>540</v>
      </c>
      <c r="G336" t="str">
        <f>VLOOKUP(B336,Orders!$A$2:$D$1201,4,FALSE)</f>
        <v>Delivered</v>
      </c>
      <c r="H336">
        <f t="shared" si="16"/>
        <v>540</v>
      </c>
      <c r="I336" s="12">
        <f>VLOOKUP(B336,Orders!$A$2:$D$1201,3,FALSE)</f>
        <v>46063</v>
      </c>
      <c r="L336" t="str">
        <f>VLOOKUP(C336,Products!$A$2:$D$13,2,FALSE)</f>
        <v>Desk</v>
      </c>
      <c r="M336" t="str">
        <f t="shared" si="17"/>
        <v>2026-02</v>
      </c>
    </row>
    <row r="337" spans="1:13">
      <c r="A337">
        <v>336</v>
      </c>
      <c r="B337">
        <v>1155</v>
      </c>
      <c r="C337">
        <v>2</v>
      </c>
      <c r="D337">
        <v>2</v>
      </c>
      <c r="E337">
        <v>220</v>
      </c>
      <c r="F337">
        <f t="shared" si="15"/>
        <v>440</v>
      </c>
      <c r="G337" t="str">
        <f>VLOOKUP(B337,Orders!$A$2:$D$1201,4,FALSE)</f>
        <v>Delivered</v>
      </c>
      <c r="H337">
        <f t="shared" si="16"/>
        <v>440</v>
      </c>
      <c r="I337" s="12">
        <f>VLOOKUP(B337,Orders!$A$2:$D$1201,3,FALSE)</f>
        <v>46063</v>
      </c>
      <c r="L337" t="str">
        <f>VLOOKUP(C337,Products!$A$2:$D$13,2,FALSE)</f>
        <v>Monitor</v>
      </c>
      <c r="M337" t="str">
        <f t="shared" si="17"/>
        <v>2026-02</v>
      </c>
    </row>
    <row r="338" spans="1:13">
      <c r="A338">
        <v>337</v>
      </c>
      <c r="B338">
        <v>1155</v>
      </c>
      <c r="C338">
        <v>12</v>
      </c>
      <c r="D338">
        <v>2</v>
      </c>
      <c r="E338">
        <v>22</v>
      </c>
      <c r="F338">
        <f t="shared" si="15"/>
        <v>44</v>
      </c>
      <c r="G338" t="str">
        <f>VLOOKUP(B338,Orders!$A$2:$D$1201,4,FALSE)</f>
        <v>Delivered</v>
      </c>
      <c r="H338">
        <f t="shared" si="16"/>
        <v>44</v>
      </c>
      <c r="I338" s="12">
        <f>VLOOKUP(B338,Orders!$A$2:$D$1201,3,FALSE)</f>
        <v>46063</v>
      </c>
      <c r="L338" t="str">
        <f>VLOOKUP(C338,Products!$A$2:$D$13,2,FALSE)</f>
        <v>Storage Box</v>
      </c>
      <c r="M338" t="str">
        <f t="shared" si="17"/>
        <v>2026-02</v>
      </c>
    </row>
    <row r="339" spans="1:13">
      <c r="A339">
        <v>338</v>
      </c>
      <c r="B339">
        <v>1156</v>
      </c>
      <c r="C339">
        <v>9</v>
      </c>
      <c r="D339">
        <v>2</v>
      </c>
      <c r="E339">
        <v>30</v>
      </c>
      <c r="F339">
        <f t="shared" si="15"/>
        <v>60</v>
      </c>
      <c r="G339" t="str">
        <f>VLOOKUP(B339,Orders!$A$2:$D$1201,4,FALSE)</f>
        <v>Delivered</v>
      </c>
      <c r="H339">
        <f t="shared" si="16"/>
        <v>60</v>
      </c>
      <c r="I339" s="12">
        <f>VLOOKUP(B339,Orders!$A$2:$D$1201,3,FALSE)</f>
        <v>46118</v>
      </c>
      <c r="L339" t="str">
        <f>VLOOKUP(C339,Products!$A$2:$D$13,2,FALSE)</f>
        <v>Lamp</v>
      </c>
      <c r="M339" t="str">
        <f t="shared" si="17"/>
        <v>2026-04</v>
      </c>
    </row>
    <row r="340" spans="1:13">
      <c r="A340">
        <v>339</v>
      </c>
      <c r="B340">
        <v>1156</v>
      </c>
      <c r="C340">
        <v>11</v>
      </c>
      <c r="D340">
        <v>2</v>
      </c>
      <c r="E340">
        <v>48</v>
      </c>
      <c r="F340">
        <f t="shared" si="15"/>
        <v>96</v>
      </c>
      <c r="G340" t="str">
        <f>VLOOKUP(B340,Orders!$A$2:$D$1201,4,FALSE)</f>
        <v>Delivered</v>
      </c>
      <c r="H340">
        <f t="shared" si="16"/>
        <v>96</v>
      </c>
      <c r="I340" s="12">
        <f>VLOOKUP(B340,Orders!$A$2:$D$1201,3,FALSE)</f>
        <v>46118</v>
      </c>
      <c r="L340" t="str">
        <f>VLOOKUP(C340,Products!$A$2:$D$13,2,FALSE)</f>
        <v>Backpack</v>
      </c>
      <c r="M340" t="str">
        <f t="shared" si="17"/>
        <v>2026-04</v>
      </c>
    </row>
    <row r="341" spans="1:13">
      <c r="A341">
        <v>340</v>
      </c>
      <c r="B341">
        <v>1157</v>
      </c>
      <c r="C341">
        <v>10</v>
      </c>
      <c r="D341">
        <v>1</v>
      </c>
      <c r="E341">
        <v>8</v>
      </c>
      <c r="F341">
        <f t="shared" si="15"/>
        <v>8</v>
      </c>
      <c r="G341" t="str">
        <f>VLOOKUP(B341,Orders!$A$2:$D$1201,4,FALSE)</f>
        <v>Delivered</v>
      </c>
      <c r="H341">
        <f t="shared" si="16"/>
        <v>8</v>
      </c>
      <c r="I341" s="12">
        <f>VLOOKUP(B341,Orders!$A$2:$D$1201,3,FALSE)</f>
        <v>46137</v>
      </c>
      <c r="L341" t="str">
        <f>VLOOKUP(C341,Products!$A$2:$D$13,2,FALSE)</f>
        <v>Notebook</v>
      </c>
      <c r="M341" t="str">
        <f t="shared" si="17"/>
        <v>2026-04</v>
      </c>
    </row>
    <row r="342" spans="1:13">
      <c r="A342">
        <v>341</v>
      </c>
      <c r="B342">
        <v>1158</v>
      </c>
      <c r="C342">
        <v>8</v>
      </c>
      <c r="D342">
        <v>4</v>
      </c>
      <c r="E342">
        <v>55</v>
      </c>
      <c r="F342">
        <f t="shared" si="15"/>
        <v>220</v>
      </c>
      <c r="G342" t="str">
        <f>VLOOKUP(B342,Orders!$A$2:$D$1201,4,FALSE)</f>
        <v>Delivered</v>
      </c>
      <c r="H342">
        <f t="shared" si="16"/>
        <v>220</v>
      </c>
      <c r="I342" s="12">
        <f>VLOOKUP(B342,Orders!$A$2:$D$1201,3,FALSE)</f>
        <v>46160</v>
      </c>
      <c r="L342" t="str">
        <f>VLOOKUP(C342,Products!$A$2:$D$13,2,FALSE)</f>
        <v>Webcam</v>
      </c>
      <c r="M342" t="str">
        <f t="shared" si="17"/>
        <v>2026-05</v>
      </c>
    </row>
    <row r="343" spans="1:13">
      <c r="A343">
        <v>342</v>
      </c>
      <c r="B343">
        <v>1158</v>
      </c>
      <c r="C343">
        <v>2</v>
      </c>
      <c r="D343">
        <v>1</v>
      </c>
      <c r="E343">
        <v>220</v>
      </c>
      <c r="F343">
        <f t="shared" si="15"/>
        <v>220</v>
      </c>
      <c r="G343" t="str">
        <f>VLOOKUP(B343,Orders!$A$2:$D$1201,4,FALSE)</f>
        <v>Delivered</v>
      </c>
      <c r="H343">
        <f t="shared" si="16"/>
        <v>220</v>
      </c>
      <c r="I343" s="12">
        <f>VLOOKUP(B343,Orders!$A$2:$D$1201,3,FALSE)</f>
        <v>46160</v>
      </c>
      <c r="L343" t="str">
        <f>VLOOKUP(C343,Products!$A$2:$D$13,2,FALSE)</f>
        <v>Monitor</v>
      </c>
      <c r="M343" t="str">
        <f t="shared" si="17"/>
        <v>2026-05</v>
      </c>
    </row>
    <row r="344" spans="1:13">
      <c r="A344">
        <v>343</v>
      </c>
      <c r="B344">
        <v>1158</v>
      </c>
      <c r="C344">
        <v>4</v>
      </c>
      <c r="D344">
        <v>4</v>
      </c>
      <c r="E344">
        <v>25</v>
      </c>
      <c r="F344">
        <f t="shared" si="15"/>
        <v>100</v>
      </c>
      <c r="G344" t="str">
        <f>VLOOKUP(B344,Orders!$A$2:$D$1201,4,FALSE)</f>
        <v>Delivered</v>
      </c>
      <c r="H344">
        <f t="shared" si="16"/>
        <v>100</v>
      </c>
      <c r="I344" s="12">
        <f>VLOOKUP(B344,Orders!$A$2:$D$1201,3,FALSE)</f>
        <v>46160</v>
      </c>
      <c r="L344" t="str">
        <f>VLOOKUP(C344,Products!$A$2:$D$13,2,FALSE)</f>
        <v>Mouse</v>
      </c>
      <c r="M344" t="str">
        <f t="shared" si="17"/>
        <v>2026-05</v>
      </c>
    </row>
    <row r="345" spans="1:13">
      <c r="A345">
        <v>344</v>
      </c>
      <c r="B345">
        <v>1159</v>
      </c>
      <c r="C345">
        <v>5</v>
      </c>
      <c r="D345">
        <v>3</v>
      </c>
      <c r="E345">
        <v>180</v>
      </c>
      <c r="F345">
        <f t="shared" si="15"/>
        <v>540</v>
      </c>
      <c r="G345" t="str">
        <f>VLOOKUP(B345,Orders!$A$2:$D$1201,4,FALSE)</f>
        <v>Delivered</v>
      </c>
      <c r="H345">
        <f t="shared" si="16"/>
        <v>540</v>
      </c>
      <c r="I345" s="12">
        <f>VLOOKUP(B345,Orders!$A$2:$D$1201,3,FALSE)</f>
        <v>46167</v>
      </c>
      <c r="L345" t="str">
        <f>VLOOKUP(C345,Products!$A$2:$D$13,2,FALSE)</f>
        <v>Desk</v>
      </c>
      <c r="M345" t="str">
        <f t="shared" si="17"/>
        <v>2026-05</v>
      </c>
    </row>
    <row r="346" spans="1:13">
      <c r="A346">
        <v>345</v>
      </c>
      <c r="B346">
        <v>1159</v>
      </c>
      <c r="C346">
        <v>1</v>
      </c>
      <c r="D346">
        <v>1</v>
      </c>
      <c r="E346">
        <v>750</v>
      </c>
      <c r="F346">
        <f t="shared" si="15"/>
        <v>750</v>
      </c>
      <c r="G346" t="str">
        <f>VLOOKUP(B346,Orders!$A$2:$D$1201,4,FALSE)</f>
        <v>Delivered</v>
      </c>
      <c r="H346">
        <f t="shared" si="16"/>
        <v>750</v>
      </c>
      <c r="I346" s="12">
        <f>VLOOKUP(B346,Orders!$A$2:$D$1201,3,FALSE)</f>
        <v>46167</v>
      </c>
      <c r="L346" t="str">
        <f>VLOOKUP(C346,Products!$A$2:$D$13,2,FALSE)</f>
        <v>Laptop</v>
      </c>
      <c r="M346" t="str">
        <f t="shared" si="17"/>
        <v>2026-05</v>
      </c>
    </row>
    <row r="347" spans="1:13">
      <c r="A347">
        <v>346</v>
      </c>
      <c r="B347">
        <v>1159</v>
      </c>
      <c r="C347">
        <v>7</v>
      </c>
      <c r="D347">
        <v>2</v>
      </c>
      <c r="E347">
        <v>65</v>
      </c>
      <c r="F347">
        <f t="shared" si="15"/>
        <v>130</v>
      </c>
      <c r="G347" t="str">
        <f>VLOOKUP(B347,Orders!$A$2:$D$1201,4,FALSE)</f>
        <v>Delivered</v>
      </c>
      <c r="H347">
        <f t="shared" si="16"/>
        <v>130</v>
      </c>
      <c r="I347" s="12">
        <f>VLOOKUP(B347,Orders!$A$2:$D$1201,3,FALSE)</f>
        <v>46167</v>
      </c>
      <c r="L347" t="str">
        <f>VLOOKUP(C347,Products!$A$2:$D$13,2,FALSE)</f>
        <v>Headphones</v>
      </c>
      <c r="M347" t="str">
        <f t="shared" si="17"/>
        <v>2026-05</v>
      </c>
    </row>
    <row r="348" spans="1:13">
      <c r="A348">
        <v>347</v>
      </c>
      <c r="B348">
        <v>1160</v>
      </c>
      <c r="C348">
        <v>1</v>
      </c>
      <c r="D348">
        <v>4</v>
      </c>
      <c r="E348">
        <v>750</v>
      </c>
      <c r="F348">
        <f t="shared" si="15"/>
        <v>3000</v>
      </c>
      <c r="G348" t="str">
        <f>VLOOKUP(B348,Orders!$A$2:$D$1201,4,FALSE)</f>
        <v>Pending</v>
      </c>
      <c r="H348">
        <f t="shared" si="16"/>
        <v>3000</v>
      </c>
      <c r="I348" s="12">
        <f>VLOOKUP(B348,Orders!$A$2:$D$1201,3,FALSE)</f>
        <v>46161</v>
      </c>
      <c r="L348" t="str">
        <f>VLOOKUP(C348,Products!$A$2:$D$13,2,FALSE)</f>
        <v>Laptop</v>
      </c>
      <c r="M348" t="str">
        <f t="shared" si="17"/>
        <v>2026-05</v>
      </c>
    </row>
    <row r="349" spans="1:13">
      <c r="A349">
        <v>348</v>
      </c>
      <c r="B349">
        <v>1160</v>
      </c>
      <c r="C349">
        <v>5</v>
      </c>
      <c r="D349">
        <v>2</v>
      </c>
      <c r="E349">
        <v>180</v>
      </c>
      <c r="F349">
        <f t="shared" si="15"/>
        <v>360</v>
      </c>
      <c r="G349" t="str">
        <f>VLOOKUP(B349,Orders!$A$2:$D$1201,4,FALSE)</f>
        <v>Pending</v>
      </c>
      <c r="H349">
        <f t="shared" si="16"/>
        <v>360</v>
      </c>
      <c r="I349" s="12">
        <f>VLOOKUP(B349,Orders!$A$2:$D$1201,3,FALSE)</f>
        <v>46161</v>
      </c>
      <c r="L349" t="str">
        <f>VLOOKUP(C349,Products!$A$2:$D$13,2,FALSE)</f>
        <v>Desk</v>
      </c>
      <c r="M349" t="str">
        <f t="shared" si="17"/>
        <v>2026-05</v>
      </c>
    </row>
    <row r="350" spans="1:13">
      <c r="A350">
        <v>349</v>
      </c>
      <c r="B350">
        <v>1161</v>
      </c>
      <c r="C350">
        <v>7</v>
      </c>
      <c r="D350">
        <v>4</v>
      </c>
      <c r="E350">
        <v>65</v>
      </c>
      <c r="F350">
        <f t="shared" si="15"/>
        <v>260</v>
      </c>
      <c r="G350" t="str">
        <f>VLOOKUP(B350,Orders!$A$2:$D$1201,4,FALSE)</f>
        <v>Pending</v>
      </c>
      <c r="H350">
        <f t="shared" si="16"/>
        <v>260</v>
      </c>
      <c r="I350" s="12">
        <f>VLOOKUP(B350,Orders!$A$2:$D$1201,3,FALSE)</f>
        <v>46187</v>
      </c>
      <c r="L350" t="str">
        <f>VLOOKUP(C350,Products!$A$2:$D$13,2,FALSE)</f>
        <v>Headphones</v>
      </c>
      <c r="M350" t="str">
        <f t="shared" si="17"/>
        <v>2026-06</v>
      </c>
    </row>
    <row r="351" spans="1:13">
      <c r="A351">
        <v>350</v>
      </c>
      <c r="B351">
        <v>1161</v>
      </c>
      <c r="C351">
        <v>8</v>
      </c>
      <c r="D351">
        <v>4</v>
      </c>
      <c r="E351">
        <v>55</v>
      </c>
      <c r="F351">
        <f t="shared" si="15"/>
        <v>220</v>
      </c>
      <c r="G351" t="str">
        <f>VLOOKUP(B351,Orders!$A$2:$D$1201,4,FALSE)</f>
        <v>Pending</v>
      </c>
      <c r="H351">
        <f t="shared" si="16"/>
        <v>220</v>
      </c>
      <c r="I351" s="12">
        <f>VLOOKUP(B351,Orders!$A$2:$D$1201,3,FALSE)</f>
        <v>46187</v>
      </c>
      <c r="L351" t="str">
        <f>VLOOKUP(C351,Products!$A$2:$D$13,2,FALSE)</f>
        <v>Webcam</v>
      </c>
      <c r="M351" t="str">
        <f t="shared" si="17"/>
        <v>2026-06</v>
      </c>
    </row>
    <row r="352" spans="1:13">
      <c r="A352">
        <v>351</v>
      </c>
      <c r="B352">
        <v>1162</v>
      </c>
      <c r="C352">
        <v>11</v>
      </c>
      <c r="D352">
        <v>3</v>
      </c>
      <c r="E352">
        <v>48</v>
      </c>
      <c r="F352">
        <f t="shared" si="15"/>
        <v>144</v>
      </c>
      <c r="G352" t="str">
        <f>VLOOKUP(B352,Orders!$A$2:$D$1201,4,FALSE)</f>
        <v>Shipped</v>
      </c>
      <c r="H352">
        <f t="shared" si="16"/>
        <v>144</v>
      </c>
      <c r="I352" s="12">
        <f>VLOOKUP(B352,Orders!$A$2:$D$1201,3,FALSE)</f>
        <v>46197</v>
      </c>
      <c r="L352" t="str">
        <f>VLOOKUP(C352,Products!$A$2:$D$13,2,FALSE)</f>
        <v>Backpack</v>
      </c>
      <c r="M352" t="str">
        <f t="shared" si="17"/>
        <v>2026-06</v>
      </c>
    </row>
    <row r="353" spans="1:13">
      <c r="A353">
        <v>352</v>
      </c>
      <c r="B353">
        <v>1163</v>
      </c>
      <c r="C353">
        <v>1</v>
      </c>
      <c r="D353">
        <v>3</v>
      </c>
      <c r="E353">
        <v>750</v>
      </c>
      <c r="F353">
        <f t="shared" si="15"/>
        <v>2250</v>
      </c>
      <c r="G353" t="str">
        <f>VLOOKUP(B353,Orders!$A$2:$D$1201,4,FALSE)</f>
        <v>Delivered</v>
      </c>
      <c r="H353">
        <f t="shared" si="16"/>
        <v>2250</v>
      </c>
      <c r="I353" s="12">
        <f>VLOOKUP(B353,Orders!$A$2:$D$1201,3,FALSE)</f>
        <v>46123</v>
      </c>
      <c r="L353" t="str">
        <f>VLOOKUP(C353,Products!$A$2:$D$13,2,FALSE)</f>
        <v>Laptop</v>
      </c>
      <c r="M353" t="str">
        <f t="shared" si="17"/>
        <v>2026-04</v>
      </c>
    </row>
    <row r="354" spans="1:13">
      <c r="A354">
        <v>353</v>
      </c>
      <c r="B354">
        <v>1164</v>
      </c>
      <c r="C354">
        <v>5</v>
      </c>
      <c r="D354">
        <v>2</v>
      </c>
      <c r="E354">
        <v>180</v>
      </c>
      <c r="F354">
        <f t="shared" si="15"/>
        <v>360</v>
      </c>
      <c r="G354" t="str">
        <f>VLOOKUP(B354,Orders!$A$2:$D$1201,4,FALSE)</f>
        <v>Delivered</v>
      </c>
      <c r="H354">
        <f t="shared" si="16"/>
        <v>360</v>
      </c>
      <c r="I354" s="12">
        <f>VLOOKUP(B354,Orders!$A$2:$D$1201,3,FALSE)</f>
        <v>46081</v>
      </c>
      <c r="L354" t="str">
        <f>VLOOKUP(C354,Products!$A$2:$D$13,2,FALSE)</f>
        <v>Desk</v>
      </c>
      <c r="M354" t="str">
        <f t="shared" si="17"/>
        <v>2026-02</v>
      </c>
    </row>
    <row r="355" spans="1:13">
      <c r="A355">
        <v>354</v>
      </c>
      <c r="B355">
        <v>1165</v>
      </c>
      <c r="C355">
        <v>4</v>
      </c>
      <c r="D355">
        <v>1</v>
      </c>
      <c r="E355">
        <v>25</v>
      </c>
      <c r="F355">
        <f t="shared" si="15"/>
        <v>25</v>
      </c>
      <c r="G355" t="str">
        <f>VLOOKUP(B355,Orders!$A$2:$D$1201,4,FALSE)</f>
        <v>Delivered</v>
      </c>
      <c r="H355">
        <f t="shared" si="16"/>
        <v>25</v>
      </c>
      <c r="I355" s="12">
        <f>VLOOKUP(B355,Orders!$A$2:$D$1201,3,FALSE)</f>
        <v>46130</v>
      </c>
      <c r="L355" t="str">
        <f>VLOOKUP(C355,Products!$A$2:$D$13,2,FALSE)</f>
        <v>Mouse</v>
      </c>
      <c r="M355" t="str">
        <f t="shared" si="17"/>
        <v>2026-04</v>
      </c>
    </row>
    <row r="356" spans="1:13">
      <c r="A356">
        <v>355</v>
      </c>
      <c r="B356">
        <v>1166</v>
      </c>
      <c r="C356">
        <v>8</v>
      </c>
      <c r="D356">
        <v>2</v>
      </c>
      <c r="E356">
        <v>55</v>
      </c>
      <c r="F356">
        <f t="shared" si="15"/>
        <v>110</v>
      </c>
      <c r="G356" t="str">
        <f>VLOOKUP(B356,Orders!$A$2:$D$1201,4,FALSE)</f>
        <v>Delivered</v>
      </c>
      <c r="H356">
        <f t="shared" si="16"/>
        <v>110</v>
      </c>
      <c r="I356" s="12">
        <f>VLOOKUP(B356,Orders!$A$2:$D$1201,3,FALSE)</f>
        <v>46035</v>
      </c>
      <c r="L356" t="str">
        <f>VLOOKUP(C356,Products!$A$2:$D$13,2,FALSE)</f>
        <v>Webcam</v>
      </c>
      <c r="M356" t="str">
        <f t="shared" si="17"/>
        <v>2026-01</v>
      </c>
    </row>
    <row r="357" spans="1:13">
      <c r="A357">
        <v>356</v>
      </c>
      <c r="B357">
        <v>1166</v>
      </c>
      <c r="C357">
        <v>4</v>
      </c>
      <c r="D357">
        <v>1</v>
      </c>
      <c r="E357">
        <v>25</v>
      </c>
      <c r="F357">
        <f t="shared" si="15"/>
        <v>25</v>
      </c>
      <c r="G357" t="str">
        <f>VLOOKUP(B357,Orders!$A$2:$D$1201,4,FALSE)</f>
        <v>Delivered</v>
      </c>
      <c r="H357">
        <f t="shared" si="16"/>
        <v>25</v>
      </c>
      <c r="I357" s="12">
        <f>VLOOKUP(B357,Orders!$A$2:$D$1201,3,FALSE)</f>
        <v>46035</v>
      </c>
      <c r="L357" t="str">
        <f>VLOOKUP(C357,Products!$A$2:$D$13,2,FALSE)</f>
        <v>Mouse</v>
      </c>
      <c r="M357" t="str">
        <f t="shared" si="17"/>
        <v>2026-01</v>
      </c>
    </row>
    <row r="358" spans="1:13">
      <c r="A358">
        <v>357</v>
      </c>
      <c r="B358">
        <v>1167</v>
      </c>
      <c r="C358">
        <v>5</v>
      </c>
      <c r="D358">
        <v>2</v>
      </c>
      <c r="E358">
        <v>180</v>
      </c>
      <c r="F358">
        <f t="shared" si="15"/>
        <v>360</v>
      </c>
      <c r="G358" t="str">
        <f>VLOOKUP(B358,Orders!$A$2:$D$1201,4,FALSE)</f>
        <v>Delivered</v>
      </c>
      <c r="H358">
        <f t="shared" si="16"/>
        <v>360</v>
      </c>
      <c r="I358" s="12">
        <f>VLOOKUP(B358,Orders!$A$2:$D$1201,3,FALSE)</f>
        <v>46170</v>
      </c>
      <c r="L358" t="str">
        <f>VLOOKUP(C358,Products!$A$2:$D$13,2,FALSE)</f>
        <v>Desk</v>
      </c>
      <c r="M358" t="str">
        <f t="shared" si="17"/>
        <v>2026-05</v>
      </c>
    </row>
    <row r="359" spans="1:13">
      <c r="A359">
        <v>358</v>
      </c>
      <c r="B359">
        <v>1168</v>
      </c>
      <c r="C359">
        <v>11</v>
      </c>
      <c r="D359">
        <v>4</v>
      </c>
      <c r="E359">
        <v>48</v>
      </c>
      <c r="F359">
        <f t="shared" si="15"/>
        <v>192</v>
      </c>
      <c r="G359" t="str">
        <f>VLOOKUP(B359,Orders!$A$2:$D$1201,4,FALSE)</f>
        <v>Delivered</v>
      </c>
      <c r="H359">
        <f t="shared" si="16"/>
        <v>192</v>
      </c>
      <c r="I359" s="12">
        <f>VLOOKUP(B359,Orders!$A$2:$D$1201,3,FALSE)</f>
        <v>46038</v>
      </c>
      <c r="L359" t="str">
        <f>VLOOKUP(C359,Products!$A$2:$D$13,2,FALSE)</f>
        <v>Backpack</v>
      </c>
      <c r="M359" t="str">
        <f t="shared" si="17"/>
        <v>2026-01</v>
      </c>
    </row>
    <row r="360" spans="1:13">
      <c r="A360">
        <v>359</v>
      </c>
      <c r="B360">
        <v>1168</v>
      </c>
      <c r="C360">
        <v>7</v>
      </c>
      <c r="D360">
        <v>1</v>
      </c>
      <c r="E360">
        <v>65</v>
      </c>
      <c r="F360">
        <f t="shared" si="15"/>
        <v>65</v>
      </c>
      <c r="G360" t="str">
        <f>VLOOKUP(B360,Orders!$A$2:$D$1201,4,FALSE)</f>
        <v>Delivered</v>
      </c>
      <c r="H360">
        <f t="shared" si="16"/>
        <v>65</v>
      </c>
      <c r="I360" s="12">
        <f>VLOOKUP(B360,Orders!$A$2:$D$1201,3,FALSE)</f>
        <v>46038</v>
      </c>
      <c r="L360" t="str">
        <f>VLOOKUP(C360,Products!$A$2:$D$13,2,FALSE)</f>
        <v>Headphones</v>
      </c>
      <c r="M360" t="str">
        <f t="shared" si="17"/>
        <v>2026-01</v>
      </c>
    </row>
    <row r="361" spans="1:13">
      <c r="A361">
        <v>360</v>
      </c>
      <c r="B361">
        <v>1168</v>
      </c>
      <c r="C361">
        <v>9</v>
      </c>
      <c r="D361">
        <v>3</v>
      </c>
      <c r="E361">
        <v>30</v>
      </c>
      <c r="F361">
        <f t="shared" si="15"/>
        <v>90</v>
      </c>
      <c r="G361" t="str">
        <f>VLOOKUP(B361,Orders!$A$2:$D$1201,4,FALSE)</f>
        <v>Delivered</v>
      </c>
      <c r="H361">
        <f t="shared" si="16"/>
        <v>90</v>
      </c>
      <c r="I361" s="12">
        <f>VLOOKUP(B361,Orders!$A$2:$D$1201,3,FALSE)</f>
        <v>46038</v>
      </c>
      <c r="L361" t="str">
        <f>VLOOKUP(C361,Products!$A$2:$D$13,2,FALSE)</f>
        <v>Lamp</v>
      </c>
      <c r="M361" t="str">
        <f t="shared" si="17"/>
        <v>2026-01</v>
      </c>
    </row>
    <row r="362" spans="1:13">
      <c r="A362">
        <v>361</v>
      </c>
      <c r="B362">
        <v>1169</v>
      </c>
      <c r="C362">
        <v>7</v>
      </c>
      <c r="D362">
        <v>4</v>
      </c>
      <c r="E362">
        <v>65</v>
      </c>
      <c r="F362">
        <f t="shared" si="15"/>
        <v>260</v>
      </c>
      <c r="G362" t="str">
        <f>VLOOKUP(B362,Orders!$A$2:$D$1201,4,FALSE)</f>
        <v>Delivered</v>
      </c>
      <c r="H362">
        <f t="shared" si="16"/>
        <v>260</v>
      </c>
      <c r="I362" s="12">
        <f>VLOOKUP(B362,Orders!$A$2:$D$1201,3,FALSE)</f>
        <v>46201</v>
      </c>
      <c r="L362" t="str">
        <f>VLOOKUP(C362,Products!$A$2:$D$13,2,FALSE)</f>
        <v>Headphones</v>
      </c>
      <c r="M362" t="str">
        <f t="shared" si="17"/>
        <v>2026-06</v>
      </c>
    </row>
    <row r="363" spans="1:13">
      <c r="A363">
        <v>362</v>
      </c>
      <c r="B363">
        <v>1169</v>
      </c>
      <c r="C363">
        <v>3</v>
      </c>
      <c r="D363">
        <v>2</v>
      </c>
      <c r="E363">
        <v>45</v>
      </c>
      <c r="F363">
        <f t="shared" si="15"/>
        <v>90</v>
      </c>
      <c r="G363" t="str">
        <f>VLOOKUP(B363,Orders!$A$2:$D$1201,4,FALSE)</f>
        <v>Delivered</v>
      </c>
      <c r="H363">
        <f t="shared" si="16"/>
        <v>90</v>
      </c>
      <c r="I363" s="12">
        <f>VLOOKUP(B363,Orders!$A$2:$D$1201,3,FALSE)</f>
        <v>46201</v>
      </c>
      <c r="L363" t="str">
        <f>VLOOKUP(C363,Products!$A$2:$D$13,2,FALSE)</f>
        <v>Keyboard</v>
      </c>
      <c r="M363" t="str">
        <f t="shared" si="17"/>
        <v>2026-06</v>
      </c>
    </row>
    <row r="364" spans="1:13">
      <c r="A364">
        <v>363</v>
      </c>
      <c r="B364">
        <v>1170</v>
      </c>
      <c r="C364">
        <v>9</v>
      </c>
      <c r="D364">
        <v>2</v>
      </c>
      <c r="E364">
        <v>30</v>
      </c>
      <c r="F364">
        <f t="shared" si="15"/>
        <v>60</v>
      </c>
      <c r="G364" t="str">
        <f>VLOOKUP(B364,Orders!$A$2:$D$1201,4,FALSE)</f>
        <v>Delivered</v>
      </c>
      <c r="H364">
        <f t="shared" si="16"/>
        <v>60</v>
      </c>
      <c r="I364" s="12">
        <f>VLOOKUP(B364,Orders!$A$2:$D$1201,3,FALSE)</f>
        <v>46037</v>
      </c>
      <c r="L364" t="str">
        <f>VLOOKUP(C364,Products!$A$2:$D$13,2,FALSE)</f>
        <v>Lamp</v>
      </c>
      <c r="M364" t="str">
        <f t="shared" si="17"/>
        <v>2026-01</v>
      </c>
    </row>
    <row r="365" spans="1:13">
      <c r="A365">
        <v>364</v>
      </c>
      <c r="B365">
        <v>1170</v>
      </c>
      <c r="C365">
        <v>3</v>
      </c>
      <c r="D365">
        <v>3</v>
      </c>
      <c r="E365">
        <v>45</v>
      </c>
      <c r="F365">
        <f t="shared" si="15"/>
        <v>135</v>
      </c>
      <c r="G365" t="str">
        <f>VLOOKUP(B365,Orders!$A$2:$D$1201,4,FALSE)</f>
        <v>Delivered</v>
      </c>
      <c r="H365">
        <f t="shared" si="16"/>
        <v>135</v>
      </c>
      <c r="I365" s="12">
        <f>VLOOKUP(B365,Orders!$A$2:$D$1201,3,FALSE)</f>
        <v>46037</v>
      </c>
      <c r="L365" t="str">
        <f>VLOOKUP(C365,Products!$A$2:$D$13,2,FALSE)</f>
        <v>Keyboard</v>
      </c>
      <c r="M365" t="str">
        <f t="shared" si="17"/>
        <v>2026-01</v>
      </c>
    </row>
    <row r="366" spans="1:13">
      <c r="A366">
        <v>365</v>
      </c>
      <c r="B366">
        <v>1170</v>
      </c>
      <c r="C366">
        <v>7</v>
      </c>
      <c r="D366">
        <v>2</v>
      </c>
      <c r="E366">
        <v>65</v>
      </c>
      <c r="F366">
        <f t="shared" si="15"/>
        <v>130</v>
      </c>
      <c r="G366" t="str">
        <f>VLOOKUP(B366,Orders!$A$2:$D$1201,4,FALSE)</f>
        <v>Delivered</v>
      </c>
      <c r="H366">
        <f t="shared" si="16"/>
        <v>130</v>
      </c>
      <c r="I366" s="12">
        <f>VLOOKUP(B366,Orders!$A$2:$D$1201,3,FALSE)</f>
        <v>46037</v>
      </c>
      <c r="L366" t="str">
        <f>VLOOKUP(C366,Products!$A$2:$D$13,2,FALSE)</f>
        <v>Headphones</v>
      </c>
      <c r="M366" t="str">
        <f t="shared" si="17"/>
        <v>2026-01</v>
      </c>
    </row>
    <row r="367" spans="1:13">
      <c r="A367">
        <v>366</v>
      </c>
      <c r="B367">
        <v>1171</v>
      </c>
      <c r="C367">
        <v>5</v>
      </c>
      <c r="D367">
        <v>4</v>
      </c>
      <c r="E367">
        <v>180</v>
      </c>
      <c r="F367">
        <f t="shared" si="15"/>
        <v>720</v>
      </c>
      <c r="G367" t="str">
        <f>VLOOKUP(B367,Orders!$A$2:$D$1201,4,FALSE)</f>
        <v>Delivered</v>
      </c>
      <c r="H367">
        <f t="shared" si="16"/>
        <v>720</v>
      </c>
      <c r="I367" s="12">
        <f>VLOOKUP(B367,Orders!$A$2:$D$1201,3,FALSE)</f>
        <v>46046</v>
      </c>
      <c r="L367" t="str">
        <f>VLOOKUP(C367,Products!$A$2:$D$13,2,FALSE)</f>
        <v>Desk</v>
      </c>
      <c r="M367" t="str">
        <f t="shared" si="17"/>
        <v>2026-01</v>
      </c>
    </row>
    <row r="368" spans="1:13">
      <c r="A368">
        <v>367</v>
      </c>
      <c r="B368">
        <v>1172</v>
      </c>
      <c r="C368">
        <v>8</v>
      </c>
      <c r="D368">
        <v>2</v>
      </c>
      <c r="E368">
        <v>55</v>
      </c>
      <c r="F368">
        <f t="shared" si="15"/>
        <v>110</v>
      </c>
      <c r="G368" t="str">
        <f>VLOOKUP(B368,Orders!$A$2:$D$1201,4,FALSE)</f>
        <v>Delivered</v>
      </c>
      <c r="H368">
        <f t="shared" si="16"/>
        <v>110</v>
      </c>
      <c r="I368" s="12">
        <f>VLOOKUP(B368,Orders!$A$2:$D$1201,3,FALSE)</f>
        <v>46173</v>
      </c>
      <c r="L368" t="str">
        <f>VLOOKUP(C368,Products!$A$2:$D$13,2,FALSE)</f>
        <v>Webcam</v>
      </c>
      <c r="M368" t="str">
        <f t="shared" si="17"/>
        <v>2026-05</v>
      </c>
    </row>
    <row r="369" spans="1:13">
      <c r="A369">
        <v>368</v>
      </c>
      <c r="B369">
        <v>1173</v>
      </c>
      <c r="C369">
        <v>8</v>
      </c>
      <c r="D369">
        <v>2</v>
      </c>
      <c r="E369">
        <v>55</v>
      </c>
      <c r="F369">
        <f t="shared" si="15"/>
        <v>110</v>
      </c>
      <c r="G369" t="str">
        <f>VLOOKUP(B369,Orders!$A$2:$D$1201,4,FALSE)</f>
        <v>Shipped</v>
      </c>
      <c r="H369">
        <f t="shared" si="16"/>
        <v>110</v>
      </c>
      <c r="I369" s="12">
        <f>VLOOKUP(B369,Orders!$A$2:$D$1201,3,FALSE)</f>
        <v>46077</v>
      </c>
      <c r="L369" t="str">
        <f>VLOOKUP(C369,Products!$A$2:$D$13,2,FALSE)</f>
        <v>Webcam</v>
      </c>
      <c r="M369" t="str">
        <f t="shared" si="17"/>
        <v>2026-02</v>
      </c>
    </row>
    <row r="370" spans="1:13">
      <c r="A370">
        <v>369</v>
      </c>
      <c r="B370">
        <v>1173</v>
      </c>
      <c r="C370">
        <v>4</v>
      </c>
      <c r="D370">
        <v>4</v>
      </c>
      <c r="E370">
        <v>25</v>
      </c>
      <c r="F370">
        <f t="shared" si="15"/>
        <v>100</v>
      </c>
      <c r="G370" t="str">
        <f>VLOOKUP(B370,Orders!$A$2:$D$1201,4,FALSE)</f>
        <v>Shipped</v>
      </c>
      <c r="H370">
        <f t="shared" si="16"/>
        <v>100</v>
      </c>
      <c r="I370" s="12">
        <f>VLOOKUP(B370,Orders!$A$2:$D$1201,3,FALSE)</f>
        <v>46077</v>
      </c>
      <c r="L370" t="str">
        <f>VLOOKUP(C370,Products!$A$2:$D$13,2,FALSE)</f>
        <v>Mouse</v>
      </c>
      <c r="M370" t="str">
        <f t="shared" si="17"/>
        <v>2026-02</v>
      </c>
    </row>
    <row r="371" spans="1:13">
      <c r="A371">
        <v>370</v>
      </c>
      <c r="B371">
        <v>1173</v>
      </c>
      <c r="C371">
        <v>10</v>
      </c>
      <c r="D371">
        <v>2</v>
      </c>
      <c r="E371">
        <v>8</v>
      </c>
      <c r="F371">
        <f t="shared" si="15"/>
        <v>16</v>
      </c>
      <c r="G371" t="str">
        <f>VLOOKUP(B371,Orders!$A$2:$D$1201,4,FALSE)</f>
        <v>Shipped</v>
      </c>
      <c r="H371">
        <f t="shared" si="16"/>
        <v>16</v>
      </c>
      <c r="I371" s="12">
        <f>VLOOKUP(B371,Orders!$A$2:$D$1201,3,FALSE)</f>
        <v>46077</v>
      </c>
      <c r="L371" t="str">
        <f>VLOOKUP(C371,Products!$A$2:$D$13,2,FALSE)</f>
        <v>Notebook</v>
      </c>
      <c r="M371" t="str">
        <f t="shared" si="17"/>
        <v>2026-02</v>
      </c>
    </row>
    <row r="372" spans="1:13">
      <c r="A372">
        <v>371</v>
      </c>
      <c r="B372">
        <v>1174</v>
      </c>
      <c r="C372">
        <v>5</v>
      </c>
      <c r="D372">
        <v>4</v>
      </c>
      <c r="E372">
        <v>180</v>
      </c>
      <c r="F372">
        <f t="shared" si="15"/>
        <v>720</v>
      </c>
      <c r="G372" t="str">
        <f>VLOOKUP(B372,Orders!$A$2:$D$1201,4,FALSE)</f>
        <v>Delivered</v>
      </c>
      <c r="H372">
        <f t="shared" si="16"/>
        <v>720</v>
      </c>
      <c r="I372" s="12">
        <f>VLOOKUP(B372,Orders!$A$2:$D$1201,3,FALSE)</f>
        <v>46120</v>
      </c>
      <c r="L372" t="str">
        <f>VLOOKUP(C372,Products!$A$2:$D$13,2,FALSE)</f>
        <v>Desk</v>
      </c>
      <c r="M372" t="str">
        <f t="shared" si="17"/>
        <v>2026-04</v>
      </c>
    </row>
    <row r="373" spans="1:13">
      <c r="A373">
        <v>372</v>
      </c>
      <c r="B373">
        <v>1174</v>
      </c>
      <c r="C373">
        <v>6</v>
      </c>
      <c r="D373">
        <v>4</v>
      </c>
      <c r="E373">
        <v>140</v>
      </c>
      <c r="F373">
        <f t="shared" si="15"/>
        <v>560</v>
      </c>
      <c r="G373" t="str">
        <f>VLOOKUP(B373,Orders!$A$2:$D$1201,4,FALSE)</f>
        <v>Delivered</v>
      </c>
      <c r="H373">
        <f t="shared" si="16"/>
        <v>560</v>
      </c>
      <c r="I373" s="12">
        <f>VLOOKUP(B373,Orders!$A$2:$D$1201,3,FALSE)</f>
        <v>46120</v>
      </c>
      <c r="L373" t="str">
        <f>VLOOKUP(C373,Products!$A$2:$D$13,2,FALSE)</f>
        <v>Chair</v>
      </c>
      <c r="M373" t="str">
        <f t="shared" si="17"/>
        <v>2026-04</v>
      </c>
    </row>
    <row r="374" spans="1:13">
      <c r="A374">
        <v>373</v>
      </c>
      <c r="B374">
        <v>1175</v>
      </c>
      <c r="C374">
        <v>10</v>
      </c>
      <c r="D374">
        <v>2</v>
      </c>
      <c r="E374">
        <v>8</v>
      </c>
      <c r="F374">
        <f t="shared" si="15"/>
        <v>16</v>
      </c>
      <c r="G374" t="str">
        <f>VLOOKUP(B374,Orders!$A$2:$D$1201,4,FALSE)</f>
        <v>Delivered</v>
      </c>
      <c r="H374">
        <f t="shared" si="16"/>
        <v>16</v>
      </c>
      <c r="I374" s="12">
        <f>VLOOKUP(B374,Orders!$A$2:$D$1201,3,FALSE)</f>
        <v>46075</v>
      </c>
      <c r="L374" t="str">
        <f>VLOOKUP(C374,Products!$A$2:$D$13,2,FALSE)</f>
        <v>Notebook</v>
      </c>
      <c r="M374" t="str">
        <f t="shared" si="17"/>
        <v>2026-02</v>
      </c>
    </row>
    <row r="375" spans="1:13">
      <c r="A375">
        <v>374</v>
      </c>
      <c r="B375">
        <v>1176</v>
      </c>
      <c r="C375">
        <v>4</v>
      </c>
      <c r="D375">
        <v>3</v>
      </c>
      <c r="E375">
        <v>25</v>
      </c>
      <c r="F375">
        <f t="shared" si="15"/>
        <v>75</v>
      </c>
      <c r="G375" t="str">
        <f>VLOOKUP(B375,Orders!$A$2:$D$1201,4,FALSE)</f>
        <v>Delivered</v>
      </c>
      <c r="H375">
        <f t="shared" si="16"/>
        <v>75</v>
      </c>
      <c r="I375" s="12">
        <f>VLOOKUP(B375,Orders!$A$2:$D$1201,3,FALSE)</f>
        <v>46171</v>
      </c>
      <c r="L375" t="str">
        <f>VLOOKUP(C375,Products!$A$2:$D$13,2,FALSE)</f>
        <v>Mouse</v>
      </c>
      <c r="M375" t="str">
        <f t="shared" si="17"/>
        <v>2026-05</v>
      </c>
    </row>
    <row r="376" spans="1:13">
      <c r="A376">
        <v>375</v>
      </c>
      <c r="B376">
        <v>1177</v>
      </c>
      <c r="C376">
        <v>8</v>
      </c>
      <c r="D376">
        <v>4</v>
      </c>
      <c r="E376">
        <v>55</v>
      </c>
      <c r="F376">
        <f t="shared" si="15"/>
        <v>220</v>
      </c>
      <c r="G376" t="str">
        <f>VLOOKUP(B376,Orders!$A$2:$D$1201,4,FALSE)</f>
        <v>Shipped</v>
      </c>
      <c r="H376">
        <f t="shared" si="16"/>
        <v>220</v>
      </c>
      <c r="I376" s="12">
        <f>VLOOKUP(B376,Orders!$A$2:$D$1201,3,FALSE)</f>
        <v>46190</v>
      </c>
      <c r="L376" t="str">
        <f>VLOOKUP(C376,Products!$A$2:$D$13,2,FALSE)</f>
        <v>Webcam</v>
      </c>
      <c r="M376" t="str">
        <f t="shared" si="17"/>
        <v>2026-06</v>
      </c>
    </row>
    <row r="377" spans="1:13">
      <c r="A377">
        <v>376</v>
      </c>
      <c r="B377">
        <v>1177</v>
      </c>
      <c r="C377">
        <v>11</v>
      </c>
      <c r="D377">
        <v>4</v>
      </c>
      <c r="E377">
        <v>48</v>
      </c>
      <c r="F377">
        <f t="shared" si="15"/>
        <v>192</v>
      </c>
      <c r="G377" t="str">
        <f>VLOOKUP(B377,Orders!$A$2:$D$1201,4,FALSE)</f>
        <v>Shipped</v>
      </c>
      <c r="H377">
        <f t="shared" si="16"/>
        <v>192</v>
      </c>
      <c r="I377" s="12">
        <f>VLOOKUP(B377,Orders!$A$2:$D$1201,3,FALSE)</f>
        <v>46190</v>
      </c>
      <c r="L377" t="str">
        <f>VLOOKUP(C377,Products!$A$2:$D$13,2,FALSE)</f>
        <v>Backpack</v>
      </c>
      <c r="M377" t="str">
        <f t="shared" si="17"/>
        <v>2026-06</v>
      </c>
    </row>
    <row r="378" spans="1:13">
      <c r="A378">
        <v>377</v>
      </c>
      <c r="B378">
        <v>1178</v>
      </c>
      <c r="C378">
        <v>3</v>
      </c>
      <c r="D378">
        <v>1</v>
      </c>
      <c r="E378">
        <v>45</v>
      </c>
      <c r="F378">
        <f t="shared" si="15"/>
        <v>45</v>
      </c>
      <c r="G378" t="str">
        <f>VLOOKUP(B378,Orders!$A$2:$D$1201,4,FALSE)</f>
        <v>Delivered</v>
      </c>
      <c r="H378">
        <f t="shared" si="16"/>
        <v>45</v>
      </c>
      <c r="I378" s="12">
        <f>VLOOKUP(B378,Orders!$A$2:$D$1201,3,FALSE)</f>
        <v>46066</v>
      </c>
      <c r="L378" t="str">
        <f>VLOOKUP(C378,Products!$A$2:$D$13,2,FALSE)</f>
        <v>Keyboard</v>
      </c>
      <c r="M378" t="str">
        <f t="shared" si="17"/>
        <v>2026-02</v>
      </c>
    </row>
    <row r="379" spans="1:13">
      <c r="A379">
        <v>378</v>
      </c>
      <c r="B379">
        <v>1178</v>
      </c>
      <c r="C379">
        <v>9</v>
      </c>
      <c r="D379">
        <v>1</v>
      </c>
      <c r="E379">
        <v>30</v>
      </c>
      <c r="F379">
        <f t="shared" si="15"/>
        <v>30</v>
      </c>
      <c r="G379" t="str">
        <f>VLOOKUP(B379,Orders!$A$2:$D$1201,4,FALSE)</f>
        <v>Delivered</v>
      </c>
      <c r="H379">
        <f t="shared" si="16"/>
        <v>30</v>
      </c>
      <c r="I379" s="12">
        <f>VLOOKUP(B379,Orders!$A$2:$D$1201,3,FALSE)</f>
        <v>46066</v>
      </c>
      <c r="L379" t="str">
        <f>VLOOKUP(C379,Products!$A$2:$D$13,2,FALSE)</f>
        <v>Lamp</v>
      </c>
      <c r="M379" t="str">
        <f t="shared" si="17"/>
        <v>2026-02</v>
      </c>
    </row>
    <row r="380" spans="1:13">
      <c r="A380">
        <v>379</v>
      </c>
      <c r="B380">
        <v>1179</v>
      </c>
      <c r="C380">
        <v>12</v>
      </c>
      <c r="D380">
        <v>2</v>
      </c>
      <c r="E380">
        <v>22</v>
      </c>
      <c r="F380">
        <f t="shared" si="15"/>
        <v>44</v>
      </c>
      <c r="G380" t="str">
        <f>VLOOKUP(B380,Orders!$A$2:$D$1201,4,FALSE)</f>
        <v>Delivered</v>
      </c>
      <c r="H380">
        <f t="shared" si="16"/>
        <v>44</v>
      </c>
      <c r="I380" s="12">
        <f>VLOOKUP(B380,Orders!$A$2:$D$1201,3,FALSE)</f>
        <v>46024</v>
      </c>
      <c r="L380" t="str">
        <f>VLOOKUP(C380,Products!$A$2:$D$13,2,FALSE)</f>
        <v>Storage Box</v>
      </c>
      <c r="M380" t="str">
        <f t="shared" si="17"/>
        <v>2026-01</v>
      </c>
    </row>
    <row r="381" spans="1:13">
      <c r="A381">
        <v>380</v>
      </c>
      <c r="B381">
        <v>1180</v>
      </c>
      <c r="C381">
        <v>8</v>
      </c>
      <c r="D381">
        <v>4</v>
      </c>
      <c r="E381">
        <v>55</v>
      </c>
      <c r="F381">
        <f t="shared" si="15"/>
        <v>220</v>
      </c>
      <c r="G381" t="str">
        <f>VLOOKUP(B381,Orders!$A$2:$D$1201,4,FALSE)</f>
        <v>Delivered</v>
      </c>
      <c r="H381">
        <f t="shared" si="16"/>
        <v>220</v>
      </c>
      <c r="I381" s="12">
        <f>VLOOKUP(B381,Orders!$A$2:$D$1201,3,FALSE)</f>
        <v>46186</v>
      </c>
      <c r="L381" t="str">
        <f>VLOOKUP(C381,Products!$A$2:$D$13,2,FALSE)</f>
        <v>Webcam</v>
      </c>
      <c r="M381" t="str">
        <f t="shared" si="17"/>
        <v>2026-06</v>
      </c>
    </row>
    <row r="382" spans="1:13">
      <c r="A382">
        <v>381</v>
      </c>
      <c r="B382">
        <v>1180</v>
      </c>
      <c r="C382">
        <v>1</v>
      </c>
      <c r="D382">
        <v>1</v>
      </c>
      <c r="E382">
        <v>750</v>
      </c>
      <c r="F382">
        <f t="shared" si="15"/>
        <v>750</v>
      </c>
      <c r="G382" t="str">
        <f>VLOOKUP(B382,Orders!$A$2:$D$1201,4,FALSE)</f>
        <v>Delivered</v>
      </c>
      <c r="H382">
        <f t="shared" si="16"/>
        <v>750</v>
      </c>
      <c r="I382" s="12">
        <f>VLOOKUP(B382,Orders!$A$2:$D$1201,3,FALSE)</f>
        <v>46186</v>
      </c>
      <c r="L382" t="str">
        <f>VLOOKUP(C382,Products!$A$2:$D$13,2,FALSE)</f>
        <v>Laptop</v>
      </c>
      <c r="M382" t="str">
        <f t="shared" si="17"/>
        <v>2026-06</v>
      </c>
    </row>
    <row r="383" spans="1:13">
      <c r="A383">
        <v>382</v>
      </c>
      <c r="B383">
        <v>1180</v>
      </c>
      <c r="C383">
        <v>11</v>
      </c>
      <c r="D383">
        <v>1</v>
      </c>
      <c r="E383">
        <v>48</v>
      </c>
      <c r="F383">
        <f t="shared" si="15"/>
        <v>48</v>
      </c>
      <c r="G383" t="str">
        <f>VLOOKUP(B383,Orders!$A$2:$D$1201,4,FALSE)</f>
        <v>Delivered</v>
      </c>
      <c r="H383">
        <f t="shared" si="16"/>
        <v>48</v>
      </c>
      <c r="I383" s="12">
        <f>VLOOKUP(B383,Orders!$A$2:$D$1201,3,FALSE)</f>
        <v>46186</v>
      </c>
      <c r="L383" t="str">
        <f>VLOOKUP(C383,Products!$A$2:$D$13,2,FALSE)</f>
        <v>Backpack</v>
      </c>
      <c r="M383" t="str">
        <f t="shared" si="17"/>
        <v>2026-06</v>
      </c>
    </row>
    <row r="384" spans="1:13">
      <c r="A384">
        <v>383</v>
      </c>
      <c r="B384">
        <v>1181</v>
      </c>
      <c r="C384">
        <v>2</v>
      </c>
      <c r="D384">
        <v>1</v>
      </c>
      <c r="E384">
        <v>220</v>
      </c>
      <c r="F384">
        <f t="shared" si="15"/>
        <v>220</v>
      </c>
      <c r="G384" t="str">
        <f>VLOOKUP(B384,Orders!$A$2:$D$1201,4,FALSE)</f>
        <v>Delivered</v>
      </c>
      <c r="H384">
        <f t="shared" si="16"/>
        <v>220</v>
      </c>
      <c r="I384" s="12">
        <f>VLOOKUP(B384,Orders!$A$2:$D$1201,3,FALSE)</f>
        <v>46151</v>
      </c>
      <c r="L384" t="str">
        <f>VLOOKUP(C384,Products!$A$2:$D$13,2,FALSE)</f>
        <v>Monitor</v>
      </c>
      <c r="M384" t="str">
        <f t="shared" si="17"/>
        <v>2026-05</v>
      </c>
    </row>
    <row r="385" spans="1:13">
      <c r="A385">
        <v>384</v>
      </c>
      <c r="B385">
        <v>1182</v>
      </c>
      <c r="C385">
        <v>6</v>
      </c>
      <c r="D385">
        <v>4</v>
      </c>
      <c r="E385">
        <v>140</v>
      </c>
      <c r="F385">
        <f t="shared" si="15"/>
        <v>560</v>
      </c>
      <c r="G385" t="str">
        <f>VLOOKUP(B385,Orders!$A$2:$D$1201,4,FALSE)</f>
        <v>Delivered</v>
      </c>
      <c r="H385">
        <f t="shared" si="16"/>
        <v>560</v>
      </c>
      <c r="I385" s="12">
        <f>VLOOKUP(B385,Orders!$A$2:$D$1201,3,FALSE)</f>
        <v>46113</v>
      </c>
      <c r="L385" t="str">
        <f>VLOOKUP(C385,Products!$A$2:$D$13,2,FALSE)</f>
        <v>Chair</v>
      </c>
      <c r="M385" t="str">
        <f t="shared" si="17"/>
        <v>2026-04</v>
      </c>
    </row>
    <row r="386" spans="1:13">
      <c r="A386">
        <v>385</v>
      </c>
      <c r="B386">
        <v>1183</v>
      </c>
      <c r="C386">
        <v>11</v>
      </c>
      <c r="D386">
        <v>4</v>
      </c>
      <c r="E386">
        <v>48</v>
      </c>
      <c r="F386">
        <f t="shared" si="15"/>
        <v>192</v>
      </c>
      <c r="G386" t="str">
        <f>VLOOKUP(B386,Orders!$A$2:$D$1201,4,FALSE)</f>
        <v>Delivered</v>
      </c>
      <c r="H386">
        <f t="shared" si="16"/>
        <v>192</v>
      </c>
      <c r="I386" s="12">
        <f>VLOOKUP(B386,Orders!$A$2:$D$1201,3,FALSE)</f>
        <v>46198</v>
      </c>
      <c r="L386" t="str">
        <f>VLOOKUP(C386,Products!$A$2:$D$13,2,FALSE)</f>
        <v>Backpack</v>
      </c>
      <c r="M386" t="str">
        <f t="shared" si="17"/>
        <v>2026-06</v>
      </c>
    </row>
    <row r="387" spans="1:13">
      <c r="A387">
        <v>386</v>
      </c>
      <c r="B387">
        <v>1183</v>
      </c>
      <c r="C387">
        <v>1</v>
      </c>
      <c r="D387">
        <v>4</v>
      </c>
      <c r="E387">
        <v>750</v>
      </c>
      <c r="F387">
        <f t="shared" ref="F387:F450" si="18">D387*E387</f>
        <v>3000</v>
      </c>
      <c r="G387" t="str">
        <f>VLOOKUP(B387,Orders!$A$2:$D$1201,4,FALSE)</f>
        <v>Delivered</v>
      </c>
      <c r="H387">
        <f t="shared" ref="H387:H450" si="19">IF(G387="Cancelled",0,F387)</f>
        <v>3000</v>
      </c>
      <c r="I387" s="12">
        <f>VLOOKUP(B387,Orders!$A$2:$D$1201,3,FALSE)</f>
        <v>46198</v>
      </c>
      <c r="L387" t="str">
        <f>VLOOKUP(C387,Products!$A$2:$D$13,2,FALSE)</f>
        <v>Laptop</v>
      </c>
      <c r="M387" t="str">
        <f t="shared" ref="M387:M450" si="20">TEXT(I387,"yyyy-mm")</f>
        <v>2026-06</v>
      </c>
    </row>
    <row r="388" spans="1:13">
      <c r="A388">
        <v>387</v>
      </c>
      <c r="B388">
        <v>1183</v>
      </c>
      <c r="C388">
        <v>2</v>
      </c>
      <c r="D388">
        <v>4</v>
      </c>
      <c r="E388">
        <v>220</v>
      </c>
      <c r="F388">
        <f t="shared" si="18"/>
        <v>880</v>
      </c>
      <c r="G388" t="str">
        <f>VLOOKUP(B388,Orders!$A$2:$D$1201,4,FALSE)</f>
        <v>Delivered</v>
      </c>
      <c r="H388">
        <f t="shared" si="19"/>
        <v>880</v>
      </c>
      <c r="I388" s="12">
        <f>VLOOKUP(B388,Orders!$A$2:$D$1201,3,FALSE)</f>
        <v>46198</v>
      </c>
      <c r="L388" t="str">
        <f>VLOOKUP(C388,Products!$A$2:$D$13,2,FALSE)</f>
        <v>Monitor</v>
      </c>
      <c r="M388" t="str">
        <f t="shared" si="20"/>
        <v>2026-06</v>
      </c>
    </row>
    <row r="389" spans="1:13">
      <c r="A389">
        <v>388</v>
      </c>
      <c r="B389">
        <v>1184</v>
      </c>
      <c r="C389">
        <v>6</v>
      </c>
      <c r="D389">
        <v>1</v>
      </c>
      <c r="E389">
        <v>140</v>
      </c>
      <c r="F389">
        <f t="shared" si="18"/>
        <v>140</v>
      </c>
      <c r="G389" t="str">
        <f>VLOOKUP(B389,Orders!$A$2:$D$1201,4,FALSE)</f>
        <v>Delivered</v>
      </c>
      <c r="H389">
        <f t="shared" si="19"/>
        <v>140</v>
      </c>
      <c r="I389" s="12">
        <f>VLOOKUP(B389,Orders!$A$2:$D$1201,3,FALSE)</f>
        <v>46044</v>
      </c>
      <c r="L389" t="str">
        <f>VLOOKUP(C389,Products!$A$2:$D$13,2,FALSE)</f>
        <v>Chair</v>
      </c>
      <c r="M389" t="str">
        <f t="shared" si="20"/>
        <v>2026-01</v>
      </c>
    </row>
    <row r="390" spans="1:13">
      <c r="A390">
        <v>389</v>
      </c>
      <c r="B390">
        <v>1184</v>
      </c>
      <c r="C390">
        <v>10</v>
      </c>
      <c r="D390">
        <v>2</v>
      </c>
      <c r="E390">
        <v>8</v>
      </c>
      <c r="F390">
        <f t="shared" si="18"/>
        <v>16</v>
      </c>
      <c r="G390" t="str">
        <f>VLOOKUP(B390,Orders!$A$2:$D$1201,4,FALSE)</f>
        <v>Delivered</v>
      </c>
      <c r="H390">
        <f t="shared" si="19"/>
        <v>16</v>
      </c>
      <c r="I390" s="12">
        <f>VLOOKUP(B390,Orders!$A$2:$D$1201,3,FALSE)</f>
        <v>46044</v>
      </c>
      <c r="L390" t="str">
        <f>VLOOKUP(C390,Products!$A$2:$D$13,2,FALSE)</f>
        <v>Notebook</v>
      </c>
      <c r="M390" t="str">
        <f t="shared" si="20"/>
        <v>2026-01</v>
      </c>
    </row>
    <row r="391" spans="1:13">
      <c r="A391">
        <v>390</v>
      </c>
      <c r="B391">
        <v>1184</v>
      </c>
      <c r="C391">
        <v>2</v>
      </c>
      <c r="D391">
        <v>2</v>
      </c>
      <c r="E391">
        <v>220</v>
      </c>
      <c r="F391">
        <f t="shared" si="18"/>
        <v>440</v>
      </c>
      <c r="G391" t="str">
        <f>VLOOKUP(B391,Orders!$A$2:$D$1201,4,FALSE)</f>
        <v>Delivered</v>
      </c>
      <c r="H391">
        <f t="shared" si="19"/>
        <v>440</v>
      </c>
      <c r="I391" s="12">
        <f>VLOOKUP(B391,Orders!$A$2:$D$1201,3,FALSE)</f>
        <v>46044</v>
      </c>
      <c r="L391" t="str">
        <f>VLOOKUP(C391,Products!$A$2:$D$13,2,FALSE)</f>
        <v>Monitor</v>
      </c>
      <c r="M391" t="str">
        <f t="shared" si="20"/>
        <v>2026-01</v>
      </c>
    </row>
    <row r="392" spans="1:13">
      <c r="A392">
        <v>391</v>
      </c>
      <c r="B392">
        <v>1185</v>
      </c>
      <c r="C392">
        <v>10</v>
      </c>
      <c r="D392">
        <v>2</v>
      </c>
      <c r="E392">
        <v>8</v>
      </c>
      <c r="F392">
        <f t="shared" si="18"/>
        <v>16</v>
      </c>
      <c r="G392" t="str">
        <f>VLOOKUP(B392,Orders!$A$2:$D$1201,4,FALSE)</f>
        <v>Shipped</v>
      </c>
      <c r="H392">
        <f t="shared" si="19"/>
        <v>16</v>
      </c>
      <c r="I392" s="12">
        <f>VLOOKUP(B392,Orders!$A$2:$D$1201,3,FALSE)</f>
        <v>46034</v>
      </c>
      <c r="L392" t="str">
        <f>VLOOKUP(C392,Products!$A$2:$D$13,2,FALSE)</f>
        <v>Notebook</v>
      </c>
      <c r="M392" t="str">
        <f t="shared" si="20"/>
        <v>2026-01</v>
      </c>
    </row>
    <row r="393" spans="1:13">
      <c r="A393">
        <v>392</v>
      </c>
      <c r="B393">
        <v>1185</v>
      </c>
      <c r="C393">
        <v>11</v>
      </c>
      <c r="D393">
        <v>3</v>
      </c>
      <c r="E393">
        <v>48</v>
      </c>
      <c r="F393">
        <f t="shared" si="18"/>
        <v>144</v>
      </c>
      <c r="G393" t="str">
        <f>VLOOKUP(B393,Orders!$A$2:$D$1201,4,FALSE)</f>
        <v>Shipped</v>
      </c>
      <c r="H393">
        <f t="shared" si="19"/>
        <v>144</v>
      </c>
      <c r="I393" s="12">
        <f>VLOOKUP(B393,Orders!$A$2:$D$1201,3,FALSE)</f>
        <v>46034</v>
      </c>
      <c r="L393" t="str">
        <f>VLOOKUP(C393,Products!$A$2:$D$13,2,FALSE)</f>
        <v>Backpack</v>
      </c>
      <c r="M393" t="str">
        <f t="shared" si="20"/>
        <v>2026-01</v>
      </c>
    </row>
    <row r="394" spans="1:13">
      <c r="A394">
        <v>393</v>
      </c>
      <c r="B394">
        <v>1185</v>
      </c>
      <c r="C394">
        <v>1</v>
      </c>
      <c r="D394">
        <v>1</v>
      </c>
      <c r="E394">
        <v>750</v>
      </c>
      <c r="F394">
        <f t="shared" si="18"/>
        <v>750</v>
      </c>
      <c r="G394" t="str">
        <f>VLOOKUP(B394,Orders!$A$2:$D$1201,4,FALSE)</f>
        <v>Shipped</v>
      </c>
      <c r="H394">
        <f t="shared" si="19"/>
        <v>750</v>
      </c>
      <c r="I394" s="12">
        <f>VLOOKUP(B394,Orders!$A$2:$D$1201,3,FALSE)</f>
        <v>46034</v>
      </c>
      <c r="L394" t="str">
        <f>VLOOKUP(C394,Products!$A$2:$D$13,2,FALSE)</f>
        <v>Laptop</v>
      </c>
      <c r="M394" t="str">
        <f t="shared" si="20"/>
        <v>2026-01</v>
      </c>
    </row>
    <row r="395" spans="1:13">
      <c r="A395">
        <v>394</v>
      </c>
      <c r="B395">
        <v>1186</v>
      </c>
      <c r="C395">
        <v>5</v>
      </c>
      <c r="D395">
        <v>2</v>
      </c>
      <c r="E395">
        <v>180</v>
      </c>
      <c r="F395">
        <f t="shared" si="18"/>
        <v>360</v>
      </c>
      <c r="G395" t="str">
        <f>VLOOKUP(B395,Orders!$A$2:$D$1201,4,FALSE)</f>
        <v>Delivered</v>
      </c>
      <c r="H395">
        <f t="shared" si="19"/>
        <v>360</v>
      </c>
      <c r="I395" s="12">
        <f>VLOOKUP(B395,Orders!$A$2:$D$1201,3,FALSE)</f>
        <v>46059</v>
      </c>
      <c r="L395" t="str">
        <f>VLOOKUP(C395,Products!$A$2:$D$13,2,FALSE)</f>
        <v>Desk</v>
      </c>
      <c r="M395" t="str">
        <f t="shared" si="20"/>
        <v>2026-02</v>
      </c>
    </row>
    <row r="396" spans="1:13">
      <c r="A396">
        <v>395</v>
      </c>
      <c r="B396">
        <v>1187</v>
      </c>
      <c r="C396">
        <v>12</v>
      </c>
      <c r="D396">
        <v>3</v>
      </c>
      <c r="E396">
        <v>22</v>
      </c>
      <c r="F396">
        <f t="shared" si="18"/>
        <v>66</v>
      </c>
      <c r="G396" t="str">
        <f>VLOOKUP(B396,Orders!$A$2:$D$1201,4,FALSE)</f>
        <v>Delivered</v>
      </c>
      <c r="H396">
        <f t="shared" si="19"/>
        <v>66</v>
      </c>
      <c r="I396" s="12">
        <f>VLOOKUP(B396,Orders!$A$2:$D$1201,3,FALSE)</f>
        <v>46161</v>
      </c>
      <c r="L396" t="str">
        <f>VLOOKUP(C396,Products!$A$2:$D$13,2,FALSE)</f>
        <v>Storage Box</v>
      </c>
      <c r="M396" t="str">
        <f t="shared" si="20"/>
        <v>2026-05</v>
      </c>
    </row>
    <row r="397" spans="1:13">
      <c r="A397">
        <v>396</v>
      </c>
      <c r="B397">
        <v>1187</v>
      </c>
      <c r="C397">
        <v>2</v>
      </c>
      <c r="D397">
        <v>1</v>
      </c>
      <c r="E397">
        <v>220</v>
      </c>
      <c r="F397">
        <f t="shared" si="18"/>
        <v>220</v>
      </c>
      <c r="G397" t="str">
        <f>VLOOKUP(B397,Orders!$A$2:$D$1201,4,FALSE)</f>
        <v>Delivered</v>
      </c>
      <c r="H397">
        <f t="shared" si="19"/>
        <v>220</v>
      </c>
      <c r="I397" s="12">
        <f>VLOOKUP(B397,Orders!$A$2:$D$1201,3,FALSE)</f>
        <v>46161</v>
      </c>
      <c r="L397" t="str">
        <f>VLOOKUP(C397,Products!$A$2:$D$13,2,FALSE)</f>
        <v>Monitor</v>
      </c>
      <c r="M397" t="str">
        <f t="shared" si="20"/>
        <v>2026-05</v>
      </c>
    </row>
    <row r="398" spans="1:13">
      <c r="A398">
        <v>397</v>
      </c>
      <c r="B398">
        <v>1187</v>
      </c>
      <c r="C398">
        <v>9</v>
      </c>
      <c r="D398">
        <v>1</v>
      </c>
      <c r="E398">
        <v>30</v>
      </c>
      <c r="F398">
        <f t="shared" si="18"/>
        <v>30</v>
      </c>
      <c r="G398" t="str">
        <f>VLOOKUP(B398,Orders!$A$2:$D$1201,4,FALSE)</f>
        <v>Delivered</v>
      </c>
      <c r="H398">
        <f t="shared" si="19"/>
        <v>30</v>
      </c>
      <c r="I398" s="12">
        <f>VLOOKUP(B398,Orders!$A$2:$D$1201,3,FALSE)</f>
        <v>46161</v>
      </c>
      <c r="L398" t="str">
        <f>VLOOKUP(C398,Products!$A$2:$D$13,2,FALSE)</f>
        <v>Lamp</v>
      </c>
      <c r="M398" t="str">
        <f t="shared" si="20"/>
        <v>2026-05</v>
      </c>
    </row>
    <row r="399" spans="1:13">
      <c r="A399">
        <v>398</v>
      </c>
      <c r="B399">
        <v>1188</v>
      </c>
      <c r="C399">
        <v>11</v>
      </c>
      <c r="D399">
        <v>3</v>
      </c>
      <c r="E399">
        <v>48</v>
      </c>
      <c r="F399">
        <f t="shared" si="18"/>
        <v>144</v>
      </c>
      <c r="G399" t="str">
        <f>VLOOKUP(B399,Orders!$A$2:$D$1201,4,FALSE)</f>
        <v>Delivered</v>
      </c>
      <c r="H399">
        <f t="shared" si="19"/>
        <v>144</v>
      </c>
      <c r="I399" s="12">
        <f>VLOOKUP(B399,Orders!$A$2:$D$1201,3,FALSE)</f>
        <v>46175</v>
      </c>
      <c r="L399" t="str">
        <f>VLOOKUP(C399,Products!$A$2:$D$13,2,FALSE)</f>
        <v>Backpack</v>
      </c>
      <c r="M399" t="str">
        <f t="shared" si="20"/>
        <v>2026-06</v>
      </c>
    </row>
    <row r="400" spans="1:13">
      <c r="A400">
        <v>399</v>
      </c>
      <c r="B400">
        <v>1189</v>
      </c>
      <c r="C400">
        <v>7</v>
      </c>
      <c r="D400">
        <v>3</v>
      </c>
      <c r="E400">
        <v>65</v>
      </c>
      <c r="F400">
        <f t="shared" si="18"/>
        <v>195</v>
      </c>
      <c r="G400" t="str">
        <f>VLOOKUP(B400,Orders!$A$2:$D$1201,4,FALSE)</f>
        <v>Delivered</v>
      </c>
      <c r="H400">
        <f t="shared" si="19"/>
        <v>195</v>
      </c>
      <c r="I400" s="12">
        <f>VLOOKUP(B400,Orders!$A$2:$D$1201,3,FALSE)</f>
        <v>46119</v>
      </c>
      <c r="L400" t="str">
        <f>VLOOKUP(C400,Products!$A$2:$D$13,2,FALSE)</f>
        <v>Headphones</v>
      </c>
      <c r="M400" t="str">
        <f t="shared" si="20"/>
        <v>2026-04</v>
      </c>
    </row>
    <row r="401" spans="1:13">
      <c r="A401">
        <v>400</v>
      </c>
      <c r="B401">
        <v>1189</v>
      </c>
      <c r="C401">
        <v>2</v>
      </c>
      <c r="D401">
        <v>2</v>
      </c>
      <c r="E401">
        <v>220</v>
      </c>
      <c r="F401">
        <f t="shared" si="18"/>
        <v>440</v>
      </c>
      <c r="G401" t="str">
        <f>VLOOKUP(B401,Orders!$A$2:$D$1201,4,FALSE)</f>
        <v>Delivered</v>
      </c>
      <c r="H401">
        <f t="shared" si="19"/>
        <v>440</v>
      </c>
      <c r="I401" s="12">
        <f>VLOOKUP(B401,Orders!$A$2:$D$1201,3,FALSE)</f>
        <v>46119</v>
      </c>
      <c r="L401" t="str">
        <f>VLOOKUP(C401,Products!$A$2:$D$13,2,FALSE)</f>
        <v>Monitor</v>
      </c>
      <c r="M401" t="str">
        <f t="shared" si="20"/>
        <v>2026-04</v>
      </c>
    </row>
    <row r="402" spans="1:13">
      <c r="A402">
        <v>401</v>
      </c>
      <c r="B402">
        <v>1189</v>
      </c>
      <c r="C402">
        <v>10</v>
      </c>
      <c r="D402">
        <v>1</v>
      </c>
      <c r="E402">
        <v>8</v>
      </c>
      <c r="F402">
        <f t="shared" si="18"/>
        <v>8</v>
      </c>
      <c r="G402" t="str">
        <f>VLOOKUP(B402,Orders!$A$2:$D$1201,4,FALSE)</f>
        <v>Delivered</v>
      </c>
      <c r="H402">
        <f t="shared" si="19"/>
        <v>8</v>
      </c>
      <c r="I402" s="12">
        <f>VLOOKUP(B402,Orders!$A$2:$D$1201,3,FALSE)</f>
        <v>46119</v>
      </c>
      <c r="L402" t="str">
        <f>VLOOKUP(C402,Products!$A$2:$D$13,2,FALSE)</f>
        <v>Notebook</v>
      </c>
      <c r="M402" t="str">
        <f t="shared" si="20"/>
        <v>2026-04</v>
      </c>
    </row>
    <row r="403" spans="1:13">
      <c r="A403">
        <v>402</v>
      </c>
      <c r="B403">
        <v>1190</v>
      </c>
      <c r="C403">
        <v>2</v>
      </c>
      <c r="D403">
        <v>1</v>
      </c>
      <c r="E403">
        <v>220</v>
      </c>
      <c r="F403">
        <f t="shared" si="18"/>
        <v>220</v>
      </c>
      <c r="G403" t="str">
        <f>VLOOKUP(B403,Orders!$A$2:$D$1201,4,FALSE)</f>
        <v>Delivered</v>
      </c>
      <c r="H403">
        <f t="shared" si="19"/>
        <v>220</v>
      </c>
      <c r="I403" s="12">
        <f>VLOOKUP(B403,Orders!$A$2:$D$1201,3,FALSE)</f>
        <v>46062</v>
      </c>
      <c r="L403" t="str">
        <f>VLOOKUP(C403,Products!$A$2:$D$13,2,FALSE)</f>
        <v>Monitor</v>
      </c>
      <c r="M403" t="str">
        <f t="shared" si="20"/>
        <v>2026-02</v>
      </c>
    </row>
    <row r="404" spans="1:13">
      <c r="A404">
        <v>403</v>
      </c>
      <c r="B404">
        <v>1190</v>
      </c>
      <c r="C404">
        <v>12</v>
      </c>
      <c r="D404">
        <v>3</v>
      </c>
      <c r="E404">
        <v>22</v>
      </c>
      <c r="F404">
        <f t="shared" si="18"/>
        <v>66</v>
      </c>
      <c r="G404" t="str">
        <f>VLOOKUP(B404,Orders!$A$2:$D$1201,4,FALSE)</f>
        <v>Delivered</v>
      </c>
      <c r="H404">
        <f t="shared" si="19"/>
        <v>66</v>
      </c>
      <c r="I404" s="12">
        <f>VLOOKUP(B404,Orders!$A$2:$D$1201,3,FALSE)</f>
        <v>46062</v>
      </c>
      <c r="L404" t="str">
        <f>VLOOKUP(C404,Products!$A$2:$D$13,2,FALSE)</f>
        <v>Storage Box</v>
      </c>
      <c r="M404" t="str">
        <f t="shared" si="20"/>
        <v>2026-02</v>
      </c>
    </row>
    <row r="405" spans="1:13">
      <c r="A405">
        <v>404</v>
      </c>
      <c r="B405">
        <v>1191</v>
      </c>
      <c r="C405">
        <v>9</v>
      </c>
      <c r="D405">
        <v>1</v>
      </c>
      <c r="E405">
        <v>30</v>
      </c>
      <c r="F405">
        <f t="shared" si="18"/>
        <v>30</v>
      </c>
      <c r="G405" t="str">
        <f>VLOOKUP(B405,Orders!$A$2:$D$1201,4,FALSE)</f>
        <v>Delivered</v>
      </c>
      <c r="H405">
        <f t="shared" si="19"/>
        <v>30</v>
      </c>
      <c r="I405" s="12">
        <f>VLOOKUP(B405,Orders!$A$2:$D$1201,3,FALSE)</f>
        <v>46070</v>
      </c>
      <c r="L405" t="str">
        <f>VLOOKUP(C405,Products!$A$2:$D$13,2,FALSE)</f>
        <v>Lamp</v>
      </c>
      <c r="M405" t="str">
        <f t="shared" si="20"/>
        <v>2026-02</v>
      </c>
    </row>
    <row r="406" spans="1:13">
      <c r="A406">
        <v>405</v>
      </c>
      <c r="B406">
        <v>1191</v>
      </c>
      <c r="C406">
        <v>7</v>
      </c>
      <c r="D406">
        <v>1</v>
      </c>
      <c r="E406">
        <v>65</v>
      </c>
      <c r="F406">
        <f t="shared" si="18"/>
        <v>65</v>
      </c>
      <c r="G406" t="str">
        <f>VLOOKUP(B406,Orders!$A$2:$D$1201,4,FALSE)</f>
        <v>Delivered</v>
      </c>
      <c r="H406">
        <f t="shared" si="19"/>
        <v>65</v>
      </c>
      <c r="I406" s="12">
        <f>VLOOKUP(B406,Orders!$A$2:$D$1201,3,FALSE)</f>
        <v>46070</v>
      </c>
      <c r="L406" t="str">
        <f>VLOOKUP(C406,Products!$A$2:$D$13,2,FALSE)</f>
        <v>Headphones</v>
      </c>
      <c r="M406" t="str">
        <f t="shared" si="20"/>
        <v>2026-02</v>
      </c>
    </row>
    <row r="407" spans="1:13">
      <c r="A407">
        <v>406</v>
      </c>
      <c r="B407">
        <v>1191</v>
      </c>
      <c r="C407">
        <v>2</v>
      </c>
      <c r="D407">
        <v>3</v>
      </c>
      <c r="E407">
        <v>220</v>
      </c>
      <c r="F407">
        <f t="shared" si="18"/>
        <v>660</v>
      </c>
      <c r="G407" t="str">
        <f>VLOOKUP(B407,Orders!$A$2:$D$1201,4,FALSE)</f>
        <v>Delivered</v>
      </c>
      <c r="H407">
        <f t="shared" si="19"/>
        <v>660</v>
      </c>
      <c r="I407" s="12">
        <f>VLOOKUP(B407,Orders!$A$2:$D$1201,3,FALSE)</f>
        <v>46070</v>
      </c>
      <c r="L407" t="str">
        <f>VLOOKUP(C407,Products!$A$2:$D$13,2,FALSE)</f>
        <v>Monitor</v>
      </c>
      <c r="M407" t="str">
        <f t="shared" si="20"/>
        <v>2026-02</v>
      </c>
    </row>
    <row r="408" spans="1:13">
      <c r="A408">
        <v>407</v>
      </c>
      <c r="B408">
        <v>1192</v>
      </c>
      <c r="C408">
        <v>12</v>
      </c>
      <c r="D408">
        <v>2</v>
      </c>
      <c r="E408">
        <v>22</v>
      </c>
      <c r="F408">
        <f t="shared" si="18"/>
        <v>44</v>
      </c>
      <c r="G408" t="str">
        <f>VLOOKUP(B408,Orders!$A$2:$D$1201,4,FALSE)</f>
        <v>Delivered</v>
      </c>
      <c r="H408">
        <f t="shared" si="19"/>
        <v>44</v>
      </c>
      <c r="I408" s="12">
        <f>VLOOKUP(B408,Orders!$A$2:$D$1201,3,FALSE)</f>
        <v>46026</v>
      </c>
      <c r="L408" t="str">
        <f>VLOOKUP(C408,Products!$A$2:$D$13,2,FALSE)</f>
        <v>Storage Box</v>
      </c>
      <c r="M408" t="str">
        <f t="shared" si="20"/>
        <v>2026-01</v>
      </c>
    </row>
    <row r="409" spans="1:13">
      <c r="A409">
        <v>408</v>
      </c>
      <c r="B409">
        <v>1193</v>
      </c>
      <c r="C409">
        <v>2</v>
      </c>
      <c r="D409">
        <v>2</v>
      </c>
      <c r="E409">
        <v>220</v>
      </c>
      <c r="F409">
        <f t="shared" si="18"/>
        <v>440</v>
      </c>
      <c r="G409" t="str">
        <f>VLOOKUP(B409,Orders!$A$2:$D$1201,4,FALSE)</f>
        <v>Delivered</v>
      </c>
      <c r="H409">
        <f t="shared" si="19"/>
        <v>440</v>
      </c>
      <c r="I409" s="12">
        <f>VLOOKUP(B409,Orders!$A$2:$D$1201,3,FALSE)</f>
        <v>46091</v>
      </c>
      <c r="L409" t="str">
        <f>VLOOKUP(C409,Products!$A$2:$D$13,2,FALSE)</f>
        <v>Monitor</v>
      </c>
      <c r="M409" t="str">
        <f t="shared" si="20"/>
        <v>2026-03</v>
      </c>
    </row>
    <row r="410" spans="1:13">
      <c r="A410">
        <v>409</v>
      </c>
      <c r="B410">
        <v>1194</v>
      </c>
      <c r="C410">
        <v>11</v>
      </c>
      <c r="D410">
        <v>2</v>
      </c>
      <c r="E410">
        <v>48</v>
      </c>
      <c r="F410">
        <f t="shared" si="18"/>
        <v>96</v>
      </c>
      <c r="G410" t="str">
        <f>VLOOKUP(B410,Orders!$A$2:$D$1201,4,FALSE)</f>
        <v>Delivered</v>
      </c>
      <c r="H410">
        <f t="shared" si="19"/>
        <v>96</v>
      </c>
      <c r="I410" s="12">
        <f>VLOOKUP(B410,Orders!$A$2:$D$1201,3,FALSE)</f>
        <v>46115</v>
      </c>
      <c r="L410" t="str">
        <f>VLOOKUP(C410,Products!$A$2:$D$13,2,FALSE)</f>
        <v>Backpack</v>
      </c>
      <c r="M410" t="str">
        <f t="shared" si="20"/>
        <v>2026-04</v>
      </c>
    </row>
    <row r="411" spans="1:13">
      <c r="A411">
        <v>410</v>
      </c>
      <c r="B411">
        <v>1194</v>
      </c>
      <c r="C411">
        <v>8</v>
      </c>
      <c r="D411">
        <v>4</v>
      </c>
      <c r="E411">
        <v>55</v>
      </c>
      <c r="F411">
        <f t="shared" si="18"/>
        <v>220</v>
      </c>
      <c r="G411" t="str">
        <f>VLOOKUP(B411,Orders!$A$2:$D$1201,4,FALSE)</f>
        <v>Delivered</v>
      </c>
      <c r="H411">
        <f t="shared" si="19"/>
        <v>220</v>
      </c>
      <c r="I411" s="12">
        <f>VLOOKUP(B411,Orders!$A$2:$D$1201,3,FALSE)</f>
        <v>46115</v>
      </c>
      <c r="L411" t="str">
        <f>VLOOKUP(C411,Products!$A$2:$D$13,2,FALSE)</f>
        <v>Webcam</v>
      </c>
      <c r="M411" t="str">
        <f t="shared" si="20"/>
        <v>2026-04</v>
      </c>
    </row>
    <row r="412" spans="1:13">
      <c r="A412">
        <v>411</v>
      </c>
      <c r="B412">
        <v>1194</v>
      </c>
      <c r="C412">
        <v>10</v>
      </c>
      <c r="D412">
        <v>1</v>
      </c>
      <c r="E412">
        <v>8</v>
      </c>
      <c r="F412">
        <f t="shared" si="18"/>
        <v>8</v>
      </c>
      <c r="G412" t="str">
        <f>VLOOKUP(B412,Orders!$A$2:$D$1201,4,FALSE)</f>
        <v>Delivered</v>
      </c>
      <c r="H412">
        <f t="shared" si="19"/>
        <v>8</v>
      </c>
      <c r="I412" s="12">
        <f>VLOOKUP(B412,Orders!$A$2:$D$1201,3,FALSE)</f>
        <v>46115</v>
      </c>
      <c r="L412" t="str">
        <f>VLOOKUP(C412,Products!$A$2:$D$13,2,FALSE)</f>
        <v>Notebook</v>
      </c>
      <c r="M412" t="str">
        <f t="shared" si="20"/>
        <v>2026-04</v>
      </c>
    </row>
    <row r="413" spans="1:13">
      <c r="A413">
        <v>412</v>
      </c>
      <c r="B413">
        <v>1195</v>
      </c>
      <c r="C413">
        <v>6</v>
      </c>
      <c r="D413">
        <v>2</v>
      </c>
      <c r="E413">
        <v>140</v>
      </c>
      <c r="F413">
        <f t="shared" si="18"/>
        <v>280</v>
      </c>
      <c r="G413" t="str">
        <f>VLOOKUP(B413,Orders!$A$2:$D$1201,4,FALSE)</f>
        <v>Delivered</v>
      </c>
      <c r="H413">
        <f t="shared" si="19"/>
        <v>280</v>
      </c>
      <c r="I413" s="12">
        <f>VLOOKUP(B413,Orders!$A$2:$D$1201,3,FALSE)</f>
        <v>46120</v>
      </c>
      <c r="L413" t="str">
        <f>VLOOKUP(C413,Products!$A$2:$D$13,2,FALSE)</f>
        <v>Chair</v>
      </c>
      <c r="M413" t="str">
        <f t="shared" si="20"/>
        <v>2026-04</v>
      </c>
    </row>
    <row r="414" spans="1:13">
      <c r="A414">
        <v>413</v>
      </c>
      <c r="B414">
        <v>1195</v>
      </c>
      <c r="C414">
        <v>7</v>
      </c>
      <c r="D414">
        <v>3</v>
      </c>
      <c r="E414">
        <v>65</v>
      </c>
      <c r="F414">
        <f t="shared" si="18"/>
        <v>195</v>
      </c>
      <c r="G414" t="str">
        <f>VLOOKUP(B414,Orders!$A$2:$D$1201,4,FALSE)</f>
        <v>Delivered</v>
      </c>
      <c r="H414">
        <f t="shared" si="19"/>
        <v>195</v>
      </c>
      <c r="I414" s="12">
        <f>VLOOKUP(B414,Orders!$A$2:$D$1201,3,FALSE)</f>
        <v>46120</v>
      </c>
      <c r="L414" t="str">
        <f>VLOOKUP(C414,Products!$A$2:$D$13,2,FALSE)</f>
        <v>Headphones</v>
      </c>
      <c r="M414" t="str">
        <f t="shared" si="20"/>
        <v>2026-04</v>
      </c>
    </row>
    <row r="415" spans="1:13">
      <c r="A415">
        <v>414</v>
      </c>
      <c r="B415">
        <v>1196</v>
      </c>
      <c r="C415">
        <v>12</v>
      </c>
      <c r="D415">
        <v>4</v>
      </c>
      <c r="E415">
        <v>22</v>
      </c>
      <c r="F415">
        <f t="shared" si="18"/>
        <v>88</v>
      </c>
      <c r="G415" t="str">
        <f>VLOOKUP(B415,Orders!$A$2:$D$1201,4,FALSE)</f>
        <v>Shipped</v>
      </c>
      <c r="H415">
        <f t="shared" si="19"/>
        <v>88</v>
      </c>
      <c r="I415" s="12">
        <f>VLOOKUP(B415,Orders!$A$2:$D$1201,3,FALSE)</f>
        <v>46068</v>
      </c>
      <c r="L415" t="str">
        <f>VLOOKUP(C415,Products!$A$2:$D$13,2,FALSE)</f>
        <v>Storage Box</v>
      </c>
      <c r="M415" t="str">
        <f t="shared" si="20"/>
        <v>2026-02</v>
      </c>
    </row>
    <row r="416" spans="1:13">
      <c r="A416">
        <v>415</v>
      </c>
      <c r="B416">
        <v>1196</v>
      </c>
      <c r="C416">
        <v>11</v>
      </c>
      <c r="D416">
        <v>2</v>
      </c>
      <c r="E416">
        <v>48</v>
      </c>
      <c r="F416">
        <f t="shared" si="18"/>
        <v>96</v>
      </c>
      <c r="G416" t="str">
        <f>VLOOKUP(B416,Orders!$A$2:$D$1201,4,FALSE)</f>
        <v>Shipped</v>
      </c>
      <c r="H416">
        <f t="shared" si="19"/>
        <v>96</v>
      </c>
      <c r="I416" s="12">
        <f>VLOOKUP(B416,Orders!$A$2:$D$1201,3,FALSE)</f>
        <v>46068</v>
      </c>
      <c r="L416" t="str">
        <f>VLOOKUP(C416,Products!$A$2:$D$13,2,FALSE)</f>
        <v>Backpack</v>
      </c>
      <c r="M416" t="str">
        <f t="shared" si="20"/>
        <v>2026-02</v>
      </c>
    </row>
    <row r="417" spans="1:13">
      <c r="A417">
        <v>416</v>
      </c>
      <c r="B417">
        <v>1197</v>
      </c>
      <c r="C417">
        <v>10</v>
      </c>
      <c r="D417">
        <v>2</v>
      </c>
      <c r="E417">
        <v>8</v>
      </c>
      <c r="F417">
        <f t="shared" si="18"/>
        <v>16</v>
      </c>
      <c r="G417" t="str">
        <f>VLOOKUP(B417,Orders!$A$2:$D$1201,4,FALSE)</f>
        <v>Delivered</v>
      </c>
      <c r="H417">
        <f t="shared" si="19"/>
        <v>16</v>
      </c>
      <c r="I417" s="12">
        <f>VLOOKUP(B417,Orders!$A$2:$D$1201,3,FALSE)</f>
        <v>46123</v>
      </c>
      <c r="L417" t="str">
        <f>VLOOKUP(C417,Products!$A$2:$D$13,2,FALSE)</f>
        <v>Notebook</v>
      </c>
      <c r="M417" t="str">
        <f t="shared" si="20"/>
        <v>2026-04</v>
      </c>
    </row>
    <row r="418" spans="1:13">
      <c r="A418">
        <v>417</v>
      </c>
      <c r="B418">
        <v>1198</v>
      </c>
      <c r="C418">
        <v>2</v>
      </c>
      <c r="D418">
        <v>2</v>
      </c>
      <c r="E418">
        <v>220</v>
      </c>
      <c r="F418">
        <f t="shared" si="18"/>
        <v>440</v>
      </c>
      <c r="G418" t="str">
        <f>VLOOKUP(B418,Orders!$A$2:$D$1201,4,FALSE)</f>
        <v>Delivered</v>
      </c>
      <c r="H418">
        <f t="shared" si="19"/>
        <v>440</v>
      </c>
      <c r="I418" s="12">
        <f>VLOOKUP(B418,Orders!$A$2:$D$1201,3,FALSE)</f>
        <v>46076</v>
      </c>
      <c r="L418" t="str">
        <f>VLOOKUP(C418,Products!$A$2:$D$13,2,FALSE)</f>
        <v>Monitor</v>
      </c>
      <c r="M418" t="str">
        <f t="shared" si="20"/>
        <v>2026-02</v>
      </c>
    </row>
    <row r="419" spans="1:13">
      <c r="A419">
        <v>418</v>
      </c>
      <c r="B419">
        <v>1198</v>
      </c>
      <c r="C419">
        <v>7</v>
      </c>
      <c r="D419">
        <v>3</v>
      </c>
      <c r="E419">
        <v>65</v>
      </c>
      <c r="F419">
        <f t="shared" si="18"/>
        <v>195</v>
      </c>
      <c r="G419" t="str">
        <f>VLOOKUP(B419,Orders!$A$2:$D$1201,4,FALSE)</f>
        <v>Delivered</v>
      </c>
      <c r="H419">
        <f t="shared" si="19"/>
        <v>195</v>
      </c>
      <c r="I419" s="12">
        <f>VLOOKUP(B419,Orders!$A$2:$D$1201,3,FALSE)</f>
        <v>46076</v>
      </c>
      <c r="L419" t="str">
        <f>VLOOKUP(C419,Products!$A$2:$D$13,2,FALSE)</f>
        <v>Headphones</v>
      </c>
      <c r="M419" t="str">
        <f t="shared" si="20"/>
        <v>2026-02</v>
      </c>
    </row>
    <row r="420" spans="1:13">
      <c r="A420">
        <v>419</v>
      </c>
      <c r="B420">
        <v>1198</v>
      </c>
      <c r="C420">
        <v>8</v>
      </c>
      <c r="D420">
        <v>2</v>
      </c>
      <c r="E420">
        <v>55</v>
      </c>
      <c r="F420">
        <f t="shared" si="18"/>
        <v>110</v>
      </c>
      <c r="G420" t="str">
        <f>VLOOKUP(B420,Orders!$A$2:$D$1201,4,FALSE)</f>
        <v>Delivered</v>
      </c>
      <c r="H420">
        <f t="shared" si="19"/>
        <v>110</v>
      </c>
      <c r="I420" s="12">
        <f>VLOOKUP(B420,Orders!$A$2:$D$1201,3,FALSE)</f>
        <v>46076</v>
      </c>
      <c r="L420" t="str">
        <f>VLOOKUP(C420,Products!$A$2:$D$13,2,FALSE)</f>
        <v>Webcam</v>
      </c>
      <c r="M420" t="str">
        <f t="shared" si="20"/>
        <v>2026-02</v>
      </c>
    </row>
    <row r="421" spans="1:13">
      <c r="A421">
        <v>420</v>
      </c>
      <c r="B421">
        <v>1199</v>
      </c>
      <c r="C421">
        <v>7</v>
      </c>
      <c r="D421">
        <v>4</v>
      </c>
      <c r="E421">
        <v>65</v>
      </c>
      <c r="F421">
        <f t="shared" si="18"/>
        <v>260</v>
      </c>
      <c r="G421" t="str">
        <f>VLOOKUP(B421,Orders!$A$2:$D$1201,4,FALSE)</f>
        <v>Delivered</v>
      </c>
      <c r="H421">
        <f t="shared" si="19"/>
        <v>260</v>
      </c>
      <c r="I421" s="12">
        <f>VLOOKUP(B421,Orders!$A$2:$D$1201,3,FALSE)</f>
        <v>46041</v>
      </c>
      <c r="L421" t="str">
        <f>VLOOKUP(C421,Products!$A$2:$D$13,2,FALSE)</f>
        <v>Headphones</v>
      </c>
      <c r="M421" t="str">
        <f t="shared" si="20"/>
        <v>2026-01</v>
      </c>
    </row>
    <row r="422" spans="1:13">
      <c r="A422">
        <v>421</v>
      </c>
      <c r="B422">
        <v>1199</v>
      </c>
      <c r="C422">
        <v>9</v>
      </c>
      <c r="D422">
        <v>1</v>
      </c>
      <c r="E422">
        <v>30</v>
      </c>
      <c r="F422">
        <f t="shared" si="18"/>
        <v>30</v>
      </c>
      <c r="G422" t="str">
        <f>VLOOKUP(B422,Orders!$A$2:$D$1201,4,FALSE)</f>
        <v>Delivered</v>
      </c>
      <c r="H422">
        <f t="shared" si="19"/>
        <v>30</v>
      </c>
      <c r="I422" s="12">
        <f>VLOOKUP(B422,Orders!$A$2:$D$1201,3,FALSE)</f>
        <v>46041</v>
      </c>
      <c r="L422" t="str">
        <f>VLOOKUP(C422,Products!$A$2:$D$13,2,FALSE)</f>
        <v>Lamp</v>
      </c>
      <c r="M422" t="str">
        <f t="shared" si="20"/>
        <v>2026-01</v>
      </c>
    </row>
    <row r="423" spans="1:13">
      <c r="A423">
        <v>422</v>
      </c>
      <c r="B423">
        <v>1199</v>
      </c>
      <c r="C423">
        <v>11</v>
      </c>
      <c r="D423">
        <v>3</v>
      </c>
      <c r="E423">
        <v>48</v>
      </c>
      <c r="F423">
        <f t="shared" si="18"/>
        <v>144</v>
      </c>
      <c r="G423" t="str">
        <f>VLOOKUP(B423,Orders!$A$2:$D$1201,4,FALSE)</f>
        <v>Delivered</v>
      </c>
      <c r="H423">
        <f t="shared" si="19"/>
        <v>144</v>
      </c>
      <c r="I423" s="12">
        <f>VLOOKUP(B423,Orders!$A$2:$D$1201,3,FALSE)</f>
        <v>46041</v>
      </c>
      <c r="L423" t="str">
        <f>VLOOKUP(C423,Products!$A$2:$D$13,2,FALSE)</f>
        <v>Backpack</v>
      </c>
      <c r="M423" t="str">
        <f t="shared" si="20"/>
        <v>2026-01</v>
      </c>
    </row>
    <row r="424" spans="1:13">
      <c r="A424">
        <v>423</v>
      </c>
      <c r="B424">
        <v>1200</v>
      </c>
      <c r="C424">
        <v>11</v>
      </c>
      <c r="D424">
        <v>1</v>
      </c>
      <c r="E424">
        <v>48</v>
      </c>
      <c r="F424">
        <f t="shared" si="18"/>
        <v>48</v>
      </c>
      <c r="G424" t="str">
        <f>VLOOKUP(B424,Orders!$A$2:$D$1201,4,FALSE)</f>
        <v>Delivered</v>
      </c>
      <c r="H424">
        <f t="shared" si="19"/>
        <v>48</v>
      </c>
      <c r="I424" s="12">
        <f>VLOOKUP(B424,Orders!$A$2:$D$1201,3,FALSE)</f>
        <v>46050</v>
      </c>
      <c r="L424" t="str">
        <f>VLOOKUP(C424,Products!$A$2:$D$13,2,FALSE)</f>
        <v>Backpack</v>
      </c>
      <c r="M424" t="str">
        <f t="shared" si="20"/>
        <v>2026-01</v>
      </c>
    </row>
    <row r="425" spans="1:13">
      <c r="A425">
        <v>424</v>
      </c>
      <c r="B425">
        <v>1201</v>
      </c>
      <c r="C425">
        <v>4</v>
      </c>
      <c r="D425">
        <v>2</v>
      </c>
      <c r="E425">
        <v>25</v>
      </c>
      <c r="F425">
        <f t="shared" si="18"/>
        <v>50</v>
      </c>
      <c r="G425" t="str">
        <f>VLOOKUP(B425,Orders!$A$2:$D$1201,4,FALSE)</f>
        <v>Delivered</v>
      </c>
      <c r="H425">
        <f t="shared" si="19"/>
        <v>50</v>
      </c>
      <c r="I425" s="12">
        <f>VLOOKUP(B425,Orders!$A$2:$D$1201,3,FALSE)</f>
        <v>46133</v>
      </c>
      <c r="L425" t="str">
        <f>VLOOKUP(C425,Products!$A$2:$D$13,2,FALSE)</f>
        <v>Mouse</v>
      </c>
      <c r="M425" t="str">
        <f t="shared" si="20"/>
        <v>2026-04</v>
      </c>
    </row>
    <row r="426" spans="1:13">
      <c r="A426">
        <v>425</v>
      </c>
      <c r="B426">
        <v>1201</v>
      </c>
      <c r="C426">
        <v>9</v>
      </c>
      <c r="D426">
        <v>4</v>
      </c>
      <c r="E426">
        <v>30</v>
      </c>
      <c r="F426">
        <f t="shared" si="18"/>
        <v>120</v>
      </c>
      <c r="G426" t="str">
        <f>VLOOKUP(B426,Orders!$A$2:$D$1201,4,FALSE)</f>
        <v>Delivered</v>
      </c>
      <c r="H426">
        <f t="shared" si="19"/>
        <v>120</v>
      </c>
      <c r="I426" s="12">
        <f>VLOOKUP(B426,Orders!$A$2:$D$1201,3,FALSE)</f>
        <v>46133</v>
      </c>
      <c r="L426" t="str">
        <f>VLOOKUP(C426,Products!$A$2:$D$13,2,FALSE)</f>
        <v>Lamp</v>
      </c>
      <c r="M426" t="str">
        <f t="shared" si="20"/>
        <v>2026-04</v>
      </c>
    </row>
    <row r="427" spans="1:13">
      <c r="A427">
        <v>426</v>
      </c>
      <c r="B427">
        <v>1202</v>
      </c>
      <c r="C427">
        <v>2</v>
      </c>
      <c r="D427">
        <v>4</v>
      </c>
      <c r="E427">
        <v>220</v>
      </c>
      <c r="F427">
        <f t="shared" si="18"/>
        <v>880</v>
      </c>
      <c r="G427" t="str">
        <f>VLOOKUP(B427,Orders!$A$2:$D$1201,4,FALSE)</f>
        <v>Delivered</v>
      </c>
      <c r="H427">
        <f t="shared" si="19"/>
        <v>880</v>
      </c>
      <c r="I427" s="12">
        <f>VLOOKUP(B427,Orders!$A$2:$D$1201,3,FALSE)</f>
        <v>46151</v>
      </c>
      <c r="L427" t="str">
        <f>VLOOKUP(C427,Products!$A$2:$D$13,2,FALSE)</f>
        <v>Monitor</v>
      </c>
      <c r="M427" t="str">
        <f t="shared" si="20"/>
        <v>2026-05</v>
      </c>
    </row>
    <row r="428" spans="1:13">
      <c r="A428">
        <v>427</v>
      </c>
      <c r="B428">
        <v>1202</v>
      </c>
      <c r="C428">
        <v>5</v>
      </c>
      <c r="D428">
        <v>1</v>
      </c>
      <c r="E428">
        <v>180</v>
      </c>
      <c r="F428">
        <f t="shared" si="18"/>
        <v>180</v>
      </c>
      <c r="G428" t="str">
        <f>VLOOKUP(B428,Orders!$A$2:$D$1201,4,FALSE)</f>
        <v>Delivered</v>
      </c>
      <c r="H428">
        <f t="shared" si="19"/>
        <v>180</v>
      </c>
      <c r="I428" s="12">
        <f>VLOOKUP(B428,Orders!$A$2:$D$1201,3,FALSE)</f>
        <v>46151</v>
      </c>
      <c r="L428" t="str">
        <f>VLOOKUP(C428,Products!$A$2:$D$13,2,FALSE)</f>
        <v>Desk</v>
      </c>
      <c r="M428" t="str">
        <f t="shared" si="20"/>
        <v>2026-05</v>
      </c>
    </row>
    <row r="429" spans="1:13">
      <c r="A429">
        <v>428</v>
      </c>
      <c r="B429">
        <v>1203</v>
      </c>
      <c r="C429">
        <v>8</v>
      </c>
      <c r="D429">
        <v>1</v>
      </c>
      <c r="E429">
        <v>55</v>
      </c>
      <c r="F429">
        <f t="shared" si="18"/>
        <v>55</v>
      </c>
      <c r="G429" t="str">
        <f>VLOOKUP(B429,Orders!$A$2:$D$1201,4,FALSE)</f>
        <v>Delivered</v>
      </c>
      <c r="H429">
        <f t="shared" si="19"/>
        <v>55</v>
      </c>
      <c r="I429" s="12">
        <f>VLOOKUP(B429,Orders!$A$2:$D$1201,3,FALSE)</f>
        <v>46110</v>
      </c>
      <c r="L429" t="str">
        <f>VLOOKUP(C429,Products!$A$2:$D$13,2,FALSE)</f>
        <v>Webcam</v>
      </c>
      <c r="M429" t="str">
        <f t="shared" si="20"/>
        <v>2026-03</v>
      </c>
    </row>
    <row r="430" spans="1:13">
      <c r="A430">
        <v>429</v>
      </c>
      <c r="B430">
        <v>1203</v>
      </c>
      <c r="C430">
        <v>6</v>
      </c>
      <c r="D430">
        <v>4</v>
      </c>
      <c r="E430">
        <v>140</v>
      </c>
      <c r="F430">
        <f t="shared" si="18"/>
        <v>560</v>
      </c>
      <c r="G430" t="str">
        <f>VLOOKUP(B430,Orders!$A$2:$D$1201,4,FALSE)</f>
        <v>Delivered</v>
      </c>
      <c r="H430">
        <f t="shared" si="19"/>
        <v>560</v>
      </c>
      <c r="I430" s="12">
        <f>VLOOKUP(B430,Orders!$A$2:$D$1201,3,FALSE)</f>
        <v>46110</v>
      </c>
      <c r="L430" t="str">
        <f>VLOOKUP(C430,Products!$A$2:$D$13,2,FALSE)</f>
        <v>Chair</v>
      </c>
      <c r="M430" t="str">
        <f t="shared" si="20"/>
        <v>2026-03</v>
      </c>
    </row>
    <row r="431" spans="1:13">
      <c r="A431">
        <v>430</v>
      </c>
      <c r="B431">
        <v>1203</v>
      </c>
      <c r="C431">
        <v>12</v>
      </c>
      <c r="D431">
        <v>4</v>
      </c>
      <c r="E431">
        <v>22</v>
      </c>
      <c r="F431">
        <f t="shared" si="18"/>
        <v>88</v>
      </c>
      <c r="G431" t="str">
        <f>VLOOKUP(B431,Orders!$A$2:$D$1201,4,FALSE)</f>
        <v>Delivered</v>
      </c>
      <c r="H431">
        <f t="shared" si="19"/>
        <v>88</v>
      </c>
      <c r="I431" s="12">
        <f>VLOOKUP(B431,Orders!$A$2:$D$1201,3,FALSE)</f>
        <v>46110</v>
      </c>
      <c r="L431" t="str">
        <f>VLOOKUP(C431,Products!$A$2:$D$13,2,FALSE)</f>
        <v>Storage Box</v>
      </c>
      <c r="M431" t="str">
        <f t="shared" si="20"/>
        <v>2026-03</v>
      </c>
    </row>
    <row r="432" spans="1:13">
      <c r="A432">
        <v>431</v>
      </c>
      <c r="B432">
        <v>1204</v>
      </c>
      <c r="C432">
        <v>3</v>
      </c>
      <c r="D432">
        <v>2</v>
      </c>
      <c r="E432">
        <v>45</v>
      </c>
      <c r="F432">
        <f t="shared" si="18"/>
        <v>90</v>
      </c>
      <c r="G432" t="str">
        <f>VLOOKUP(B432,Orders!$A$2:$D$1201,4,FALSE)</f>
        <v>Delivered</v>
      </c>
      <c r="H432">
        <f t="shared" si="19"/>
        <v>90</v>
      </c>
      <c r="I432" s="12">
        <f>VLOOKUP(B432,Orders!$A$2:$D$1201,3,FALSE)</f>
        <v>46028</v>
      </c>
      <c r="L432" t="str">
        <f>VLOOKUP(C432,Products!$A$2:$D$13,2,FALSE)</f>
        <v>Keyboard</v>
      </c>
      <c r="M432" t="str">
        <f t="shared" si="20"/>
        <v>2026-01</v>
      </c>
    </row>
    <row r="433" spans="1:13">
      <c r="A433">
        <v>432</v>
      </c>
      <c r="B433">
        <v>1204</v>
      </c>
      <c r="C433">
        <v>4</v>
      </c>
      <c r="D433">
        <v>2</v>
      </c>
      <c r="E433">
        <v>25</v>
      </c>
      <c r="F433">
        <f t="shared" si="18"/>
        <v>50</v>
      </c>
      <c r="G433" t="str">
        <f>VLOOKUP(B433,Orders!$A$2:$D$1201,4,FALSE)</f>
        <v>Delivered</v>
      </c>
      <c r="H433">
        <f t="shared" si="19"/>
        <v>50</v>
      </c>
      <c r="I433" s="12">
        <f>VLOOKUP(B433,Orders!$A$2:$D$1201,3,FALSE)</f>
        <v>46028</v>
      </c>
      <c r="L433" t="str">
        <f>VLOOKUP(C433,Products!$A$2:$D$13,2,FALSE)</f>
        <v>Mouse</v>
      </c>
      <c r="M433" t="str">
        <f t="shared" si="20"/>
        <v>2026-01</v>
      </c>
    </row>
    <row r="434" spans="1:13">
      <c r="A434">
        <v>433</v>
      </c>
      <c r="B434">
        <v>1204</v>
      </c>
      <c r="C434">
        <v>9</v>
      </c>
      <c r="D434">
        <v>3</v>
      </c>
      <c r="E434">
        <v>30</v>
      </c>
      <c r="F434">
        <f t="shared" si="18"/>
        <v>90</v>
      </c>
      <c r="G434" t="str">
        <f>VLOOKUP(B434,Orders!$A$2:$D$1201,4,FALSE)</f>
        <v>Delivered</v>
      </c>
      <c r="H434">
        <f t="shared" si="19"/>
        <v>90</v>
      </c>
      <c r="I434" s="12">
        <f>VLOOKUP(B434,Orders!$A$2:$D$1201,3,FALSE)</f>
        <v>46028</v>
      </c>
      <c r="L434" t="str">
        <f>VLOOKUP(C434,Products!$A$2:$D$13,2,FALSE)</f>
        <v>Lamp</v>
      </c>
      <c r="M434" t="str">
        <f t="shared" si="20"/>
        <v>2026-01</v>
      </c>
    </row>
    <row r="435" spans="1:13">
      <c r="A435">
        <v>434</v>
      </c>
      <c r="B435">
        <v>1205</v>
      </c>
      <c r="C435">
        <v>1</v>
      </c>
      <c r="D435">
        <v>2</v>
      </c>
      <c r="E435">
        <v>750</v>
      </c>
      <c r="F435">
        <f t="shared" si="18"/>
        <v>1500</v>
      </c>
      <c r="G435" t="str">
        <f>VLOOKUP(B435,Orders!$A$2:$D$1201,4,FALSE)</f>
        <v>Delivered</v>
      </c>
      <c r="H435">
        <f t="shared" si="19"/>
        <v>1500</v>
      </c>
      <c r="I435" s="12">
        <f>VLOOKUP(B435,Orders!$A$2:$D$1201,3,FALSE)</f>
        <v>46184</v>
      </c>
      <c r="L435" t="str">
        <f>VLOOKUP(C435,Products!$A$2:$D$13,2,FALSE)</f>
        <v>Laptop</v>
      </c>
      <c r="M435" t="str">
        <f t="shared" si="20"/>
        <v>2026-06</v>
      </c>
    </row>
    <row r="436" spans="1:13">
      <c r="A436">
        <v>435</v>
      </c>
      <c r="B436">
        <v>1205</v>
      </c>
      <c r="C436">
        <v>10</v>
      </c>
      <c r="D436">
        <v>4</v>
      </c>
      <c r="E436">
        <v>8</v>
      </c>
      <c r="F436">
        <f t="shared" si="18"/>
        <v>32</v>
      </c>
      <c r="G436" t="str">
        <f>VLOOKUP(B436,Orders!$A$2:$D$1201,4,FALSE)</f>
        <v>Delivered</v>
      </c>
      <c r="H436">
        <f t="shared" si="19"/>
        <v>32</v>
      </c>
      <c r="I436" s="12">
        <f>VLOOKUP(B436,Orders!$A$2:$D$1201,3,FALSE)</f>
        <v>46184</v>
      </c>
      <c r="L436" t="str">
        <f>VLOOKUP(C436,Products!$A$2:$D$13,2,FALSE)</f>
        <v>Notebook</v>
      </c>
      <c r="M436" t="str">
        <f t="shared" si="20"/>
        <v>2026-06</v>
      </c>
    </row>
    <row r="437" spans="1:13">
      <c r="A437">
        <v>436</v>
      </c>
      <c r="B437">
        <v>1206</v>
      </c>
      <c r="C437">
        <v>2</v>
      </c>
      <c r="D437">
        <v>3</v>
      </c>
      <c r="E437">
        <v>220</v>
      </c>
      <c r="F437">
        <f t="shared" si="18"/>
        <v>660</v>
      </c>
      <c r="G437" t="str">
        <f>VLOOKUP(B437,Orders!$A$2:$D$1201,4,FALSE)</f>
        <v>Delivered</v>
      </c>
      <c r="H437">
        <f t="shared" si="19"/>
        <v>660</v>
      </c>
      <c r="I437" s="12">
        <f>VLOOKUP(B437,Orders!$A$2:$D$1201,3,FALSE)</f>
        <v>46094</v>
      </c>
      <c r="L437" t="str">
        <f>VLOOKUP(C437,Products!$A$2:$D$13,2,FALSE)</f>
        <v>Monitor</v>
      </c>
      <c r="M437" t="str">
        <f t="shared" si="20"/>
        <v>2026-03</v>
      </c>
    </row>
    <row r="438" spans="1:13">
      <c r="A438">
        <v>437</v>
      </c>
      <c r="B438">
        <v>1206</v>
      </c>
      <c r="C438">
        <v>9</v>
      </c>
      <c r="D438">
        <v>3</v>
      </c>
      <c r="E438">
        <v>30</v>
      </c>
      <c r="F438">
        <f t="shared" si="18"/>
        <v>90</v>
      </c>
      <c r="G438" t="str">
        <f>VLOOKUP(B438,Orders!$A$2:$D$1201,4,FALSE)</f>
        <v>Delivered</v>
      </c>
      <c r="H438">
        <f t="shared" si="19"/>
        <v>90</v>
      </c>
      <c r="I438" s="12">
        <f>VLOOKUP(B438,Orders!$A$2:$D$1201,3,FALSE)</f>
        <v>46094</v>
      </c>
      <c r="L438" t="str">
        <f>VLOOKUP(C438,Products!$A$2:$D$13,2,FALSE)</f>
        <v>Lamp</v>
      </c>
      <c r="M438" t="str">
        <f t="shared" si="20"/>
        <v>2026-03</v>
      </c>
    </row>
    <row r="439" spans="1:13">
      <c r="A439">
        <v>438</v>
      </c>
      <c r="B439">
        <v>1206</v>
      </c>
      <c r="C439">
        <v>3</v>
      </c>
      <c r="D439">
        <v>2</v>
      </c>
      <c r="E439">
        <v>45</v>
      </c>
      <c r="F439">
        <f t="shared" si="18"/>
        <v>90</v>
      </c>
      <c r="G439" t="str">
        <f>VLOOKUP(B439,Orders!$A$2:$D$1201,4,FALSE)</f>
        <v>Delivered</v>
      </c>
      <c r="H439">
        <f t="shared" si="19"/>
        <v>90</v>
      </c>
      <c r="I439" s="12">
        <f>VLOOKUP(B439,Orders!$A$2:$D$1201,3,FALSE)</f>
        <v>46094</v>
      </c>
      <c r="L439" t="str">
        <f>VLOOKUP(C439,Products!$A$2:$D$13,2,FALSE)</f>
        <v>Keyboard</v>
      </c>
      <c r="M439" t="str">
        <f t="shared" si="20"/>
        <v>2026-03</v>
      </c>
    </row>
    <row r="440" spans="1:13">
      <c r="A440">
        <v>439</v>
      </c>
      <c r="B440">
        <v>1207</v>
      </c>
      <c r="C440">
        <v>7</v>
      </c>
      <c r="D440">
        <v>3</v>
      </c>
      <c r="E440">
        <v>65</v>
      </c>
      <c r="F440">
        <f t="shared" si="18"/>
        <v>195</v>
      </c>
      <c r="G440" t="str">
        <f>VLOOKUP(B440,Orders!$A$2:$D$1201,4,FALSE)</f>
        <v>Delivered</v>
      </c>
      <c r="H440">
        <f t="shared" si="19"/>
        <v>195</v>
      </c>
      <c r="I440" s="12">
        <f>VLOOKUP(B440,Orders!$A$2:$D$1201,3,FALSE)</f>
        <v>46186</v>
      </c>
      <c r="L440" t="str">
        <f>VLOOKUP(C440,Products!$A$2:$D$13,2,FALSE)</f>
        <v>Headphones</v>
      </c>
      <c r="M440" t="str">
        <f t="shared" si="20"/>
        <v>2026-06</v>
      </c>
    </row>
    <row r="441" spans="1:13">
      <c r="A441">
        <v>440</v>
      </c>
      <c r="B441">
        <v>1207</v>
      </c>
      <c r="C441">
        <v>10</v>
      </c>
      <c r="D441">
        <v>3</v>
      </c>
      <c r="E441">
        <v>8</v>
      </c>
      <c r="F441">
        <f t="shared" si="18"/>
        <v>24</v>
      </c>
      <c r="G441" t="str">
        <f>VLOOKUP(B441,Orders!$A$2:$D$1201,4,FALSE)</f>
        <v>Delivered</v>
      </c>
      <c r="H441">
        <f t="shared" si="19"/>
        <v>24</v>
      </c>
      <c r="I441" s="12">
        <f>VLOOKUP(B441,Orders!$A$2:$D$1201,3,FALSE)</f>
        <v>46186</v>
      </c>
      <c r="L441" t="str">
        <f>VLOOKUP(C441,Products!$A$2:$D$13,2,FALSE)</f>
        <v>Notebook</v>
      </c>
      <c r="M441" t="str">
        <f t="shared" si="20"/>
        <v>2026-06</v>
      </c>
    </row>
    <row r="442" spans="1:13">
      <c r="A442">
        <v>441</v>
      </c>
      <c r="B442">
        <v>1207</v>
      </c>
      <c r="C442">
        <v>2</v>
      </c>
      <c r="D442">
        <v>4</v>
      </c>
      <c r="E442">
        <v>220</v>
      </c>
      <c r="F442">
        <f t="shared" si="18"/>
        <v>880</v>
      </c>
      <c r="G442" t="str">
        <f>VLOOKUP(B442,Orders!$A$2:$D$1201,4,FALSE)</f>
        <v>Delivered</v>
      </c>
      <c r="H442">
        <f t="shared" si="19"/>
        <v>880</v>
      </c>
      <c r="I442" s="12">
        <f>VLOOKUP(B442,Orders!$A$2:$D$1201,3,FALSE)</f>
        <v>46186</v>
      </c>
      <c r="L442" t="str">
        <f>VLOOKUP(C442,Products!$A$2:$D$13,2,FALSE)</f>
        <v>Monitor</v>
      </c>
      <c r="M442" t="str">
        <f t="shared" si="20"/>
        <v>2026-06</v>
      </c>
    </row>
    <row r="443" spans="1:13">
      <c r="A443">
        <v>442</v>
      </c>
      <c r="B443">
        <v>1208</v>
      </c>
      <c r="C443">
        <v>2</v>
      </c>
      <c r="D443">
        <v>3</v>
      </c>
      <c r="E443">
        <v>220</v>
      </c>
      <c r="F443">
        <f t="shared" si="18"/>
        <v>660</v>
      </c>
      <c r="G443" t="str">
        <f>VLOOKUP(B443,Orders!$A$2:$D$1201,4,FALSE)</f>
        <v>Delivered</v>
      </c>
      <c r="H443">
        <f t="shared" si="19"/>
        <v>660</v>
      </c>
      <c r="I443" s="12">
        <f>VLOOKUP(B443,Orders!$A$2:$D$1201,3,FALSE)</f>
        <v>46180</v>
      </c>
      <c r="L443" t="str">
        <f>VLOOKUP(C443,Products!$A$2:$D$13,2,FALSE)</f>
        <v>Monitor</v>
      </c>
      <c r="M443" t="str">
        <f t="shared" si="20"/>
        <v>2026-06</v>
      </c>
    </row>
    <row r="444" spans="1:13">
      <c r="A444">
        <v>443</v>
      </c>
      <c r="B444">
        <v>1208</v>
      </c>
      <c r="C444">
        <v>4</v>
      </c>
      <c r="D444">
        <v>1</v>
      </c>
      <c r="E444">
        <v>25</v>
      </c>
      <c r="F444">
        <f t="shared" si="18"/>
        <v>25</v>
      </c>
      <c r="G444" t="str">
        <f>VLOOKUP(B444,Orders!$A$2:$D$1201,4,FALSE)</f>
        <v>Delivered</v>
      </c>
      <c r="H444">
        <f t="shared" si="19"/>
        <v>25</v>
      </c>
      <c r="I444" s="12">
        <f>VLOOKUP(B444,Orders!$A$2:$D$1201,3,FALSE)</f>
        <v>46180</v>
      </c>
      <c r="L444" t="str">
        <f>VLOOKUP(C444,Products!$A$2:$D$13,2,FALSE)</f>
        <v>Mouse</v>
      </c>
      <c r="M444" t="str">
        <f t="shared" si="20"/>
        <v>2026-06</v>
      </c>
    </row>
    <row r="445" spans="1:13">
      <c r="A445">
        <v>444</v>
      </c>
      <c r="B445">
        <v>1209</v>
      </c>
      <c r="C445">
        <v>3</v>
      </c>
      <c r="D445">
        <v>2</v>
      </c>
      <c r="E445">
        <v>45</v>
      </c>
      <c r="F445">
        <f t="shared" si="18"/>
        <v>90</v>
      </c>
      <c r="G445" t="str">
        <f>VLOOKUP(B445,Orders!$A$2:$D$1201,4,FALSE)</f>
        <v>Delivered</v>
      </c>
      <c r="H445">
        <f t="shared" si="19"/>
        <v>90</v>
      </c>
      <c r="I445" s="12">
        <f>VLOOKUP(B445,Orders!$A$2:$D$1201,3,FALSE)</f>
        <v>46175</v>
      </c>
      <c r="L445" t="str">
        <f>VLOOKUP(C445,Products!$A$2:$D$13,2,FALSE)</f>
        <v>Keyboard</v>
      </c>
      <c r="M445" t="str">
        <f t="shared" si="20"/>
        <v>2026-06</v>
      </c>
    </row>
    <row r="446" spans="1:13">
      <c r="A446">
        <v>445</v>
      </c>
      <c r="B446">
        <v>1209</v>
      </c>
      <c r="C446">
        <v>8</v>
      </c>
      <c r="D446">
        <v>2</v>
      </c>
      <c r="E446">
        <v>55</v>
      </c>
      <c r="F446">
        <f t="shared" si="18"/>
        <v>110</v>
      </c>
      <c r="G446" t="str">
        <f>VLOOKUP(B446,Orders!$A$2:$D$1201,4,FALSE)</f>
        <v>Delivered</v>
      </c>
      <c r="H446">
        <f t="shared" si="19"/>
        <v>110</v>
      </c>
      <c r="I446" s="12">
        <f>VLOOKUP(B446,Orders!$A$2:$D$1201,3,FALSE)</f>
        <v>46175</v>
      </c>
      <c r="L446" t="str">
        <f>VLOOKUP(C446,Products!$A$2:$D$13,2,FALSE)</f>
        <v>Webcam</v>
      </c>
      <c r="M446" t="str">
        <f t="shared" si="20"/>
        <v>2026-06</v>
      </c>
    </row>
    <row r="447" spans="1:13">
      <c r="A447">
        <v>446</v>
      </c>
      <c r="B447">
        <v>1210</v>
      </c>
      <c r="C447">
        <v>8</v>
      </c>
      <c r="D447">
        <v>2</v>
      </c>
      <c r="E447">
        <v>55</v>
      </c>
      <c r="F447">
        <f t="shared" si="18"/>
        <v>110</v>
      </c>
      <c r="G447" t="str">
        <f>VLOOKUP(B447,Orders!$A$2:$D$1201,4,FALSE)</f>
        <v>Delivered</v>
      </c>
      <c r="H447">
        <f t="shared" si="19"/>
        <v>110</v>
      </c>
      <c r="I447" s="12">
        <f>VLOOKUP(B447,Orders!$A$2:$D$1201,3,FALSE)</f>
        <v>46181</v>
      </c>
      <c r="L447" t="str">
        <f>VLOOKUP(C447,Products!$A$2:$D$13,2,FALSE)</f>
        <v>Webcam</v>
      </c>
      <c r="M447" t="str">
        <f t="shared" si="20"/>
        <v>2026-06</v>
      </c>
    </row>
    <row r="448" spans="1:13">
      <c r="A448">
        <v>447</v>
      </c>
      <c r="B448">
        <v>1211</v>
      </c>
      <c r="C448">
        <v>12</v>
      </c>
      <c r="D448">
        <v>4</v>
      </c>
      <c r="E448">
        <v>22</v>
      </c>
      <c r="F448">
        <f t="shared" si="18"/>
        <v>88</v>
      </c>
      <c r="G448" t="str">
        <f>VLOOKUP(B448,Orders!$A$2:$D$1201,4,FALSE)</f>
        <v>Delivered</v>
      </c>
      <c r="H448">
        <f t="shared" si="19"/>
        <v>88</v>
      </c>
      <c r="I448" s="12">
        <f>VLOOKUP(B448,Orders!$A$2:$D$1201,3,FALSE)</f>
        <v>46149</v>
      </c>
      <c r="L448" t="str">
        <f>VLOOKUP(C448,Products!$A$2:$D$13,2,FALSE)</f>
        <v>Storage Box</v>
      </c>
      <c r="M448" t="str">
        <f t="shared" si="20"/>
        <v>2026-05</v>
      </c>
    </row>
    <row r="449" spans="1:13">
      <c r="A449">
        <v>448</v>
      </c>
      <c r="B449">
        <v>1211</v>
      </c>
      <c r="C449">
        <v>8</v>
      </c>
      <c r="D449">
        <v>2</v>
      </c>
      <c r="E449">
        <v>55</v>
      </c>
      <c r="F449">
        <f t="shared" si="18"/>
        <v>110</v>
      </c>
      <c r="G449" t="str">
        <f>VLOOKUP(B449,Orders!$A$2:$D$1201,4,FALSE)</f>
        <v>Delivered</v>
      </c>
      <c r="H449">
        <f t="shared" si="19"/>
        <v>110</v>
      </c>
      <c r="I449" s="12">
        <f>VLOOKUP(B449,Orders!$A$2:$D$1201,3,FALSE)</f>
        <v>46149</v>
      </c>
      <c r="L449" t="str">
        <f>VLOOKUP(C449,Products!$A$2:$D$13,2,FALSE)</f>
        <v>Webcam</v>
      </c>
      <c r="M449" t="str">
        <f t="shared" si="20"/>
        <v>2026-05</v>
      </c>
    </row>
    <row r="450" spans="1:13">
      <c r="A450">
        <v>449</v>
      </c>
      <c r="B450">
        <v>1212</v>
      </c>
      <c r="C450">
        <v>3</v>
      </c>
      <c r="D450">
        <v>4</v>
      </c>
      <c r="E450">
        <v>45</v>
      </c>
      <c r="F450">
        <f t="shared" si="18"/>
        <v>180</v>
      </c>
      <c r="G450" t="str">
        <f>VLOOKUP(B450,Orders!$A$2:$D$1201,4,FALSE)</f>
        <v>Delivered</v>
      </c>
      <c r="H450">
        <f t="shared" si="19"/>
        <v>180</v>
      </c>
      <c r="I450" s="12">
        <f>VLOOKUP(B450,Orders!$A$2:$D$1201,3,FALSE)</f>
        <v>46031</v>
      </c>
      <c r="L450" t="str">
        <f>VLOOKUP(C450,Products!$A$2:$D$13,2,FALSE)</f>
        <v>Keyboard</v>
      </c>
      <c r="M450" t="str">
        <f t="shared" si="20"/>
        <v>2026-01</v>
      </c>
    </row>
    <row r="451" spans="1:13">
      <c r="A451">
        <v>450</v>
      </c>
      <c r="B451">
        <v>1212</v>
      </c>
      <c r="C451">
        <v>8</v>
      </c>
      <c r="D451">
        <v>1</v>
      </c>
      <c r="E451">
        <v>55</v>
      </c>
      <c r="F451">
        <f t="shared" ref="F451:F514" si="21">D451*E451</f>
        <v>55</v>
      </c>
      <c r="G451" t="str">
        <f>VLOOKUP(B451,Orders!$A$2:$D$1201,4,FALSE)</f>
        <v>Delivered</v>
      </c>
      <c r="H451">
        <f t="shared" ref="H451:H514" si="22">IF(G451="Cancelled",0,F451)</f>
        <v>55</v>
      </c>
      <c r="I451" s="12">
        <f>VLOOKUP(B451,Orders!$A$2:$D$1201,3,FALSE)</f>
        <v>46031</v>
      </c>
      <c r="L451" t="str">
        <f>VLOOKUP(C451,Products!$A$2:$D$13,2,FALSE)</f>
        <v>Webcam</v>
      </c>
      <c r="M451" t="str">
        <f t="shared" ref="M451:M514" si="23">TEXT(I451,"yyyy-mm")</f>
        <v>2026-01</v>
      </c>
    </row>
    <row r="452" spans="1:13">
      <c r="A452">
        <v>451</v>
      </c>
      <c r="B452">
        <v>1213</v>
      </c>
      <c r="C452">
        <v>8</v>
      </c>
      <c r="D452">
        <v>4</v>
      </c>
      <c r="E452">
        <v>55</v>
      </c>
      <c r="F452">
        <f t="shared" si="21"/>
        <v>220</v>
      </c>
      <c r="G452" t="str">
        <f>VLOOKUP(B452,Orders!$A$2:$D$1201,4,FALSE)</f>
        <v>Delivered</v>
      </c>
      <c r="H452">
        <f t="shared" si="22"/>
        <v>220</v>
      </c>
      <c r="I452" s="12">
        <f>VLOOKUP(B452,Orders!$A$2:$D$1201,3,FALSE)</f>
        <v>46161</v>
      </c>
      <c r="L452" t="str">
        <f>VLOOKUP(C452,Products!$A$2:$D$13,2,FALSE)</f>
        <v>Webcam</v>
      </c>
      <c r="M452" t="str">
        <f t="shared" si="23"/>
        <v>2026-05</v>
      </c>
    </row>
    <row r="453" spans="1:13">
      <c r="A453">
        <v>452</v>
      </c>
      <c r="B453">
        <v>1213</v>
      </c>
      <c r="C453">
        <v>9</v>
      </c>
      <c r="D453">
        <v>1</v>
      </c>
      <c r="E453">
        <v>30</v>
      </c>
      <c r="F453">
        <f t="shared" si="21"/>
        <v>30</v>
      </c>
      <c r="G453" t="str">
        <f>VLOOKUP(B453,Orders!$A$2:$D$1201,4,FALSE)</f>
        <v>Delivered</v>
      </c>
      <c r="H453">
        <f t="shared" si="22"/>
        <v>30</v>
      </c>
      <c r="I453" s="12">
        <f>VLOOKUP(B453,Orders!$A$2:$D$1201,3,FALSE)</f>
        <v>46161</v>
      </c>
      <c r="L453" t="str">
        <f>VLOOKUP(C453,Products!$A$2:$D$13,2,FALSE)</f>
        <v>Lamp</v>
      </c>
      <c r="M453" t="str">
        <f t="shared" si="23"/>
        <v>2026-05</v>
      </c>
    </row>
    <row r="454" spans="1:13">
      <c r="A454">
        <v>453</v>
      </c>
      <c r="B454">
        <v>1213</v>
      </c>
      <c r="C454">
        <v>4</v>
      </c>
      <c r="D454">
        <v>2</v>
      </c>
      <c r="E454">
        <v>25</v>
      </c>
      <c r="F454">
        <f t="shared" si="21"/>
        <v>50</v>
      </c>
      <c r="G454" t="str">
        <f>VLOOKUP(B454,Orders!$A$2:$D$1201,4,FALSE)</f>
        <v>Delivered</v>
      </c>
      <c r="H454">
        <f t="shared" si="22"/>
        <v>50</v>
      </c>
      <c r="I454" s="12">
        <f>VLOOKUP(B454,Orders!$A$2:$D$1201,3,FALSE)</f>
        <v>46161</v>
      </c>
      <c r="L454" t="str">
        <f>VLOOKUP(C454,Products!$A$2:$D$13,2,FALSE)</f>
        <v>Mouse</v>
      </c>
      <c r="M454" t="str">
        <f t="shared" si="23"/>
        <v>2026-05</v>
      </c>
    </row>
    <row r="455" spans="1:13">
      <c r="A455">
        <v>454</v>
      </c>
      <c r="B455">
        <v>1214</v>
      </c>
      <c r="C455">
        <v>4</v>
      </c>
      <c r="D455">
        <v>3</v>
      </c>
      <c r="E455">
        <v>25</v>
      </c>
      <c r="F455">
        <f t="shared" si="21"/>
        <v>75</v>
      </c>
      <c r="G455" t="str">
        <f>VLOOKUP(B455,Orders!$A$2:$D$1201,4,FALSE)</f>
        <v>Delivered</v>
      </c>
      <c r="H455">
        <f t="shared" si="22"/>
        <v>75</v>
      </c>
      <c r="I455" s="12">
        <f>VLOOKUP(B455,Orders!$A$2:$D$1201,3,FALSE)</f>
        <v>46045</v>
      </c>
      <c r="L455" t="str">
        <f>VLOOKUP(C455,Products!$A$2:$D$13,2,FALSE)</f>
        <v>Mouse</v>
      </c>
      <c r="M455" t="str">
        <f t="shared" si="23"/>
        <v>2026-01</v>
      </c>
    </row>
    <row r="456" spans="1:13">
      <c r="A456">
        <v>455</v>
      </c>
      <c r="B456">
        <v>1215</v>
      </c>
      <c r="C456">
        <v>10</v>
      </c>
      <c r="D456">
        <v>3</v>
      </c>
      <c r="E456">
        <v>8</v>
      </c>
      <c r="F456">
        <f t="shared" si="21"/>
        <v>24</v>
      </c>
      <c r="G456" t="str">
        <f>VLOOKUP(B456,Orders!$A$2:$D$1201,4,FALSE)</f>
        <v>Delivered</v>
      </c>
      <c r="H456">
        <f t="shared" si="22"/>
        <v>24</v>
      </c>
      <c r="I456" s="12">
        <f>VLOOKUP(B456,Orders!$A$2:$D$1201,3,FALSE)</f>
        <v>46058</v>
      </c>
      <c r="L456" t="str">
        <f>VLOOKUP(C456,Products!$A$2:$D$13,2,FALSE)</f>
        <v>Notebook</v>
      </c>
      <c r="M456" t="str">
        <f t="shared" si="23"/>
        <v>2026-02</v>
      </c>
    </row>
    <row r="457" spans="1:13">
      <c r="A457">
        <v>456</v>
      </c>
      <c r="B457">
        <v>1216</v>
      </c>
      <c r="C457">
        <v>11</v>
      </c>
      <c r="D457">
        <v>4</v>
      </c>
      <c r="E457">
        <v>48</v>
      </c>
      <c r="F457">
        <f t="shared" si="21"/>
        <v>192</v>
      </c>
      <c r="G457" t="str">
        <f>VLOOKUP(B457,Orders!$A$2:$D$1201,4,FALSE)</f>
        <v>Delivered</v>
      </c>
      <c r="H457">
        <f t="shared" si="22"/>
        <v>192</v>
      </c>
      <c r="I457" s="12">
        <f>VLOOKUP(B457,Orders!$A$2:$D$1201,3,FALSE)</f>
        <v>46097</v>
      </c>
      <c r="L457" t="str">
        <f>VLOOKUP(C457,Products!$A$2:$D$13,2,FALSE)</f>
        <v>Backpack</v>
      </c>
      <c r="M457" t="str">
        <f t="shared" si="23"/>
        <v>2026-03</v>
      </c>
    </row>
    <row r="458" spans="1:13">
      <c r="A458">
        <v>457</v>
      </c>
      <c r="B458">
        <v>1216</v>
      </c>
      <c r="C458">
        <v>2</v>
      </c>
      <c r="D458">
        <v>1</v>
      </c>
      <c r="E458">
        <v>220</v>
      </c>
      <c r="F458">
        <f t="shared" si="21"/>
        <v>220</v>
      </c>
      <c r="G458" t="str">
        <f>VLOOKUP(B458,Orders!$A$2:$D$1201,4,FALSE)</f>
        <v>Delivered</v>
      </c>
      <c r="H458">
        <f t="shared" si="22"/>
        <v>220</v>
      </c>
      <c r="I458" s="12">
        <f>VLOOKUP(B458,Orders!$A$2:$D$1201,3,FALSE)</f>
        <v>46097</v>
      </c>
      <c r="L458" t="str">
        <f>VLOOKUP(C458,Products!$A$2:$D$13,2,FALSE)</f>
        <v>Monitor</v>
      </c>
      <c r="M458" t="str">
        <f t="shared" si="23"/>
        <v>2026-03</v>
      </c>
    </row>
    <row r="459" spans="1:13">
      <c r="A459">
        <v>458</v>
      </c>
      <c r="B459">
        <v>1216</v>
      </c>
      <c r="C459">
        <v>3</v>
      </c>
      <c r="D459">
        <v>3</v>
      </c>
      <c r="E459">
        <v>45</v>
      </c>
      <c r="F459">
        <f t="shared" si="21"/>
        <v>135</v>
      </c>
      <c r="G459" t="str">
        <f>VLOOKUP(B459,Orders!$A$2:$D$1201,4,FALSE)</f>
        <v>Delivered</v>
      </c>
      <c r="H459">
        <f t="shared" si="22"/>
        <v>135</v>
      </c>
      <c r="I459" s="12">
        <f>VLOOKUP(B459,Orders!$A$2:$D$1201,3,FALSE)</f>
        <v>46097</v>
      </c>
      <c r="L459" t="str">
        <f>VLOOKUP(C459,Products!$A$2:$D$13,2,FALSE)</f>
        <v>Keyboard</v>
      </c>
      <c r="M459" t="str">
        <f t="shared" si="23"/>
        <v>2026-03</v>
      </c>
    </row>
    <row r="460" spans="1:13">
      <c r="A460">
        <v>459</v>
      </c>
      <c r="B460">
        <v>1217</v>
      </c>
      <c r="C460">
        <v>7</v>
      </c>
      <c r="D460">
        <v>3</v>
      </c>
      <c r="E460">
        <v>65</v>
      </c>
      <c r="F460">
        <f t="shared" si="21"/>
        <v>195</v>
      </c>
      <c r="G460" t="str">
        <f>VLOOKUP(B460,Orders!$A$2:$D$1201,4,FALSE)</f>
        <v>Delivered</v>
      </c>
      <c r="H460">
        <f t="shared" si="22"/>
        <v>195</v>
      </c>
      <c r="I460" s="12">
        <f>VLOOKUP(B460,Orders!$A$2:$D$1201,3,FALSE)</f>
        <v>46060</v>
      </c>
      <c r="L460" t="str">
        <f>VLOOKUP(C460,Products!$A$2:$D$13,2,FALSE)</f>
        <v>Headphones</v>
      </c>
      <c r="M460" t="str">
        <f t="shared" si="23"/>
        <v>2026-02</v>
      </c>
    </row>
    <row r="461" spans="1:13">
      <c r="A461">
        <v>460</v>
      </c>
      <c r="B461">
        <v>1217</v>
      </c>
      <c r="C461">
        <v>8</v>
      </c>
      <c r="D461">
        <v>4</v>
      </c>
      <c r="E461">
        <v>55</v>
      </c>
      <c r="F461">
        <f t="shared" si="21"/>
        <v>220</v>
      </c>
      <c r="G461" t="str">
        <f>VLOOKUP(B461,Orders!$A$2:$D$1201,4,FALSE)</f>
        <v>Delivered</v>
      </c>
      <c r="H461">
        <f t="shared" si="22"/>
        <v>220</v>
      </c>
      <c r="I461" s="12">
        <f>VLOOKUP(B461,Orders!$A$2:$D$1201,3,FALSE)</f>
        <v>46060</v>
      </c>
      <c r="L461" t="str">
        <f>VLOOKUP(C461,Products!$A$2:$D$13,2,FALSE)</f>
        <v>Webcam</v>
      </c>
      <c r="M461" t="str">
        <f t="shared" si="23"/>
        <v>2026-02</v>
      </c>
    </row>
    <row r="462" spans="1:13">
      <c r="A462">
        <v>461</v>
      </c>
      <c r="B462">
        <v>1217</v>
      </c>
      <c r="C462">
        <v>3</v>
      </c>
      <c r="D462">
        <v>4</v>
      </c>
      <c r="E462">
        <v>45</v>
      </c>
      <c r="F462">
        <f t="shared" si="21"/>
        <v>180</v>
      </c>
      <c r="G462" t="str">
        <f>VLOOKUP(B462,Orders!$A$2:$D$1201,4,FALSE)</f>
        <v>Delivered</v>
      </c>
      <c r="H462">
        <f t="shared" si="22"/>
        <v>180</v>
      </c>
      <c r="I462" s="12">
        <f>VLOOKUP(B462,Orders!$A$2:$D$1201,3,FALSE)</f>
        <v>46060</v>
      </c>
      <c r="L462" t="str">
        <f>VLOOKUP(C462,Products!$A$2:$D$13,2,FALSE)</f>
        <v>Keyboard</v>
      </c>
      <c r="M462" t="str">
        <f t="shared" si="23"/>
        <v>2026-02</v>
      </c>
    </row>
    <row r="463" spans="1:13">
      <c r="A463">
        <v>462</v>
      </c>
      <c r="B463">
        <v>1218</v>
      </c>
      <c r="C463">
        <v>6</v>
      </c>
      <c r="D463">
        <v>3</v>
      </c>
      <c r="E463">
        <v>140</v>
      </c>
      <c r="F463">
        <f t="shared" si="21"/>
        <v>420</v>
      </c>
      <c r="G463" t="str">
        <f>VLOOKUP(B463,Orders!$A$2:$D$1201,4,FALSE)</f>
        <v>Delivered</v>
      </c>
      <c r="H463">
        <f t="shared" si="22"/>
        <v>420</v>
      </c>
      <c r="I463" s="12">
        <f>VLOOKUP(B463,Orders!$A$2:$D$1201,3,FALSE)</f>
        <v>46126</v>
      </c>
      <c r="L463" t="str">
        <f>VLOOKUP(C463,Products!$A$2:$D$13,2,FALSE)</f>
        <v>Chair</v>
      </c>
      <c r="M463" t="str">
        <f t="shared" si="23"/>
        <v>2026-04</v>
      </c>
    </row>
    <row r="464" spans="1:13">
      <c r="A464">
        <v>463</v>
      </c>
      <c r="B464">
        <v>1218</v>
      </c>
      <c r="C464">
        <v>8</v>
      </c>
      <c r="D464">
        <v>1</v>
      </c>
      <c r="E464">
        <v>55</v>
      </c>
      <c r="F464">
        <f t="shared" si="21"/>
        <v>55</v>
      </c>
      <c r="G464" t="str">
        <f>VLOOKUP(B464,Orders!$A$2:$D$1201,4,FALSE)</f>
        <v>Delivered</v>
      </c>
      <c r="H464">
        <f t="shared" si="22"/>
        <v>55</v>
      </c>
      <c r="I464" s="12">
        <f>VLOOKUP(B464,Orders!$A$2:$D$1201,3,FALSE)</f>
        <v>46126</v>
      </c>
      <c r="L464" t="str">
        <f>VLOOKUP(C464,Products!$A$2:$D$13,2,FALSE)</f>
        <v>Webcam</v>
      </c>
      <c r="M464" t="str">
        <f t="shared" si="23"/>
        <v>2026-04</v>
      </c>
    </row>
    <row r="465" spans="1:13">
      <c r="A465">
        <v>464</v>
      </c>
      <c r="B465">
        <v>1218</v>
      </c>
      <c r="C465">
        <v>11</v>
      </c>
      <c r="D465">
        <v>1</v>
      </c>
      <c r="E465">
        <v>48</v>
      </c>
      <c r="F465">
        <f t="shared" si="21"/>
        <v>48</v>
      </c>
      <c r="G465" t="str">
        <f>VLOOKUP(B465,Orders!$A$2:$D$1201,4,FALSE)</f>
        <v>Delivered</v>
      </c>
      <c r="H465">
        <f t="shared" si="22"/>
        <v>48</v>
      </c>
      <c r="I465" s="12">
        <f>VLOOKUP(B465,Orders!$A$2:$D$1201,3,FALSE)</f>
        <v>46126</v>
      </c>
      <c r="L465" t="str">
        <f>VLOOKUP(C465,Products!$A$2:$D$13,2,FALSE)</f>
        <v>Backpack</v>
      </c>
      <c r="M465" t="str">
        <f t="shared" si="23"/>
        <v>2026-04</v>
      </c>
    </row>
    <row r="466" spans="1:13">
      <c r="A466">
        <v>465</v>
      </c>
      <c r="B466">
        <v>1219</v>
      </c>
      <c r="C466">
        <v>7</v>
      </c>
      <c r="D466">
        <v>2</v>
      </c>
      <c r="E466">
        <v>65</v>
      </c>
      <c r="F466">
        <f t="shared" si="21"/>
        <v>130</v>
      </c>
      <c r="G466" t="str">
        <f>VLOOKUP(B466,Orders!$A$2:$D$1201,4,FALSE)</f>
        <v>Delivered</v>
      </c>
      <c r="H466">
        <f t="shared" si="22"/>
        <v>130</v>
      </c>
      <c r="I466" s="12">
        <f>VLOOKUP(B466,Orders!$A$2:$D$1201,3,FALSE)</f>
        <v>46039</v>
      </c>
      <c r="L466" t="str">
        <f>VLOOKUP(C466,Products!$A$2:$D$13,2,FALSE)</f>
        <v>Headphones</v>
      </c>
      <c r="M466" t="str">
        <f t="shared" si="23"/>
        <v>2026-01</v>
      </c>
    </row>
    <row r="467" spans="1:13">
      <c r="A467">
        <v>466</v>
      </c>
      <c r="B467">
        <v>1220</v>
      </c>
      <c r="C467">
        <v>11</v>
      </c>
      <c r="D467">
        <v>1</v>
      </c>
      <c r="E467">
        <v>48</v>
      </c>
      <c r="F467">
        <f t="shared" si="21"/>
        <v>48</v>
      </c>
      <c r="G467" t="str">
        <f>VLOOKUP(B467,Orders!$A$2:$D$1201,4,FALSE)</f>
        <v>Delivered</v>
      </c>
      <c r="H467">
        <f t="shared" si="22"/>
        <v>48</v>
      </c>
      <c r="I467" s="12">
        <f>VLOOKUP(B467,Orders!$A$2:$D$1201,3,FALSE)</f>
        <v>46170</v>
      </c>
      <c r="L467" t="str">
        <f>VLOOKUP(C467,Products!$A$2:$D$13,2,FALSE)</f>
        <v>Backpack</v>
      </c>
      <c r="M467" t="str">
        <f t="shared" si="23"/>
        <v>2026-05</v>
      </c>
    </row>
    <row r="468" spans="1:13">
      <c r="A468">
        <v>467</v>
      </c>
      <c r="B468">
        <v>1220</v>
      </c>
      <c r="C468">
        <v>1</v>
      </c>
      <c r="D468">
        <v>1</v>
      </c>
      <c r="E468">
        <v>750</v>
      </c>
      <c r="F468">
        <f t="shared" si="21"/>
        <v>750</v>
      </c>
      <c r="G468" t="str">
        <f>VLOOKUP(B468,Orders!$A$2:$D$1201,4,FALSE)</f>
        <v>Delivered</v>
      </c>
      <c r="H468">
        <f t="shared" si="22"/>
        <v>750</v>
      </c>
      <c r="I468" s="12">
        <f>VLOOKUP(B468,Orders!$A$2:$D$1201,3,FALSE)</f>
        <v>46170</v>
      </c>
      <c r="L468" t="str">
        <f>VLOOKUP(C468,Products!$A$2:$D$13,2,FALSE)</f>
        <v>Laptop</v>
      </c>
      <c r="M468" t="str">
        <f t="shared" si="23"/>
        <v>2026-05</v>
      </c>
    </row>
    <row r="469" spans="1:13">
      <c r="A469">
        <v>468</v>
      </c>
      <c r="B469">
        <v>1221</v>
      </c>
      <c r="C469">
        <v>12</v>
      </c>
      <c r="D469">
        <v>2</v>
      </c>
      <c r="E469">
        <v>22</v>
      </c>
      <c r="F469">
        <f t="shared" si="21"/>
        <v>44</v>
      </c>
      <c r="G469" t="str">
        <f>VLOOKUP(B469,Orders!$A$2:$D$1201,4,FALSE)</f>
        <v>Delivered</v>
      </c>
      <c r="H469">
        <f t="shared" si="22"/>
        <v>44</v>
      </c>
      <c r="I469" s="12">
        <f>VLOOKUP(B469,Orders!$A$2:$D$1201,3,FALSE)</f>
        <v>46135</v>
      </c>
      <c r="L469" t="str">
        <f>VLOOKUP(C469,Products!$A$2:$D$13,2,FALSE)</f>
        <v>Storage Box</v>
      </c>
      <c r="M469" t="str">
        <f t="shared" si="23"/>
        <v>2026-04</v>
      </c>
    </row>
    <row r="470" spans="1:13">
      <c r="A470">
        <v>469</v>
      </c>
      <c r="B470">
        <v>1222</v>
      </c>
      <c r="C470">
        <v>6</v>
      </c>
      <c r="D470">
        <v>2</v>
      </c>
      <c r="E470">
        <v>140</v>
      </c>
      <c r="F470">
        <f t="shared" si="21"/>
        <v>280</v>
      </c>
      <c r="G470" t="str">
        <f>VLOOKUP(B470,Orders!$A$2:$D$1201,4,FALSE)</f>
        <v>Delivered</v>
      </c>
      <c r="H470">
        <f t="shared" si="22"/>
        <v>280</v>
      </c>
      <c r="I470" s="12">
        <f>VLOOKUP(B470,Orders!$A$2:$D$1201,3,FALSE)</f>
        <v>46046</v>
      </c>
      <c r="L470" t="str">
        <f>VLOOKUP(C470,Products!$A$2:$D$13,2,FALSE)</f>
        <v>Chair</v>
      </c>
      <c r="M470" t="str">
        <f t="shared" si="23"/>
        <v>2026-01</v>
      </c>
    </row>
    <row r="471" spans="1:13">
      <c r="A471">
        <v>470</v>
      </c>
      <c r="B471">
        <v>1223</v>
      </c>
      <c r="C471">
        <v>4</v>
      </c>
      <c r="D471">
        <v>4</v>
      </c>
      <c r="E471">
        <v>25</v>
      </c>
      <c r="F471">
        <f t="shared" si="21"/>
        <v>100</v>
      </c>
      <c r="G471" t="str">
        <f>VLOOKUP(B471,Orders!$A$2:$D$1201,4,FALSE)</f>
        <v>Delivered</v>
      </c>
      <c r="H471">
        <f t="shared" si="22"/>
        <v>100</v>
      </c>
      <c r="I471" s="12">
        <f>VLOOKUP(B471,Orders!$A$2:$D$1201,3,FALSE)</f>
        <v>46132</v>
      </c>
      <c r="L471" t="str">
        <f>VLOOKUP(C471,Products!$A$2:$D$13,2,FALSE)</f>
        <v>Mouse</v>
      </c>
      <c r="M471" t="str">
        <f t="shared" si="23"/>
        <v>2026-04</v>
      </c>
    </row>
    <row r="472" spans="1:13">
      <c r="A472">
        <v>471</v>
      </c>
      <c r="B472">
        <v>1224</v>
      </c>
      <c r="C472">
        <v>7</v>
      </c>
      <c r="D472">
        <v>2</v>
      </c>
      <c r="E472">
        <v>65</v>
      </c>
      <c r="F472">
        <f t="shared" si="21"/>
        <v>130</v>
      </c>
      <c r="G472" t="str">
        <f>VLOOKUP(B472,Orders!$A$2:$D$1201,4,FALSE)</f>
        <v>Delivered</v>
      </c>
      <c r="H472">
        <f t="shared" si="22"/>
        <v>130</v>
      </c>
      <c r="I472" s="12">
        <f>VLOOKUP(B472,Orders!$A$2:$D$1201,3,FALSE)</f>
        <v>46025</v>
      </c>
      <c r="L472" t="str">
        <f>VLOOKUP(C472,Products!$A$2:$D$13,2,FALSE)</f>
        <v>Headphones</v>
      </c>
      <c r="M472" t="str">
        <f t="shared" si="23"/>
        <v>2026-01</v>
      </c>
    </row>
    <row r="473" spans="1:13">
      <c r="A473">
        <v>472</v>
      </c>
      <c r="B473">
        <v>1225</v>
      </c>
      <c r="C473">
        <v>7</v>
      </c>
      <c r="D473">
        <v>2</v>
      </c>
      <c r="E473">
        <v>65</v>
      </c>
      <c r="F473">
        <f t="shared" si="21"/>
        <v>130</v>
      </c>
      <c r="G473" t="str">
        <f>VLOOKUP(B473,Orders!$A$2:$D$1201,4,FALSE)</f>
        <v>Delivered</v>
      </c>
      <c r="H473">
        <f t="shared" si="22"/>
        <v>130</v>
      </c>
      <c r="I473" s="12">
        <f>VLOOKUP(B473,Orders!$A$2:$D$1201,3,FALSE)</f>
        <v>46049</v>
      </c>
      <c r="L473" t="str">
        <f>VLOOKUP(C473,Products!$A$2:$D$13,2,FALSE)</f>
        <v>Headphones</v>
      </c>
      <c r="M473" t="str">
        <f t="shared" si="23"/>
        <v>2026-01</v>
      </c>
    </row>
    <row r="474" spans="1:13">
      <c r="A474">
        <v>473</v>
      </c>
      <c r="B474">
        <v>1226</v>
      </c>
      <c r="C474">
        <v>6</v>
      </c>
      <c r="D474">
        <v>2</v>
      </c>
      <c r="E474">
        <v>140</v>
      </c>
      <c r="F474">
        <f t="shared" si="21"/>
        <v>280</v>
      </c>
      <c r="G474" t="str">
        <f>VLOOKUP(B474,Orders!$A$2:$D$1201,4,FALSE)</f>
        <v>Delivered</v>
      </c>
      <c r="H474">
        <f t="shared" si="22"/>
        <v>280</v>
      </c>
      <c r="I474" s="12">
        <f>VLOOKUP(B474,Orders!$A$2:$D$1201,3,FALSE)</f>
        <v>46025</v>
      </c>
      <c r="L474" t="str">
        <f>VLOOKUP(C474,Products!$A$2:$D$13,2,FALSE)</f>
        <v>Chair</v>
      </c>
      <c r="M474" t="str">
        <f t="shared" si="23"/>
        <v>2026-01</v>
      </c>
    </row>
    <row r="475" spans="1:13">
      <c r="A475">
        <v>474</v>
      </c>
      <c r="B475">
        <v>1226</v>
      </c>
      <c r="C475">
        <v>4</v>
      </c>
      <c r="D475">
        <v>4</v>
      </c>
      <c r="E475">
        <v>25</v>
      </c>
      <c r="F475">
        <f t="shared" si="21"/>
        <v>100</v>
      </c>
      <c r="G475" t="str">
        <f>VLOOKUP(B475,Orders!$A$2:$D$1201,4,FALSE)</f>
        <v>Delivered</v>
      </c>
      <c r="H475">
        <f t="shared" si="22"/>
        <v>100</v>
      </c>
      <c r="I475" s="12">
        <f>VLOOKUP(B475,Orders!$A$2:$D$1201,3,FALSE)</f>
        <v>46025</v>
      </c>
      <c r="L475" t="str">
        <f>VLOOKUP(C475,Products!$A$2:$D$13,2,FALSE)</f>
        <v>Mouse</v>
      </c>
      <c r="M475" t="str">
        <f t="shared" si="23"/>
        <v>2026-01</v>
      </c>
    </row>
    <row r="476" spans="1:13">
      <c r="A476">
        <v>475</v>
      </c>
      <c r="B476">
        <v>1227</v>
      </c>
      <c r="C476">
        <v>7</v>
      </c>
      <c r="D476">
        <v>2</v>
      </c>
      <c r="E476">
        <v>65</v>
      </c>
      <c r="F476">
        <f t="shared" si="21"/>
        <v>130</v>
      </c>
      <c r="G476" t="str">
        <f>VLOOKUP(B476,Orders!$A$2:$D$1201,4,FALSE)</f>
        <v>Delivered</v>
      </c>
      <c r="H476">
        <f t="shared" si="22"/>
        <v>130</v>
      </c>
      <c r="I476" s="12">
        <f>VLOOKUP(B476,Orders!$A$2:$D$1201,3,FALSE)</f>
        <v>46058</v>
      </c>
      <c r="L476" t="str">
        <f>VLOOKUP(C476,Products!$A$2:$D$13,2,FALSE)</f>
        <v>Headphones</v>
      </c>
      <c r="M476" t="str">
        <f t="shared" si="23"/>
        <v>2026-02</v>
      </c>
    </row>
    <row r="477" spans="1:13">
      <c r="A477">
        <v>476</v>
      </c>
      <c r="B477">
        <v>1227</v>
      </c>
      <c r="C477">
        <v>6</v>
      </c>
      <c r="D477">
        <v>2</v>
      </c>
      <c r="E477">
        <v>140</v>
      </c>
      <c r="F477">
        <f t="shared" si="21"/>
        <v>280</v>
      </c>
      <c r="G477" t="str">
        <f>VLOOKUP(B477,Orders!$A$2:$D$1201,4,FALSE)</f>
        <v>Delivered</v>
      </c>
      <c r="H477">
        <f t="shared" si="22"/>
        <v>280</v>
      </c>
      <c r="I477" s="12">
        <f>VLOOKUP(B477,Orders!$A$2:$D$1201,3,FALSE)</f>
        <v>46058</v>
      </c>
      <c r="L477" t="str">
        <f>VLOOKUP(C477,Products!$A$2:$D$13,2,FALSE)</f>
        <v>Chair</v>
      </c>
      <c r="M477" t="str">
        <f t="shared" si="23"/>
        <v>2026-02</v>
      </c>
    </row>
    <row r="478" spans="1:13">
      <c r="A478">
        <v>477</v>
      </c>
      <c r="B478">
        <v>1228</v>
      </c>
      <c r="C478">
        <v>5</v>
      </c>
      <c r="D478">
        <v>2</v>
      </c>
      <c r="E478">
        <v>180</v>
      </c>
      <c r="F478">
        <f t="shared" si="21"/>
        <v>360</v>
      </c>
      <c r="G478" t="str">
        <f>VLOOKUP(B478,Orders!$A$2:$D$1201,4,FALSE)</f>
        <v>Delivered</v>
      </c>
      <c r="H478">
        <f t="shared" si="22"/>
        <v>360</v>
      </c>
      <c r="I478" s="12">
        <f>VLOOKUP(B478,Orders!$A$2:$D$1201,3,FALSE)</f>
        <v>46178</v>
      </c>
      <c r="L478" t="str">
        <f>VLOOKUP(C478,Products!$A$2:$D$13,2,FALSE)</f>
        <v>Desk</v>
      </c>
      <c r="M478" t="str">
        <f t="shared" si="23"/>
        <v>2026-06</v>
      </c>
    </row>
    <row r="479" spans="1:13">
      <c r="A479">
        <v>478</v>
      </c>
      <c r="B479">
        <v>1228</v>
      </c>
      <c r="C479">
        <v>4</v>
      </c>
      <c r="D479">
        <v>4</v>
      </c>
      <c r="E479">
        <v>25</v>
      </c>
      <c r="F479">
        <f t="shared" si="21"/>
        <v>100</v>
      </c>
      <c r="G479" t="str">
        <f>VLOOKUP(B479,Orders!$A$2:$D$1201,4,FALSE)</f>
        <v>Delivered</v>
      </c>
      <c r="H479">
        <f t="shared" si="22"/>
        <v>100</v>
      </c>
      <c r="I479" s="12">
        <f>VLOOKUP(B479,Orders!$A$2:$D$1201,3,FALSE)</f>
        <v>46178</v>
      </c>
      <c r="L479" t="str">
        <f>VLOOKUP(C479,Products!$A$2:$D$13,2,FALSE)</f>
        <v>Mouse</v>
      </c>
      <c r="M479" t="str">
        <f t="shared" si="23"/>
        <v>2026-06</v>
      </c>
    </row>
    <row r="480" spans="1:13">
      <c r="A480">
        <v>479</v>
      </c>
      <c r="B480">
        <v>1228</v>
      </c>
      <c r="C480">
        <v>9</v>
      </c>
      <c r="D480">
        <v>3</v>
      </c>
      <c r="E480">
        <v>30</v>
      </c>
      <c r="F480">
        <f t="shared" si="21"/>
        <v>90</v>
      </c>
      <c r="G480" t="str">
        <f>VLOOKUP(B480,Orders!$A$2:$D$1201,4,FALSE)</f>
        <v>Delivered</v>
      </c>
      <c r="H480">
        <f t="shared" si="22"/>
        <v>90</v>
      </c>
      <c r="I480" s="12">
        <f>VLOOKUP(B480,Orders!$A$2:$D$1201,3,FALSE)</f>
        <v>46178</v>
      </c>
      <c r="L480" t="str">
        <f>VLOOKUP(C480,Products!$A$2:$D$13,2,FALSE)</f>
        <v>Lamp</v>
      </c>
      <c r="M480" t="str">
        <f t="shared" si="23"/>
        <v>2026-06</v>
      </c>
    </row>
    <row r="481" spans="1:13">
      <c r="A481">
        <v>480</v>
      </c>
      <c r="B481">
        <v>1229</v>
      </c>
      <c r="C481">
        <v>11</v>
      </c>
      <c r="D481">
        <v>1</v>
      </c>
      <c r="E481">
        <v>48</v>
      </c>
      <c r="F481">
        <f t="shared" si="21"/>
        <v>48</v>
      </c>
      <c r="G481" t="str">
        <f>VLOOKUP(B481,Orders!$A$2:$D$1201,4,FALSE)</f>
        <v>Delivered</v>
      </c>
      <c r="H481">
        <f t="shared" si="22"/>
        <v>48</v>
      </c>
      <c r="I481" s="12">
        <f>VLOOKUP(B481,Orders!$A$2:$D$1201,3,FALSE)</f>
        <v>46149</v>
      </c>
      <c r="L481" t="str">
        <f>VLOOKUP(C481,Products!$A$2:$D$13,2,FALSE)</f>
        <v>Backpack</v>
      </c>
      <c r="M481" t="str">
        <f t="shared" si="23"/>
        <v>2026-05</v>
      </c>
    </row>
    <row r="482" spans="1:13">
      <c r="A482">
        <v>481</v>
      </c>
      <c r="B482">
        <v>1229</v>
      </c>
      <c r="C482">
        <v>10</v>
      </c>
      <c r="D482">
        <v>1</v>
      </c>
      <c r="E482">
        <v>8</v>
      </c>
      <c r="F482">
        <f t="shared" si="21"/>
        <v>8</v>
      </c>
      <c r="G482" t="str">
        <f>VLOOKUP(B482,Orders!$A$2:$D$1201,4,FALSE)</f>
        <v>Delivered</v>
      </c>
      <c r="H482">
        <f t="shared" si="22"/>
        <v>8</v>
      </c>
      <c r="I482" s="12">
        <f>VLOOKUP(B482,Orders!$A$2:$D$1201,3,FALSE)</f>
        <v>46149</v>
      </c>
      <c r="L482" t="str">
        <f>VLOOKUP(C482,Products!$A$2:$D$13,2,FALSE)</f>
        <v>Notebook</v>
      </c>
      <c r="M482" t="str">
        <f t="shared" si="23"/>
        <v>2026-05</v>
      </c>
    </row>
    <row r="483" spans="1:13">
      <c r="A483">
        <v>482</v>
      </c>
      <c r="B483">
        <v>1230</v>
      </c>
      <c r="C483">
        <v>2</v>
      </c>
      <c r="D483">
        <v>1</v>
      </c>
      <c r="E483">
        <v>220</v>
      </c>
      <c r="F483">
        <f t="shared" si="21"/>
        <v>220</v>
      </c>
      <c r="G483" t="str">
        <f>VLOOKUP(B483,Orders!$A$2:$D$1201,4,FALSE)</f>
        <v>Delivered</v>
      </c>
      <c r="H483">
        <f t="shared" si="22"/>
        <v>220</v>
      </c>
      <c r="I483" s="12">
        <f>VLOOKUP(B483,Orders!$A$2:$D$1201,3,FALSE)</f>
        <v>46130</v>
      </c>
      <c r="L483" t="str">
        <f>VLOOKUP(C483,Products!$A$2:$D$13,2,FALSE)</f>
        <v>Monitor</v>
      </c>
      <c r="M483" t="str">
        <f t="shared" si="23"/>
        <v>2026-04</v>
      </c>
    </row>
    <row r="484" spans="1:13">
      <c r="A484">
        <v>483</v>
      </c>
      <c r="B484">
        <v>1230</v>
      </c>
      <c r="C484">
        <v>1</v>
      </c>
      <c r="D484">
        <v>1</v>
      </c>
      <c r="E484">
        <v>750</v>
      </c>
      <c r="F484">
        <f t="shared" si="21"/>
        <v>750</v>
      </c>
      <c r="G484" t="str">
        <f>VLOOKUP(B484,Orders!$A$2:$D$1201,4,FALSE)</f>
        <v>Delivered</v>
      </c>
      <c r="H484">
        <f t="shared" si="22"/>
        <v>750</v>
      </c>
      <c r="I484" s="12">
        <f>VLOOKUP(B484,Orders!$A$2:$D$1201,3,FALSE)</f>
        <v>46130</v>
      </c>
      <c r="L484" t="str">
        <f>VLOOKUP(C484,Products!$A$2:$D$13,2,FALSE)</f>
        <v>Laptop</v>
      </c>
      <c r="M484" t="str">
        <f t="shared" si="23"/>
        <v>2026-04</v>
      </c>
    </row>
    <row r="485" spans="1:13">
      <c r="A485">
        <v>484</v>
      </c>
      <c r="B485">
        <v>1231</v>
      </c>
      <c r="C485">
        <v>7</v>
      </c>
      <c r="D485">
        <v>1</v>
      </c>
      <c r="E485">
        <v>65</v>
      </c>
      <c r="F485">
        <f t="shared" si="21"/>
        <v>65</v>
      </c>
      <c r="G485" t="str">
        <f>VLOOKUP(B485,Orders!$A$2:$D$1201,4,FALSE)</f>
        <v>Delivered</v>
      </c>
      <c r="H485">
        <f t="shared" si="22"/>
        <v>65</v>
      </c>
      <c r="I485" s="12">
        <f>VLOOKUP(B485,Orders!$A$2:$D$1201,3,FALSE)</f>
        <v>46152</v>
      </c>
      <c r="L485" t="str">
        <f>VLOOKUP(C485,Products!$A$2:$D$13,2,FALSE)</f>
        <v>Headphones</v>
      </c>
      <c r="M485" t="str">
        <f t="shared" si="23"/>
        <v>2026-05</v>
      </c>
    </row>
    <row r="486" spans="1:13">
      <c r="A486">
        <v>485</v>
      </c>
      <c r="B486">
        <v>1231</v>
      </c>
      <c r="C486">
        <v>12</v>
      </c>
      <c r="D486">
        <v>2</v>
      </c>
      <c r="E486">
        <v>22</v>
      </c>
      <c r="F486">
        <f t="shared" si="21"/>
        <v>44</v>
      </c>
      <c r="G486" t="str">
        <f>VLOOKUP(B486,Orders!$A$2:$D$1201,4,FALSE)</f>
        <v>Delivered</v>
      </c>
      <c r="H486">
        <f t="shared" si="22"/>
        <v>44</v>
      </c>
      <c r="I486" s="12">
        <f>VLOOKUP(B486,Orders!$A$2:$D$1201,3,FALSE)</f>
        <v>46152</v>
      </c>
      <c r="L486" t="str">
        <f>VLOOKUP(C486,Products!$A$2:$D$13,2,FALSE)</f>
        <v>Storage Box</v>
      </c>
      <c r="M486" t="str">
        <f t="shared" si="23"/>
        <v>2026-05</v>
      </c>
    </row>
    <row r="487" spans="1:13">
      <c r="A487">
        <v>486</v>
      </c>
      <c r="B487">
        <v>1232</v>
      </c>
      <c r="C487">
        <v>11</v>
      </c>
      <c r="D487">
        <v>3</v>
      </c>
      <c r="E487">
        <v>48</v>
      </c>
      <c r="F487">
        <f t="shared" si="21"/>
        <v>144</v>
      </c>
      <c r="G487" t="str">
        <f>VLOOKUP(B487,Orders!$A$2:$D$1201,4,FALSE)</f>
        <v>Delivered</v>
      </c>
      <c r="H487">
        <f t="shared" si="22"/>
        <v>144</v>
      </c>
      <c r="I487" s="12">
        <f>VLOOKUP(B487,Orders!$A$2:$D$1201,3,FALSE)</f>
        <v>46062</v>
      </c>
      <c r="L487" t="str">
        <f>VLOOKUP(C487,Products!$A$2:$D$13,2,FALSE)</f>
        <v>Backpack</v>
      </c>
      <c r="M487" t="str">
        <f t="shared" si="23"/>
        <v>2026-02</v>
      </c>
    </row>
    <row r="488" spans="1:13">
      <c r="A488">
        <v>487</v>
      </c>
      <c r="B488">
        <v>1232</v>
      </c>
      <c r="C488">
        <v>12</v>
      </c>
      <c r="D488">
        <v>4</v>
      </c>
      <c r="E488">
        <v>22</v>
      </c>
      <c r="F488">
        <f t="shared" si="21"/>
        <v>88</v>
      </c>
      <c r="G488" t="str">
        <f>VLOOKUP(B488,Orders!$A$2:$D$1201,4,FALSE)</f>
        <v>Delivered</v>
      </c>
      <c r="H488">
        <f t="shared" si="22"/>
        <v>88</v>
      </c>
      <c r="I488" s="12">
        <f>VLOOKUP(B488,Orders!$A$2:$D$1201,3,FALSE)</f>
        <v>46062</v>
      </c>
      <c r="L488" t="str">
        <f>VLOOKUP(C488,Products!$A$2:$D$13,2,FALSE)</f>
        <v>Storage Box</v>
      </c>
      <c r="M488" t="str">
        <f t="shared" si="23"/>
        <v>2026-02</v>
      </c>
    </row>
    <row r="489" spans="1:13">
      <c r="A489">
        <v>488</v>
      </c>
      <c r="B489">
        <v>1232</v>
      </c>
      <c r="C489">
        <v>2</v>
      </c>
      <c r="D489">
        <v>2</v>
      </c>
      <c r="E489">
        <v>220</v>
      </c>
      <c r="F489">
        <f t="shared" si="21"/>
        <v>440</v>
      </c>
      <c r="G489" t="str">
        <f>VLOOKUP(B489,Orders!$A$2:$D$1201,4,FALSE)</f>
        <v>Delivered</v>
      </c>
      <c r="H489">
        <f t="shared" si="22"/>
        <v>440</v>
      </c>
      <c r="I489" s="12">
        <f>VLOOKUP(B489,Orders!$A$2:$D$1201,3,FALSE)</f>
        <v>46062</v>
      </c>
      <c r="L489" t="str">
        <f>VLOOKUP(C489,Products!$A$2:$D$13,2,FALSE)</f>
        <v>Monitor</v>
      </c>
      <c r="M489" t="str">
        <f t="shared" si="23"/>
        <v>2026-02</v>
      </c>
    </row>
    <row r="490" spans="1:13">
      <c r="A490">
        <v>489</v>
      </c>
      <c r="B490">
        <v>1233</v>
      </c>
      <c r="C490">
        <v>12</v>
      </c>
      <c r="D490">
        <v>1</v>
      </c>
      <c r="E490">
        <v>22</v>
      </c>
      <c r="F490">
        <f t="shared" si="21"/>
        <v>22</v>
      </c>
      <c r="G490" t="str">
        <f>VLOOKUP(B490,Orders!$A$2:$D$1201,4,FALSE)</f>
        <v>Delivered</v>
      </c>
      <c r="H490">
        <f t="shared" si="22"/>
        <v>22</v>
      </c>
      <c r="I490" s="12">
        <f>VLOOKUP(B490,Orders!$A$2:$D$1201,3,FALSE)</f>
        <v>46179</v>
      </c>
      <c r="L490" t="str">
        <f>VLOOKUP(C490,Products!$A$2:$D$13,2,FALSE)</f>
        <v>Storage Box</v>
      </c>
      <c r="M490" t="str">
        <f t="shared" si="23"/>
        <v>2026-06</v>
      </c>
    </row>
    <row r="491" spans="1:13">
      <c r="A491">
        <v>490</v>
      </c>
      <c r="B491">
        <v>1233</v>
      </c>
      <c r="C491">
        <v>11</v>
      </c>
      <c r="D491">
        <v>1</v>
      </c>
      <c r="E491">
        <v>48</v>
      </c>
      <c r="F491">
        <f t="shared" si="21"/>
        <v>48</v>
      </c>
      <c r="G491" t="str">
        <f>VLOOKUP(B491,Orders!$A$2:$D$1201,4,FALSE)</f>
        <v>Delivered</v>
      </c>
      <c r="H491">
        <f t="shared" si="22"/>
        <v>48</v>
      </c>
      <c r="I491" s="12">
        <f>VLOOKUP(B491,Orders!$A$2:$D$1201,3,FALSE)</f>
        <v>46179</v>
      </c>
      <c r="L491" t="str">
        <f>VLOOKUP(C491,Products!$A$2:$D$13,2,FALSE)</f>
        <v>Backpack</v>
      </c>
      <c r="M491" t="str">
        <f t="shared" si="23"/>
        <v>2026-06</v>
      </c>
    </row>
    <row r="492" spans="1:13">
      <c r="A492">
        <v>491</v>
      </c>
      <c r="B492">
        <v>1233</v>
      </c>
      <c r="C492">
        <v>3</v>
      </c>
      <c r="D492">
        <v>2</v>
      </c>
      <c r="E492">
        <v>45</v>
      </c>
      <c r="F492">
        <f t="shared" si="21"/>
        <v>90</v>
      </c>
      <c r="G492" t="str">
        <f>VLOOKUP(B492,Orders!$A$2:$D$1201,4,FALSE)</f>
        <v>Delivered</v>
      </c>
      <c r="H492">
        <f t="shared" si="22"/>
        <v>90</v>
      </c>
      <c r="I492" s="12">
        <f>VLOOKUP(B492,Orders!$A$2:$D$1201,3,FALSE)</f>
        <v>46179</v>
      </c>
      <c r="L492" t="str">
        <f>VLOOKUP(C492,Products!$A$2:$D$13,2,FALSE)</f>
        <v>Keyboard</v>
      </c>
      <c r="M492" t="str">
        <f t="shared" si="23"/>
        <v>2026-06</v>
      </c>
    </row>
    <row r="493" spans="1:13">
      <c r="A493">
        <v>492</v>
      </c>
      <c r="B493">
        <v>1234</v>
      </c>
      <c r="C493">
        <v>6</v>
      </c>
      <c r="D493">
        <v>2</v>
      </c>
      <c r="E493">
        <v>140</v>
      </c>
      <c r="F493">
        <f t="shared" si="21"/>
        <v>280</v>
      </c>
      <c r="G493" t="str">
        <f>VLOOKUP(B493,Orders!$A$2:$D$1201,4,FALSE)</f>
        <v>Delivered</v>
      </c>
      <c r="H493">
        <f t="shared" si="22"/>
        <v>280</v>
      </c>
      <c r="I493" s="12">
        <f>VLOOKUP(B493,Orders!$A$2:$D$1201,3,FALSE)</f>
        <v>46155</v>
      </c>
      <c r="L493" t="str">
        <f>VLOOKUP(C493,Products!$A$2:$D$13,2,FALSE)</f>
        <v>Chair</v>
      </c>
      <c r="M493" t="str">
        <f t="shared" si="23"/>
        <v>2026-05</v>
      </c>
    </row>
    <row r="494" spans="1:13">
      <c r="A494">
        <v>493</v>
      </c>
      <c r="B494">
        <v>1235</v>
      </c>
      <c r="C494">
        <v>9</v>
      </c>
      <c r="D494">
        <v>3</v>
      </c>
      <c r="E494">
        <v>30</v>
      </c>
      <c r="F494">
        <f t="shared" si="21"/>
        <v>90</v>
      </c>
      <c r="G494" t="str">
        <f>VLOOKUP(B494,Orders!$A$2:$D$1201,4,FALSE)</f>
        <v>Delivered</v>
      </c>
      <c r="H494">
        <f t="shared" si="22"/>
        <v>90</v>
      </c>
      <c r="I494" s="12">
        <f>VLOOKUP(B494,Orders!$A$2:$D$1201,3,FALSE)</f>
        <v>46030</v>
      </c>
      <c r="L494" t="str">
        <f>VLOOKUP(C494,Products!$A$2:$D$13,2,FALSE)</f>
        <v>Lamp</v>
      </c>
      <c r="M494" t="str">
        <f t="shared" si="23"/>
        <v>2026-01</v>
      </c>
    </row>
    <row r="495" spans="1:13">
      <c r="A495">
        <v>494</v>
      </c>
      <c r="B495">
        <v>1235</v>
      </c>
      <c r="C495">
        <v>2</v>
      </c>
      <c r="D495">
        <v>1</v>
      </c>
      <c r="E495">
        <v>220</v>
      </c>
      <c r="F495">
        <f t="shared" si="21"/>
        <v>220</v>
      </c>
      <c r="G495" t="str">
        <f>VLOOKUP(B495,Orders!$A$2:$D$1201,4,FALSE)</f>
        <v>Delivered</v>
      </c>
      <c r="H495">
        <f t="shared" si="22"/>
        <v>220</v>
      </c>
      <c r="I495" s="12">
        <f>VLOOKUP(B495,Orders!$A$2:$D$1201,3,FALSE)</f>
        <v>46030</v>
      </c>
      <c r="L495" t="str">
        <f>VLOOKUP(C495,Products!$A$2:$D$13,2,FALSE)</f>
        <v>Monitor</v>
      </c>
      <c r="M495" t="str">
        <f t="shared" si="23"/>
        <v>2026-01</v>
      </c>
    </row>
    <row r="496" spans="1:13">
      <c r="A496">
        <v>495</v>
      </c>
      <c r="B496">
        <v>1236</v>
      </c>
      <c r="C496">
        <v>10</v>
      </c>
      <c r="D496">
        <v>1</v>
      </c>
      <c r="E496">
        <v>8</v>
      </c>
      <c r="F496">
        <f t="shared" si="21"/>
        <v>8</v>
      </c>
      <c r="G496" t="str">
        <f>VLOOKUP(B496,Orders!$A$2:$D$1201,4,FALSE)</f>
        <v>Delivered</v>
      </c>
      <c r="H496">
        <f t="shared" si="22"/>
        <v>8</v>
      </c>
      <c r="I496" s="12">
        <f>VLOOKUP(B496,Orders!$A$2:$D$1201,3,FALSE)</f>
        <v>46065</v>
      </c>
      <c r="L496" t="str">
        <f>VLOOKUP(C496,Products!$A$2:$D$13,2,FALSE)</f>
        <v>Notebook</v>
      </c>
      <c r="M496" t="str">
        <f t="shared" si="23"/>
        <v>2026-02</v>
      </c>
    </row>
    <row r="497" spans="1:13">
      <c r="A497">
        <v>496</v>
      </c>
      <c r="B497">
        <v>1237</v>
      </c>
      <c r="C497">
        <v>3</v>
      </c>
      <c r="D497">
        <v>1</v>
      </c>
      <c r="E497">
        <v>45</v>
      </c>
      <c r="F497">
        <f t="shared" si="21"/>
        <v>45</v>
      </c>
      <c r="G497" t="str">
        <f>VLOOKUP(B497,Orders!$A$2:$D$1201,4,FALSE)</f>
        <v>Delivered</v>
      </c>
      <c r="H497">
        <f t="shared" si="22"/>
        <v>45</v>
      </c>
      <c r="I497" s="12">
        <f>VLOOKUP(B497,Orders!$A$2:$D$1201,3,FALSE)</f>
        <v>46085</v>
      </c>
      <c r="L497" t="str">
        <f>VLOOKUP(C497,Products!$A$2:$D$13,2,FALSE)</f>
        <v>Keyboard</v>
      </c>
      <c r="M497" t="str">
        <f t="shared" si="23"/>
        <v>2026-03</v>
      </c>
    </row>
    <row r="498" spans="1:13">
      <c r="A498">
        <v>497</v>
      </c>
      <c r="B498">
        <v>1237</v>
      </c>
      <c r="C498">
        <v>12</v>
      </c>
      <c r="D498">
        <v>4</v>
      </c>
      <c r="E498">
        <v>22</v>
      </c>
      <c r="F498">
        <f t="shared" si="21"/>
        <v>88</v>
      </c>
      <c r="G498" t="str">
        <f>VLOOKUP(B498,Orders!$A$2:$D$1201,4,FALSE)</f>
        <v>Delivered</v>
      </c>
      <c r="H498">
        <f t="shared" si="22"/>
        <v>88</v>
      </c>
      <c r="I498" s="12">
        <f>VLOOKUP(B498,Orders!$A$2:$D$1201,3,FALSE)</f>
        <v>46085</v>
      </c>
      <c r="L498" t="str">
        <f>VLOOKUP(C498,Products!$A$2:$D$13,2,FALSE)</f>
        <v>Storage Box</v>
      </c>
      <c r="M498" t="str">
        <f t="shared" si="23"/>
        <v>2026-03</v>
      </c>
    </row>
    <row r="499" spans="1:13">
      <c r="A499">
        <v>498</v>
      </c>
      <c r="B499">
        <v>1238</v>
      </c>
      <c r="C499">
        <v>2</v>
      </c>
      <c r="D499">
        <v>1</v>
      </c>
      <c r="E499">
        <v>220</v>
      </c>
      <c r="F499">
        <f t="shared" si="21"/>
        <v>220</v>
      </c>
      <c r="G499" t="str">
        <f>VLOOKUP(B499,Orders!$A$2:$D$1201,4,FALSE)</f>
        <v>Delivered</v>
      </c>
      <c r="H499">
        <f t="shared" si="22"/>
        <v>220</v>
      </c>
      <c r="I499" s="12">
        <f>VLOOKUP(B499,Orders!$A$2:$D$1201,3,FALSE)</f>
        <v>46092</v>
      </c>
      <c r="L499" t="str">
        <f>VLOOKUP(C499,Products!$A$2:$D$13,2,FALSE)</f>
        <v>Monitor</v>
      </c>
      <c r="M499" t="str">
        <f t="shared" si="23"/>
        <v>2026-03</v>
      </c>
    </row>
    <row r="500" spans="1:13">
      <c r="A500">
        <v>499</v>
      </c>
      <c r="B500">
        <v>1238</v>
      </c>
      <c r="C500">
        <v>9</v>
      </c>
      <c r="D500">
        <v>2</v>
      </c>
      <c r="E500">
        <v>30</v>
      </c>
      <c r="F500">
        <f t="shared" si="21"/>
        <v>60</v>
      </c>
      <c r="G500" t="str">
        <f>VLOOKUP(B500,Orders!$A$2:$D$1201,4,FALSE)</f>
        <v>Delivered</v>
      </c>
      <c r="H500">
        <f t="shared" si="22"/>
        <v>60</v>
      </c>
      <c r="I500" s="12">
        <f>VLOOKUP(B500,Orders!$A$2:$D$1201,3,FALSE)</f>
        <v>46092</v>
      </c>
      <c r="L500" t="str">
        <f>VLOOKUP(C500,Products!$A$2:$D$13,2,FALSE)</f>
        <v>Lamp</v>
      </c>
      <c r="M500" t="str">
        <f t="shared" si="23"/>
        <v>2026-03</v>
      </c>
    </row>
    <row r="501" spans="1:13">
      <c r="A501">
        <v>500</v>
      </c>
      <c r="B501">
        <v>1239</v>
      </c>
      <c r="C501">
        <v>6</v>
      </c>
      <c r="D501">
        <v>4</v>
      </c>
      <c r="E501">
        <v>140</v>
      </c>
      <c r="F501">
        <f t="shared" si="21"/>
        <v>560</v>
      </c>
      <c r="G501" t="str">
        <f>VLOOKUP(B501,Orders!$A$2:$D$1201,4,FALSE)</f>
        <v>Cancelled</v>
      </c>
      <c r="H501">
        <f t="shared" si="22"/>
        <v>0</v>
      </c>
      <c r="I501" s="12">
        <f>VLOOKUP(B501,Orders!$A$2:$D$1201,3,FALSE)</f>
        <v>46040</v>
      </c>
      <c r="L501" t="str">
        <f>VLOOKUP(C501,Products!$A$2:$D$13,2,FALSE)</f>
        <v>Chair</v>
      </c>
      <c r="M501" t="str">
        <f t="shared" si="23"/>
        <v>2026-01</v>
      </c>
    </row>
    <row r="502" spans="1:13">
      <c r="A502">
        <v>501</v>
      </c>
      <c r="B502">
        <v>1239</v>
      </c>
      <c r="C502">
        <v>2</v>
      </c>
      <c r="D502">
        <v>1</v>
      </c>
      <c r="E502">
        <v>220</v>
      </c>
      <c r="F502">
        <f t="shared" si="21"/>
        <v>220</v>
      </c>
      <c r="G502" t="str">
        <f>VLOOKUP(B502,Orders!$A$2:$D$1201,4,FALSE)</f>
        <v>Cancelled</v>
      </c>
      <c r="H502">
        <f t="shared" si="22"/>
        <v>0</v>
      </c>
      <c r="I502" s="12">
        <f>VLOOKUP(B502,Orders!$A$2:$D$1201,3,FALSE)</f>
        <v>46040</v>
      </c>
      <c r="L502" t="str">
        <f>VLOOKUP(C502,Products!$A$2:$D$13,2,FALSE)</f>
        <v>Monitor</v>
      </c>
      <c r="M502" t="str">
        <f t="shared" si="23"/>
        <v>2026-01</v>
      </c>
    </row>
    <row r="503" spans="1:13">
      <c r="A503">
        <v>502</v>
      </c>
      <c r="B503">
        <v>1240</v>
      </c>
      <c r="C503">
        <v>12</v>
      </c>
      <c r="D503">
        <v>2</v>
      </c>
      <c r="E503">
        <v>22</v>
      </c>
      <c r="F503">
        <f t="shared" si="21"/>
        <v>44</v>
      </c>
      <c r="G503" t="str">
        <f>VLOOKUP(B503,Orders!$A$2:$D$1201,4,FALSE)</f>
        <v>Delivered</v>
      </c>
      <c r="H503">
        <f t="shared" si="22"/>
        <v>44</v>
      </c>
      <c r="I503" s="12">
        <f>VLOOKUP(B503,Orders!$A$2:$D$1201,3,FALSE)</f>
        <v>46117</v>
      </c>
      <c r="L503" t="str">
        <f>VLOOKUP(C503,Products!$A$2:$D$13,2,FALSE)</f>
        <v>Storage Box</v>
      </c>
      <c r="M503" t="str">
        <f t="shared" si="23"/>
        <v>2026-04</v>
      </c>
    </row>
    <row r="504" spans="1:13">
      <c r="A504">
        <v>503</v>
      </c>
      <c r="B504">
        <v>1240</v>
      </c>
      <c r="C504">
        <v>10</v>
      </c>
      <c r="D504">
        <v>4</v>
      </c>
      <c r="E504">
        <v>8</v>
      </c>
      <c r="F504">
        <f t="shared" si="21"/>
        <v>32</v>
      </c>
      <c r="G504" t="str">
        <f>VLOOKUP(B504,Orders!$A$2:$D$1201,4,FALSE)</f>
        <v>Delivered</v>
      </c>
      <c r="H504">
        <f t="shared" si="22"/>
        <v>32</v>
      </c>
      <c r="I504" s="12">
        <f>VLOOKUP(B504,Orders!$A$2:$D$1201,3,FALSE)</f>
        <v>46117</v>
      </c>
      <c r="L504" t="str">
        <f>VLOOKUP(C504,Products!$A$2:$D$13,2,FALSE)</f>
        <v>Notebook</v>
      </c>
      <c r="M504" t="str">
        <f t="shared" si="23"/>
        <v>2026-04</v>
      </c>
    </row>
    <row r="505" spans="1:13">
      <c r="A505">
        <v>504</v>
      </c>
      <c r="B505">
        <v>1241</v>
      </c>
      <c r="C505">
        <v>1</v>
      </c>
      <c r="D505">
        <v>4</v>
      </c>
      <c r="E505">
        <v>750</v>
      </c>
      <c r="F505">
        <f t="shared" si="21"/>
        <v>3000</v>
      </c>
      <c r="G505" t="str">
        <f>VLOOKUP(B505,Orders!$A$2:$D$1201,4,FALSE)</f>
        <v>Delivered</v>
      </c>
      <c r="H505">
        <f t="shared" si="22"/>
        <v>3000</v>
      </c>
      <c r="I505" s="12">
        <f>VLOOKUP(B505,Orders!$A$2:$D$1201,3,FALSE)</f>
        <v>46162</v>
      </c>
      <c r="L505" t="str">
        <f>VLOOKUP(C505,Products!$A$2:$D$13,2,FALSE)</f>
        <v>Laptop</v>
      </c>
      <c r="M505" t="str">
        <f t="shared" si="23"/>
        <v>2026-05</v>
      </c>
    </row>
    <row r="506" spans="1:13">
      <c r="A506">
        <v>505</v>
      </c>
      <c r="B506">
        <v>1242</v>
      </c>
      <c r="C506">
        <v>7</v>
      </c>
      <c r="D506">
        <v>2</v>
      </c>
      <c r="E506">
        <v>65</v>
      </c>
      <c r="F506">
        <f t="shared" si="21"/>
        <v>130</v>
      </c>
      <c r="G506" t="str">
        <f>VLOOKUP(B506,Orders!$A$2:$D$1201,4,FALSE)</f>
        <v>Shipped</v>
      </c>
      <c r="H506">
        <f t="shared" si="22"/>
        <v>130</v>
      </c>
      <c r="I506" s="12">
        <f>VLOOKUP(B506,Orders!$A$2:$D$1201,3,FALSE)</f>
        <v>46025</v>
      </c>
      <c r="L506" t="str">
        <f>VLOOKUP(C506,Products!$A$2:$D$13,2,FALSE)</f>
        <v>Headphones</v>
      </c>
      <c r="M506" t="str">
        <f t="shared" si="23"/>
        <v>2026-01</v>
      </c>
    </row>
    <row r="507" spans="1:13">
      <c r="A507">
        <v>506</v>
      </c>
      <c r="B507">
        <v>1242</v>
      </c>
      <c r="C507">
        <v>5</v>
      </c>
      <c r="D507">
        <v>2</v>
      </c>
      <c r="E507">
        <v>180</v>
      </c>
      <c r="F507">
        <f t="shared" si="21"/>
        <v>360</v>
      </c>
      <c r="G507" t="str">
        <f>VLOOKUP(B507,Orders!$A$2:$D$1201,4,FALSE)</f>
        <v>Shipped</v>
      </c>
      <c r="H507">
        <f t="shared" si="22"/>
        <v>360</v>
      </c>
      <c r="I507" s="12">
        <f>VLOOKUP(B507,Orders!$A$2:$D$1201,3,FALSE)</f>
        <v>46025</v>
      </c>
      <c r="L507" t="str">
        <f>VLOOKUP(C507,Products!$A$2:$D$13,2,FALSE)</f>
        <v>Desk</v>
      </c>
      <c r="M507" t="str">
        <f t="shared" si="23"/>
        <v>2026-01</v>
      </c>
    </row>
    <row r="508" spans="1:13">
      <c r="A508">
        <v>507</v>
      </c>
      <c r="B508">
        <v>1242</v>
      </c>
      <c r="C508">
        <v>2</v>
      </c>
      <c r="D508">
        <v>4</v>
      </c>
      <c r="E508">
        <v>220</v>
      </c>
      <c r="F508">
        <f t="shared" si="21"/>
        <v>880</v>
      </c>
      <c r="G508" t="str">
        <f>VLOOKUP(B508,Orders!$A$2:$D$1201,4,FALSE)</f>
        <v>Shipped</v>
      </c>
      <c r="H508">
        <f t="shared" si="22"/>
        <v>880</v>
      </c>
      <c r="I508" s="12">
        <f>VLOOKUP(B508,Orders!$A$2:$D$1201,3,FALSE)</f>
        <v>46025</v>
      </c>
      <c r="L508" t="str">
        <f>VLOOKUP(C508,Products!$A$2:$D$13,2,FALSE)</f>
        <v>Monitor</v>
      </c>
      <c r="M508" t="str">
        <f t="shared" si="23"/>
        <v>2026-01</v>
      </c>
    </row>
    <row r="509" spans="1:13">
      <c r="A509">
        <v>508</v>
      </c>
      <c r="B509">
        <v>1243</v>
      </c>
      <c r="C509">
        <v>4</v>
      </c>
      <c r="D509">
        <v>4</v>
      </c>
      <c r="E509">
        <v>25</v>
      </c>
      <c r="F509">
        <f t="shared" si="21"/>
        <v>100</v>
      </c>
      <c r="G509" t="str">
        <f>VLOOKUP(B509,Orders!$A$2:$D$1201,4,FALSE)</f>
        <v>Delivered</v>
      </c>
      <c r="H509">
        <f t="shared" si="22"/>
        <v>100</v>
      </c>
      <c r="I509" s="12">
        <f>VLOOKUP(B509,Orders!$A$2:$D$1201,3,FALSE)</f>
        <v>46059</v>
      </c>
      <c r="L509" t="str">
        <f>VLOOKUP(C509,Products!$A$2:$D$13,2,FALSE)</f>
        <v>Mouse</v>
      </c>
      <c r="M509" t="str">
        <f t="shared" si="23"/>
        <v>2026-02</v>
      </c>
    </row>
    <row r="510" spans="1:13">
      <c r="A510">
        <v>509</v>
      </c>
      <c r="B510">
        <v>1244</v>
      </c>
      <c r="C510">
        <v>7</v>
      </c>
      <c r="D510">
        <v>1</v>
      </c>
      <c r="E510">
        <v>65</v>
      </c>
      <c r="F510">
        <f t="shared" si="21"/>
        <v>65</v>
      </c>
      <c r="G510" t="str">
        <f>VLOOKUP(B510,Orders!$A$2:$D$1201,4,FALSE)</f>
        <v>Delivered</v>
      </c>
      <c r="H510">
        <f t="shared" si="22"/>
        <v>65</v>
      </c>
      <c r="I510" s="12">
        <f>VLOOKUP(B510,Orders!$A$2:$D$1201,3,FALSE)</f>
        <v>46171</v>
      </c>
      <c r="L510" t="str">
        <f>VLOOKUP(C510,Products!$A$2:$D$13,2,FALSE)</f>
        <v>Headphones</v>
      </c>
      <c r="M510" t="str">
        <f t="shared" si="23"/>
        <v>2026-05</v>
      </c>
    </row>
    <row r="511" spans="1:13">
      <c r="A511">
        <v>510</v>
      </c>
      <c r="B511">
        <v>1244</v>
      </c>
      <c r="C511">
        <v>2</v>
      </c>
      <c r="D511">
        <v>4</v>
      </c>
      <c r="E511">
        <v>220</v>
      </c>
      <c r="F511">
        <f t="shared" si="21"/>
        <v>880</v>
      </c>
      <c r="G511" t="str">
        <f>VLOOKUP(B511,Orders!$A$2:$D$1201,4,FALSE)</f>
        <v>Delivered</v>
      </c>
      <c r="H511">
        <f t="shared" si="22"/>
        <v>880</v>
      </c>
      <c r="I511" s="12">
        <f>VLOOKUP(B511,Orders!$A$2:$D$1201,3,FALSE)</f>
        <v>46171</v>
      </c>
      <c r="L511" t="str">
        <f>VLOOKUP(C511,Products!$A$2:$D$13,2,FALSE)</f>
        <v>Monitor</v>
      </c>
      <c r="M511" t="str">
        <f t="shared" si="23"/>
        <v>2026-05</v>
      </c>
    </row>
    <row r="512" spans="1:13">
      <c r="A512">
        <v>511</v>
      </c>
      <c r="B512">
        <v>1244</v>
      </c>
      <c r="C512">
        <v>10</v>
      </c>
      <c r="D512">
        <v>2</v>
      </c>
      <c r="E512">
        <v>8</v>
      </c>
      <c r="F512">
        <f t="shared" si="21"/>
        <v>16</v>
      </c>
      <c r="G512" t="str">
        <f>VLOOKUP(B512,Orders!$A$2:$D$1201,4,FALSE)</f>
        <v>Delivered</v>
      </c>
      <c r="H512">
        <f t="shared" si="22"/>
        <v>16</v>
      </c>
      <c r="I512" s="12">
        <f>VLOOKUP(B512,Orders!$A$2:$D$1201,3,FALSE)</f>
        <v>46171</v>
      </c>
      <c r="L512" t="str">
        <f>VLOOKUP(C512,Products!$A$2:$D$13,2,FALSE)</f>
        <v>Notebook</v>
      </c>
      <c r="M512" t="str">
        <f t="shared" si="23"/>
        <v>2026-05</v>
      </c>
    </row>
    <row r="513" spans="1:13">
      <c r="A513">
        <v>512</v>
      </c>
      <c r="B513">
        <v>1245</v>
      </c>
      <c r="C513">
        <v>8</v>
      </c>
      <c r="D513">
        <v>2</v>
      </c>
      <c r="E513">
        <v>55</v>
      </c>
      <c r="F513">
        <f t="shared" si="21"/>
        <v>110</v>
      </c>
      <c r="G513" t="str">
        <f>VLOOKUP(B513,Orders!$A$2:$D$1201,4,FALSE)</f>
        <v>Delivered</v>
      </c>
      <c r="H513">
        <f t="shared" si="22"/>
        <v>110</v>
      </c>
      <c r="I513" s="12">
        <f>VLOOKUP(B513,Orders!$A$2:$D$1201,3,FALSE)</f>
        <v>46202</v>
      </c>
      <c r="L513" t="str">
        <f>VLOOKUP(C513,Products!$A$2:$D$13,2,FALSE)</f>
        <v>Webcam</v>
      </c>
      <c r="M513" t="str">
        <f t="shared" si="23"/>
        <v>2026-06</v>
      </c>
    </row>
    <row r="514" spans="1:13">
      <c r="A514">
        <v>513</v>
      </c>
      <c r="B514">
        <v>1245</v>
      </c>
      <c r="C514">
        <v>5</v>
      </c>
      <c r="D514">
        <v>1</v>
      </c>
      <c r="E514">
        <v>180</v>
      </c>
      <c r="F514">
        <f t="shared" si="21"/>
        <v>180</v>
      </c>
      <c r="G514" t="str">
        <f>VLOOKUP(B514,Orders!$A$2:$D$1201,4,FALSE)</f>
        <v>Delivered</v>
      </c>
      <c r="H514">
        <f t="shared" si="22"/>
        <v>180</v>
      </c>
      <c r="I514" s="12">
        <f>VLOOKUP(B514,Orders!$A$2:$D$1201,3,FALSE)</f>
        <v>46202</v>
      </c>
      <c r="L514" t="str">
        <f>VLOOKUP(C514,Products!$A$2:$D$13,2,FALSE)</f>
        <v>Desk</v>
      </c>
      <c r="M514" t="str">
        <f t="shared" si="23"/>
        <v>2026-06</v>
      </c>
    </row>
    <row r="515" spans="1:13">
      <c r="A515">
        <v>514</v>
      </c>
      <c r="B515">
        <v>1246</v>
      </c>
      <c r="C515">
        <v>6</v>
      </c>
      <c r="D515">
        <v>1</v>
      </c>
      <c r="E515">
        <v>140</v>
      </c>
      <c r="F515">
        <f t="shared" ref="F515:F578" si="24">D515*E515</f>
        <v>140</v>
      </c>
      <c r="G515" t="str">
        <f>VLOOKUP(B515,Orders!$A$2:$D$1201,4,FALSE)</f>
        <v>Delivered</v>
      </c>
      <c r="H515">
        <f t="shared" ref="H515:H578" si="25">IF(G515="Cancelled",0,F515)</f>
        <v>140</v>
      </c>
      <c r="I515" s="12">
        <f>VLOOKUP(B515,Orders!$A$2:$D$1201,3,FALSE)</f>
        <v>46062</v>
      </c>
      <c r="L515" t="str">
        <f>VLOOKUP(C515,Products!$A$2:$D$13,2,FALSE)</f>
        <v>Chair</v>
      </c>
      <c r="M515" t="str">
        <f t="shared" ref="M515:M578" si="26">TEXT(I515,"yyyy-mm")</f>
        <v>2026-02</v>
      </c>
    </row>
    <row r="516" spans="1:13">
      <c r="A516">
        <v>515</v>
      </c>
      <c r="B516">
        <v>1246</v>
      </c>
      <c r="C516">
        <v>7</v>
      </c>
      <c r="D516">
        <v>3</v>
      </c>
      <c r="E516">
        <v>65</v>
      </c>
      <c r="F516">
        <f t="shared" si="24"/>
        <v>195</v>
      </c>
      <c r="G516" t="str">
        <f>VLOOKUP(B516,Orders!$A$2:$D$1201,4,FALSE)</f>
        <v>Delivered</v>
      </c>
      <c r="H516">
        <f t="shared" si="25"/>
        <v>195</v>
      </c>
      <c r="I516" s="12">
        <f>VLOOKUP(B516,Orders!$A$2:$D$1201,3,FALSE)</f>
        <v>46062</v>
      </c>
      <c r="L516" t="str">
        <f>VLOOKUP(C516,Products!$A$2:$D$13,2,FALSE)</f>
        <v>Headphones</v>
      </c>
      <c r="M516" t="str">
        <f t="shared" si="26"/>
        <v>2026-02</v>
      </c>
    </row>
    <row r="517" spans="1:13">
      <c r="A517">
        <v>516</v>
      </c>
      <c r="B517">
        <v>1247</v>
      </c>
      <c r="C517">
        <v>12</v>
      </c>
      <c r="D517">
        <v>2</v>
      </c>
      <c r="E517">
        <v>22</v>
      </c>
      <c r="F517">
        <f t="shared" si="24"/>
        <v>44</v>
      </c>
      <c r="G517" t="str">
        <f>VLOOKUP(B517,Orders!$A$2:$D$1201,4,FALSE)</f>
        <v>Delivered</v>
      </c>
      <c r="H517">
        <f t="shared" si="25"/>
        <v>44</v>
      </c>
      <c r="I517" s="12">
        <f>VLOOKUP(B517,Orders!$A$2:$D$1201,3,FALSE)</f>
        <v>46053</v>
      </c>
      <c r="L517" t="str">
        <f>VLOOKUP(C517,Products!$A$2:$D$13,2,FALSE)</f>
        <v>Storage Box</v>
      </c>
      <c r="M517" t="str">
        <f t="shared" si="26"/>
        <v>2026-01</v>
      </c>
    </row>
    <row r="518" spans="1:13">
      <c r="A518">
        <v>517</v>
      </c>
      <c r="B518">
        <v>1247</v>
      </c>
      <c r="C518">
        <v>10</v>
      </c>
      <c r="D518">
        <v>3</v>
      </c>
      <c r="E518">
        <v>8</v>
      </c>
      <c r="F518">
        <f t="shared" si="24"/>
        <v>24</v>
      </c>
      <c r="G518" t="str">
        <f>VLOOKUP(B518,Orders!$A$2:$D$1201,4,FALSE)</f>
        <v>Delivered</v>
      </c>
      <c r="H518">
        <f t="shared" si="25"/>
        <v>24</v>
      </c>
      <c r="I518" s="12">
        <f>VLOOKUP(B518,Orders!$A$2:$D$1201,3,FALSE)</f>
        <v>46053</v>
      </c>
      <c r="L518" t="str">
        <f>VLOOKUP(C518,Products!$A$2:$D$13,2,FALSE)</f>
        <v>Notebook</v>
      </c>
      <c r="M518" t="str">
        <f t="shared" si="26"/>
        <v>2026-01</v>
      </c>
    </row>
    <row r="519" spans="1:13">
      <c r="A519">
        <v>518</v>
      </c>
      <c r="B519">
        <v>1247</v>
      </c>
      <c r="C519">
        <v>1</v>
      </c>
      <c r="D519">
        <v>2</v>
      </c>
      <c r="E519">
        <v>750</v>
      </c>
      <c r="F519">
        <f t="shared" si="24"/>
        <v>1500</v>
      </c>
      <c r="G519" t="str">
        <f>VLOOKUP(B519,Orders!$A$2:$D$1201,4,FALSE)</f>
        <v>Delivered</v>
      </c>
      <c r="H519">
        <f t="shared" si="25"/>
        <v>1500</v>
      </c>
      <c r="I519" s="12">
        <f>VLOOKUP(B519,Orders!$A$2:$D$1201,3,FALSE)</f>
        <v>46053</v>
      </c>
      <c r="L519" t="str">
        <f>VLOOKUP(C519,Products!$A$2:$D$13,2,FALSE)</f>
        <v>Laptop</v>
      </c>
      <c r="M519" t="str">
        <f t="shared" si="26"/>
        <v>2026-01</v>
      </c>
    </row>
    <row r="520" spans="1:13">
      <c r="A520">
        <v>519</v>
      </c>
      <c r="B520">
        <v>1248</v>
      </c>
      <c r="C520">
        <v>1</v>
      </c>
      <c r="D520">
        <v>4</v>
      </c>
      <c r="E520">
        <v>750</v>
      </c>
      <c r="F520">
        <f t="shared" si="24"/>
        <v>3000</v>
      </c>
      <c r="G520" t="str">
        <f>VLOOKUP(B520,Orders!$A$2:$D$1201,4,FALSE)</f>
        <v>Delivered</v>
      </c>
      <c r="H520">
        <f t="shared" si="25"/>
        <v>3000</v>
      </c>
      <c r="I520" s="12">
        <f>VLOOKUP(B520,Orders!$A$2:$D$1201,3,FALSE)</f>
        <v>46035</v>
      </c>
      <c r="L520" t="str">
        <f>VLOOKUP(C520,Products!$A$2:$D$13,2,FALSE)</f>
        <v>Laptop</v>
      </c>
      <c r="M520" t="str">
        <f t="shared" si="26"/>
        <v>2026-01</v>
      </c>
    </row>
    <row r="521" spans="1:13">
      <c r="A521">
        <v>520</v>
      </c>
      <c r="B521">
        <v>1249</v>
      </c>
      <c r="C521">
        <v>1</v>
      </c>
      <c r="D521">
        <v>1</v>
      </c>
      <c r="E521">
        <v>750</v>
      </c>
      <c r="F521">
        <f t="shared" si="24"/>
        <v>750</v>
      </c>
      <c r="G521" t="str">
        <f>VLOOKUP(B521,Orders!$A$2:$D$1201,4,FALSE)</f>
        <v>Delivered</v>
      </c>
      <c r="H521">
        <f t="shared" si="25"/>
        <v>750</v>
      </c>
      <c r="I521" s="12">
        <f>VLOOKUP(B521,Orders!$A$2:$D$1201,3,FALSE)</f>
        <v>46141</v>
      </c>
      <c r="L521" t="str">
        <f>VLOOKUP(C521,Products!$A$2:$D$13,2,FALSE)</f>
        <v>Laptop</v>
      </c>
      <c r="M521" t="str">
        <f t="shared" si="26"/>
        <v>2026-04</v>
      </c>
    </row>
    <row r="522" spans="1:13">
      <c r="A522">
        <v>521</v>
      </c>
      <c r="B522">
        <v>1250</v>
      </c>
      <c r="C522">
        <v>10</v>
      </c>
      <c r="D522">
        <v>1</v>
      </c>
      <c r="E522">
        <v>8</v>
      </c>
      <c r="F522">
        <f t="shared" si="24"/>
        <v>8</v>
      </c>
      <c r="G522" t="str">
        <f>VLOOKUP(B522,Orders!$A$2:$D$1201,4,FALSE)</f>
        <v>Delivered</v>
      </c>
      <c r="H522">
        <f t="shared" si="25"/>
        <v>8</v>
      </c>
      <c r="I522" s="12">
        <f>VLOOKUP(B522,Orders!$A$2:$D$1201,3,FALSE)</f>
        <v>46118</v>
      </c>
      <c r="L522" t="str">
        <f>VLOOKUP(C522,Products!$A$2:$D$13,2,FALSE)</f>
        <v>Notebook</v>
      </c>
      <c r="M522" t="str">
        <f t="shared" si="26"/>
        <v>2026-04</v>
      </c>
    </row>
    <row r="523" spans="1:13">
      <c r="A523">
        <v>522</v>
      </c>
      <c r="B523">
        <v>1250</v>
      </c>
      <c r="C523">
        <v>5</v>
      </c>
      <c r="D523">
        <v>1</v>
      </c>
      <c r="E523">
        <v>180</v>
      </c>
      <c r="F523">
        <f t="shared" si="24"/>
        <v>180</v>
      </c>
      <c r="G523" t="str">
        <f>VLOOKUP(B523,Orders!$A$2:$D$1201,4,FALSE)</f>
        <v>Delivered</v>
      </c>
      <c r="H523">
        <f t="shared" si="25"/>
        <v>180</v>
      </c>
      <c r="I523" s="12">
        <f>VLOOKUP(B523,Orders!$A$2:$D$1201,3,FALSE)</f>
        <v>46118</v>
      </c>
      <c r="L523" t="str">
        <f>VLOOKUP(C523,Products!$A$2:$D$13,2,FALSE)</f>
        <v>Desk</v>
      </c>
      <c r="M523" t="str">
        <f t="shared" si="26"/>
        <v>2026-04</v>
      </c>
    </row>
    <row r="524" spans="1:13">
      <c r="A524">
        <v>523</v>
      </c>
      <c r="B524">
        <v>1250</v>
      </c>
      <c r="C524">
        <v>2</v>
      </c>
      <c r="D524">
        <v>2</v>
      </c>
      <c r="E524">
        <v>220</v>
      </c>
      <c r="F524">
        <f t="shared" si="24"/>
        <v>440</v>
      </c>
      <c r="G524" t="str">
        <f>VLOOKUP(B524,Orders!$A$2:$D$1201,4,FALSE)</f>
        <v>Delivered</v>
      </c>
      <c r="H524">
        <f t="shared" si="25"/>
        <v>440</v>
      </c>
      <c r="I524" s="12">
        <f>VLOOKUP(B524,Orders!$A$2:$D$1201,3,FALSE)</f>
        <v>46118</v>
      </c>
      <c r="L524" t="str">
        <f>VLOOKUP(C524,Products!$A$2:$D$13,2,FALSE)</f>
        <v>Monitor</v>
      </c>
      <c r="M524" t="str">
        <f t="shared" si="26"/>
        <v>2026-04</v>
      </c>
    </row>
    <row r="525" spans="1:13">
      <c r="A525">
        <v>524</v>
      </c>
      <c r="B525">
        <v>1251</v>
      </c>
      <c r="C525">
        <v>3</v>
      </c>
      <c r="D525">
        <v>4</v>
      </c>
      <c r="E525">
        <v>45</v>
      </c>
      <c r="F525">
        <f t="shared" si="24"/>
        <v>180</v>
      </c>
      <c r="G525" t="str">
        <f>VLOOKUP(B525,Orders!$A$2:$D$1201,4,FALSE)</f>
        <v>Delivered</v>
      </c>
      <c r="H525">
        <f t="shared" si="25"/>
        <v>180</v>
      </c>
      <c r="I525" s="12">
        <f>VLOOKUP(B525,Orders!$A$2:$D$1201,3,FALSE)</f>
        <v>46054</v>
      </c>
      <c r="L525" t="str">
        <f>VLOOKUP(C525,Products!$A$2:$D$13,2,FALSE)</f>
        <v>Keyboard</v>
      </c>
      <c r="M525" t="str">
        <f t="shared" si="26"/>
        <v>2026-02</v>
      </c>
    </row>
    <row r="526" spans="1:13">
      <c r="A526">
        <v>525</v>
      </c>
      <c r="B526">
        <v>1252</v>
      </c>
      <c r="C526">
        <v>5</v>
      </c>
      <c r="D526">
        <v>3</v>
      </c>
      <c r="E526">
        <v>180</v>
      </c>
      <c r="F526">
        <f t="shared" si="24"/>
        <v>540</v>
      </c>
      <c r="G526" t="str">
        <f>VLOOKUP(B526,Orders!$A$2:$D$1201,4,FALSE)</f>
        <v>Delivered</v>
      </c>
      <c r="H526">
        <f t="shared" si="25"/>
        <v>540</v>
      </c>
      <c r="I526" s="12">
        <f>VLOOKUP(B526,Orders!$A$2:$D$1201,3,FALSE)</f>
        <v>46132</v>
      </c>
      <c r="L526" t="str">
        <f>VLOOKUP(C526,Products!$A$2:$D$13,2,FALSE)</f>
        <v>Desk</v>
      </c>
      <c r="M526" t="str">
        <f t="shared" si="26"/>
        <v>2026-04</v>
      </c>
    </row>
    <row r="527" spans="1:13">
      <c r="A527">
        <v>526</v>
      </c>
      <c r="B527">
        <v>1253</v>
      </c>
      <c r="C527">
        <v>9</v>
      </c>
      <c r="D527">
        <v>1</v>
      </c>
      <c r="E527">
        <v>30</v>
      </c>
      <c r="F527">
        <f t="shared" si="24"/>
        <v>30</v>
      </c>
      <c r="G527" t="str">
        <f>VLOOKUP(B527,Orders!$A$2:$D$1201,4,FALSE)</f>
        <v>Delivered</v>
      </c>
      <c r="H527">
        <f t="shared" si="25"/>
        <v>30</v>
      </c>
      <c r="I527" s="12">
        <f>VLOOKUP(B527,Orders!$A$2:$D$1201,3,FALSE)</f>
        <v>46085</v>
      </c>
      <c r="L527" t="str">
        <f>VLOOKUP(C527,Products!$A$2:$D$13,2,FALSE)</f>
        <v>Lamp</v>
      </c>
      <c r="M527" t="str">
        <f t="shared" si="26"/>
        <v>2026-03</v>
      </c>
    </row>
    <row r="528" spans="1:13">
      <c r="A528">
        <v>527</v>
      </c>
      <c r="B528">
        <v>1253</v>
      </c>
      <c r="C528">
        <v>8</v>
      </c>
      <c r="D528">
        <v>1</v>
      </c>
      <c r="E528">
        <v>55</v>
      </c>
      <c r="F528">
        <f t="shared" si="24"/>
        <v>55</v>
      </c>
      <c r="G528" t="str">
        <f>VLOOKUP(B528,Orders!$A$2:$D$1201,4,FALSE)</f>
        <v>Delivered</v>
      </c>
      <c r="H528">
        <f t="shared" si="25"/>
        <v>55</v>
      </c>
      <c r="I528" s="12">
        <f>VLOOKUP(B528,Orders!$A$2:$D$1201,3,FALSE)</f>
        <v>46085</v>
      </c>
      <c r="L528" t="str">
        <f>VLOOKUP(C528,Products!$A$2:$D$13,2,FALSE)</f>
        <v>Webcam</v>
      </c>
      <c r="M528" t="str">
        <f t="shared" si="26"/>
        <v>2026-03</v>
      </c>
    </row>
    <row r="529" spans="1:13">
      <c r="A529">
        <v>528</v>
      </c>
      <c r="B529">
        <v>1254</v>
      </c>
      <c r="C529">
        <v>7</v>
      </c>
      <c r="D529">
        <v>3</v>
      </c>
      <c r="E529">
        <v>65</v>
      </c>
      <c r="F529">
        <f t="shared" si="24"/>
        <v>195</v>
      </c>
      <c r="G529" t="str">
        <f>VLOOKUP(B529,Orders!$A$2:$D$1201,4,FALSE)</f>
        <v>Delivered</v>
      </c>
      <c r="H529">
        <f t="shared" si="25"/>
        <v>195</v>
      </c>
      <c r="I529" s="12">
        <f>VLOOKUP(B529,Orders!$A$2:$D$1201,3,FALSE)</f>
        <v>46086</v>
      </c>
      <c r="L529" t="str">
        <f>VLOOKUP(C529,Products!$A$2:$D$13,2,FALSE)</f>
        <v>Headphones</v>
      </c>
      <c r="M529" t="str">
        <f t="shared" si="26"/>
        <v>2026-03</v>
      </c>
    </row>
    <row r="530" spans="1:13">
      <c r="A530">
        <v>529</v>
      </c>
      <c r="B530">
        <v>1255</v>
      </c>
      <c r="C530">
        <v>1</v>
      </c>
      <c r="D530">
        <v>3</v>
      </c>
      <c r="E530">
        <v>750</v>
      </c>
      <c r="F530">
        <f t="shared" si="24"/>
        <v>2250</v>
      </c>
      <c r="G530" t="str">
        <f>VLOOKUP(B530,Orders!$A$2:$D$1201,4,FALSE)</f>
        <v>Delivered</v>
      </c>
      <c r="H530">
        <f t="shared" si="25"/>
        <v>2250</v>
      </c>
      <c r="I530" s="12">
        <f>VLOOKUP(B530,Orders!$A$2:$D$1201,3,FALSE)</f>
        <v>46151</v>
      </c>
      <c r="L530" t="str">
        <f>VLOOKUP(C530,Products!$A$2:$D$13,2,FALSE)</f>
        <v>Laptop</v>
      </c>
      <c r="M530" t="str">
        <f t="shared" si="26"/>
        <v>2026-05</v>
      </c>
    </row>
    <row r="531" spans="1:13">
      <c r="A531">
        <v>530</v>
      </c>
      <c r="B531">
        <v>1256</v>
      </c>
      <c r="C531">
        <v>6</v>
      </c>
      <c r="D531">
        <v>2</v>
      </c>
      <c r="E531">
        <v>140</v>
      </c>
      <c r="F531">
        <f t="shared" si="24"/>
        <v>280</v>
      </c>
      <c r="G531" t="str">
        <f>VLOOKUP(B531,Orders!$A$2:$D$1201,4,FALSE)</f>
        <v>Delivered</v>
      </c>
      <c r="H531">
        <f t="shared" si="25"/>
        <v>280</v>
      </c>
      <c r="I531" s="12">
        <f>VLOOKUP(B531,Orders!$A$2:$D$1201,3,FALSE)</f>
        <v>46037</v>
      </c>
      <c r="L531" t="str">
        <f>VLOOKUP(C531,Products!$A$2:$D$13,2,FALSE)</f>
        <v>Chair</v>
      </c>
      <c r="M531" t="str">
        <f t="shared" si="26"/>
        <v>2026-01</v>
      </c>
    </row>
    <row r="532" spans="1:13">
      <c r="A532">
        <v>531</v>
      </c>
      <c r="B532">
        <v>1256</v>
      </c>
      <c r="C532">
        <v>10</v>
      </c>
      <c r="D532">
        <v>1</v>
      </c>
      <c r="E532">
        <v>8</v>
      </c>
      <c r="F532">
        <f t="shared" si="24"/>
        <v>8</v>
      </c>
      <c r="G532" t="str">
        <f>VLOOKUP(B532,Orders!$A$2:$D$1201,4,FALSE)</f>
        <v>Delivered</v>
      </c>
      <c r="H532">
        <f t="shared" si="25"/>
        <v>8</v>
      </c>
      <c r="I532" s="12">
        <f>VLOOKUP(B532,Orders!$A$2:$D$1201,3,FALSE)</f>
        <v>46037</v>
      </c>
      <c r="L532" t="str">
        <f>VLOOKUP(C532,Products!$A$2:$D$13,2,FALSE)</f>
        <v>Notebook</v>
      </c>
      <c r="M532" t="str">
        <f t="shared" si="26"/>
        <v>2026-01</v>
      </c>
    </row>
    <row r="533" spans="1:13">
      <c r="A533">
        <v>532</v>
      </c>
      <c r="B533">
        <v>1256</v>
      </c>
      <c r="C533">
        <v>4</v>
      </c>
      <c r="D533">
        <v>2</v>
      </c>
      <c r="E533">
        <v>25</v>
      </c>
      <c r="F533">
        <f t="shared" si="24"/>
        <v>50</v>
      </c>
      <c r="G533" t="str">
        <f>VLOOKUP(B533,Orders!$A$2:$D$1201,4,FALSE)</f>
        <v>Delivered</v>
      </c>
      <c r="H533">
        <f t="shared" si="25"/>
        <v>50</v>
      </c>
      <c r="I533" s="12">
        <f>VLOOKUP(B533,Orders!$A$2:$D$1201,3,FALSE)</f>
        <v>46037</v>
      </c>
      <c r="L533" t="str">
        <f>VLOOKUP(C533,Products!$A$2:$D$13,2,FALSE)</f>
        <v>Mouse</v>
      </c>
      <c r="M533" t="str">
        <f t="shared" si="26"/>
        <v>2026-01</v>
      </c>
    </row>
    <row r="534" spans="1:13">
      <c r="A534">
        <v>533</v>
      </c>
      <c r="B534">
        <v>1257</v>
      </c>
      <c r="C534">
        <v>7</v>
      </c>
      <c r="D534">
        <v>2</v>
      </c>
      <c r="E534">
        <v>65</v>
      </c>
      <c r="F534">
        <f t="shared" si="24"/>
        <v>130</v>
      </c>
      <c r="G534" t="str">
        <f>VLOOKUP(B534,Orders!$A$2:$D$1201,4,FALSE)</f>
        <v>Delivered</v>
      </c>
      <c r="H534">
        <f t="shared" si="25"/>
        <v>130</v>
      </c>
      <c r="I534" s="12">
        <f>VLOOKUP(B534,Orders!$A$2:$D$1201,3,FALSE)</f>
        <v>46037</v>
      </c>
      <c r="L534" t="str">
        <f>VLOOKUP(C534,Products!$A$2:$D$13,2,FALSE)</f>
        <v>Headphones</v>
      </c>
      <c r="M534" t="str">
        <f t="shared" si="26"/>
        <v>2026-01</v>
      </c>
    </row>
    <row r="535" spans="1:13">
      <c r="A535">
        <v>534</v>
      </c>
      <c r="B535">
        <v>1257</v>
      </c>
      <c r="C535">
        <v>6</v>
      </c>
      <c r="D535">
        <v>2</v>
      </c>
      <c r="E535">
        <v>140</v>
      </c>
      <c r="F535">
        <f t="shared" si="24"/>
        <v>280</v>
      </c>
      <c r="G535" t="str">
        <f>VLOOKUP(B535,Orders!$A$2:$D$1201,4,FALSE)</f>
        <v>Delivered</v>
      </c>
      <c r="H535">
        <f t="shared" si="25"/>
        <v>280</v>
      </c>
      <c r="I535" s="12">
        <f>VLOOKUP(B535,Orders!$A$2:$D$1201,3,FALSE)</f>
        <v>46037</v>
      </c>
      <c r="L535" t="str">
        <f>VLOOKUP(C535,Products!$A$2:$D$13,2,FALSE)</f>
        <v>Chair</v>
      </c>
      <c r="M535" t="str">
        <f t="shared" si="26"/>
        <v>2026-01</v>
      </c>
    </row>
    <row r="536" spans="1:13">
      <c r="A536">
        <v>535</v>
      </c>
      <c r="B536">
        <v>1257</v>
      </c>
      <c r="C536">
        <v>3</v>
      </c>
      <c r="D536">
        <v>3</v>
      </c>
      <c r="E536">
        <v>45</v>
      </c>
      <c r="F536">
        <f t="shared" si="24"/>
        <v>135</v>
      </c>
      <c r="G536" t="str">
        <f>VLOOKUP(B536,Orders!$A$2:$D$1201,4,FALSE)</f>
        <v>Delivered</v>
      </c>
      <c r="H536">
        <f t="shared" si="25"/>
        <v>135</v>
      </c>
      <c r="I536" s="12">
        <f>VLOOKUP(B536,Orders!$A$2:$D$1201,3,FALSE)</f>
        <v>46037</v>
      </c>
      <c r="L536" t="str">
        <f>VLOOKUP(C536,Products!$A$2:$D$13,2,FALSE)</f>
        <v>Keyboard</v>
      </c>
      <c r="M536" t="str">
        <f t="shared" si="26"/>
        <v>2026-01</v>
      </c>
    </row>
    <row r="537" spans="1:13">
      <c r="A537">
        <v>536</v>
      </c>
      <c r="B537">
        <v>1258</v>
      </c>
      <c r="C537">
        <v>3</v>
      </c>
      <c r="D537">
        <v>4</v>
      </c>
      <c r="E537">
        <v>45</v>
      </c>
      <c r="F537">
        <f t="shared" si="24"/>
        <v>180</v>
      </c>
      <c r="G537" t="str">
        <f>VLOOKUP(B537,Orders!$A$2:$D$1201,4,FALSE)</f>
        <v>Delivered</v>
      </c>
      <c r="H537">
        <f t="shared" si="25"/>
        <v>180</v>
      </c>
      <c r="I537" s="12">
        <f>VLOOKUP(B537,Orders!$A$2:$D$1201,3,FALSE)</f>
        <v>46203</v>
      </c>
      <c r="L537" t="str">
        <f>VLOOKUP(C537,Products!$A$2:$D$13,2,FALSE)</f>
        <v>Keyboard</v>
      </c>
      <c r="M537" t="str">
        <f t="shared" si="26"/>
        <v>2026-06</v>
      </c>
    </row>
    <row r="538" spans="1:13">
      <c r="A538">
        <v>537</v>
      </c>
      <c r="B538">
        <v>1258</v>
      </c>
      <c r="C538">
        <v>10</v>
      </c>
      <c r="D538">
        <v>3</v>
      </c>
      <c r="E538">
        <v>8</v>
      </c>
      <c r="F538">
        <f t="shared" si="24"/>
        <v>24</v>
      </c>
      <c r="G538" t="str">
        <f>VLOOKUP(B538,Orders!$A$2:$D$1201,4,FALSE)</f>
        <v>Delivered</v>
      </c>
      <c r="H538">
        <f t="shared" si="25"/>
        <v>24</v>
      </c>
      <c r="I538" s="12">
        <f>VLOOKUP(B538,Orders!$A$2:$D$1201,3,FALSE)</f>
        <v>46203</v>
      </c>
      <c r="L538" t="str">
        <f>VLOOKUP(C538,Products!$A$2:$D$13,2,FALSE)</f>
        <v>Notebook</v>
      </c>
      <c r="M538" t="str">
        <f t="shared" si="26"/>
        <v>2026-06</v>
      </c>
    </row>
    <row r="539" spans="1:13">
      <c r="A539">
        <v>538</v>
      </c>
      <c r="B539">
        <v>1258</v>
      </c>
      <c r="C539">
        <v>4</v>
      </c>
      <c r="D539">
        <v>2</v>
      </c>
      <c r="E539">
        <v>25</v>
      </c>
      <c r="F539">
        <f t="shared" si="24"/>
        <v>50</v>
      </c>
      <c r="G539" t="str">
        <f>VLOOKUP(B539,Orders!$A$2:$D$1201,4,FALSE)</f>
        <v>Delivered</v>
      </c>
      <c r="H539">
        <f t="shared" si="25"/>
        <v>50</v>
      </c>
      <c r="I539" s="12">
        <f>VLOOKUP(B539,Orders!$A$2:$D$1201,3,FALSE)</f>
        <v>46203</v>
      </c>
      <c r="L539" t="str">
        <f>VLOOKUP(C539,Products!$A$2:$D$13,2,FALSE)</f>
        <v>Mouse</v>
      </c>
      <c r="M539" t="str">
        <f t="shared" si="26"/>
        <v>2026-06</v>
      </c>
    </row>
    <row r="540" spans="1:13">
      <c r="A540">
        <v>539</v>
      </c>
      <c r="B540">
        <v>1259</v>
      </c>
      <c r="C540">
        <v>10</v>
      </c>
      <c r="D540">
        <v>2</v>
      </c>
      <c r="E540">
        <v>8</v>
      </c>
      <c r="F540">
        <f t="shared" si="24"/>
        <v>16</v>
      </c>
      <c r="G540" t="str">
        <f>VLOOKUP(B540,Orders!$A$2:$D$1201,4,FALSE)</f>
        <v>Delivered</v>
      </c>
      <c r="H540">
        <f t="shared" si="25"/>
        <v>16</v>
      </c>
      <c r="I540" s="12">
        <f>VLOOKUP(B540,Orders!$A$2:$D$1201,3,FALSE)</f>
        <v>46028</v>
      </c>
      <c r="L540" t="str">
        <f>VLOOKUP(C540,Products!$A$2:$D$13,2,FALSE)</f>
        <v>Notebook</v>
      </c>
      <c r="M540" t="str">
        <f t="shared" si="26"/>
        <v>2026-01</v>
      </c>
    </row>
    <row r="541" spans="1:13">
      <c r="A541">
        <v>540</v>
      </c>
      <c r="B541">
        <v>1259</v>
      </c>
      <c r="C541">
        <v>4</v>
      </c>
      <c r="D541">
        <v>3</v>
      </c>
      <c r="E541">
        <v>25</v>
      </c>
      <c r="F541">
        <f t="shared" si="24"/>
        <v>75</v>
      </c>
      <c r="G541" t="str">
        <f>VLOOKUP(B541,Orders!$A$2:$D$1201,4,FALSE)</f>
        <v>Delivered</v>
      </c>
      <c r="H541">
        <f t="shared" si="25"/>
        <v>75</v>
      </c>
      <c r="I541" s="12">
        <f>VLOOKUP(B541,Orders!$A$2:$D$1201,3,FALSE)</f>
        <v>46028</v>
      </c>
      <c r="L541" t="str">
        <f>VLOOKUP(C541,Products!$A$2:$D$13,2,FALSE)</f>
        <v>Mouse</v>
      </c>
      <c r="M541" t="str">
        <f t="shared" si="26"/>
        <v>2026-01</v>
      </c>
    </row>
    <row r="542" spans="1:13">
      <c r="A542">
        <v>541</v>
      </c>
      <c r="B542">
        <v>1260</v>
      </c>
      <c r="C542">
        <v>9</v>
      </c>
      <c r="D542">
        <v>3</v>
      </c>
      <c r="E542">
        <v>30</v>
      </c>
      <c r="F542">
        <f t="shared" si="24"/>
        <v>90</v>
      </c>
      <c r="G542" t="str">
        <f>VLOOKUP(B542,Orders!$A$2:$D$1201,4,FALSE)</f>
        <v>Delivered</v>
      </c>
      <c r="H542">
        <f t="shared" si="25"/>
        <v>90</v>
      </c>
      <c r="I542" s="12">
        <f>VLOOKUP(B542,Orders!$A$2:$D$1201,3,FALSE)</f>
        <v>46038</v>
      </c>
      <c r="L542" t="str">
        <f>VLOOKUP(C542,Products!$A$2:$D$13,2,FALSE)</f>
        <v>Lamp</v>
      </c>
      <c r="M542" t="str">
        <f t="shared" si="26"/>
        <v>2026-01</v>
      </c>
    </row>
    <row r="543" spans="1:13">
      <c r="A543">
        <v>542</v>
      </c>
      <c r="B543">
        <v>1261</v>
      </c>
      <c r="C543">
        <v>3</v>
      </c>
      <c r="D543">
        <v>4</v>
      </c>
      <c r="E543">
        <v>45</v>
      </c>
      <c r="F543">
        <f t="shared" si="24"/>
        <v>180</v>
      </c>
      <c r="G543" t="str">
        <f>VLOOKUP(B543,Orders!$A$2:$D$1201,4,FALSE)</f>
        <v>Delivered</v>
      </c>
      <c r="H543">
        <f t="shared" si="25"/>
        <v>180</v>
      </c>
      <c r="I543" s="12">
        <f>VLOOKUP(B543,Orders!$A$2:$D$1201,3,FALSE)</f>
        <v>46173</v>
      </c>
      <c r="L543" t="str">
        <f>VLOOKUP(C543,Products!$A$2:$D$13,2,FALSE)</f>
        <v>Keyboard</v>
      </c>
      <c r="M543" t="str">
        <f t="shared" si="26"/>
        <v>2026-05</v>
      </c>
    </row>
    <row r="544" spans="1:13">
      <c r="A544">
        <v>543</v>
      </c>
      <c r="B544">
        <v>1261</v>
      </c>
      <c r="C544">
        <v>12</v>
      </c>
      <c r="D544">
        <v>4</v>
      </c>
      <c r="E544">
        <v>22</v>
      </c>
      <c r="F544">
        <f t="shared" si="24"/>
        <v>88</v>
      </c>
      <c r="G544" t="str">
        <f>VLOOKUP(B544,Orders!$A$2:$D$1201,4,FALSE)</f>
        <v>Delivered</v>
      </c>
      <c r="H544">
        <f t="shared" si="25"/>
        <v>88</v>
      </c>
      <c r="I544" s="12">
        <f>VLOOKUP(B544,Orders!$A$2:$D$1201,3,FALSE)</f>
        <v>46173</v>
      </c>
      <c r="L544" t="str">
        <f>VLOOKUP(C544,Products!$A$2:$D$13,2,FALSE)</f>
        <v>Storage Box</v>
      </c>
      <c r="M544" t="str">
        <f t="shared" si="26"/>
        <v>2026-05</v>
      </c>
    </row>
    <row r="545" spans="1:13">
      <c r="A545">
        <v>544</v>
      </c>
      <c r="B545">
        <v>1262</v>
      </c>
      <c r="C545">
        <v>10</v>
      </c>
      <c r="D545">
        <v>3</v>
      </c>
      <c r="E545">
        <v>8</v>
      </c>
      <c r="F545">
        <f t="shared" si="24"/>
        <v>24</v>
      </c>
      <c r="G545" t="str">
        <f>VLOOKUP(B545,Orders!$A$2:$D$1201,4,FALSE)</f>
        <v>Delivered</v>
      </c>
      <c r="H545">
        <f t="shared" si="25"/>
        <v>24</v>
      </c>
      <c r="I545" s="12">
        <f>VLOOKUP(B545,Orders!$A$2:$D$1201,3,FALSE)</f>
        <v>46180</v>
      </c>
      <c r="L545" t="str">
        <f>VLOOKUP(C545,Products!$A$2:$D$13,2,FALSE)</f>
        <v>Notebook</v>
      </c>
      <c r="M545" t="str">
        <f t="shared" si="26"/>
        <v>2026-06</v>
      </c>
    </row>
    <row r="546" spans="1:13">
      <c r="A546">
        <v>545</v>
      </c>
      <c r="B546">
        <v>1262</v>
      </c>
      <c r="C546">
        <v>3</v>
      </c>
      <c r="D546">
        <v>3</v>
      </c>
      <c r="E546">
        <v>45</v>
      </c>
      <c r="F546">
        <f t="shared" si="24"/>
        <v>135</v>
      </c>
      <c r="G546" t="str">
        <f>VLOOKUP(B546,Orders!$A$2:$D$1201,4,FALSE)</f>
        <v>Delivered</v>
      </c>
      <c r="H546">
        <f t="shared" si="25"/>
        <v>135</v>
      </c>
      <c r="I546" s="12">
        <f>VLOOKUP(B546,Orders!$A$2:$D$1201,3,FALSE)</f>
        <v>46180</v>
      </c>
      <c r="L546" t="str">
        <f>VLOOKUP(C546,Products!$A$2:$D$13,2,FALSE)</f>
        <v>Keyboard</v>
      </c>
      <c r="M546" t="str">
        <f t="shared" si="26"/>
        <v>2026-06</v>
      </c>
    </row>
    <row r="547" spans="1:13">
      <c r="A547">
        <v>546</v>
      </c>
      <c r="B547">
        <v>1262</v>
      </c>
      <c r="C547">
        <v>7</v>
      </c>
      <c r="D547">
        <v>2</v>
      </c>
      <c r="E547">
        <v>65</v>
      </c>
      <c r="F547">
        <f t="shared" si="24"/>
        <v>130</v>
      </c>
      <c r="G547" t="str">
        <f>VLOOKUP(B547,Orders!$A$2:$D$1201,4,FALSE)</f>
        <v>Delivered</v>
      </c>
      <c r="H547">
        <f t="shared" si="25"/>
        <v>130</v>
      </c>
      <c r="I547" s="12">
        <f>VLOOKUP(B547,Orders!$A$2:$D$1201,3,FALSE)</f>
        <v>46180</v>
      </c>
      <c r="L547" t="str">
        <f>VLOOKUP(C547,Products!$A$2:$D$13,2,FALSE)</f>
        <v>Headphones</v>
      </c>
      <c r="M547" t="str">
        <f t="shared" si="26"/>
        <v>2026-06</v>
      </c>
    </row>
    <row r="548" spans="1:13">
      <c r="A548">
        <v>547</v>
      </c>
      <c r="B548">
        <v>1263</v>
      </c>
      <c r="C548">
        <v>3</v>
      </c>
      <c r="D548">
        <v>3</v>
      </c>
      <c r="E548">
        <v>45</v>
      </c>
      <c r="F548">
        <f t="shared" si="24"/>
        <v>135</v>
      </c>
      <c r="G548" t="str">
        <f>VLOOKUP(B548,Orders!$A$2:$D$1201,4,FALSE)</f>
        <v>Cancelled</v>
      </c>
      <c r="H548">
        <f t="shared" si="25"/>
        <v>0</v>
      </c>
      <c r="I548" s="12">
        <f>VLOOKUP(B548,Orders!$A$2:$D$1201,3,FALSE)</f>
        <v>46123</v>
      </c>
      <c r="L548" t="str">
        <f>VLOOKUP(C548,Products!$A$2:$D$13,2,FALSE)</f>
        <v>Keyboard</v>
      </c>
      <c r="M548" t="str">
        <f t="shared" si="26"/>
        <v>2026-04</v>
      </c>
    </row>
    <row r="549" spans="1:13">
      <c r="A549">
        <v>548</v>
      </c>
      <c r="B549">
        <v>1264</v>
      </c>
      <c r="C549">
        <v>8</v>
      </c>
      <c r="D549">
        <v>2</v>
      </c>
      <c r="E549">
        <v>55</v>
      </c>
      <c r="F549">
        <f t="shared" si="24"/>
        <v>110</v>
      </c>
      <c r="G549" t="str">
        <f>VLOOKUP(B549,Orders!$A$2:$D$1201,4,FALSE)</f>
        <v>Delivered</v>
      </c>
      <c r="H549">
        <f t="shared" si="25"/>
        <v>110</v>
      </c>
      <c r="I549" s="12">
        <f>VLOOKUP(B549,Orders!$A$2:$D$1201,3,FALSE)</f>
        <v>46179</v>
      </c>
      <c r="L549" t="str">
        <f>VLOOKUP(C549,Products!$A$2:$D$13,2,FALSE)</f>
        <v>Webcam</v>
      </c>
      <c r="M549" t="str">
        <f t="shared" si="26"/>
        <v>2026-06</v>
      </c>
    </row>
    <row r="550" spans="1:13">
      <c r="A550">
        <v>549</v>
      </c>
      <c r="B550">
        <v>1265</v>
      </c>
      <c r="C550">
        <v>11</v>
      </c>
      <c r="D550">
        <v>4</v>
      </c>
      <c r="E550">
        <v>48</v>
      </c>
      <c r="F550">
        <f t="shared" si="24"/>
        <v>192</v>
      </c>
      <c r="G550" t="str">
        <f>VLOOKUP(B550,Orders!$A$2:$D$1201,4,FALSE)</f>
        <v>Delivered</v>
      </c>
      <c r="H550">
        <f t="shared" si="25"/>
        <v>192</v>
      </c>
      <c r="I550" s="12">
        <f>VLOOKUP(B550,Orders!$A$2:$D$1201,3,FALSE)</f>
        <v>46065</v>
      </c>
      <c r="L550" t="str">
        <f>VLOOKUP(C550,Products!$A$2:$D$13,2,FALSE)</f>
        <v>Backpack</v>
      </c>
      <c r="M550" t="str">
        <f t="shared" si="26"/>
        <v>2026-02</v>
      </c>
    </row>
    <row r="551" spans="1:13">
      <c r="A551">
        <v>550</v>
      </c>
      <c r="B551">
        <v>1265</v>
      </c>
      <c r="C551">
        <v>12</v>
      </c>
      <c r="D551">
        <v>1</v>
      </c>
      <c r="E551">
        <v>22</v>
      </c>
      <c r="F551">
        <f t="shared" si="24"/>
        <v>22</v>
      </c>
      <c r="G551" t="str">
        <f>VLOOKUP(B551,Orders!$A$2:$D$1201,4,FALSE)</f>
        <v>Delivered</v>
      </c>
      <c r="H551">
        <f t="shared" si="25"/>
        <v>22</v>
      </c>
      <c r="I551" s="12">
        <f>VLOOKUP(B551,Orders!$A$2:$D$1201,3,FALSE)</f>
        <v>46065</v>
      </c>
      <c r="L551" t="str">
        <f>VLOOKUP(C551,Products!$A$2:$D$13,2,FALSE)</f>
        <v>Storage Box</v>
      </c>
      <c r="M551" t="str">
        <f t="shared" si="26"/>
        <v>2026-02</v>
      </c>
    </row>
    <row r="552" spans="1:13">
      <c r="A552">
        <v>551</v>
      </c>
      <c r="B552">
        <v>1265</v>
      </c>
      <c r="C552">
        <v>6</v>
      </c>
      <c r="D552">
        <v>3</v>
      </c>
      <c r="E552">
        <v>140</v>
      </c>
      <c r="F552">
        <f t="shared" si="24"/>
        <v>420</v>
      </c>
      <c r="G552" t="str">
        <f>VLOOKUP(B552,Orders!$A$2:$D$1201,4,FALSE)</f>
        <v>Delivered</v>
      </c>
      <c r="H552">
        <f t="shared" si="25"/>
        <v>420</v>
      </c>
      <c r="I552" s="12">
        <f>VLOOKUP(B552,Orders!$A$2:$D$1201,3,FALSE)</f>
        <v>46065</v>
      </c>
      <c r="L552" t="str">
        <f>VLOOKUP(C552,Products!$A$2:$D$13,2,FALSE)</f>
        <v>Chair</v>
      </c>
      <c r="M552" t="str">
        <f t="shared" si="26"/>
        <v>2026-02</v>
      </c>
    </row>
    <row r="553" spans="1:13">
      <c r="A553">
        <v>552</v>
      </c>
      <c r="B553">
        <v>1266</v>
      </c>
      <c r="C553">
        <v>7</v>
      </c>
      <c r="D553">
        <v>4</v>
      </c>
      <c r="E553">
        <v>65</v>
      </c>
      <c r="F553">
        <f t="shared" si="24"/>
        <v>260</v>
      </c>
      <c r="G553" t="str">
        <f>VLOOKUP(B553,Orders!$A$2:$D$1201,4,FALSE)</f>
        <v>Delivered</v>
      </c>
      <c r="H553">
        <f t="shared" si="25"/>
        <v>260</v>
      </c>
      <c r="I553" s="12">
        <f>VLOOKUP(B553,Orders!$A$2:$D$1201,3,FALSE)</f>
        <v>46023</v>
      </c>
      <c r="L553" t="str">
        <f>VLOOKUP(C553,Products!$A$2:$D$13,2,FALSE)</f>
        <v>Headphones</v>
      </c>
      <c r="M553" t="str">
        <f t="shared" si="26"/>
        <v>2026-01</v>
      </c>
    </row>
    <row r="554" spans="1:13">
      <c r="A554">
        <v>553</v>
      </c>
      <c r="B554">
        <v>1266</v>
      </c>
      <c r="C554">
        <v>3</v>
      </c>
      <c r="D554">
        <v>4</v>
      </c>
      <c r="E554">
        <v>45</v>
      </c>
      <c r="F554">
        <f t="shared" si="24"/>
        <v>180</v>
      </c>
      <c r="G554" t="str">
        <f>VLOOKUP(B554,Orders!$A$2:$D$1201,4,FALSE)</f>
        <v>Delivered</v>
      </c>
      <c r="H554">
        <f t="shared" si="25"/>
        <v>180</v>
      </c>
      <c r="I554" s="12">
        <f>VLOOKUP(B554,Orders!$A$2:$D$1201,3,FALSE)</f>
        <v>46023</v>
      </c>
      <c r="L554" t="str">
        <f>VLOOKUP(C554,Products!$A$2:$D$13,2,FALSE)</f>
        <v>Keyboard</v>
      </c>
      <c r="M554" t="str">
        <f t="shared" si="26"/>
        <v>2026-01</v>
      </c>
    </row>
    <row r="555" spans="1:13">
      <c r="A555">
        <v>554</v>
      </c>
      <c r="B555">
        <v>1266</v>
      </c>
      <c r="C555">
        <v>12</v>
      </c>
      <c r="D555">
        <v>3</v>
      </c>
      <c r="E555">
        <v>22</v>
      </c>
      <c r="F555">
        <f t="shared" si="24"/>
        <v>66</v>
      </c>
      <c r="G555" t="str">
        <f>VLOOKUP(B555,Orders!$A$2:$D$1201,4,FALSE)</f>
        <v>Delivered</v>
      </c>
      <c r="H555">
        <f t="shared" si="25"/>
        <v>66</v>
      </c>
      <c r="I555" s="12">
        <f>VLOOKUP(B555,Orders!$A$2:$D$1201,3,FALSE)</f>
        <v>46023</v>
      </c>
      <c r="L555" t="str">
        <f>VLOOKUP(C555,Products!$A$2:$D$13,2,FALSE)</f>
        <v>Storage Box</v>
      </c>
      <c r="M555" t="str">
        <f t="shared" si="26"/>
        <v>2026-01</v>
      </c>
    </row>
    <row r="556" spans="1:13">
      <c r="A556">
        <v>555</v>
      </c>
      <c r="B556">
        <v>1267</v>
      </c>
      <c r="C556">
        <v>8</v>
      </c>
      <c r="D556">
        <v>1</v>
      </c>
      <c r="E556">
        <v>55</v>
      </c>
      <c r="F556">
        <f t="shared" si="24"/>
        <v>55</v>
      </c>
      <c r="G556" t="str">
        <f>VLOOKUP(B556,Orders!$A$2:$D$1201,4,FALSE)</f>
        <v>Delivered</v>
      </c>
      <c r="H556">
        <f t="shared" si="25"/>
        <v>55</v>
      </c>
      <c r="I556" s="12">
        <f>VLOOKUP(B556,Orders!$A$2:$D$1201,3,FALSE)</f>
        <v>46189</v>
      </c>
      <c r="L556" t="str">
        <f>VLOOKUP(C556,Products!$A$2:$D$13,2,FALSE)</f>
        <v>Webcam</v>
      </c>
      <c r="M556" t="str">
        <f t="shared" si="26"/>
        <v>2026-06</v>
      </c>
    </row>
    <row r="557" spans="1:13">
      <c r="A557">
        <v>556</v>
      </c>
      <c r="B557">
        <v>1268</v>
      </c>
      <c r="C557">
        <v>3</v>
      </c>
      <c r="D557">
        <v>1</v>
      </c>
      <c r="E557">
        <v>45</v>
      </c>
      <c r="F557">
        <f t="shared" si="24"/>
        <v>45</v>
      </c>
      <c r="G557" t="str">
        <f>VLOOKUP(B557,Orders!$A$2:$D$1201,4,FALSE)</f>
        <v>Delivered</v>
      </c>
      <c r="H557">
        <f t="shared" si="25"/>
        <v>45</v>
      </c>
      <c r="I557" s="12">
        <f>VLOOKUP(B557,Orders!$A$2:$D$1201,3,FALSE)</f>
        <v>46049</v>
      </c>
      <c r="L557" t="str">
        <f>VLOOKUP(C557,Products!$A$2:$D$13,2,FALSE)</f>
        <v>Keyboard</v>
      </c>
      <c r="M557" t="str">
        <f t="shared" si="26"/>
        <v>2026-01</v>
      </c>
    </row>
    <row r="558" spans="1:13">
      <c r="A558">
        <v>557</v>
      </c>
      <c r="B558">
        <v>1268</v>
      </c>
      <c r="C558">
        <v>2</v>
      </c>
      <c r="D558">
        <v>3</v>
      </c>
      <c r="E558">
        <v>220</v>
      </c>
      <c r="F558">
        <f t="shared" si="24"/>
        <v>660</v>
      </c>
      <c r="G558" t="str">
        <f>VLOOKUP(B558,Orders!$A$2:$D$1201,4,FALSE)</f>
        <v>Delivered</v>
      </c>
      <c r="H558">
        <f t="shared" si="25"/>
        <v>660</v>
      </c>
      <c r="I558" s="12">
        <f>VLOOKUP(B558,Orders!$A$2:$D$1201,3,FALSE)</f>
        <v>46049</v>
      </c>
      <c r="L558" t="str">
        <f>VLOOKUP(C558,Products!$A$2:$D$13,2,FALSE)</f>
        <v>Monitor</v>
      </c>
      <c r="M558" t="str">
        <f t="shared" si="26"/>
        <v>2026-01</v>
      </c>
    </row>
    <row r="559" spans="1:13">
      <c r="A559">
        <v>558</v>
      </c>
      <c r="B559">
        <v>1269</v>
      </c>
      <c r="C559">
        <v>7</v>
      </c>
      <c r="D559">
        <v>1</v>
      </c>
      <c r="E559">
        <v>65</v>
      </c>
      <c r="F559">
        <f t="shared" si="24"/>
        <v>65</v>
      </c>
      <c r="G559" t="str">
        <f>VLOOKUP(B559,Orders!$A$2:$D$1201,4,FALSE)</f>
        <v>Shipped</v>
      </c>
      <c r="H559">
        <f t="shared" si="25"/>
        <v>65</v>
      </c>
      <c r="I559" s="12">
        <f>VLOOKUP(B559,Orders!$A$2:$D$1201,3,FALSE)</f>
        <v>46133</v>
      </c>
      <c r="L559" t="str">
        <f>VLOOKUP(C559,Products!$A$2:$D$13,2,FALSE)</f>
        <v>Headphones</v>
      </c>
      <c r="M559" t="str">
        <f t="shared" si="26"/>
        <v>2026-04</v>
      </c>
    </row>
    <row r="560" spans="1:13">
      <c r="A560">
        <v>559</v>
      </c>
      <c r="B560">
        <v>1269</v>
      </c>
      <c r="C560">
        <v>3</v>
      </c>
      <c r="D560">
        <v>3</v>
      </c>
      <c r="E560">
        <v>45</v>
      </c>
      <c r="F560">
        <f t="shared" si="24"/>
        <v>135</v>
      </c>
      <c r="G560" t="str">
        <f>VLOOKUP(B560,Orders!$A$2:$D$1201,4,FALSE)</f>
        <v>Shipped</v>
      </c>
      <c r="H560">
        <f t="shared" si="25"/>
        <v>135</v>
      </c>
      <c r="I560" s="12">
        <f>VLOOKUP(B560,Orders!$A$2:$D$1201,3,FALSE)</f>
        <v>46133</v>
      </c>
      <c r="L560" t="str">
        <f>VLOOKUP(C560,Products!$A$2:$D$13,2,FALSE)</f>
        <v>Keyboard</v>
      </c>
      <c r="M560" t="str">
        <f t="shared" si="26"/>
        <v>2026-04</v>
      </c>
    </row>
    <row r="561" spans="1:13">
      <c r="A561">
        <v>560</v>
      </c>
      <c r="B561">
        <v>1269</v>
      </c>
      <c r="C561">
        <v>1</v>
      </c>
      <c r="D561">
        <v>2</v>
      </c>
      <c r="E561">
        <v>750</v>
      </c>
      <c r="F561">
        <f t="shared" si="24"/>
        <v>1500</v>
      </c>
      <c r="G561" t="str">
        <f>VLOOKUP(B561,Orders!$A$2:$D$1201,4,FALSE)</f>
        <v>Shipped</v>
      </c>
      <c r="H561">
        <f t="shared" si="25"/>
        <v>1500</v>
      </c>
      <c r="I561" s="12">
        <f>VLOOKUP(B561,Orders!$A$2:$D$1201,3,FALSE)</f>
        <v>46133</v>
      </c>
      <c r="L561" t="str">
        <f>VLOOKUP(C561,Products!$A$2:$D$13,2,FALSE)</f>
        <v>Laptop</v>
      </c>
      <c r="M561" t="str">
        <f t="shared" si="26"/>
        <v>2026-04</v>
      </c>
    </row>
    <row r="562" spans="1:13">
      <c r="A562">
        <v>561</v>
      </c>
      <c r="B562">
        <v>1270</v>
      </c>
      <c r="C562">
        <v>11</v>
      </c>
      <c r="D562">
        <v>3</v>
      </c>
      <c r="E562">
        <v>48</v>
      </c>
      <c r="F562">
        <f t="shared" si="24"/>
        <v>144</v>
      </c>
      <c r="G562" t="str">
        <f>VLOOKUP(B562,Orders!$A$2:$D$1201,4,FALSE)</f>
        <v>Delivered</v>
      </c>
      <c r="H562">
        <f t="shared" si="25"/>
        <v>144</v>
      </c>
      <c r="I562" s="12">
        <f>VLOOKUP(B562,Orders!$A$2:$D$1201,3,FALSE)</f>
        <v>46201</v>
      </c>
      <c r="L562" t="str">
        <f>VLOOKUP(C562,Products!$A$2:$D$13,2,FALSE)</f>
        <v>Backpack</v>
      </c>
      <c r="M562" t="str">
        <f t="shared" si="26"/>
        <v>2026-06</v>
      </c>
    </row>
    <row r="563" spans="1:13">
      <c r="A563">
        <v>562</v>
      </c>
      <c r="B563">
        <v>1270</v>
      </c>
      <c r="C563">
        <v>5</v>
      </c>
      <c r="D563">
        <v>2</v>
      </c>
      <c r="E563">
        <v>180</v>
      </c>
      <c r="F563">
        <f t="shared" si="24"/>
        <v>360</v>
      </c>
      <c r="G563" t="str">
        <f>VLOOKUP(B563,Orders!$A$2:$D$1201,4,FALSE)</f>
        <v>Delivered</v>
      </c>
      <c r="H563">
        <f t="shared" si="25"/>
        <v>360</v>
      </c>
      <c r="I563" s="12">
        <f>VLOOKUP(B563,Orders!$A$2:$D$1201,3,FALSE)</f>
        <v>46201</v>
      </c>
      <c r="L563" t="str">
        <f>VLOOKUP(C563,Products!$A$2:$D$13,2,FALSE)</f>
        <v>Desk</v>
      </c>
      <c r="M563" t="str">
        <f t="shared" si="26"/>
        <v>2026-06</v>
      </c>
    </row>
    <row r="564" spans="1:13">
      <c r="A564">
        <v>563</v>
      </c>
      <c r="B564">
        <v>1271</v>
      </c>
      <c r="C564">
        <v>2</v>
      </c>
      <c r="D564">
        <v>4</v>
      </c>
      <c r="E564">
        <v>220</v>
      </c>
      <c r="F564">
        <f t="shared" si="24"/>
        <v>880</v>
      </c>
      <c r="G564" t="str">
        <f>VLOOKUP(B564,Orders!$A$2:$D$1201,4,FALSE)</f>
        <v>Delivered</v>
      </c>
      <c r="H564">
        <f t="shared" si="25"/>
        <v>880</v>
      </c>
      <c r="I564" s="12">
        <f>VLOOKUP(B564,Orders!$A$2:$D$1201,3,FALSE)</f>
        <v>46062</v>
      </c>
      <c r="L564" t="str">
        <f>VLOOKUP(C564,Products!$A$2:$D$13,2,FALSE)</f>
        <v>Monitor</v>
      </c>
      <c r="M564" t="str">
        <f t="shared" si="26"/>
        <v>2026-02</v>
      </c>
    </row>
    <row r="565" spans="1:13">
      <c r="A565">
        <v>564</v>
      </c>
      <c r="B565">
        <v>1271</v>
      </c>
      <c r="C565">
        <v>5</v>
      </c>
      <c r="D565">
        <v>2</v>
      </c>
      <c r="E565">
        <v>180</v>
      </c>
      <c r="F565">
        <f t="shared" si="24"/>
        <v>360</v>
      </c>
      <c r="G565" t="str">
        <f>VLOOKUP(B565,Orders!$A$2:$D$1201,4,FALSE)</f>
        <v>Delivered</v>
      </c>
      <c r="H565">
        <f t="shared" si="25"/>
        <v>360</v>
      </c>
      <c r="I565" s="12">
        <f>VLOOKUP(B565,Orders!$A$2:$D$1201,3,FALSE)</f>
        <v>46062</v>
      </c>
      <c r="L565" t="str">
        <f>VLOOKUP(C565,Products!$A$2:$D$13,2,FALSE)</f>
        <v>Desk</v>
      </c>
      <c r="M565" t="str">
        <f t="shared" si="26"/>
        <v>2026-02</v>
      </c>
    </row>
    <row r="566" spans="1:13">
      <c r="A566">
        <v>565</v>
      </c>
      <c r="B566">
        <v>1272</v>
      </c>
      <c r="C566">
        <v>8</v>
      </c>
      <c r="D566">
        <v>3</v>
      </c>
      <c r="E566">
        <v>55</v>
      </c>
      <c r="F566">
        <f t="shared" si="24"/>
        <v>165</v>
      </c>
      <c r="G566" t="str">
        <f>VLOOKUP(B566,Orders!$A$2:$D$1201,4,FALSE)</f>
        <v>Delivered</v>
      </c>
      <c r="H566">
        <f t="shared" si="25"/>
        <v>165</v>
      </c>
      <c r="I566" s="12">
        <f>VLOOKUP(B566,Orders!$A$2:$D$1201,3,FALSE)</f>
        <v>46144</v>
      </c>
      <c r="L566" t="str">
        <f>VLOOKUP(C566,Products!$A$2:$D$13,2,FALSE)</f>
        <v>Webcam</v>
      </c>
      <c r="M566" t="str">
        <f t="shared" si="26"/>
        <v>2026-05</v>
      </c>
    </row>
    <row r="567" spans="1:13">
      <c r="A567">
        <v>566</v>
      </c>
      <c r="B567">
        <v>1272</v>
      </c>
      <c r="C567">
        <v>12</v>
      </c>
      <c r="D567">
        <v>1</v>
      </c>
      <c r="E567">
        <v>22</v>
      </c>
      <c r="F567">
        <f t="shared" si="24"/>
        <v>22</v>
      </c>
      <c r="G567" t="str">
        <f>VLOOKUP(B567,Orders!$A$2:$D$1201,4,FALSE)</f>
        <v>Delivered</v>
      </c>
      <c r="H567">
        <f t="shared" si="25"/>
        <v>22</v>
      </c>
      <c r="I567" s="12">
        <f>VLOOKUP(B567,Orders!$A$2:$D$1201,3,FALSE)</f>
        <v>46144</v>
      </c>
      <c r="L567" t="str">
        <f>VLOOKUP(C567,Products!$A$2:$D$13,2,FALSE)</f>
        <v>Storage Box</v>
      </c>
      <c r="M567" t="str">
        <f t="shared" si="26"/>
        <v>2026-05</v>
      </c>
    </row>
    <row r="568" spans="1:13">
      <c r="A568">
        <v>567</v>
      </c>
      <c r="B568">
        <v>1273</v>
      </c>
      <c r="C568">
        <v>8</v>
      </c>
      <c r="D568">
        <v>3</v>
      </c>
      <c r="E568">
        <v>55</v>
      </c>
      <c r="F568">
        <f t="shared" si="24"/>
        <v>165</v>
      </c>
      <c r="G568" t="str">
        <f>VLOOKUP(B568,Orders!$A$2:$D$1201,4,FALSE)</f>
        <v>Delivered</v>
      </c>
      <c r="H568">
        <f t="shared" si="25"/>
        <v>165</v>
      </c>
      <c r="I568" s="12">
        <f>VLOOKUP(B568,Orders!$A$2:$D$1201,3,FALSE)</f>
        <v>46117</v>
      </c>
      <c r="L568" t="str">
        <f>VLOOKUP(C568,Products!$A$2:$D$13,2,FALSE)</f>
        <v>Webcam</v>
      </c>
      <c r="M568" t="str">
        <f t="shared" si="26"/>
        <v>2026-04</v>
      </c>
    </row>
    <row r="569" spans="1:13">
      <c r="A569">
        <v>568</v>
      </c>
      <c r="B569">
        <v>1273</v>
      </c>
      <c r="C569">
        <v>12</v>
      </c>
      <c r="D569">
        <v>2</v>
      </c>
      <c r="E569">
        <v>22</v>
      </c>
      <c r="F569">
        <f t="shared" si="24"/>
        <v>44</v>
      </c>
      <c r="G569" t="str">
        <f>VLOOKUP(B569,Orders!$A$2:$D$1201,4,FALSE)</f>
        <v>Delivered</v>
      </c>
      <c r="H569">
        <f t="shared" si="25"/>
        <v>44</v>
      </c>
      <c r="I569" s="12">
        <f>VLOOKUP(B569,Orders!$A$2:$D$1201,3,FALSE)</f>
        <v>46117</v>
      </c>
      <c r="L569" t="str">
        <f>VLOOKUP(C569,Products!$A$2:$D$13,2,FALSE)</f>
        <v>Storage Box</v>
      </c>
      <c r="M569" t="str">
        <f t="shared" si="26"/>
        <v>2026-04</v>
      </c>
    </row>
    <row r="570" spans="1:13">
      <c r="A570">
        <v>569</v>
      </c>
      <c r="B570">
        <v>1274</v>
      </c>
      <c r="C570">
        <v>7</v>
      </c>
      <c r="D570">
        <v>1</v>
      </c>
      <c r="E570">
        <v>65</v>
      </c>
      <c r="F570">
        <f t="shared" si="24"/>
        <v>65</v>
      </c>
      <c r="G570" t="str">
        <f>VLOOKUP(B570,Orders!$A$2:$D$1201,4,FALSE)</f>
        <v>Delivered</v>
      </c>
      <c r="H570">
        <f t="shared" si="25"/>
        <v>65</v>
      </c>
      <c r="I570" s="12">
        <f>VLOOKUP(B570,Orders!$A$2:$D$1201,3,FALSE)</f>
        <v>46193</v>
      </c>
      <c r="L570" t="str">
        <f>VLOOKUP(C570,Products!$A$2:$D$13,2,FALSE)</f>
        <v>Headphones</v>
      </c>
      <c r="M570" t="str">
        <f t="shared" si="26"/>
        <v>2026-06</v>
      </c>
    </row>
    <row r="571" spans="1:13">
      <c r="A571">
        <v>570</v>
      </c>
      <c r="B571">
        <v>1274</v>
      </c>
      <c r="C571">
        <v>10</v>
      </c>
      <c r="D571">
        <v>4</v>
      </c>
      <c r="E571">
        <v>8</v>
      </c>
      <c r="F571">
        <f t="shared" si="24"/>
        <v>32</v>
      </c>
      <c r="G571" t="str">
        <f>VLOOKUP(B571,Orders!$A$2:$D$1201,4,FALSE)</f>
        <v>Delivered</v>
      </c>
      <c r="H571">
        <f t="shared" si="25"/>
        <v>32</v>
      </c>
      <c r="I571" s="12">
        <f>VLOOKUP(B571,Orders!$A$2:$D$1201,3,FALSE)</f>
        <v>46193</v>
      </c>
      <c r="L571" t="str">
        <f>VLOOKUP(C571,Products!$A$2:$D$13,2,FALSE)</f>
        <v>Notebook</v>
      </c>
      <c r="M571" t="str">
        <f t="shared" si="26"/>
        <v>2026-06</v>
      </c>
    </row>
    <row r="572" spans="1:13">
      <c r="A572">
        <v>571</v>
      </c>
      <c r="B572">
        <v>1274</v>
      </c>
      <c r="C572">
        <v>4</v>
      </c>
      <c r="D572">
        <v>4</v>
      </c>
      <c r="E572">
        <v>25</v>
      </c>
      <c r="F572">
        <f t="shared" si="24"/>
        <v>100</v>
      </c>
      <c r="G572" t="str">
        <f>VLOOKUP(B572,Orders!$A$2:$D$1201,4,FALSE)</f>
        <v>Delivered</v>
      </c>
      <c r="H572">
        <f t="shared" si="25"/>
        <v>100</v>
      </c>
      <c r="I572" s="12">
        <f>VLOOKUP(B572,Orders!$A$2:$D$1201,3,FALSE)</f>
        <v>46193</v>
      </c>
      <c r="L572" t="str">
        <f>VLOOKUP(C572,Products!$A$2:$D$13,2,FALSE)</f>
        <v>Mouse</v>
      </c>
      <c r="M572" t="str">
        <f t="shared" si="26"/>
        <v>2026-06</v>
      </c>
    </row>
    <row r="573" spans="1:13">
      <c r="A573">
        <v>572</v>
      </c>
      <c r="B573">
        <v>1275</v>
      </c>
      <c r="C573">
        <v>12</v>
      </c>
      <c r="D573">
        <v>2</v>
      </c>
      <c r="E573">
        <v>22</v>
      </c>
      <c r="F573">
        <f t="shared" si="24"/>
        <v>44</v>
      </c>
      <c r="G573" t="str">
        <f>VLOOKUP(B573,Orders!$A$2:$D$1201,4,FALSE)</f>
        <v>Delivered</v>
      </c>
      <c r="H573">
        <f t="shared" si="25"/>
        <v>44</v>
      </c>
      <c r="I573" s="12">
        <f>VLOOKUP(B573,Orders!$A$2:$D$1201,3,FALSE)</f>
        <v>46083</v>
      </c>
      <c r="L573" t="str">
        <f>VLOOKUP(C573,Products!$A$2:$D$13,2,FALSE)</f>
        <v>Storage Box</v>
      </c>
      <c r="M573" t="str">
        <f t="shared" si="26"/>
        <v>2026-03</v>
      </c>
    </row>
    <row r="574" spans="1:13">
      <c r="A574">
        <v>573</v>
      </c>
      <c r="B574">
        <v>1275</v>
      </c>
      <c r="C574">
        <v>1</v>
      </c>
      <c r="D574">
        <v>1</v>
      </c>
      <c r="E574">
        <v>750</v>
      </c>
      <c r="F574">
        <f t="shared" si="24"/>
        <v>750</v>
      </c>
      <c r="G574" t="str">
        <f>VLOOKUP(B574,Orders!$A$2:$D$1201,4,FALSE)</f>
        <v>Delivered</v>
      </c>
      <c r="H574">
        <f t="shared" si="25"/>
        <v>750</v>
      </c>
      <c r="I574" s="12">
        <f>VLOOKUP(B574,Orders!$A$2:$D$1201,3,FALSE)</f>
        <v>46083</v>
      </c>
      <c r="L574" t="str">
        <f>VLOOKUP(C574,Products!$A$2:$D$13,2,FALSE)</f>
        <v>Laptop</v>
      </c>
      <c r="M574" t="str">
        <f t="shared" si="26"/>
        <v>2026-03</v>
      </c>
    </row>
    <row r="575" spans="1:13">
      <c r="A575">
        <v>574</v>
      </c>
      <c r="B575">
        <v>1276</v>
      </c>
      <c r="C575">
        <v>7</v>
      </c>
      <c r="D575">
        <v>1</v>
      </c>
      <c r="E575">
        <v>65</v>
      </c>
      <c r="F575">
        <f t="shared" si="24"/>
        <v>65</v>
      </c>
      <c r="G575" t="str">
        <f>VLOOKUP(B575,Orders!$A$2:$D$1201,4,FALSE)</f>
        <v>Delivered</v>
      </c>
      <c r="H575">
        <f t="shared" si="25"/>
        <v>65</v>
      </c>
      <c r="I575" s="12">
        <f>VLOOKUP(B575,Orders!$A$2:$D$1201,3,FALSE)</f>
        <v>46077</v>
      </c>
      <c r="L575" t="str">
        <f>VLOOKUP(C575,Products!$A$2:$D$13,2,FALSE)</f>
        <v>Headphones</v>
      </c>
      <c r="M575" t="str">
        <f t="shared" si="26"/>
        <v>2026-02</v>
      </c>
    </row>
    <row r="576" spans="1:13">
      <c r="A576">
        <v>575</v>
      </c>
      <c r="B576">
        <v>1277</v>
      </c>
      <c r="C576">
        <v>12</v>
      </c>
      <c r="D576">
        <v>1</v>
      </c>
      <c r="E576">
        <v>22</v>
      </c>
      <c r="F576">
        <f t="shared" si="24"/>
        <v>22</v>
      </c>
      <c r="G576" t="str">
        <f>VLOOKUP(B576,Orders!$A$2:$D$1201,4,FALSE)</f>
        <v>Delivered</v>
      </c>
      <c r="H576">
        <f t="shared" si="25"/>
        <v>22</v>
      </c>
      <c r="I576" s="12">
        <f>VLOOKUP(B576,Orders!$A$2:$D$1201,3,FALSE)</f>
        <v>46060</v>
      </c>
      <c r="L576" t="str">
        <f>VLOOKUP(C576,Products!$A$2:$D$13,2,FALSE)</f>
        <v>Storage Box</v>
      </c>
      <c r="M576" t="str">
        <f t="shared" si="26"/>
        <v>2026-02</v>
      </c>
    </row>
    <row r="577" spans="1:13">
      <c r="A577">
        <v>576</v>
      </c>
      <c r="B577">
        <v>1277</v>
      </c>
      <c r="C577">
        <v>2</v>
      </c>
      <c r="D577">
        <v>4</v>
      </c>
      <c r="E577">
        <v>220</v>
      </c>
      <c r="F577">
        <f t="shared" si="24"/>
        <v>880</v>
      </c>
      <c r="G577" t="str">
        <f>VLOOKUP(B577,Orders!$A$2:$D$1201,4,FALSE)</f>
        <v>Delivered</v>
      </c>
      <c r="H577">
        <f t="shared" si="25"/>
        <v>880</v>
      </c>
      <c r="I577" s="12">
        <f>VLOOKUP(B577,Orders!$A$2:$D$1201,3,FALSE)</f>
        <v>46060</v>
      </c>
      <c r="L577" t="str">
        <f>VLOOKUP(C577,Products!$A$2:$D$13,2,FALSE)</f>
        <v>Monitor</v>
      </c>
      <c r="M577" t="str">
        <f t="shared" si="26"/>
        <v>2026-02</v>
      </c>
    </row>
    <row r="578" spans="1:13">
      <c r="A578">
        <v>577</v>
      </c>
      <c r="B578">
        <v>1278</v>
      </c>
      <c r="C578">
        <v>10</v>
      </c>
      <c r="D578">
        <v>4</v>
      </c>
      <c r="E578">
        <v>8</v>
      </c>
      <c r="F578">
        <f t="shared" si="24"/>
        <v>32</v>
      </c>
      <c r="G578" t="str">
        <f>VLOOKUP(B578,Orders!$A$2:$D$1201,4,FALSE)</f>
        <v>Shipped</v>
      </c>
      <c r="H578">
        <f t="shared" si="25"/>
        <v>32</v>
      </c>
      <c r="I578" s="12">
        <f>VLOOKUP(B578,Orders!$A$2:$D$1201,3,FALSE)</f>
        <v>46140</v>
      </c>
      <c r="L578" t="str">
        <f>VLOOKUP(C578,Products!$A$2:$D$13,2,FALSE)</f>
        <v>Notebook</v>
      </c>
      <c r="M578" t="str">
        <f t="shared" si="26"/>
        <v>2026-04</v>
      </c>
    </row>
    <row r="579" spans="1:13">
      <c r="A579">
        <v>578</v>
      </c>
      <c r="B579">
        <v>1278</v>
      </c>
      <c r="C579">
        <v>12</v>
      </c>
      <c r="D579">
        <v>1</v>
      </c>
      <c r="E579">
        <v>22</v>
      </c>
      <c r="F579">
        <f t="shared" ref="F579:F642" si="27">D579*E579</f>
        <v>22</v>
      </c>
      <c r="G579" t="str">
        <f>VLOOKUP(B579,Orders!$A$2:$D$1201,4,FALSE)</f>
        <v>Shipped</v>
      </c>
      <c r="H579">
        <f t="shared" ref="H579:H642" si="28">IF(G579="Cancelled",0,F579)</f>
        <v>22</v>
      </c>
      <c r="I579" s="12">
        <f>VLOOKUP(B579,Orders!$A$2:$D$1201,3,FALSE)</f>
        <v>46140</v>
      </c>
      <c r="L579" t="str">
        <f>VLOOKUP(C579,Products!$A$2:$D$13,2,FALSE)</f>
        <v>Storage Box</v>
      </c>
      <c r="M579" t="str">
        <f t="shared" ref="M579:M642" si="29">TEXT(I579,"yyyy-mm")</f>
        <v>2026-04</v>
      </c>
    </row>
    <row r="580" spans="1:13">
      <c r="A580">
        <v>579</v>
      </c>
      <c r="B580">
        <v>1278</v>
      </c>
      <c r="C580">
        <v>9</v>
      </c>
      <c r="D580">
        <v>4</v>
      </c>
      <c r="E580">
        <v>30</v>
      </c>
      <c r="F580">
        <f t="shared" si="27"/>
        <v>120</v>
      </c>
      <c r="G580" t="str">
        <f>VLOOKUP(B580,Orders!$A$2:$D$1201,4,FALSE)</f>
        <v>Shipped</v>
      </c>
      <c r="H580">
        <f t="shared" si="28"/>
        <v>120</v>
      </c>
      <c r="I580" s="12">
        <f>VLOOKUP(B580,Orders!$A$2:$D$1201,3,FALSE)</f>
        <v>46140</v>
      </c>
      <c r="L580" t="str">
        <f>VLOOKUP(C580,Products!$A$2:$D$13,2,FALSE)</f>
        <v>Lamp</v>
      </c>
      <c r="M580" t="str">
        <f t="shared" si="29"/>
        <v>2026-04</v>
      </c>
    </row>
    <row r="581" spans="1:13">
      <c r="A581">
        <v>580</v>
      </c>
      <c r="B581">
        <v>1279</v>
      </c>
      <c r="C581">
        <v>10</v>
      </c>
      <c r="D581">
        <v>1</v>
      </c>
      <c r="E581">
        <v>8</v>
      </c>
      <c r="F581">
        <f t="shared" si="27"/>
        <v>8</v>
      </c>
      <c r="G581" t="str">
        <f>VLOOKUP(B581,Orders!$A$2:$D$1201,4,FALSE)</f>
        <v>Delivered</v>
      </c>
      <c r="H581">
        <f t="shared" si="28"/>
        <v>8</v>
      </c>
      <c r="I581" s="12">
        <f>VLOOKUP(B581,Orders!$A$2:$D$1201,3,FALSE)</f>
        <v>46173</v>
      </c>
      <c r="L581" t="str">
        <f>VLOOKUP(C581,Products!$A$2:$D$13,2,FALSE)</f>
        <v>Notebook</v>
      </c>
      <c r="M581" t="str">
        <f t="shared" si="29"/>
        <v>2026-05</v>
      </c>
    </row>
    <row r="582" spans="1:13">
      <c r="A582">
        <v>581</v>
      </c>
      <c r="B582">
        <v>1280</v>
      </c>
      <c r="C582">
        <v>10</v>
      </c>
      <c r="D582">
        <v>2</v>
      </c>
      <c r="E582">
        <v>8</v>
      </c>
      <c r="F582">
        <f t="shared" si="27"/>
        <v>16</v>
      </c>
      <c r="G582" t="str">
        <f>VLOOKUP(B582,Orders!$A$2:$D$1201,4,FALSE)</f>
        <v>Delivered</v>
      </c>
      <c r="H582">
        <f t="shared" si="28"/>
        <v>16</v>
      </c>
      <c r="I582" s="12">
        <f>VLOOKUP(B582,Orders!$A$2:$D$1201,3,FALSE)</f>
        <v>46090</v>
      </c>
      <c r="L582" t="str">
        <f>VLOOKUP(C582,Products!$A$2:$D$13,2,FALSE)</f>
        <v>Notebook</v>
      </c>
      <c r="M582" t="str">
        <f t="shared" si="29"/>
        <v>2026-03</v>
      </c>
    </row>
    <row r="583" spans="1:13">
      <c r="A583">
        <v>582</v>
      </c>
      <c r="B583">
        <v>1280</v>
      </c>
      <c r="C583">
        <v>8</v>
      </c>
      <c r="D583">
        <v>3</v>
      </c>
      <c r="E583">
        <v>55</v>
      </c>
      <c r="F583">
        <f t="shared" si="27"/>
        <v>165</v>
      </c>
      <c r="G583" t="str">
        <f>VLOOKUP(B583,Orders!$A$2:$D$1201,4,FALSE)</f>
        <v>Delivered</v>
      </c>
      <c r="H583">
        <f t="shared" si="28"/>
        <v>165</v>
      </c>
      <c r="I583" s="12">
        <f>VLOOKUP(B583,Orders!$A$2:$D$1201,3,FALSE)</f>
        <v>46090</v>
      </c>
      <c r="L583" t="str">
        <f>VLOOKUP(C583,Products!$A$2:$D$13,2,FALSE)</f>
        <v>Webcam</v>
      </c>
      <c r="M583" t="str">
        <f t="shared" si="29"/>
        <v>2026-03</v>
      </c>
    </row>
    <row r="584" spans="1:13">
      <c r="A584">
        <v>583</v>
      </c>
      <c r="B584">
        <v>1280</v>
      </c>
      <c r="C584">
        <v>1</v>
      </c>
      <c r="D584">
        <v>4</v>
      </c>
      <c r="E584">
        <v>750</v>
      </c>
      <c r="F584">
        <f t="shared" si="27"/>
        <v>3000</v>
      </c>
      <c r="G584" t="str">
        <f>VLOOKUP(B584,Orders!$A$2:$D$1201,4,FALSE)</f>
        <v>Delivered</v>
      </c>
      <c r="H584">
        <f t="shared" si="28"/>
        <v>3000</v>
      </c>
      <c r="I584" s="12">
        <f>VLOOKUP(B584,Orders!$A$2:$D$1201,3,FALSE)</f>
        <v>46090</v>
      </c>
      <c r="L584" t="str">
        <f>VLOOKUP(C584,Products!$A$2:$D$13,2,FALSE)</f>
        <v>Laptop</v>
      </c>
      <c r="M584" t="str">
        <f t="shared" si="29"/>
        <v>2026-03</v>
      </c>
    </row>
    <row r="585" spans="1:13">
      <c r="A585">
        <v>584</v>
      </c>
      <c r="B585">
        <v>1281</v>
      </c>
      <c r="C585">
        <v>4</v>
      </c>
      <c r="D585">
        <v>3</v>
      </c>
      <c r="E585">
        <v>25</v>
      </c>
      <c r="F585">
        <f t="shared" si="27"/>
        <v>75</v>
      </c>
      <c r="G585" t="str">
        <f>VLOOKUP(B585,Orders!$A$2:$D$1201,4,FALSE)</f>
        <v>Cancelled</v>
      </c>
      <c r="H585">
        <f t="shared" si="28"/>
        <v>0</v>
      </c>
      <c r="I585" s="12">
        <f>VLOOKUP(B585,Orders!$A$2:$D$1201,3,FALSE)</f>
        <v>46124</v>
      </c>
      <c r="L585" t="str">
        <f>VLOOKUP(C585,Products!$A$2:$D$13,2,FALSE)</f>
        <v>Mouse</v>
      </c>
      <c r="M585" t="str">
        <f t="shared" si="29"/>
        <v>2026-04</v>
      </c>
    </row>
    <row r="586" spans="1:13">
      <c r="A586">
        <v>585</v>
      </c>
      <c r="B586">
        <v>1281</v>
      </c>
      <c r="C586">
        <v>1</v>
      </c>
      <c r="D586">
        <v>3</v>
      </c>
      <c r="E586">
        <v>750</v>
      </c>
      <c r="F586">
        <f t="shared" si="27"/>
        <v>2250</v>
      </c>
      <c r="G586" t="str">
        <f>VLOOKUP(B586,Orders!$A$2:$D$1201,4,FALSE)</f>
        <v>Cancelled</v>
      </c>
      <c r="H586">
        <f t="shared" si="28"/>
        <v>0</v>
      </c>
      <c r="I586" s="12">
        <f>VLOOKUP(B586,Orders!$A$2:$D$1201,3,FALSE)</f>
        <v>46124</v>
      </c>
      <c r="L586" t="str">
        <f>VLOOKUP(C586,Products!$A$2:$D$13,2,FALSE)</f>
        <v>Laptop</v>
      </c>
      <c r="M586" t="str">
        <f t="shared" si="29"/>
        <v>2026-04</v>
      </c>
    </row>
    <row r="587" spans="1:13">
      <c r="A587">
        <v>586</v>
      </c>
      <c r="B587">
        <v>1281</v>
      </c>
      <c r="C587">
        <v>8</v>
      </c>
      <c r="D587">
        <v>1</v>
      </c>
      <c r="E587">
        <v>55</v>
      </c>
      <c r="F587">
        <f t="shared" si="27"/>
        <v>55</v>
      </c>
      <c r="G587" t="str">
        <f>VLOOKUP(B587,Orders!$A$2:$D$1201,4,FALSE)</f>
        <v>Cancelled</v>
      </c>
      <c r="H587">
        <f t="shared" si="28"/>
        <v>0</v>
      </c>
      <c r="I587" s="12">
        <f>VLOOKUP(B587,Orders!$A$2:$D$1201,3,FALSE)</f>
        <v>46124</v>
      </c>
      <c r="L587" t="str">
        <f>VLOOKUP(C587,Products!$A$2:$D$13,2,FALSE)</f>
        <v>Webcam</v>
      </c>
      <c r="M587" t="str">
        <f t="shared" si="29"/>
        <v>2026-04</v>
      </c>
    </row>
    <row r="588" spans="1:13">
      <c r="A588">
        <v>587</v>
      </c>
      <c r="B588">
        <v>1282</v>
      </c>
      <c r="C588">
        <v>5</v>
      </c>
      <c r="D588">
        <v>1</v>
      </c>
      <c r="E588">
        <v>180</v>
      </c>
      <c r="F588">
        <f t="shared" si="27"/>
        <v>180</v>
      </c>
      <c r="G588" t="str">
        <f>VLOOKUP(B588,Orders!$A$2:$D$1201,4,FALSE)</f>
        <v>Delivered</v>
      </c>
      <c r="H588">
        <f t="shared" si="28"/>
        <v>180</v>
      </c>
      <c r="I588" s="12">
        <f>VLOOKUP(B588,Orders!$A$2:$D$1201,3,FALSE)</f>
        <v>46109</v>
      </c>
      <c r="L588" t="str">
        <f>VLOOKUP(C588,Products!$A$2:$D$13,2,FALSE)</f>
        <v>Desk</v>
      </c>
      <c r="M588" t="str">
        <f t="shared" si="29"/>
        <v>2026-03</v>
      </c>
    </row>
    <row r="589" spans="1:13">
      <c r="A589">
        <v>588</v>
      </c>
      <c r="B589">
        <v>1282</v>
      </c>
      <c r="C589">
        <v>8</v>
      </c>
      <c r="D589">
        <v>2</v>
      </c>
      <c r="E589">
        <v>55</v>
      </c>
      <c r="F589">
        <f t="shared" si="27"/>
        <v>110</v>
      </c>
      <c r="G589" t="str">
        <f>VLOOKUP(B589,Orders!$A$2:$D$1201,4,FALSE)</f>
        <v>Delivered</v>
      </c>
      <c r="H589">
        <f t="shared" si="28"/>
        <v>110</v>
      </c>
      <c r="I589" s="12">
        <f>VLOOKUP(B589,Orders!$A$2:$D$1201,3,FALSE)</f>
        <v>46109</v>
      </c>
      <c r="L589" t="str">
        <f>VLOOKUP(C589,Products!$A$2:$D$13,2,FALSE)</f>
        <v>Webcam</v>
      </c>
      <c r="M589" t="str">
        <f t="shared" si="29"/>
        <v>2026-03</v>
      </c>
    </row>
    <row r="590" spans="1:13">
      <c r="A590">
        <v>589</v>
      </c>
      <c r="B590">
        <v>1283</v>
      </c>
      <c r="C590">
        <v>8</v>
      </c>
      <c r="D590">
        <v>2</v>
      </c>
      <c r="E590">
        <v>55</v>
      </c>
      <c r="F590">
        <f t="shared" si="27"/>
        <v>110</v>
      </c>
      <c r="G590" t="str">
        <f>VLOOKUP(B590,Orders!$A$2:$D$1201,4,FALSE)</f>
        <v>Delivered</v>
      </c>
      <c r="H590">
        <f t="shared" si="28"/>
        <v>110</v>
      </c>
      <c r="I590" s="12">
        <f>VLOOKUP(B590,Orders!$A$2:$D$1201,3,FALSE)</f>
        <v>46091</v>
      </c>
      <c r="L590" t="str">
        <f>VLOOKUP(C590,Products!$A$2:$D$13,2,FALSE)</f>
        <v>Webcam</v>
      </c>
      <c r="M590" t="str">
        <f t="shared" si="29"/>
        <v>2026-03</v>
      </c>
    </row>
    <row r="591" spans="1:13">
      <c r="A591">
        <v>590</v>
      </c>
      <c r="B591">
        <v>1284</v>
      </c>
      <c r="C591">
        <v>2</v>
      </c>
      <c r="D591">
        <v>3</v>
      </c>
      <c r="E591">
        <v>220</v>
      </c>
      <c r="F591">
        <f t="shared" si="27"/>
        <v>660</v>
      </c>
      <c r="G591" t="str">
        <f>VLOOKUP(B591,Orders!$A$2:$D$1201,4,FALSE)</f>
        <v>Delivered</v>
      </c>
      <c r="H591">
        <f t="shared" si="28"/>
        <v>660</v>
      </c>
      <c r="I591" s="12">
        <f>VLOOKUP(B591,Orders!$A$2:$D$1201,3,FALSE)</f>
        <v>46118</v>
      </c>
      <c r="L591" t="str">
        <f>VLOOKUP(C591,Products!$A$2:$D$13,2,FALSE)</f>
        <v>Monitor</v>
      </c>
      <c r="M591" t="str">
        <f t="shared" si="29"/>
        <v>2026-04</v>
      </c>
    </row>
    <row r="592" spans="1:13">
      <c r="A592">
        <v>591</v>
      </c>
      <c r="B592">
        <v>1285</v>
      </c>
      <c r="C592">
        <v>1</v>
      </c>
      <c r="D592">
        <v>2</v>
      </c>
      <c r="E592">
        <v>750</v>
      </c>
      <c r="F592">
        <f t="shared" si="27"/>
        <v>1500</v>
      </c>
      <c r="G592" t="str">
        <f>VLOOKUP(B592,Orders!$A$2:$D$1201,4,FALSE)</f>
        <v>Delivered</v>
      </c>
      <c r="H592">
        <f t="shared" si="28"/>
        <v>1500</v>
      </c>
      <c r="I592" s="12">
        <f>VLOOKUP(B592,Orders!$A$2:$D$1201,3,FALSE)</f>
        <v>46168</v>
      </c>
      <c r="L592" t="str">
        <f>VLOOKUP(C592,Products!$A$2:$D$13,2,FALSE)</f>
        <v>Laptop</v>
      </c>
      <c r="M592" t="str">
        <f t="shared" si="29"/>
        <v>2026-05</v>
      </c>
    </row>
    <row r="593" spans="1:13">
      <c r="A593">
        <v>592</v>
      </c>
      <c r="B593">
        <v>1286</v>
      </c>
      <c r="C593">
        <v>7</v>
      </c>
      <c r="D593">
        <v>1</v>
      </c>
      <c r="E593">
        <v>65</v>
      </c>
      <c r="F593">
        <f t="shared" si="27"/>
        <v>65</v>
      </c>
      <c r="G593" t="str">
        <f>VLOOKUP(B593,Orders!$A$2:$D$1201,4,FALSE)</f>
        <v>Delivered</v>
      </c>
      <c r="H593">
        <f t="shared" si="28"/>
        <v>65</v>
      </c>
      <c r="I593" s="12">
        <f>VLOOKUP(B593,Orders!$A$2:$D$1201,3,FALSE)</f>
        <v>46093</v>
      </c>
      <c r="L593" t="str">
        <f>VLOOKUP(C593,Products!$A$2:$D$13,2,FALSE)</f>
        <v>Headphones</v>
      </c>
      <c r="M593" t="str">
        <f t="shared" si="29"/>
        <v>2026-03</v>
      </c>
    </row>
    <row r="594" spans="1:13">
      <c r="A594">
        <v>593</v>
      </c>
      <c r="B594">
        <v>1286</v>
      </c>
      <c r="C594">
        <v>11</v>
      </c>
      <c r="D594">
        <v>2</v>
      </c>
      <c r="E594">
        <v>48</v>
      </c>
      <c r="F594">
        <f t="shared" si="27"/>
        <v>96</v>
      </c>
      <c r="G594" t="str">
        <f>VLOOKUP(B594,Orders!$A$2:$D$1201,4,FALSE)</f>
        <v>Delivered</v>
      </c>
      <c r="H594">
        <f t="shared" si="28"/>
        <v>96</v>
      </c>
      <c r="I594" s="12">
        <f>VLOOKUP(B594,Orders!$A$2:$D$1201,3,FALSE)</f>
        <v>46093</v>
      </c>
      <c r="L594" t="str">
        <f>VLOOKUP(C594,Products!$A$2:$D$13,2,FALSE)</f>
        <v>Backpack</v>
      </c>
      <c r="M594" t="str">
        <f t="shared" si="29"/>
        <v>2026-03</v>
      </c>
    </row>
    <row r="595" spans="1:13">
      <c r="A595">
        <v>594</v>
      </c>
      <c r="B595">
        <v>1286</v>
      </c>
      <c r="C595">
        <v>2</v>
      </c>
      <c r="D595">
        <v>3</v>
      </c>
      <c r="E595">
        <v>220</v>
      </c>
      <c r="F595">
        <f t="shared" si="27"/>
        <v>660</v>
      </c>
      <c r="G595" t="str">
        <f>VLOOKUP(B595,Orders!$A$2:$D$1201,4,FALSE)</f>
        <v>Delivered</v>
      </c>
      <c r="H595">
        <f t="shared" si="28"/>
        <v>660</v>
      </c>
      <c r="I595" s="12">
        <f>VLOOKUP(B595,Orders!$A$2:$D$1201,3,FALSE)</f>
        <v>46093</v>
      </c>
      <c r="L595" t="str">
        <f>VLOOKUP(C595,Products!$A$2:$D$13,2,FALSE)</f>
        <v>Monitor</v>
      </c>
      <c r="M595" t="str">
        <f t="shared" si="29"/>
        <v>2026-03</v>
      </c>
    </row>
    <row r="596" spans="1:13">
      <c r="A596">
        <v>595</v>
      </c>
      <c r="B596">
        <v>1287</v>
      </c>
      <c r="C596">
        <v>5</v>
      </c>
      <c r="D596">
        <v>1</v>
      </c>
      <c r="E596">
        <v>180</v>
      </c>
      <c r="F596">
        <f t="shared" si="27"/>
        <v>180</v>
      </c>
      <c r="G596" t="str">
        <f>VLOOKUP(B596,Orders!$A$2:$D$1201,4,FALSE)</f>
        <v>Delivered</v>
      </c>
      <c r="H596">
        <f t="shared" si="28"/>
        <v>180</v>
      </c>
      <c r="I596" s="12">
        <f>VLOOKUP(B596,Orders!$A$2:$D$1201,3,FALSE)</f>
        <v>46173</v>
      </c>
      <c r="L596" t="str">
        <f>VLOOKUP(C596,Products!$A$2:$D$13,2,FALSE)</f>
        <v>Desk</v>
      </c>
      <c r="M596" t="str">
        <f t="shared" si="29"/>
        <v>2026-05</v>
      </c>
    </row>
    <row r="597" spans="1:13">
      <c r="A597">
        <v>596</v>
      </c>
      <c r="B597">
        <v>1288</v>
      </c>
      <c r="C597">
        <v>4</v>
      </c>
      <c r="D597">
        <v>1</v>
      </c>
      <c r="E597">
        <v>25</v>
      </c>
      <c r="F597">
        <f t="shared" si="27"/>
        <v>25</v>
      </c>
      <c r="G597" t="str">
        <f>VLOOKUP(B597,Orders!$A$2:$D$1201,4,FALSE)</f>
        <v>Cancelled</v>
      </c>
      <c r="H597">
        <f t="shared" si="28"/>
        <v>0</v>
      </c>
      <c r="I597" s="12">
        <f>VLOOKUP(B597,Orders!$A$2:$D$1201,3,FALSE)</f>
        <v>46077</v>
      </c>
      <c r="L597" t="str">
        <f>VLOOKUP(C597,Products!$A$2:$D$13,2,FALSE)</f>
        <v>Mouse</v>
      </c>
      <c r="M597" t="str">
        <f t="shared" si="29"/>
        <v>2026-02</v>
      </c>
    </row>
    <row r="598" spans="1:13">
      <c r="A598">
        <v>597</v>
      </c>
      <c r="B598">
        <v>1288</v>
      </c>
      <c r="C598">
        <v>5</v>
      </c>
      <c r="D598">
        <v>1</v>
      </c>
      <c r="E598">
        <v>180</v>
      </c>
      <c r="F598">
        <f t="shared" si="27"/>
        <v>180</v>
      </c>
      <c r="G598" t="str">
        <f>VLOOKUP(B598,Orders!$A$2:$D$1201,4,FALSE)</f>
        <v>Cancelled</v>
      </c>
      <c r="H598">
        <f t="shared" si="28"/>
        <v>0</v>
      </c>
      <c r="I598" s="12">
        <f>VLOOKUP(B598,Orders!$A$2:$D$1201,3,FALSE)</f>
        <v>46077</v>
      </c>
      <c r="L598" t="str">
        <f>VLOOKUP(C598,Products!$A$2:$D$13,2,FALSE)</f>
        <v>Desk</v>
      </c>
      <c r="M598" t="str">
        <f t="shared" si="29"/>
        <v>2026-02</v>
      </c>
    </row>
    <row r="599" spans="1:13">
      <c r="A599">
        <v>598</v>
      </c>
      <c r="B599">
        <v>1288</v>
      </c>
      <c r="C599">
        <v>7</v>
      </c>
      <c r="D599">
        <v>4</v>
      </c>
      <c r="E599">
        <v>65</v>
      </c>
      <c r="F599">
        <f t="shared" si="27"/>
        <v>260</v>
      </c>
      <c r="G599" t="str">
        <f>VLOOKUP(B599,Orders!$A$2:$D$1201,4,FALSE)</f>
        <v>Cancelled</v>
      </c>
      <c r="H599">
        <f t="shared" si="28"/>
        <v>0</v>
      </c>
      <c r="I599" s="12">
        <f>VLOOKUP(B599,Orders!$A$2:$D$1201,3,FALSE)</f>
        <v>46077</v>
      </c>
      <c r="L599" t="str">
        <f>VLOOKUP(C599,Products!$A$2:$D$13,2,FALSE)</f>
        <v>Headphones</v>
      </c>
      <c r="M599" t="str">
        <f t="shared" si="29"/>
        <v>2026-02</v>
      </c>
    </row>
    <row r="600" spans="1:13">
      <c r="A600">
        <v>599</v>
      </c>
      <c r="B600">
        <v>1289</v>
      </c>
      <c r="C600">
        <v>5</v>
      </c>
      <c r="D600">
        <v>3</v>
      </c>
      <c r="E600">
        <v>180</v>
      </c>
      <c r="F600">
        <f t="shared" si="27"/>
        <v>540</v>
      </c>
      <c r="G600" t="str">
        <f>VLOOKUP(B600,Orders!$A$2:$D$1201,4,FALSE)</f>
        <v>Delivered</v>
      </c>
      <c r="H600">
        <f t="shared" si="28"/>
        <v>540</v>
      </c>
      <c r="I600" s="12">
        <f>VLOOKUP(B600,Orders!$A$2:$D$1201,3,FALSE)</f>
        <v>46056</v>
      </c>
      <c r="L600" t="str">
        <f>VLOOKUP(C600,Products!$A$2:$D$13,2,FALSE)</f>
        <v>Desk</v>
      </c>
      <c r="M600" t="str">
        <f t="shared" si="29"/>
        <v>2026-02</v>
      </c>
    </row>
    <row r="601" spans="1:13">
      <c r="A601">
        <v>600</v>
      </c>
      <c r="B601">
        <v>1290</v>
      </c>
      <c r="C601">
        <v>5</v>
      </c>
      <c r="D601">
        <v>4</v>
      </c>
      <c r="E601">
        <v>180</v>
      </c>
      <c r="F601">
        <f t="shared" si="27"/>
        <v>720</v>
      </c>
      <c r="G601" t="str">
        <f>VLOOKUP(B601,Orders!$A$2:$D$1201,4,FALSE)</f>
        <v>Delivered</v>
      </c>
      <c r="H601">
        <f t="shared" si="28"/>
        <v>720</v>
      </c>
      <c r="I601" s="12">
        <f>VLOOKUP(B601,Orders!$A$2:$D$1201,3,FALSE)</f>
        <v>46112</v>
      </c>
      <c r="L601" t="str">
        <f>VLOOKUP(C601,Products!$A$2:$D$13,2,FALSE)</f>
        <v>Desk</v>
      </c>
      <c r="M601" t="str">
        <f t="shared" si="29"/>
        <v>2026-03</v>
      </c>
    </row>
    <row r="602" spans="1:13">
      <c r="A602">
        <v>601</v>
      </c>
      <c r="B602">
        <v>1290</v>
      </c>
      <c r="C602">
        <v>11</v>
      </c>
      <c r="D602">
        <v>1</v>
      </c>
      <c r="E602">
        <v>48</v>
      </c>
      <c r="F602">
        <f t="shared" si="27"/>
        <v>48</v>
      </c>
      <c r="G602" t="str">
        <f>VLOOKUP(B602,Orders!$A$2:$D$1201,4,FALSE)</f>
        <v>Delivered</v>
      </c>
      <c r="H602">
        <f t="shared" si="28"/>
        <v>48</v>
      </c>
      <c r="I602" s="12">
        <f>VLOOKUP(B602,Orders!$A$2:$D$1201,3,FALSE)</f>
        <v>46112</v>
      </c>
      <c r="L602" t="str">
        <f>VLOOKUP(C602,Products!$A$2:$D$13,2,FALSE)</f>
        <v>Backpack</v>
      </c>
      <c r="M602" t="str">
        <f t="shared" si="29"/>
        <v>2026-03</v>
      </c>
    </row>
    <row r="603" spans="1:13">
      <c r="A603">
        <v>602</v>
      </c>
      <c r="B603">
        <v>1291</v>
      </c>
      <c r="C603">
        <v>11</v>
      </c>
      <c r="D603">
        <v>4</v>
      </c>
      <c r="E603">
        <v>48</v>
      </c>
      <c r="F603">
        <f t="shared" si="27"/>
        <v>192</v>
      </c>
      <c r="G603" t="str">
        <f>VLOOKUP(B603,Orders!$A$2:$D$1201,4,FALSE)</f>
        <v>Delivered</v>
      </c>
      <c r="H603">
        <f t="shared" si="28"/>
        <v>192</v>
      </c>
      <c r="I603" s="12">
        <f>VLOOKUP(B603,Orders!$A$2:$D$1201,3,FALSE)</f>
        <v>46166</v>
      </c>
      <c r="L603" t="str">
        <f>VLOOKUP(C603,Products!$A$2:$D$13,2,FALSE)</f>
        <v>Backpack</v>
      </c>
      <c r="M603" t="str">
        <f t="shared" si="29"/>
        <v>2026-05</v>
      </c>
    </row>
    <row r="604" spans="1:13">
      <c r="A604">
        <v>603</v>
      </c>
      <c r="B604">
        <v>1291</v>
      </c>
      <c r="C604">
        <v>2</v>
      </c>
      <c r="D604">
        <v>1</v>
      </c>
      <c r="E604">
        <v>220</v>
      </c>
      <c r="F604">
        <f t="shared" si="27"/>
        <v>220</v>
      </c>
      <c r="G604" t="str">
        <f>VLOOKUP(B604,Orders!$A$2:$D$1201,4,FALSE)</f>
        <v>Delivered</v>
      </c>
      <c r="H604">
        <f t="shared" si="28"/>
        <v>220</v>
      </c>
      <c r="I604" s="12">
        <f>VLOOKUP(B604,Orders!$A$2:$D$1201,3,FALSE)</f>
        <v>46166</v>
      </c>
      <c r="L604" t="str">
        <f>VLOOKUP(C604,Products!$A$2:$D$13,2,FALSE)</f>
        <v>Monitor</v>
      </c>
      <c r="M604" t="str">
        <f t="shared" si="29"/>
        <v>2026-05</v>
      </c>
    </row>
    <row r="605" spans="1:13">
      <c r="A605">
        <v>604</v>
      </c>
      <c r="B605">
        <v>1292</v>
      </c>
      <c r="C605">
        <v>3</v>
      </c>
      <c r="D605">
        <v>2</v>
      </c>
      <c r="E605">
        <v>45</v>
      </c>
      <c r="F605">
        <f t="shared" si="27"/>
        <v>90</v>
      </c>
      <c r="G605" t="str">
        <f>VLOOKUP(B605,Orders!$A$2:$D$1201,4,FALSE)</f>
        <v>Delivered</v>
      </c>
      <c r="H605">
        <f t="shared" si="28"/>
        <v>90</v>
      </c>
      <c r="I605" s="12">
        <f>VLOOKUP(B605,Orders!$A$2:$D$1201,3,FALSE)</f>
        <v>46089</v>
      </c>
      <c r="L605" t="str">
        <f>VLOOKUP(C605,Products!$A$2:$D$13,2,FALSE)</f>
        <v>Keyboard</v>
      </c>
      <c r="M605" t="str">
        <f t="shared" si="29"/>
        <v>2026-03</v>
      </c>
    </row>
    <row r="606" spans="1:13">
      <c r="A606">
        <v>605</v>
      </c>
      <c r="B606">
        <v>1293</v>
      </c>
      <c r="C606">
        <v>1</v>
      </c>
      <c r="D606">
        <v>3</v>
      </c>
      <c r="E606">
        <v>750</v>
      </c>
      <c r="F606">
        <f t="shared" si="27"/>
        <v>2250</v>
      </c>
      <c r="G606" t="str">
        <f>VLOOKUP(B606,Orders!$A$2:$D$1201,4,FALSE)</f>
        <v>Delivered</v>
      </c>
      <c r="H606">
        <f t="shared" si="28"/>
        <v>2250</v>
      </c>
      <c r="I606" s="12">
        <f>VLOOKUP(B606,Orders!$A$2:$D$1201,3,FALSE)</f>
        <v>46126</v>
      </c>
      <c r="L606" t="str">
        <f>VLOOKUP(C606,Products!$A$2:$D$13,2,FALSE)</f>
        <v>Laptop</v>
      </c>
      <c r="M606" t="str">
        <f t="shared" si="29"/>
        <v>2026-04</v>
      </c>
    </row>
    <row r="607" spans="1:13">
      <c r="A607">
        <v>606</v>
      </c>
      <c r="B607">
        <v>1293</v>
      </c>
      <c r="C607">
        <v>11</v>
      </c>
      <c r="D607">
        <v>3</v>
      </c>
      <c r="E607">
        <v>48</v>
      </c>
      <c r="F607">
        <f t="shared" si="27"/>
        <v>144</v>
      </c>
      <c r="G607" t="str">
        <f>VLOOKUP(B607,Orders!$A$2:$D$1201,4,FALSE)</f>
        <v>Delivered</v>
      </c>
      <c r="H607">
        <f t="shared" si="28"/>
        <v>144</v>
      </c>
      <c r="I607" s="12">
        <f>VLOOKUP(B607,Orders!$A$2:$D$1201,3,FALSE)</f>
        <v>46126</v>
      </c>
      <c r="L607" t="str">
        <f>VLOOKUP(C607,Products!$A$2:$D$13,2,FALSE)</f>
        <v>Backpack</v>
      </c>
      <c r="M607" t="str">
        <f t="shared" si="29"/>
        <v>2026-04</v>
      </c>
    </row>
    <row r="608" spans="1:13">
      <c r="A608">
        <v>607</v>
      </c>
      <c r="B608">
        <v>1293</v>
      </c>
      <c r="C608">
        <v>8</v>
      </c>
      <c r="D608">
        <v>4</v>
      </c>
      <c r="E608">
        <v>55</v>
      </c>
      <c r="F608">
        <f t="shared" si="27"/>
        <v>220</v>
      </c>
      <c r="G608" t="str">
        <f>VLOOKUP(B608,Orders!$A$2:$D$1201,4,FALSE)</f>
        <v>Delivered</v>
      </c>
      <c r="H608">
        <f t="shared" si="28"/>
        <v>220</v>
      </c>
      <c r="I608" s="12">
        <f>VLOOKUP(B608,Orders!$A$2:$D$1201,3,FALSE)</f>
        <v>46126</v>
      </c>
      <c r="L608" t="str">
        <f>VLOOKUP(C608,Products!$A$2:$D$13,2,FALSE)</f>
        <v>Webcam</v>
      </c>
      <c r="M608" t="str">
        <f t="shared" si="29"/>
        <v>2026-04</v>
      </c>
    </row>
    <row r="609" spans="1:13">
      <c r="A609">
        <v>608</v>
      </c>
      <c r="B609">
        <v>1294</v>
      </c>
      <c r="C609">
        <v>9</v>
      </c>
      <c r="D609">
        <v>3</v>
      </c>
      <c r="E609">
        <v>30</v>
      </c>
      <c r="F609">
        <f t="shared" si="27"/>
        <v>90</v>
      </c>
      <c r="G609" t="str">
        <f>VLOOKUP(B609,Orders!$A$2:$D$1201,4,FALSE)</f>
        <v>Delivered</v>
      </c>
      <c r="H609">
        <f t="shared" si="28"/>
        <v>90</v>
      </c>
      <c r="I609" s="12">
        <f>VLOOKUP(B609,Orders!$A$2:$D$1201,3,FALSE)</f>
        <v>46071</v>
      </c>
      <c r="L609" t="str">
        <f>VLOOKUP(C609,Products!$A$2:$D$13,2,FALSE)</f>
        <v>Lamp</v>
      </c>
      <c r="M609" t="str">
        <f t="shared" si="29"/>
        <v>2026-02</v>
      </c>
    </row>
    <row r="610" spans="1:13">
      <c r="A610">
        <v>609</v>
      </c>
      <c r="B610">
        <v>1294</v>
      </c>
      <c r="C610">
        <v>11</v>
      </c>
      <c r="D610">
        <v>3</v>
      </c>
      <c r="E610">
        <v>48</v>
      </c>
      <c r="F610">
        <f t="shared" si="27"/>
        <v>144</v>
      </c>
      <c r="G610" t="str">
        <f>VLOOKUP(B610,Orders!$A$2:$D$1201,4,FALSE)</f>
        <v>Delivered</v>
      </c>
      <c r="H610">
        <f t="shared" si="28"/>
        <v>144</v>
      </c>
      <c r="I610" s="12">
        <f>VLOOKUP(B610,Orders!$A$2:$D$1201,3,FALSE)</f>
        <v>46071</v>
      </c>
      <c r="L610" t="str">
        <f>VLOOKUP(C610,Products!$A$2:$D$13,2,FALSE)</f>
        <v>Backpack</v>
      </c>
      <c r="M610" t="str">
        <f t="shared" si="29"/>
        <v>2026-02</v>
      </c>
    </row>
    <row r="611" spans="1:13">
      <c r="A611">
        <v>610</v>
      </c>
      <c r="B611">
        <v>1294</v>
      </c>
      <c r="C611">
        <v>8</v>
      </c>
      <c r="D611">
        <v>2</v>
      </c>
      <c r="E611">
        <v>55</v>
      </c>
      <c r="F611">
        <f t="shared" si="27"/>
        <v>110</v>
      </c>
      <c r="G611" t="str">
        <f>VLOOKUP(B611,Orders!$A$2:$D$1201,4,FALSE)</f>
        <v>Delivered</v>
      </c>
      <c r="H611">
        <f t="shared" si="28"/>
        <v>110</v>
      </c>
      <c r="I611" s="12">
        <f>VLOOKUP(B611,Orders!$A$2:$D$1201,3,FALSE)</f>
        <v>46071</v>
      </c>
      <c r="L611" t="str">
        <f>VLOOKUP(C611,Products!$A$2:$D$13,2,FALSE)</f>
        <v>Webcam</v>
      </c>
      <c r="M611" t="str">
        <f t="shared" si="29"/>
        <v>2026-02</v>
      </c>
    </row>
    <row r="612" spans="1:13">
      <c r="A612">
        <v>611</v>
      </c>
      <c r="B612">
        <v>1295</v>
      </c>
      <c r="C612">
        <v>9</v>
      </c>
      <c r="D612">
        <v>1</v>
      </c>
      <c r="E612">
        <v>30</v>
      </c>
      <c r="F612">
        <f t="shared" si="27"/>
        <v>30</v>
      </c>
      <c r="G612" t="str">
        <f>VLOOKUP(B612,Orders!$A$2:$D$1201,4,FALSE)</f>
        <v>Delivered</v>
      </c>
      <c r="H612">
        <f t="shared" si="28"/>
        <v>30</v>
      </c>
      <c r="I612" s="12">
        <f>VLOOKUP(B612,Orders!$A$2:$D$1201,3,FALSE)</f>
        <v>46143</v>
      </c>
      <c r="L612" t="str">
        <f>VLOOKUP(C612,Products!$A$2:$D$13,2,FALSE)</f>
        <v>Lamp</v>
      </c>
      <c r="M612" t="str">
        <f t="shared" si="29"/>
        <v>2026-05</v>
      </c>
    </row>
    <row r="613" spans="1:13">
      <c r="A613">
        <v>612</v>
      </c>
      <c r="B613">
        <v>1295</v>
      </c>
      <c r="C613">
        <v>3</v>
      </c>
      <c r="D613">
        <v>2</v>
      </c>
      <c r="E613">
        <v>45</v>
      </c>
      <c r="F613">
        <f t="shared" si="27"/>
        <v>90</v>
      </c>
      <c r="G613" t="str">
        <f>VLOOKUP(B613,Orders!$A$2:$D$1201,4,FALSE)</f>
        <v>Delivered</v>
      </c>
      <c r="H613">
        <f t="shared" si="28"/>
        <v>90</v>
      </c>
      <c r="I613" s="12">
        <f>VLOOKUP(B613,Orders!$A$2:$D$1201,3,FALSE)</f>
        <v>46143</v>
      </c>
      <c r="L613" t="str">
        <f>VLOOKUP(C613,Products!$A$2:$D$13,2,FALSE)</f>
        <v>Keyboard</v>
      </c>
      <c r="M613" t="str">
        <f t="shared" si="29"/>
        <v>2026-05</v>
      </c>
    </row>
    <row r="614" spans="1:13">
      <c r="A614">
        <v>613</v>
      </c>
      <c r="B614">
        <v>1295</v>
      </c>
      <c r="C614">
        <v>6</v>
      </c>
      <c r="D614">
        <v>3</v>
      </c>
      <c r="E614">
        <v>140</v>
      </c>
      <c r="F614">
        <f t="shared" si="27"/>
        <v>420</v>
      </c>
      <c r="G614" t="str">
        <f>VLOOKUP(B614,Orders!$A$2:$D$1201,4,FALSE)</f>
        <v>Delivered</v>
      </c>
      <c r="H614">
        <f t="shared" si="28"/>
        <v>420</v>
      </c>
      <c r="I614" s="12">
        <f>VLOOKUP(B614,Orders!$A$2:$D$1201,3,FALSE)</f>
        <v>46143</v>
      </c>
      <c r="L614" t="str">
        <f>VLOOKUP(C614,Products!$A$2:$D$13,2,FALSE)</f>
        <v>Chair</v>
      </c>
      <c r="M614" t="str">
        <f t="shared" si="29"/>
        <v>2026-05</v>
      </c>
    </row>
    <row r="615" spans="1:13">
      <c r="A615">
        <v>614</v>
      </c>
      <c r="B615">
        <v>1296</v>
      </c>
      <c r="C615">
        <v>2</v>
      </c>
      <c r="D615">
        <v>1</v>
      </c>
      <c r="E615">
        <v>220</v>
      </c>
      <c r="F615">
        <f t="shared" si="27"/>
        <v>220</v>
      </c>
      <c r="G615" t="str">
        <f>VLOOKUP(B615,Orders!$A$2:$D$1201,4,FALSE)</f>
        <v>Delivered</v>
      </c>
      <c r="H615">
        <f t="shared" si="28"/>
        <v>220</v>
      </c>
      <c r="I615" s="12">
        <f>VLOOKUP(B615,Orders!$A$2:$D$1201,3,FALSE)</f>
        <v>46118</v>
      </c>
      <c r="L615" t="str">
        <f>VLOOKUP(C615,Products!$A$2:$D$13,2,FALSE)</f>
        <v>Monitor</v>
      </c>
      <c r="M615" t="str">
        <f t="shared" si="29"/>
        <v>2026-04</v>
      </c>
    </row>
    <row r="616" spans="1:13">
      <c r="A616">
        <v>615</v>
      </c>
      <c r="B616">
        <v>1296</v>
      </c>
      <c r="C616">
        <v>8</v>
      </c>
      <c r="D616">
        <v>1</v>
      </c>
      <c r="E616">
        <v>55</v>
      </c>
      <c r="F616">
        <f t="shared" si="27"/>
        <v>55</v>
      </c>
      <c r="G616" t="str">
        <f>VLOOKUP(B616,Orders!$A$2:$D$1201,4,FALSE)</f>
        <v>Delivered</v>
      </c>
      <c r="H616">
        <f t="shared" si="28"/>
        <v>55</v>
      </c>
      <c r="I616" s="12">
        <f>VLOOKUP(B616,Orders!$A$2:$D$1201,3,FALSE)</f>
        <v>46118</v>
      </c>
      <c r="L616" t="str">
        <f>VLOOKUP(C616,Products!$A$2:$D$13,2,FALSE)</f>
        <v>Webcam</v>
      </c>
      <c r="M616" t="str">
        <f t="shared" si="29"/>
        <v>2026-04</v>
      </c>
    </row>
    <row r="617" spans="1:13">
      <c r="A617">
        <v>616</v>
      </c>
      <c r="B617">
        <v>1297</v>
      </c>
      <c r="C617">
        <v>3</v>
      </c>
      <c r="D617">
        <v>2</v>
      </c>
      <c r="E617">
        <v>45</v>
      </c>
      <c r="F617">
        <f t="shared" si="27"/>
        <v>90</v>
      </c>
      <c r="G617" t="str">
        <f>VLOOKUP(B617,Orders!$A$2:$D$1201,4,FALSE)</f>
        <v>Delivered</v>
      </c>
      <c r="H617">
        <f t="shared" si="28"/>
        <v>90</v>
      </c>
      <c r="I617" s="12">
        <f>VLOOKUP(B617,Orders!$A$2:$D$1201,3,FALSE)</f>
        <v>46120</v>
      </c>
      <c r="L617" t="str">
        <f>VLOOKUP(C617,Products!$A$2:$D$13,2,FALSE)</f>
        <v>Keyboard</v>
      </c>
      <c r="M617" t="str">
        <f t="shared" si="29"/>
        <v>2026-04</v>
      </c>
    </row>
    <row r="618" spans="1:13">
      <c r="A618">
        <v>617</v>
      </c>
      <c r="B618">
        <v>1298</v>
      </c>
      <c r="C618">
        <v>8</v>
      </c>
      <c r="D618">
        <v>3</v>
      </c>
      <c r="E618">
        <v>55</v>
      </c>
      <c r="F618">
        <f t="shared" si="27"/>
        <v>165</v>
      </c>
      <c r="G618" t="str">
        <f>VLOOKUP(B618,Orders!$A$2:$D$1201,4,FALSE)</f>
        <v>Delivered</v>
      </c>
      <c r="H618">
        <f t="shared" si="28"/>
        <v>165</v>
      </c>
      <c r="I618" s="12">
        <f>VLOOKUP(B618,Orders!$A$2:$D$1201,3,FALSE)</f>
        <v>46059</v>
      </c>
      <c r="L618" t="str">
        <f>VLOOKUP(C618,Products!$A$2:$D$13,2,FALSE)</f>
        <v>Webcam</v>
      </c>
      <c r="M618" t="str">
        <f t="shared" si="29"/>
        <v>2026-02</v>
      </c>
    </row>
    <row r="619" spans="1:13">
      <c r="A619">
        <v>618</v>
      </c>
      <c r="B619">
        <v>1299</v>
      </c>
      <c r="C619">
        <v>3</v>
      </c>
      <c r="D619">
        <v>2</v>
      </c>
      <c r="E619">
        <v>45</v>
      </c>
      <c r="F619">
        <f t="shared" si="27"/>
        <v>90</v>
      </c>
      <c r="G619" t="str">
        <f>VLOOKUP(B619,Orders!$A$2:$D$1201,4,FALSE)</f>
        <v>Delivered</v>
      </c>
      <c r="H619">
        <f t="shared" si="28"/>
        <v>90</v>
      </c>
      <c r="I619" s="12">
        <f>VLOOKUP(B619,Orders!$A$2:$D$1201,3,FALSE)</f>
        <v>46138</v>
      </c>
      <c r="L619" t="str">
        <f>VLOOKUP(C619,Products!$A$2:$D$13,2,FALSE)</f>
        <v>Keyboard</v>
      </c>
      <c r="M619" t="str">
        <f t="shared" si="29"/>
        <v>2026-04</v>
      </c>
    </row>
    <row r="620" spans="1:13">
      <c r="A620">
        <v>619</v>
      </c>
      <c r="B620">
        <v>1299</v>
      </c>
      <c r="C620">
        <v>8</v>
      </c>
      <c r="D620">
        <v>4</v>
      </c>
      <c r="E620">
        <v>55</v>
      </c>
      <c r="F620">
        <f t="shared" si="27"/>
        <v>220</v>
      </c>
      <c r="G620" t="str">
        <f>VLOOKUP(B620,Orders!$A$2:$D$1201,4,FALSE)</f>
        <v>Delivered</v>
      </c>
      <c r="H620">
        <f t="shared" si="28"/>
        <v>220</v>
      </c>
      <c r="I620" s="12">
        <f>VLOOKUP(B620,Orders!$A$2:$D$1201,3,FALSE)</f>
        <v>46138</v>
      </c>
      <c r="L620" t="str">
        <f>VLOOKUP(C620,Products!$A$2:$D$13,2,FALSE)</f>
        <v>Webcam</v>
      </c>
      <c r="M620" t="str">
        <f t="shared" si="29"/>
        <v>2026-04</v>
      </c>
    </row>
    <row r="621" spans="1:13">
      <c r="A621">
        <v>620</v>
      </c>
      <c r="B621">
        <v>1299</v>
      </c>
      <c r="C621">
        <v>2</v>
      </c>
      <c r="D621">
        <v>4</v>
      </c>
      <c r="E621">
        <v>220</v>
      </c>
      <c r="F621">
        <f t="shared" si="27"/>
        <v>880</v>
      </c>
      <c r="G621" t="str">
        <f>VLOOKUP(B621,Orders!$A$2:$D$1201,4,FALSE)</f>
        <v>Delivered</v>
      </c>
      <c r="H621">
        <f t="shared" si="28"/>
        <v>880</v>
      </c>
      <c r="I621" s="12">
        <f>VLOOKUP(B621,Orders!$A$2:$D$1201,3,FALSE)</f>
        <v>46138</v>
      </c>
      <c r="L621" t="str">
        <f>VLOOKUP(C621,Products!$A$2:$D$13,2,FALSE)</f>
        <v>Monitor</v>
      </c>
      <c r="M621" t="str">
        <f t="shared" si="29"/>
        <v>2026-04</v>
      </c>
    </row>
    <row r="622" spans="1:13">
      <c r="A622">
        <v>621</v>
      </c>
      <c r="B622">
        <v>1300</v>
      </c>
      <c r="C622">
        <v>6</v>
      </c>
      <c r="D622">
        <v>2</v>
      </c>
      <c r="E622">
        <v>140</v>
      </c>
      <c r="F622">
        <f t="shared" si="27"/>
        <v>280</v>
      </c>
      <c r="G622" t="str">
        <f>VLOOKUP(B622,Orders!$A$2:$D$1201,4,FALSE)</f>
        <v>Delivered</v>
      </c>
      <c r="H622">
        <f t="shared" si="28"/>
        <v>280</v>
      </c>
      <c r="I622" s="12">
        <f>VLOOKUP(B622,Orders!$A$2:$D$1201,3,FALSE)</f>
        <v>46159</v>
      </c>
      <c r="L622" t="str">
        <f>VLOOKUP(C622,Products!$A$2:$D$13,2,FALSE)</f>
        <v>Chair</v>
      </c>
      <c r="M622" t="str">
        <f t="shared" si="29"/>
        <v>2026-05</v>
      </c>
    </row>
    <row r="623" spans="1:13">
      <c r="A623">
        <v>622</v>
      </c>
      <c r="B623">
        <v>1301</v>
      </c>
      <c r="C623">
        <v>2</v>
      </c>
      <c r="D623">
        <v>4</v>
      </c>
      <c r="E623">
        <v>220</v>
      </c>
      <c r="F623">
        <f t="shared" si="27"/>
        <v>880</v>
      </c>
      <c r="G623" t="str">
        <f>VLOOKUP(B623,Orders!$A$2:$D$1201,4,FALSE)</f>
        <v>Cancelled</v>
      </c>
      <c r="H623">
        <f t="shared" si="28"/>
        <v>0</v>
      </c>
      <c r="I623" s="12">
        <f>VLOOKUP(B623,Orders!$A$2:$D$1201,3,FALSE)</f>
        <v>46200</v>
      </c>
      <c r="L623" t="str">
        <f>VLOOKUP(C623,Products!$A$2:$D$13,2,FALSE)</f>
        <v>Monitor</v>
      </c>
      <c r="M623" t="str">
        <f t="shared" si="29"/>
        <v>2026-06</v>
      </c>
    </row>
    <row r="624" spans="1:13">
      <c r="A624">
        <v>623</v>
      </c>
      <c r="B624">
        <v>1302</v>
      </c>
      <c r="C624">
        <v>1</v>
      </c>
      <c r="D624">
        <v>3</v>
      </c>
      <c r="E624">
        <v>750</v>
      </c>
      <c r="F624">
        <f t="shared" si="27"/>
        <v>2250</v>
      </c>
      <c r="G624" t="str">
        <f>VLOOKUP(B624,Orders!$A$2:$D$1201,4,FALSE)</f>
        <v>Delivered</v>
      </c>
      <c r="H624">
        <f t="shared" si="28"/>
        <v>2250</v>
      </c>
      <c r="I624" s="12">
        <f>VLOOKUP(B624,Orders!$A$2:$D$1201,3,FALSE)</f>
        <v>46151</v>
      </c>
      <c r="L624" t="str">
        <f>VLOOKUP(C624,Products!$A$2:$D$13,2,FALSE)</f>
        <v>Laptop</v>
      </c>
      <c r="M624" t="str">
        <f t="shared" si="29"/>
        <v>2026-05</v>
      </c>
    </row>
    <row r="625" spans="1:13">
      <c r="A625">
        <v>624</v>
      </c>
      <c r="B625">
        <v>1303</v>
      </c>
      <c r="C625">
        <v>8</v>
      </c>
      <c r="D625">
        <v>2</v>
      </c>
      <c r="E625">
        <v>55</v>
      </c>
      <c r="F625">
        <f t="shared" si="27"/>
        <v>110</v>
      </c>
      <c r="G625" t="str">
        <f>VLOOKUP(B625,Orders!$A$2:$D$1201,4,FALSE)</f>
        <v>Delivered</v>
      </c>
      <c r="H625">
        <f t="shared" si="28"/>
        <v>110</v>
      </c>
      <c r="I625" s="12">
        <f>VLOOKUP(B625,Orders!$A$2:$D$1201,3,FALSE)</f>
        <v>46109</v>
      </c>
      <c r="L625" t="str">
        <f>VLOOKUP(C625,Products!$A$2:$D$13,2,FALSE)</f>
        <v>Webcam</v>
      </c>
      <c r="M625" t="str">
        <f t="shared" si="29"/>
        <v>2026-03</v>
      </c>
    </row>
    <row r="626" spans="1:13">
      <c r="A626">
        <v>625</v>
      </c>
      <c r="B626">
        <v>1303</v>
      </c>
      <c r="C626">
        <v>6</v>
      </c>
      <c r="D626">
        <v>2</v>
      </c>
      <c r="E626">
        <v>140</v>
      </c>
      <c r="F626">
        <f t="shared" si="27"/>
        <v>280</v>
      </c>
      <c r="G626" t="str">
        <f>VLOOKUP(B626,Orders!$A$2:$D$1201,4,FALSE)</f>
        <v>Delivered</v>
      </c>
      <c r="H626">
        <f t="shared" si="28"/>
        <v>280</v>
      </c>
      <c r="I626" s="12">
        <f>VLOOKUP(B626,Orders!$A$2:$D$1201,3,FALSE)</f>
        <v>46109</v>
      </c>
      <c r="L626" t="str">
        <f>VLOOKUP(C626,Products!$A$2:$D$13,2,FALSE)</f>
        <v>Chair</v>
      </c>
      <c r="M626" t="str">
        <f t="shared" si="29"/>
        <v>2026-03</v>
      </c>
    </row>
    <row r="627" spans="1:13">
      <c r="A627">
        <v>626</v>
      </c>
      <c r="B627">
        <v>1304</v>
      </c>
      <c r="C627">
        <v>12</v>
      </c>
      <c r="D627">
        <v>1</v>
      </c>
      <c r="E627">
        <v>22</v>
      </c>
      <c r="F627">
        <f t="shared" si="27"/>
        <v>22</v>
      </c>
      <c r="G627" t="str">
        <f>VLOOKUP(B627,Orders!$A$2:$D$1201,4,FALSE)</f>
        <v>Delivered</v>
      </c>
      <c r="H627">
        <f t="shared" si="28"/>
        <v>22</v>
      </c>
      <c r="I627" s="12">
        <f>VLOOKUP(B627,Orders!$A$2:$D$1201,3,FALSE)</f>
        <v>46080</v>
      </c>
      <c r="L627" t="str">
        <f>VLOOKUP(C627,Products!$A$2:$D$13,2,FALSE)</f>
        <v>Storage Box</v>
      </c>
      <c r="M627" t="str">
        <f t="shared" si="29"/>
        <v>2026-02</v>
      </c>
    </row>
    <row r="628" spans="1:13">
      <c r="A628">
        <v>627</v>
      </c>
      <c r="B628">
        <v>1305</v>
      </c>
      <c r="C628">
        <v>10</v>
      </c>
      <c r="D628">
        <v>1</v>
      </c>
      <c r="E628">
        <v>8</v>
      </c>
      <c r="F628">
        <f t="shared" si="27"/>
        <v>8</v>
      </c>
      <c r="G628" t="str">
        <f>VLOOKUP(B628,Orders!$A$2:$D$1201,4,FALSE)</f>
        <v>Delivered</v>
      </c>
      <c r="H628">
        <f t="shared" si="28"/>
        <v>8</v>
      </c>
      <c r="I628" s="12">
        <f>VLOOKUP(B628,Orders!$A$2:$D$1201,3,FALSE)</f>
        <v>46032</v>
      </c>
      <c r="L628" t="str">
        <f>VLOOKUP(C628,Products!$A$2:$D$13,2,FALSE)</f>
        <v>Notebook</v>
      </c>
      <c r="M628" t="str">
        <f t="shared" si="29"/>
        <v>2026-01</v>
      </c>
    </row>
    <row r="629" spans="1:13">
      <c r="A629">
        <v>628</v>
      </c>
      <c r="B629">
        <v>1305</v>
      </c>
      <c r="C629">
        <v>1</v>
      </c>
      <c r="D629">
        <v>1</v>
      </c>
      <c r="E629">
        <v>750</v>
      </c>
      <c r="F629">
        <f t="shared" si="27"/>
        <v>750</v>
      </c>
      <c r="G629" t="str">
        <f>VLOOKUP(B629,Orders!$A$2:$D$1201,4,FALSE)</f>
        <v>Delivered</v>
      </c>
      <c r="H629">
        <f t="shared" si="28"/>
        <v>750</v>
      </c>
      <c r="I629" s="12">
        <f>VLOOKUP(B629,Orders!$A$2:$D$1201,3,FALSE)</f>
        <v>46032</v>
      </c>
      <c r="L629" t="str">
        <f>VLOOKUP(C629,Products!$A$2:$D$13,2,FALSE)</f>
        <v>Laptop</v>
      </c>
      <c r="M629" t="str">
        <f t="shared" si="29"/>
        <v>2026-01</v>
      </c>
    </row>
    <row r="630" spans="1:13">
      <c r="A630">
        <v>629</v>
      </c>
      <c r="B630">
        <v>1305</v>
      </c>
      <c r="C630">
        <v>12</v>
      </c>
      <c r="D630">
        <v>1</v>
      </c>
      <c r="E630">
        <v>22</v>
      </c>
      <c r="F630">
        <f t="shared" si="27"/>
        <v>22</v>
      </c>
      <c r="G630" t="str">
        <f>VLOOKUP(B630,Orders!$A$2:$D$1201,4,FALSE)</f>
        <v>Delivered</v>
      </c>
      <c r="H630">
        <f t="shared" si="28"/>
        <v>22</v>
      </c>
      <c r="I630" s="12">
        <f>VLOOKUP(B630,Orders!$A$2:$D$1201,3,FALSE)</f>
        <v>46032</v>
      </c>
      <c r="L630" t="str">
        <f>VLOOKUP(C630,Products!$A$2:$D$13,2,FALSE)</f>
        <v>Storage Box</v>
      </c>
      <c r="M630" t="str">
        <f t="shared" si="29"/>
        <v>2026-01</v>
      </c>
    </row>
    <row r="631" spans="1:13">
      <c r="A631">
        <v>630</v>
      </c>
      <c r="B631">
        <v>1306</v>
      </c>
      <c r="C631">
        <v>12</v>
      </c>
      <c r="D631">
        <v>1</v>
      </c>
      <c r="E631">
        <v>22</v>
      </c>
      <c r="F631">
        <f t="shared" si="27"/>
        <v>22</v>
      </c>
      <c r="G631" t="str">
        <f>VLOOKUP(B631,Orders!$A$2:$D$1201,4,FALSE)</f>
        <v>Delivered</v>
      </c>
      <c r="H631">
        <f t="shared" si="28"/>
        <v>22</v>
      </c>
      <c r="I631" s="12">
        <f>VLOOKUP(B631,Orders!$A$2:$D$1201,3,FALSE)</f>
        <v>46163</v>
      </c>
      <c r="L631" t="str">
        <f>VLOOKUP(C631,Products!$A$2:$D$13,2,FALSE)</f>
        <v>Storage Box</v>
      </c>
      <c r="M631" t="str">
        <f t="shared" si="29"/>
        <v>2026-05</v>
      </c>
    </row>
    <row r="632" spans="1:13">
      <c r="A632">
        <v>631</v>
      </c>
      <c r="B632">
        <v>1307</v>
      </c>
      <c r="C632">
        <v>2</v>
      </c>
      <c r="D632">
        <v>1</v>
      </c>
      <c r="E632">
        <v>220</v>
      </c>
      <c r="F632">
        <f t="shared" si="27"/>
        <v>220</v>
      </c>
      <c r="G632" t="str">
        <f>VLOOKUP(B632,Orders!$A$2:$D$1201,4,FALSE)</f>
        <v>Delivered</v>
      </c>
      <c r="H632">
        <f t="shared" si="28"/>
        <v>220</v>
      </c>
      <c r="I632" s="12">
        <f>VLOOKUP(B632,Orders!$A$2:$D$1201,3,FALSE)</f>
        <v>46182</v>
      </c>
      <c r="L632" t="str">
        <f>VLOOKUP(C632,Products!$A$2:$D$13,2,FALSE)</f>
        <v>Monitor</v>
      </c>
      <c r="M632" t="str">
        <f t="shared" si="29"/>
        <v>2026-06</v>
      </c>
    </row>
    <row r="633" spans="1:13">
      <c r="A633">
        <v>632</v>
      </c>
      <c r="B633">
        <v>1307</v>
      </c>
      <c r="C633">
        <v>9</v>
      </c>
      <c r="D633">
        <v>3</v>
      </c>
      <c r="E633">
        <v>30</v>
      </c>
      <c r="F633">
        <f t="shared" si="27"/>
        <v>90</v>
      </c>
      <c r="G633" t="str">
        <f>VLOOKUP(B633,Orders!$A$2:$D$1201,4,FALSE)</f>
        <v>Delivered</v>
      </c>
      <c r="H633">
        <f t="shared" si="28"/>
        <v>90</v>
      </c>
      <c r="I633" s="12">
        <f>VLOOKUP(B633,Orders!$A$2:$D$1201,3,FALSE)</f>
        <v>46182</v>
      </c>
      <c r="L633" t="str">
        <f>VLOOKUP(C633,Products!$A$2:$D$13,2,FALSE)</f>
        <v>Lamp</v>
      </c>
      <c r="M633" t="str">
        <f t="shared" si="29"/>
        <v>2026-06</v>
      </c>
    </row>
    <row r="634" spans="1:13">
      <c r="A634">
        <v>633</v>
      </c>
      <c r="B634">
        <v>1308</v>
      </c>
      <c r="C634">
        <v>12</v>
      </c>
      <c r="D634">
        <v>3</v>
      </c>
      <c r="E634">
        <v>22</v>
      </c>
      <c r="F634">
        <f t="shared" si="27"/>
        <v>66</v>
      </c>
      <c r="G634" t="str">
        <f>VLOOKUP(B634,Orders!$A$2:$D$1201,4,FALSE)</f>
        <v>Delivered</v>
      </c>
      <c r="H634">
        <f t="shared" si="28"/>
        <v>66</v>
      </c>
      <c r="I634" s="12">
        <f>VLOOKUP(B634,Orders!$A$2:$D$1201,3,FALSE)</f>
        <v>46090</v>
      </c>
      <c r="L634" t="str">
        <f>VLOOKUP(C634,Products!$A$2:$D$13,2,FALSE)</f>
        <v>Storage Box</v>
      </c>
      <c r="M634" t="str">
        <f t="shared" si="29"/>
        <v>2026-03</v>
      </c>
    </row>
    <row r="635" spans="1:13">
      <c r="A635">
        <v>634</v>
      </c>
      <c r="B635">
        <v>1308</v>
      </c>
      <c r="C635">
        <v>7</v>
      </c>
      <c r="D635">
        <v>2</v>
      </c>
      <c r="E635">
        <v>65</v>
      </c>
      <c r="F635">
        <f t="shared" si="27"/>
        <v>130</v>
      </c>
      <c r="G635" t="str">
        <f>VLOOKUP(B635,Orders!$A$2:$D$1201,4,FALSE)</f>
        <v>Delivered</v>
      </c>
      <c r="H635">
        <f t="shared" si="28"/>
        <v>130</v>
      </c>
      <c r="I635" s="12">
        <f>VLOOKUP(B635,Orders!$A$2:$D$1201,3,FALSE)</f>
        <v>46090</v>
      </c>
      <c r="L635" t="str">
        <f>VLOOKUP(C635,Products!$A$2:$D$13,2,FALSE)</f>
        <v>Headphones</v>
      </c>
      <c r="M635" t="str">
        <f t="shared" si="29"/>
        <v>2026-03</v>
      </c>
    </row>
    <row r="636" spans="1:13">
      <c r="A636">
        <v>635</v>
      </c>
      <c r="B636">
        <v>1309</v>
      </c>
      <c r="C636">
        <v>2</v>
      </c>
      <c r="D636">
        <v>4</v>
      </c>
      <c r="E636">
        <v>220</v>
      </c>
      <c r="F636">
        <f t="shared" si="27"/>
        <v>880</v>
      </c>
      <c r="G636" t="str">
        <f>VLOOKUP(B636,Orders!$A$2:$D$1201,4,FALSE)</f>
        <v>Delivered</v>
      </c>
      <c r="H636">
        <f t="shared" si="28"/>
        <v>880</v>
      </c>
      <c r="I636" s="12">
        <f>VLOOKUP(B636,Orders!$A$2:$D$1201,3,FALSE)</f>
        <v>46107</v>
      </c>
      <c r="L636" t="str">
        <f>VLOOKUP(C636,Products!$A$2:$D$13,2,FALSE)</f>
        <v>Monitor</v>
      </c>
      <c r="M636" t="str">
        <f t="shared" si="29"/>
        <v>2026-03</v>
      </c>
    </row>
    <row r="637" spans="1:13">
      <c r="A637">
        <v>636</v>
      </c>
      <c r="B637">
        <v>1309</v>
      </c>
      <c r="C637">
        <v>12</v>
      </c>
      <c r="D637">
        <v>2</v>
      </c>
      <c r="E637">
        <v>22</v>
      </c>
      <c r="F637">
        <f t="shared" si="27"/>
        <v>44</v>
      </c>
      <c r="G637" t="str">
        <f>VLOOKUP(B637,Orders!$A$2:$D$1201,4,FALSE)</f>
        <v>Delivered</v>
      </c>
      <c r="H637">
        <f t="shared" si="28"/>
        <v>44</v>
      </c>
      <c r="I637" s="12">
        <f>VLOOKUP(B637,Orders!$A$2:$D$1201,3,FALSE)</f>
        <v>46107</v>
      </c>
      <c r="L637" t="str">
        <f>VLOOKUP(C637,Products!$A$2:$D$13,2,FALSE)</f>
        <v>Storage Box</v>
      </c>
      <c r="M637" t="str">
        <f t="shared" si="29"/>
        <v>2026-03</v>
      </c>
    </row>
    <row r="638" spans="1:13">
      <c r="A638">
        <v>637</v>
      </c>
      <c r="B638">
        <v>1309</v>
      </c>
      <c r="C638">
        <v>10</v>
      </c>
      <c r="D638">
        <v>1</v>
      </c>
      <c r="E638">
        <v>8</v>
      </c>
      <c r="F638">
        <f t="shared" si="27"/>
        <v>8</v>
      </c>
      <c r="G638" t="str">
        <f>VLOOKUP(B638,Orders!$A$2:$D$1201,4,FALSE)</f>
        <v>Delivered</v>
      </c>
      <c r="H638">
        <f t="shared" si="28"/>
        <v>8</v>
      </c>
      <c r="I638" s="12">
        <f>VLOOKUP(B638,Orders!$A$2:$D$1201,3,FALSE)</f>
        <v>46107</v>
      </c>
      <c r="L638" t="str">
        <f>VLOOKUP(C638,Products!$A$2:$D$13,2,FALSE)</f>
        <v>Notebook</v>
      </c>
      <c r="M638" t="str">
        <f t="shared" si="29"/>
        <v>2026-03</v>
      </c>
    </row>
    <row r="639" spans="1:13">
      <c r="A639">
        <v>638</v>
      </c>
      <c r="B639">
        <v>1310</v>
      </c>
      <c r="C639">
        <v>8</v>
      </c>
      <c r="D639">
        <v>1</v>
      </c>
      <c r="E639">
        <v>55</v>
      </c>
      <c r="F639">
        <f t="shared" si="27"/>
        <v>55</v>
      </c>
      <c r="G639" t="str">
        <f>VLOOKUP(B639,Orders!$A$2:$D$1201,4,FALSE)</f>
        <v>Delivered</v>
      </c>
      <c r="H639">
        <f t="shared" si="28"/>
        <v>55</v>
      </c>
      <c r="I639" s="12">
        <f>VLOOKUP(B639,Orders!$A$2:$D$1201,3,FALSE)</f>
        <v>46187</v>
      </c>
      <c r="L639" t="str">
        <f>VLOOKUP(C639,Products!$A$2:$D$13,2,FALSE)</f>
        <v>Webcam</v>
      </c>
      <c r="M639" t="str">
        <f t="shared" si="29"/>
        <v>2026-06</v>
      </c>
    </row>
    <row r="640" spans="1:13">
      <c r="A640">
        <v>639</v>
      </c>
      <c r="B640">
        <v>1310</v>
      </c>
      <c r="C640">
        <v>1</v>
      </c>
      <c r="D640">
        <v>2</v>
      </c>
      <c r="E640">
        <v>750</v>
      </c>
      <c r="F640">
        <f t="shared" si="27"/>
        <v>1500</v>
      </c>
      <c r="G640" t="str">
        <f>VLOOKUP(B640,Orders!$A$2:$D$1201,4,FALSE)</f>
        <v>Delivered</v>
      </c>
      <c r="H640">
        <f t="shared" si="28"/>
        <v>1500</v>
      </c>
      <c r="I640" s="12">
        <f>VLOOKUP(B640,Orders!$A$2:$D$1201,3,FALSE)</f>
        <v>46187</v>
      </c>
      <c r="L640" t="str">
        <f>VLOOKUP(C640,Products!$A$2:$D$13,2,FALSE)</f>
        <v>Laptop</v>
      </c>
      <c r="M640" t="str">
        <f t="shared" si="29"/>
        <v>2026-06</v>
      </c>
    </row>
    <row r="641" spans="1:13">
      <c r="A641">
        <v>640</v>
      </c>
      <c r="B641">
        <v>1311</v>
      </c>
      <c r="C641">
        <v>1</v>
      </c>
      <c r="D641">
        <v>1</v>
      </c>
      <c r="E641">
        <v>750</v>
      </c>
      <c r="F641">
        <f t="shared" si="27"/>
        <v>750</v>
      </c>
      <c r="G641" t="str">
        <f>VLOOKUP(B641,Orders!$A$2:$D$1201,4,FALSE)</f>
        <v>Delivered</v>
      </c>
      <c r="H641">
        <f t="shared" si="28"/>
        <v>750</v>
      </c>
      <c r="I641" s="12">
        <f>VLOOKUP(B641,Orders!$A$2:$D$1201,3,FALSE)</f>
        <v>46103</v>
      </c>
      <c r="L641" t="str">
        <f>VLOOKUP(C641,Products!$A$2:$D$13,2,FALSE)</f>
        <v>Laptop</v>
      </c>
      <c r="M641" t="str">
        <f t="shared" si="29"/>
        <v>2026-03</v>
      </c>
    </row>
    <row r="642" spans="1:13">
      <c r="A642">
        <v>641</v>
      </c>
      <c r="B642">
        <v>1312</v>
      </c>
      <c r="C642">
        <v>2</v>
      </c>
      <c r="D642">
        <v>2</v>
      </c>
      <c r="E642">
        <v>220</v>
      </c>
      <c r="F642">
        <f t="shared" si="27"/>
        <v>440</v>
      </c>
      <c r="G642" t="str">
        <f>VLOOKUP(B642,Orders!$A$2:$D$1201,4,FALSE)</f>
        <v>Shipped</v>
      </c>
      <c r="H642">
        <f t="shared" si="28"/>
        <v>440</v>
      </c>
      <c r="I642" s="12">
        <f>VLOOKUP(B642,Orders!$A$2:$D$1201,3,FALSE)</f>
        <v>46135</v>
      </c>
      <c r="L642" t="str">
        <f>VLOOKUP(C642,Products!$A$2:$D$13,2,FALSE)</f>
        <v>Monitor</v>
      </c>
      <c r="M642" t="str">
        <f t="shared" si="29"/>
        <v>2026-04</v>
      </c>
    </row>
    <row r="643" spans="1:13">
      <c r="A643">
        <v>642</v>
      </c>
      <c r="B643">
        <v>1312</v>
      </c>
      <c r="C643">
        <v>6</v>
      </c>
      <c r="D643">
        <v>1</v>
      </c>
      <c r="E643">
        <v>140</v>
      </c>
      <c r="F643">
        <f t="shared" ref="F643:F706" si="30">D643*E643</f>
        <v>140</v>
      </c>
      <c r="G643" t="str">
        <f>VLOOKUP(B643,Orders!$A$2:$D$1201,4,FALSE)</f>
        <v>Shipped</v>
      </c>
      <c r="H643">
        <f t="shared" ref="H643:H706" si="31">IF(G643="Cancelled",0,F643)</f>
        <v>140</v>
      </c>
      <c r="I643" s="12">
        <f>VLOOKUP(B643,Orders!$A$2:$D$1201,3,FALSE)</f>
        <v>46135</v>
      </c>
      <c r="L643" t="str">
        <f>VLOOKUP(C643,Products!$A$2:$D$13,2,FALSE)</f>
        <v>Chair</v>
      </c>
      <c r="M643" t="str">
        <f t="shared" ref="M643:M706" si="32">TEXT(I643,"yyyy-mm")</f>
        <v>2026-04</v>
      </c>
    </row>
    <row r="644" spans="1:13">
      <c r="A644">
        <v>643</v>
      </c>
      <c r="B644">
        <v>1312</v>
      </c>
      <c r="C644">
        <v>11</v>
      </c>
      <c r="D644">
        <v>4</v>
      </c>
      <c r="E644">
        <v>48</v>
      </c>
      <c r="F644">
        <f t="shared" si="30"/>
        <v>192</v>
      </c>
      <c r="G644" t="str">
        <f>VLOOKUP(B644,Orders!$A$2:$D$1201,4,FALSE)</f>
        <v>Shipped</v>
      </c>
      <c r="H644">
        <f t="shared" si="31"/>
        <v>192</v>
      </c>
      <c r="I644" s="12">
        <f>VLOOKUP(B644,Orders!$A$2:$D$1201,3,FALSE)</f>
        <v>46135</v>
      </c>
      <c r="L644" t="str">
        <f>VLOOKUP(C644,Products!$A$2:$D$13,2,FALSE)</f>
        <v>Backpack</v>
      </c>
      <c r="M644" t="str">
        <f t="shared" si="32"/>
        <v>2026-04</v>
      </c>
    </row>
    <row r="645" spans="1:13">
      <c r="A645">
        <v>644</v>
      </c>
      <c r="B645">
        <v>1313</v>
      </c>
      <c r="C645">
        <v>11</v>
      </c>
      <c r="D645">
        <v>1</v>
      </c>
      <c r="E645">
        <v>48</v>
      </c>
      <c r="F645">
        <f t="shared" si="30"/>
        <v>48</v>
      </c>
      <c r="G645" t="str">
        <f>VLOOKUP(B645,Orders!$A$2:$D$1201,4,FALSE)</f>
        <v>Delivered</v>
      </c>
      <c r="H645">
        <f t="shared" si="31"/>
        <v>48</v>
      </c>
      <c r="I645" s="12">
        <f>VLOOKUP(B645,Orders!$A$2:$D$1201,3,FALSE)</f>
        <v>46092</v>
      </c>
      <c r="L645" t="str">
        <f>VLOOKUP(C645,Products!$A$2:$D$13,2,FALSE)</f>
        <v>Backpack</v>
      </c>
      <c r="M645" t="str">
        <f t="shared" si="32"/>
        <v>2026-03</v>
      </c>
    </row>
    <row r="646" spans="1:13">
      <c r="A646">
        <v>645</v>
      </c>
      <c r="B646">
        <v>1313</v>
      </c>
      <c r="C646">
        <v>3</v>
      </c>
      <c r="D646">
        <v>2</v>
      </c>
      <c r="E646">
        <v>45</v>
      </c>
      <c r="F646">
        <f t="shared" si="30"/>
        <v>90</v>
      </c>
      <c r="G646" t="str">
        <f>VLOOKUP(B646,Orders!$A$2:$D$1201,4,FALSE)</f>
        <v>Delivered</v>
      </c>
      <c r="H646">
        <f t="shared" si="31"/>
        <v>90</v>
      </c>
      <c r="I646" s="12">
        <f>VLOOKUP(B646,Orders!$A$2:$D$1201,3,FALSE)</f>
        <v>46092</v>
      </c>
      <c r="L646" t="str">
        <f>VLOOKUP(C646,Products!$A$2:$D$13,2,FALSE)</f>
        <v>Keyboard</v>
      </c>
      <c r="M646" t="str">
        <f t="shared" si="32"/>
        <v>2026-03</v>
      </c>
    </row>
    <row r="647" spans="1:13">
      <c r="A647">
        <v>646</v>
      </c>
      <c r="B647">
        <v>1314</v>
      </c>
      <c r="C647">
        <v>11</v>
      </c>
      <c r="D647">
        <v>4</v>
      </c>
      <c r="E647">
        <v>48</v>
      </c>
      <c r="F647">
        <f t="shared" si="30"/>
        <v>192</v>
      </c>
      <c r="G647" t="str">
        <f>VLOOKUP(B647,Orders!$A$2:$D$1201,4,FALSE)</f>
        <v>Delivered</v>
      </c>
      <c r="H647">
        <f t="shared" si="31"/>
        <v>192</v>
      </c>
      <c r="I647" s="12">
        <f>VLOOKUP(B647,Orders!$A$2:$D$1201,3,FALSE)</f>
        <v>46049</v>
      </c>
      <c r="L647" t="str">
        <f>VLOOKUP(C647,Products!$A$2:$D$13,2,FALSE)</f>
        <v>Backpack</v>
      </c>
      <c r="M647" t="str">
        <f t="shared" si="32"/>
        <v>2026-01</v>
      </c>
    </row>
    <row r="648" spans="1:13">
      <c r="A648">
        <v>647</v>
      </c>
      <c r="B648">
        <v>1314</v>
      </c>
      <c r="C648">
        <v>8</v>
      </c>
      <c r="D648">
        <v>3</v>
      </c>
      <c r="E648">
        <v>55</v>
      </c>
      <c r="F648">
        <f t="shared" si="30"/>
        <v>165</v>
      </c>
      <c r="G648" t="str">
        <f>VLOOKUP(B648,Orders!$A$2:$D$1201,4,FALSE)</f>
        <v>Delivered</v>
      </c>
      <c r="H648">
        <f t="shared" si="31"/>
        <v>165</v>
      </c>
      <c r="I648" s="12">
        <f>VLOOKUP(B648,Orders!$A$2:$D$1201,3,FALSE)</f>
        <v>46049</v>
      </c>
      <c r="L648" t="str">
        <f>VLOOKUP(C648,Products!$A$2:$D$13,2,FALSE)</f>
        <v>Webcam</v>
      </c>
      <c r="M648" t="str">
        <f t="shared" si="32"/>
        <v>2026-01</v>
      </c>
    </row>
    <row r="649" spans="1:13">
      <c r="A649">
        <v>648</v>
      </c>
      <c r="B649">
        <v>1314</v>
      </c>
      <c r="C649">
        <v>3</v>
      </c>
      <c r="D649">
        <v>1</v>
      </c>
      <c r="E649">
        <v>45</v>
      </c>
      <c r="F649">
        <f t="shared" si="30"/>
        <v>45</v>
      </c>
      <c r="G649" t="str">
        <f>VLOOKUP(B649,Orders!$A$2:$D$1201,4,FALSE)</f>
        <v>Delivered</v>
      </c>
      <c r="H649">
        <f t="shared" si="31"/>
        <v>45</v>
      </c>
      <c r="I649" s="12">
        <f>VLOOKUP(B649,Orders!$A$2:$D$1201,3,FALSE)</f>
        <v>46049</v>
      </c>
      <c r="L649" t="str">
        <f>VLOOKUP(C649,Products!$A$2:$D$13,2,FALSE)</f>
        <v>Keyboard</v>
      </c>
      <c r="M649" t="str">
        <f t="shared" si="32"/>
        <v>2026-01</v>
      </c>
    </row>
    <row r="650" spans="1:13">
      <c r="A650">
        <v>649</v>
      </c>
      <c r="B650">
        <v>1315</v>
      </c>
      <c r="C650">
        <v>8</v>
      </c>
      <c r="D650">
        <v>1</v>
      </c>
      <c r="E650">
        <v>55</v>
      </c>
      <c r="F650">
        <f t="shared" si="30"/>
        <v>55</v>
      </c>
      <c r="G650" t="str">
        <f>VLOOKUP(B650,Orders!$A$2:$D$1201,4,FALSE)</f>
        <v>Shipped</v>
      </c>
      <c r="H650">
        <f t="shared" si="31"/>
        <v>55</v>
      </c>
      <c r="I650" s="12">
        <f>VLOOKUP(B650,Orders!$A$2:$D$1201,3,FALSE)</f>
        <v>46146</v>
      </c>
      <c r="L650" t="str">
        <f>VLOOKUP(C650,Products!$A$2:$D$13,2,FALSE)</f>
        <v>Webcam</v>
      </c>
      <c r="M650" t="str">
        <f t="shared" si="32"/>
        <v>2026-05</v>
      </c>
    </row>
    <row r="651" spans="1:13">
      <c r="A651">
        <v>650</v>
      </c>
      <c r="B651">
        <v>1315</v>
      </c>
      <c r="C651">
        <v>1</v>
      </c>
      <c r="D651">
        <v>3</v>
      </c>
      <c r="E651">
        <v>750</v>
      </c>
      <c r="F651">
        <f t="shared" si="30"/>
        <v>2250</v>
      </c>
      <c r="G651" t="str">
        <f>VLOOKUP(B651,Orders!$A$2:$D$1201,4,FALSE)</f>
        <v>Shipped</v>
      </c>
      <c r="H651">
        <f t="shared" si="31"/>
        <v>2250</v>
      </c>
      <c r="I651" s="12">
        <f>VLOOKUP(B651,Orders!$A$2:$D$1201,3,FALSE)</f>
        <v>46146</v>
      </c>
      <c r="L651" t="str">
        <f>VLOOKUP(C651,Products!$A$2:$D$13,2,FALSE)</f>
        <v>Laptop</v>
      </c>
      <c r="M651" t="str">
        <f t="shared" si="32"/>
        <v>2026-05</v>
      </c>
    </row>
    <row r="652" spans="1:13">
      <c r="A652">
        <v>651</v>
      </c>
      <c r="B652">
        <v>1316</v>
      </c>
      <c r="C652">
        <v>10</v>
      </c>
      <c r="D652">
        <v>3</v>
      </c>
      <c r="E652">
        <v>8</v>
      </c>
      <c r="F652">
        <f t="shared" si="30"/>
        <v>24</v>
      </c>
      <c r="G652" t="str">
        <f>VLOOKUP(B652,Orders!$A$2:$D$1201,4,FALSE)</f>
        <v>Cancelled</v>
      </c>
      <c r="H652">
        <f t="shared" si="31"/>
        <v>0</v>
      </c>
      <c r="I652" s="12">
        <f>VLOOKUP(B652,Orders!$A$2:$D$1201,3,FALSE)</f>
        <v>46203</v>
      </c>
      <c r="L652" t="str">
        <f>VLOOKUP(C652,Products!$A$2:$D$13,2,FALSE)</f>
        <v>Notebook</v>
      </c>
      <c r="M652" t="str">
        <f t="shared" si="32"/>
        <v>2026-06</v>
      </c>
    </row>
    <row r="653" spans="1:13">
      <c r="A653">
        <v>652</v>
      </c>
      <c r="B653">
        <v>1316</v>
      </c>
      <c r="C653">
        <v>12</v>
      </c>
      <c r="D653">
        <v>1</v>
      </c>
      <c r="E653">
        <v>22</v>
      </c>
      <c r="F653">
        <f t="shared" si="30"/>
        <v>22</v>
      </c>
      <c r="G653" t="str">
        <f>VLOOKUP(B653,Orders!$A$2:$D$1201,4,FALSE)</f>
        <v>Cancelled</v>
      </c>
      <c r="H653">
        <f t="shared" si="31"/>
        <v>0</v>
      </c>
      <c r="I653" s="12">
        <f>VLOOKUP(B653,Orders!$A$2:$D$1201,3,FALSE)</f>
        <v>46203</v>
      </c>
      <c r="L653" t="str">
        <f>VLOOKUP(C653,Products!$A$2:$D$13,2,FALSE)</f>
        <v>Storage Box</v>
      </c>
      <c r="M653" t="str">
        <f t="shared" si="32"/>
        <v>2026-06</v>
      </c>
    </row>
    <row r="654" spans="1:13">
      <c r="A654">
        <v>653</v>
      </c>
      <c r="B654">
        <v>1316</v>
      </c>
      <c r="C654">
        <v>4</v>
      </c>
      <c r="D654">
        <v>4</v>
      </c>
      <c r="E654">
        <v>25</v>
      </c>
      <c r="F654">
        <f t="shared" si="30"/>
        <v>100</v>
      </c>
      <c r="G654" t="str">
        <f>VLOOKUP(B654,Orders!$A$2:$D$1201,4,FALSE)</f>
        <v>Cancelled</v>
      </c>
      <c r="H654">
        <f t="shared" si="31"/>
        <v>0</v>
      </c>
      <c r="I654" s="12">
        <f>VLOOKUP(B654,Orders!$A$2:$D$1201,3,FALSE)</f>
        <v>46203</v>
      </c>
      <c r="L654" t="str">
        <f>VLOOKUP(C654,Products!$A$2:$D$13,2,FALSE)</f>
        <v>Mouse</v>
      </c>
      <c r="M654" t="str">
        <f t="shared" si="32"/>
        <v>2026-06</v>
      </c>
    </row>
    <row r="655" spans="1:13">
      <c r="A655">
        <v>654</v>
      </c>
      <c r="B655">
        <v>1317</v>
      </c>
      <c r="C655">
        <v>11</v>
      </c>
      <c r="D655">
        <v>4</v>
      </c>
      <c r="E655">
        <v>48</v>
      </c>
      <c r="F655">
        <f t="shared" si="30"/>
        <v>192</v>
      </c>
      <c r="G655" t="str">
        <f>VLOOKUP(B655,Orders!$A$2:$D$1201,4,FALSE)</f>
        <v>Delivered</v>
      </c>
      <c r="H655">
        <f t="shared" si="31"/>
        <v>192</v>
      </c>
      <c r="I655" s="12">
        <f>VLOOKUP(B655,Orders!$A$2:$D$1201,3,FALSE)</f>
        <v>46192</v>
      </c>
      <c r="L655" t="str">
        <f>VLOOKUP(C655,Products!$A$2:$D$13,2,FALSE)</f>
        <v>Backpack</v>
      </c>
      <c r="M655" t="str">
        <f t="shared" si="32"/>
        <v>2026-06</v>
      </c>
    </row>
    <row r="656" spans="1:13">
      <c r="A656">
        <v>655</v>
      </c>
      <c r="B656">
        <v>1317</v>
      </c>
      <c r="C656">
        <v>12</v>
      </c>
      <c r="D656">
        <v>2</v>
      </c>
      <c r="E656">
        <v>22</v>
      </c>
      <c r="F656">
        <f t="shared" si="30"/>
        <v>44</v>
      </c>
      <c r="G656" t="str">
        <f>VLOOKUP(B656,Orders!$A$2:$D$1201,4,FALSE)</f>
        <v>Delivered</v>
      </c>
      <c r="H656">
        <f t="shared" si="31"/>
        <v>44</v>
      </c>
      <c r="I656" s="12">
        <f>VLOOKUP(B656,Orders!$A$2:$D$1201,3,FALSE)</f>
        <v>46192</v>
      </c>
      <c r="L656" t="str">
        <f>VLOOKUP(C656,Products!$A$2:$D$13,2,FALSE)</f>
        <v>Storage Box</v>
      </c>
      <c r="M656" t="str">
        <f t="shared" si="32"/>
        <v>2026-06</v>
      </c>
    </row>
    <row r="657" spans="1:13">
      <c r="A657">
        <v>656</v>
      </c>
      <c r="B657">
        <v>1318</v>
      </c>
      <c r="C657">
        <v>8</v>
      </c>
      <c r="D657">
        <v>1</v>
      </c>
      <c r="E657">
        <v>55</v>
      </c>
      <c r="F657">
        <f t="shared" si="30"/>
        <v>55</v>
      </c>
      <c r="G657" t="str">
        <f>VLOOKUP(B657,Orders!$A$2:$D$1201,4,FALSE)</f>
        <v>Delivered</v>
      </c>
      <c r="H657">
        <f t="shared" si="31"/>
        <v>55</v>
      </c>
      <c r="I657" s="12">
        <f>VLOOKUP(B657,Orders!$A$2:$D$1201,3,FALSE)</f>
        <v>46025</v>
      </c>
      <c r="L657" t="str">
        <f>VLOOKUP(C657,Products!$A$2:$D$13,2,FALSE)</f>
        <v>Webcam</v>
      </c>
      <c r="M657" t="str">
        <f t="shared" si="32"/>
        <v>2026-01</v>
      </c>
    </row>
    <row r="658" spans="1:13">
      <c r="A658">
        <v>657</v>
      </c>
      <c r="B658">
        <v>1318</v>
      </c>
      <c r="C658">
        <v>12</v>
      </c>
      <c r="D658">
        <v>4</v>
      </c>
      <c r="E658">
        <v>22</v>
      </c>
      <c r="F658">
        <f t="shared" si="30"/>
        <v>88</v>
      </c>
      <c r="G658" t="str">
        <f>VLOOKUP(B658,Orders!$A$2:$D$1201,4,FALSE)</f>
        <v>Delivered</v>
      </c>
      <c r="H658">
        <f t="shared" si="31"/>
        <v>88</v>
      </c>
      <c r="I658" s="12">
        <f>VLOOKUP(B658,Orders!$A$2:$D$1201,3,FALSE)</f>
        <v>46025</v>
      </c>
      <c r="L658" t="str">
        <f>VLOOKUP(C658,Products!$A$2:$D$13,2,FALSE)</f>
        <v>Storage Box</v>
      </c>
      <c r="M658" t="str">
        <f t="shared" si="32"/>
        <v>2026-01</v>
      </c>
    </row>
    <row r="659" spans="1:13">
      <c r="A659">
        <v>658</v>
      </c>
      <c r="B659">
        <v>1318</v>
      </c>
      <c r="C659">
        <v>3</v>
      </c>
      <c r="D659">
        <v>3</v>
      </c>
      <c r="E659">
        <v>45</v>
      </c>
      <c r="F659">
        <f t="shared" si="30"/>
        <v>135</v>
      </c>
      <c r="G659" t="str">
        <f>VLOOKUP(B659,Orders!$A$2:$D$1201,4,FALSE)</f>
        <v>Delivered</v>
      </c>
      <c r="H659">
        <f t="shared" si="31"/>
        <v>135</v>
      </c>
      <c r="I659" s="12">
        <f>VLOOKUP(B659,Orders!$A$2:$D$1201,3,FALSE)</f>
        <v>46025</v>
      </c>
      <c r="L659" t="str">
        <f>VLOOKUP(C659,Products!$A$2:$D$13,2,FALSE)</f>
        <v>Keyboard</v>
      </c>
      <c r="M659" t="str">
        <f t="shared" si="32"/>
        <v>2026-01</v>
      </c>
    </row>
    <row r="660" spans="1:13">
      <c r="A660">
        <v>659</v>
      </c>
      <c r="B660">
        <v>1319</v>
      </c>
      <c r="C660">
        <v>2</v>
      </c>
      <c r="D660">
        <v>4</v>
      </c>
      <c r="E660">
        <v>220</v>
      </c>
      <c r="F660">
        <f t="shared" si="30"/>
        <v>880</v>
      </c>
      <c r="G660" t="str">
        <f>VLOOKUP(B660,Orders!$A$2:$D$1201,4,FALSE)</f>
        <v>Delivered</v>
      </c>
      <c r="H660">
        <f t="shared" si="31"/>
        <v>880</v>
      </c>
      <c r="I660" s="12">
        <f>VLOOKUP(B660,Orders!$A$2:$D$1201,3,FALSE)</f>
        <v>46163</v>
      </c>
      <c r="L660" t="str">
        <f>VLOOKUP(C660,Products!$A$2:$D$13,2,FALSE)</f>
        <v>Monitor</v>
      </c>
      <c r="M660" t="str">
        <f t="shared" si="32"/>
        <v>2026-05</v>
      </c>
    </row>
    <row r="661" spans="1:13">
      <c r="A661">
        <v>660</v>
      </c>
      <c r="B661">
        <v>1320</v>
      </c>
      <c r="C661">
        <v>11</v>
      </c>
      <c r="D661">
        <v>4</v>
      </c>
      <c r="E661">
        <v>48</v>
      </c>
      <c r="F661">
        <f t="shared" si="30"/>
        <v>192</v>
      </c>
      <c r="G661" t="str">
        <f>VLOOKUP(B661,Orders!$A$2:$D$1201,4,FALSE)</f>
        <v>Delivered</v>
      </c>
      <c r="H661">
        <f t="shared" si="31"/>
        <v>192</v>
      </c>
      <c r="I661" s="12">
        <f>VLOOKUP(B661,Orders!$A$2:$D$1201,3,FALSE)</f>
        <v>46137</v>
      </c>
      <c r="L661" t="str">
        <f>VLOOKUP(C661,Products!$A$2:$D$13,2,FALSE)</f>
        <v>Backpack</v>
      </c>
      <c r="M661" t="str">
        <f t="shared" si="32"/>
        <v>2026-04</v>
      </c>
    </row>
    <row r="662" spans="1:13">
      <c r="A662">
        <v>661</v>
      </c>
      <c r="B662">
        <v>1320</v>
      </c>
      <c r="C662">
        <v>1</v>
      </c>
      <c r="D662">
        <v>4</v>
      </c>
      <c r="E662">
        <v>750</v>
      </c>
      <c r="F662">
        <f t="shared" si="30"/>
        <v>3000</v>
      </c>
      <c r="G662" t="str">
        <f>VLOOKUP(B662,Orders!$A$2:$D$1201,4,FALSE)</f>
        <v>Delivered</v>
      </c>
      <c r="H662">
        <f t="shared" si="31"/>
        <v>3000</v>
      </c>
      <c r="I662" s="12">
        <f>VLOOKUP(B662,Orders!$A$2:$D$1201,3,FALSE)</f>
        <v>46137</v>
      </c>
      <c r="L662" t="str">
        <f>VLOOKUP(C662,Products!$A$2:$D$13,2,FALSE)</f>
        <v>Laptop</v>
      </c>
      <c r="M662" t="str">
        <f t="shared" si="32"/>
        <v>2026-04</v>
      </c>
    </row>
    <row r="663" spans="1:13">
      <c r="A663">
        <v>662</v>
      </c>
      <c r="B663">
        <v>1320</v>
      </c>
      <c r="C663">
        <v>2</v>
      </c>
      <c r="D663">
        <v>1</v>
      </c>
      <c r="E663">
        <v>220</v>
      </c>
      <c r="F663">
        <f t="shared" si="30"/>
        <v>220</v>
      </c>
      <c r="G663" t="str">
        <f>VLOOKUP(B663,Orders!$A$2:$D$1201,4,FALSE)</f>
        <v>Delivered</v>
      </c>
      <c r="H663">
        <f t="shared" si="31"/>
        <v>220</v>
      </c>
      <c r="I663" s="12">
        <f>VLOOKUP(B663,Orders!$A$2:$D$1201,3,FALSE)</f>
        <v>46137</v>
      </c>
      <c r="L663" t="str">
        <f>VLOOKUP(C663,Products!$A$2:$D$13,2,FALSE)</f>
        <v>Monitor</v>
      </c>
      <c r="M663" t="str">
        <f t="shared" si="32"/>
        <v>2026-04</v>
      </c>
    </row>
    <row r="664" spans="1:13">
      <c r="A664">
        <v>663</v>
      </c>
      <c r="B664">
        <v>1321</v>
      </c>
      <c r="C664">
        <v>4</v>
      </c>
      <c r="D664">
        <v>3</v>
      </c>
      <c r="E664">
        <v>25</v>
      </c>
      <c r="F664">
        <f t="shared" si="30"/>
        <v>75</v>
      </c>
      <c r="G664" t="str">
        <f>VLOOKUP(B664,Orders!$A$2:$D$1201,4,FALSE)</f>
        <v>Delivered</v>
      </c>
      <c r="H664">
        <f t="shared" si="31"/>
        <v>75</v>
      </c>
      <c r="I664" s="12">
        <f>VLOOKUP(B664,Orders!$A$2:$D$1201,3,FALSE)</f>
        <v>46181</v>
      </c>
      <c r="L664" t="str">
        <f>VLOOKUP(C664,Products!$A$2:$D$13,2,FALSE)</f>
        <v>Mouse</v>
      </c>
      <c r="M664" t="str">
        <f t="shared" si="32"/>
        <v>2026-06</v>
      </c>
    </row>
    <row r="665" spans="1:13">
      <c r="A665">
        <v>664</v>
      </c>
      <c r="B665">
        <v>1321</v>
      </c>
      <c r="C665">
        <v>11</v>
      </c>
      <c r="D665">
        <v>3</v>
      </c>
      <c r="E665">
        <v>48</v>
      </c>
      <c r="F665">
        <f t="shared" si="30"/>
        <v>144</v>
      </c>
      <c r="G665" t="str">
        <f>VLOOKUP(B665,Orders!$A$2:$D$1201,4,FALSE)</f>
        <v>Delivered</v>
      </c>
      <c r="H665">
        <f t="shared" si="31"/>
        <v>144</v>
      </c>
      <c r="I665" s="12">
        <f>VLOOKUP(B665,Orders!$A$2:$D$1201,3,FALSE)</f>
        <v>46181</v>
      </c>
      <c r="L665" t="str">
        <f>VLOOKUP(C665,Products!$A$2:$D$13,2,FALSE)</f>
        <v>Backpack</v>
      </c>
      <c r="M665" t="str">
        <f t="shared" si="32"/>
        <v>2026-06</v>
      </c>
    </row>
    <row r="666" spans="1:13">
      <c r="A666">
        <v>665</v>
      </c>
      <c r="B666">
        <v>1321</v>
      </c>
      <c r="C666">
        <v>8</v>
      </c>
      <c r="D666">
        <v>1</v>
      </c>
      <c r="E666">
        <v>55</v>
      </c>
      <c r="F666">
        <f t="shared" si="30"/>
        <v>55</v>
      </c>
      <c r="G666" t="str">
        <f>VLOOKUP(B666,Orders!$A$2:$D$1201,4,FALSE)</f>
        <v>Delivered</v>
      </c>
      <c r="H666">
        <f t="shared" si="31"/>
        <v>55</v>
      </c>
      <c r="I666" s="12">
        <f>VLOOKUP(B666,Orders!$A$2:$D$1201,3,FALSE)</f>
        <v>46181</v>
      </c>
      <c r="L666" t="str">
        <f>VLOOKUP(C666,Products!$A$2:$D$13,2,FALSE)</f>
        <v>Webcam</v>
      </c>
      <c r="M666" t="str">
        <f t="shared" si="32"/>
        <v>2026-06</v>
      </c>
    </row>
    <row r="667" spans="1:13">
      <c r="A667">
        <v>666</v>
      </c>
      <c r="B667">
        <v>1322</v>
      </c>
      <c r="C667">
        <v>8</v>
      </c>
      <c r="D667">
        <v>2</v>
      </c>
      <c r="E667">
        <v>55</v>
      </c>
      <c r="F667">
        <f t="shared" si="30"/>
        <v>110</v>
      </c>
      <c r="G667" t="str">
        <f>VLOOKUP(B667,Orders!$A$2:$D$1201,4,FALSE)</f>
        <v>Delivered</v>
      </c>
      <c r="H667">
        <f t="shared" si="31"/>
        <v>110</v>
      </c>
      <c r="I667" s="12">
        <f>VLOOKUP(B667,Orders!$A$2:$D$1201,3,FALSE)</f>
        <v>46176</v>
      </c>
      <c r="L667" t="str">
        <f>VLOOKUP(C667,Products!$A$2:$D$13,2,FALSE)</f>
        <v>Webcam</v>
      </c>
      <c r="M667" t="str">
        <f t="shared" si="32"/>
        <v>2026-06</v>
      </c>
    </row>
    <row r="668" spans="1:13">
      <c r="A668">
        <v>667</v>
      </c>
      <c r="B668">
        <v>1322</v>
      </c>
      <c r="C668">
        <v>2</v>
      </c>
      <c r="D668">
        <v>1</v>
      </c>
      <c r="E668">
        <v>220</v>
      </c>
      <c r="F668">
        <f t="shared" si="30"/>
        <v>220</v>
      </c>
      <c r="G668" t="str">
        <f>VLOOKUP(B668,Orders!$A$2:$D$1201,4,FALSE)</f>
        <v>Delivered</v>
      </c>
      <c r="H668">
        <f t="shared" si="31"/>
        <v>220</v>
      </c>
      <c r="I668" s="12">
        <f>VLOOKUP(B668,Orders!$A$2:$D$1201,3,FALSE)</f>
        <v>46176</v>
      </c>
      <c r="L668" t="str">
        <f>VLOOKUP(C668,Products!$A$2:$D$13,2,FALSE)</f>
        <v>Monitor</v>
      </c>
      <c r="M668" t="str">
        <f t="shared" si="32"/>
        <v>2026-06</v>
      </c>
    </row>
    <row r="669" spans="1:13">
      <c r="A669">
        <v>668</v>
      </c>
      <c r="B669">
        <v>1322</v>
      </c>
      <c r="C669">
        <v>11</v>
      </c>
      <c r="D669">
        <v>3</v>
      </c>
      <c r="E669">
        <v>48</v>
      </c>
      <c r="F669">
        <f t="shared" si="30"/>
        <v>144</v>
      </c>
      <c r="G669" t="str">
        <f>VLOOKUP(B669,Orders!$A$2:$D$1201,4,FALSE)</f>
        <v>Delivered</v>
      </c>
      <c r="H669">
        <f t="shared" si="31"/>
        <v>144</v>
      </c>
      <c r="I669" s="12">
        <f>VLOOKUP(B669,Orders!$A$2:$D$1201,3,FALSE)</f>
        <v>46176</v>
      </c>
      <c r="L669" t="str">
        <f>VLOOKUP(C669,Products!$A$2:$D$13,2,FALSE)</f>
        <v>Backpack</v>
      </c>
      <c r="M669" t="str">
        <f t="shared" si="32"/>
        <v>2026-06</v>
      </c>
    </row>
    <row r="670" spans="1:13">
      <c r="A670">
        <v>669</v>
      </c>
      <c r="B670">
        <v>1323</v>
      </c>
      <c r="C670">
        <v>3</v>
      </c>
      <c r="D670">
        <v>4</v>
      </c>
      <c r="E670">
        <v>45</v>
      </c>
      <c r="F670">
        <f t="shared" si="30"/>
        <v>180</v>
      </c>
      <c r="G670" t="str">
        <f>VLOOKUP(B670,Orders!$A$2:$D$1201,4,FALSE)</f>
        <v>Delivered</v>
      </c>
      <c r="H670">
        <f t="shared" si="31"/>
        <v>180</v>
      </c>
      <c r="I670" s="12">
        <f>VLOOKUP(B670,Orders!$A$2:$D$1201,3,FALSE)</f>
        <v>46156</v>
      </c>
      <c r="L670" t="str">
        <f>VLOOKUP(C670,Products!$A$2:$D$13,2,FALSE)</f>
        <v>Keyboard</v>
      </c>
      <c r="M670" t="str">
        <f t="shared" si="32"/>
        <v>2026-05</v>
      </c>
    </row>
    <row r="671" spans="1:13">
      <c r="A671">
        <v>670</v>
      </c>
      <c r="B671">
        <v>1324</v>
      </c>
      <c r="C671">
        <v>7</v>
      </c>
      <c r="D671">
        <v>2</v>
      </c>
      <c r="E671">
        <v>65</v>
      </c>
      <c r="F671">
        <f t="shared" si="30"/>
        <v>130</v>
      </c>
      <c r="G671" t="str">
        <f>VLOOKUP(B671,Orders!$A$2:$D$1201,4,FALSE)</f>
        <v>Delivered</v>
      </c>
      <c r="H671">
        <f t="shared" si="31"/>
        <v>130</v>
      </c>
      <c r="I671" s="12">
        <f>VLOOKUP(B671,Orders!$A$2:$D$1201,3,FALSE)</f>
        <v>46088</v>
      </c>
      <c r="L671" t="str">
        <f>VLOOKUP(C671,Products!$A$2:$D$13,2,FALSE)</f>
        <v>Headphones</v>
      </c>
      <c r="M671" t="str">
        <f t="shared" si="32"/>
        <v>2026-03</v>
      </c>
    </row>
    <row r="672" spans="1:13">
      <c r="A672">
        <v>671</v>
      </c>
      <c r="B672">
        <v>1325</v>
      </c>
      <c r="C672">
        <v>8</v>
      </c>
      <c r="D672">
        <v>2</v>
      </c>
      <c r="E672">
        <v>55</v>
      </c>
      <c r="F672">
        <f t="shared" si="30"/>
        <v>110</v>
      </c>
      <c r="G672" t="str">
        <f>VLOOKUP(B672,Orders!$A$2:$D$1201,4,FALSE)</f>
        <v>Delivered</v>
      </c>
      <c r="H672">
        <f t="shared" si="31"/>
        <v>110</v>
      </c>
      <c r="I672" s="12">
        <f>VLOOKUP(B672,Orders!$A$2:$D$1201,3,FALSE)</f>
        <v>46129</v>
      </c>
      <c r="L672" t="str">
        <f>VLOOKUP(C672,Products!$A$2:$D$13,2,FALSE)</f>
        <v>Webcam</v>
      </c>
      <c r="M672" t="str">
        <f t="shared" si="32"/>
        <v>2026-04</v>
      </c>
    </row>
    <row r="673" spans="1:13">
      <c r="A673">
        <v>672</v>
      </c>
      <c r="B673">
        <v>1325</v>
      </c>
      <c r="C673">
        <v>11</v>
      </c>
      <c r="D673">
        <v>4</v>
      </c>
      <c r="E673">
        <v>48</v>
      </c>
      <c r="F673">
        <f t="shared" si="30"/>
        <v>192</v>
      </c>
      <c r="G673" t="str">
        <f>VLOOKUP(B673,Orders!$A$2:$D$1201,4,FALSE)</f>
        <v>Delivered</v>
      </c>
      <c r="H673">
        <f t="shared" si="31"/>
        <v>192</v>
      </c>
      <c r="I673" s="12">
        <f>VLOOKUP(B673,Orders!$A$2:$D$1201,3,FALSE)</f>
        <v>46129</v>
      </c>
      <c r="L673" t="str">
        <f>VLOOKUP(C673,Products!$A$2:$D$13,2,FALSE)</f>
        <v>Backpack</v>
      </c>
      <c r="M673" t="str">
        <f t="shared" si="32"/>
        <v>2026-04</v>
      </c>
    </row>
    <row r="674" spans="1:13">
      <c r="A674">
        <v>673</v>
      </c>
      <c r="B674">
        <v>1326</v>
      </c>
      <c r="C674">
        <v>12</v>
      </c>
      <c r="D674">
        <v>2</v>
      </c>
      <c r="E674">
        <v>22</v>
      </c>
      <c r="F674">
        <f t="shared" si="30"/>
        <v>44</v>
      </c>
      <c r="G674" t="str">
        <f>VLOOKUP(B674,Orders!$A$2:$D$1201,4,FALSE)</f>
        <v>Delivered</v>
      </c>
      <c r="H674">
        <f t="shared" si="31"/>
        <v>44</v>
      </c>
      <c r="I674" s="12">
        <f>VLOOKUP(B674,Orders!$A$2:$D$1201,3,FALSE)</f>
        <v>46172</v>
      </c>
      <c r="L674" t="str">
        <f>VLOOKUP(C674,Products!$A$2:$D$13,2,FALSE)</f>
        <v>Storage Box</v>
      </c>
      <c r="M674" t="str">
        <f t="shared" si="32"/>
        <v>2026-05</v>
      </c>
    </row>
    <row r="675" spans="1:13">
      <c r="A675">
        <v>674</v>
      </c>
      <c r="B675">
        <v>1327</v>
      </c>
      <c r="C675">
        <v>7</v>
      </c>
      <c r="D675">
        <v>2</v>
      </c>
      <c r="E675">
        <v>65</v>
      </c>
      <c r="F675">
        <f t="shared" si="30"/>
        <v>130</v>
      </c>
      <c r="G675" t="str">
        <f>VLOOKUP(B675,Orders!$A$2:$D$1201,4,FALSE)</f>
        <v>Cancelled</v>
      </c>
      <c r="H675">
        <f t="shared" si="31"/>
        <v>0</v>
      </c>
      <c r="I675" s="12">
        <f>VLOOKUP(B675,Orders!$A$2:$D$1201,3,FALSE)</f>
        <v>46178</v>
      </c>
      <c r="L675" t="str">
        <f>VLOOKUP(C675,Products!$A$2:$D$13,2,FALSE)</f>
        <v>Headphones</v>
      </c>
      <c r="M675" t="str">
        <f t="shared" si="32"/>
        <v>2026-06</v>
      </c>
    </row>
    <row r="676" spans="1:13">
      <c r="A676">
        <v>675</v>
      </c>
      <c r="B676">
        <v>1327</v>
      </c>
      <c r="C676">
        <v>10</v>
      </c>
      <c r="D676">
        <v>3</v>
      </c>
      <c r="E676">
        <v>8</v>
      </c>
      <c r="F676">
        <f t="shared" si="30"/>
        <v>24</v>
      </c>
      <c r="G676" t="str">
        <f>VLOOKUP(B676,Orders!$A$2:$D$1201,4,FALSE)</f>
        <v>Cancelled</v>
      </c>
      <c r="H676">
        <f t="shared" si="31"/>
        <v>0</v>
      </c>
      <c r="I676" s="12">
        <f>VLOOKUP(B676,Orders!$A$2:$D$1201,3,FALSE)</f>
        <v>46178</v>
      </c>
      <c r="L676" t="str">
        <f>VLOOKUP(C676,Products!$A$2:$D$13,2,FALSE)</f>
        <v>Notebook</v>
      </c>
      <c r="M676" t="str">
        <f t="shared" si="32"/>
        <v>2026-06</v>
      </c>
    </row>
    <row r="677" spans="1:13">
      <c r="A677">
        <v>676</v>
      </c>
      <c r="B677">
        <v>1328</v>
      </c>
      <c r="C677">
        <v>3</v>
      </c>
      <c r="D677">
        <v>4</v>
      </c>
      <c r="E677">
        <v>45</v>
      </c>
      <c r="F677">
        <f t="shared" si="30"/>
        <v>180</v>
      </c>
      <c r="G677" t="str">
        <f>VLOOKUP(B677,Orders!$A$2:$D$1201,4,FALSE)</f>
        <v>Shipped</v>
      </c>
      <c r="H677">
        <f t="shared" si="31"/>
        <v>180</v>
      </c>
      <c r="I677" s="12">
        <f>VLOOKUP(B677,Orders!$A$2:$D$1201,3,FALSE)</f>
        <v>46124</v>
      </c>
      <c r="L677" t="str">
        <f>VLOOKUP(C677,Products!$A$2:$D$13,2,FALSE)</f>
        <v>Keyboard</v>
      </c>
      <c r="M677" t="str">
        <f t="shared" si="32"/>
        <v>2026-04</v>
      </c>
    </row>
    <row r="678" spans="1:13">
      <c r="A678">
        <v>677</v>
      </c>
      <c r="B678">
        <v>1328</v>
      </c>
      <c r="C678">
        <v>12</v>
      </c>
      <c r="D678">
        <v>3</v>
      </c>
      <c r="E678">
        <v>22</v>
      </c>
      <c r="F678">
        <f t="shared" si="30"/>
        <v>66</v>
      </c>
      <c r="G678" t="str">
        <f>VLOOKUP(B678,Orders!$A$2:$D$1201,4,FALSE)</f>
        <v>Shipped</v>
      </c>
      <c r="H678">
        <f t="shared" si="31"/>
        <v>66</v>
      </c>
      <c r="I678" s="12">
        <f>VLOOKUP(B678,Orders!$A$2:$D$1201,3,FALSE)</f>
        <v>46124</v>
      </c>
      <c r="L678" t="str">
        <f>VLOOKUP(C678,Products!$A$2:$D$13,2,FALSE)</f>
        <v>Storage Box</v>
      </c>
      <c r="M678" t="str">
        <f t="shared" si="32"/>
        <v>2026-04</v>
      </c>
    </row>
    <row r="679" spans="1:13">
      <c r="A679">
        <v>678</v>
      </c>
      <c r="B679">
        <v>1329</v>
      </c>
      <c r="C679">
        <v>4</v>
      </c>
      <c r="D679">
        <v>3</v>
      </c>
      <c r="E679">
        <v>25</v>
      </c>
      <c r="F679">
        <f t="shared" si="30"/>
        <v>75</v>
      </c>
      <c r="G679" t="str">
        <f>VLOOKUP(B679,Orders!$A$2:$D$1201,4,FALSE)</f>
        <v>Delivered</v>
      </c>
      <c r="H679">
        <f t="shared" si="31"/>
        <v>75</v>
      </c>
      <c r="I679" s="12">
        <f>VLOOKUP(B679,Orders!$A$2:$D$1201,3,FALSE)</f>
        <v>46103</v>
      </c>
      <c r="L679" t="str">
        <f>VLOOKUP(C679,Products!$A$2:$D$13,2,FALSE)</f>
        <v>Mouse</v>
      </c>
      <c r="M679" t="str">
        <f t="shared" si="32"/>
        <v>2026-03</v>
      </c>
    </row>
    <row r="680" spans="1:13">
      <c r="A680">
        <v>679</v>
      </c>
      <c r="B680">
        <v>1329</v>
      </c>
      <c r="C680">
        <v>12</v>
      </c>
      <c r="D680">
        <v>3</v>
      </c>
      <c r="E680">
        <v>22</v>
      </c>
      <c r="F680">
        <f t="shared" si="30"/>
        <v>66</v>
      </c>
      <c r="G680" t="str">
        <f>VLOOKUP(B680,Orders!$A$2:$D$1201,4,FALSE)</f>
        <v>Delivered</v>
      </c>
      <c r="H680">
        <f t="shared" si="31"/>
        <v>66</v>
      </c>
      <c r="I680" s="12">
        <f>VLOOKUP(B680,Orders!$A$2:$D$1201,3,FALSE)</f>
        <v>46103</v>
      </c>
      <c r="L680" t="str">
        <f>VLOOKUP(C680,Products!$A$2:$D$13,2,FALSE)</f>
        <v>Storage Box</v>
      </c>
      <c r="M680" t="str">
        <f t="shared" si="32"/>
        <v>2026-03</v>
      </c>
    </row>
    <row r="681" spans="1:13">
      <c r="A681">
        <v>680</v>
      </c>
      <c r="B681">
        <v>1329</v>
      </c>
      <c r="C681">
        <v>11</v>
      </c>
      <c r="D681">
        <v>2</v>
      </c>
      <c r="E681">
        <v>48</v>
      </c>
      <c r="F681">
        <f t="shared" si="30"/>
        <v>96</v>
      </c>
      <c r="G681" t="str">
        <f>VLOOKUP(B681,Orders!$A$2:$D$1201,4,FALSE)</f>
        <v>Delivered</v>
      </c>
      <c r="H681">
        <f t="shared" si="31"/>
        <v>96</v>
      </c>
      <c r="I681" s="12">
        <f>VLOOKUP(B681,Orders!$A$2:$D$1201,3,FALSE)</f>
        <v>46103</v>
      </c>
      <c r="L681" t="str">
        <f>VLOOKUP(C681,Products!$A$2:$D$13,2,FALSE)</f>
        <v>Backpack</v>
      </c>
      <c r="M681" t="str">
        <f t="shared" si="32"/>
        <v>2026-03</v>
      </c>
    </row>
    <row r="682" spans="1:13">
      <c r="A682">
        <v>681</v>
      </c>
      <c r="B682">
        <v>1330</v>
      </c>
      <c r="C682">
        <v>2</v>
      </c>
      <c r="D682">
        <v>4</v>
      </c>
      <c r="E682">
        <v>220</v>
      </c>
      <c r="F682">
        <f t="shared" si="30"/>
        <v>880</v>
      </c>
      <c r="G682" t="str">
        <f>VLOOKUP(B682,Orders!$A$2:$D$1201,4,FALSE)</f>
        <v>Delivered</v>
      </c>
      <c r="H682">
        <f t="shared" si="31"/>
        <v>880</v>
      </c>
      <c r="I682" s="12">
        <f>VLOOKUP(B682,Orders!$A$2:$D$1201,3,FALSE)</f>
        <v>46161</v>
      </c>
      <c r="L682" t="str">
        <f>VLOOKUP(C682,Products!$A$2:$D$13,2,FALSE)</f>
        <v>Monitor</v>
      </c>
      <c r="M682" t="str">
        <f t="shared" si="32"/>
        <v>2026-05</v>
      </c>
    </row>
    <row r="683" spans="1:13">
      <c r="A683">
        <v>682</v>
      </c>
      <c r="B683">
        <v>1330</v>
      </c>
      <c r="C683">
        <v>6</v>
      </c>
      <c r="D683">
        <v>4</v>
      </c>
      <c r="E683">
        <v>140</v>
      </c>
      <c r="F683">
        <f t="shared" si="30"/>
        <v>560</v>
      </c>
      <c r="G683" t="str">
        <f>VLOOKUP(B683,Orders!$A$2:$D$1201,4,FALSE)</f>
        <v>Delivered</v>
      </c>
      <c r="H683">
        <f t="shared" si="31"/>
        <v>560</v>
      </c>
      <c r="I683" s="12">
        <f>VLOOKUP(B683,Orders!$A$2:$D$1201,3,FALSE)</f>
        <v>46161</v>
      </c>
      <c r="L683" t="str">
        <f>VLOOKUP(C683,Products!$A$2:$D$13,2,FALSE)</f>
        <v>Chair</v>
      </c>
      <c r="M683" t="str">
        <f t="shared" si="32"/>
        <v>2026-05</v>
      </c>
    </row>
    <row r="684" spans="1:13">
      <c r="A684">
        <v>683</v>
      </c>
      <c r="B684">
        <v>1330</v>
      </c>
      <c r="C684">
        <v>9</v>
      </c>
      <c r="D684">
        <v>3</v>
      </c>
      <c r="E684">
        <v>30</v>
      </c>
      <c r="F684">
        <f t="shared" si="30"/>
        <v>90</v>
      </c>
      <c r="G684" t="str">
        <f>VLOOKUP(B684,Orders!$A$2:$D$1201,4,FALSE)</f>
        <v>Delivered</v>
      </c>
      <c r="H684">
        <f t="shared" si="31"/>
        <v>90</v>
      </c>
      <c r="I684" s="12">
        <f>VLOOKUP(B684,Orders!$A$2:$D$1201,3,FALSE)</f>
        <v>46161</v>
      </c>
      <c r="L684" t="str">
        <f>VLOOKUP(C684,Products!$A$2:$D$13,2,FALSE)</f>
        <v>Lamp</v>
      </c>
      <c r="M684" t="str">
        <f t="shared" si="32"/>
        <v>2026-05</v>
      </c>
    </row>
    <row r="685" spans="1:13">
      <c r="A685">
        <v>684</v>
      </c>
      <c r="B685">
        <v>1331</v>
      </c>
      <c r="C685">
        <v>1</v>
      </c>
      <c r="D685">
        <v>2</v>
      </c>
      <c r="E685">
        <v>750</v>
      </c>
      <c r="F685">
        <f t="shared" si="30"/>
        <v>1500</v>
      </c>
      <c r="G685" t="str">
        <f>VLOOKUP(B685,Orders!$A$2:$D$1201,4,FALSE)</f>
        <v>Delivered</v>
      </c>
      <c r="H685">
        <f t="shared" si="31"/>
        <v>1500</v>
      </c>
      <c r="I685" s="12">
        <f>VLOOKUP(B685,Orders!$A$2:$D$1201,3,FALSE)</f>
        <v>46029</v>
      </c>
      <c r="L685" t="str">
        <f>VLOOKUP(C685,Products!$A$2:$D$13,2,FALSE)</f>
        <v>Laptop</v>
      </c>
      <c r="M685" t="str">
        <f t="shared" si="32"/>
        <v>2026-01</v>
      </c>
    </row>
    <row r="686" spans="1:13">
      <c r="A686">
        <v>685</v>
      </c>
      <c r="B686">
        <v>1331</v>
      </c>
      <c r="C686">
        <v>4</v>
      </c>
      <c r="D686">
        <v>3</v>
      </c>
      <c r="E686">
        <v>25</v>
      </c>
      <c r="F686">
        <f t="shared" si="30"/>
        <v>75</v>
      </c>
      <c r="G686" t="str">
        <f>VLOOKUP(B686,Orders!$A$2:$D$1201,4,FALSE)</f>
        <v>Delivered</v>
      </c>
      <c r="H686">
        <f t="shared" si="31"/>
        <v>75</v>
      </c>
      <c r="I686" s="12">
        <f>VLOOKUP(B686,Orders!$A$2:$D$1201,3,FALSE)</f>
        <v>46029</v>
      </c>
      <c r="L686" t="str">
        <f>VLOOKUP(C686,Products!$A$2:$D$13,2,FALSE)</f>
        <v>Mouse</v>
      </c>
      <c r="M686" t="str">
        <f t="shared" si="32"/>
        <v>2026-01</v>
      </c>
    </row>
    <row r="687" spans="1:13">
      <c r="A687">
        <v>686</v>
      </c>
      <c r="B687">
        <v>1331</v>
      </c>
      <c r="C687">
        <v>5</v>
      </c>
      <c r="D687">
        <v>3</v>
      </c>
      <c r="E687">
        <v>180</v>
      </c>
      <c r="F687">
        <f t="shared" si="30"/>
        <v>540</v>
      </c>
      <c r="G687" t="str">
        <f>VLOOKUP(B687,Orders!$A$2:$D$1201,4,FALSE)</f>
        <v>Delivered</v>
      </c>
      <c r="H687">
        <f t="shared" si="31"/>
        <v>540</v>
      </c>
      <c r="I687" s="12">
        <f>VLOOKUP(B687,Orders!$A$2:$D$1201,3,FALSE)</f>
        <v>46029</v>
      </c>
      <c r="L687" t="str">
        <f>VLOOKUP(C687,Products!$A$2:$D$13,2,FALSE)</f>
        <v>Desk</v>
      </c>
      <c r="M687" t="str">
        <f t="shared" si="32"/>
        <v>2026-01</v>
      </c>
    </row>
    <row r="688" spans="1:13">
      <c r="A688">
        <v>687</v>
      </c>
      <c r="B688">
        <v>1332</v>
      </c>
      <c r="C688">
        <v>10</v>
      </c>
      <c r="D688">
        <v>2</v>
      </c>
      <c r="E688">
        <v>8</v>
      </c>
      <c r="F688">
        <f t="shared" si="30"/>
        <v>16</v>
      </c>
      <c r="G688" t="str">
        <f>VLOOKUP(B688,Orders!$A$2:$D$1201,4,FALSE)</f>
        <v>Delivered</v>
      </c>
      <c r="H688">
        <f t="shared" si="31"/>
        <v>16</v>
      </c>
      <c r="I688" s="12">
        <f>VLOOKUP(B688,Orders!$A$2:$D$1201,3,FALSE)</f>
        <v>46161</v>
      </c>
      <c r="L688" t="str">
        <f>VLOOKUP(C688,Products!$A$2:$D$13,2,FALSE)</f>
        <v>Notebook</v>
      </c>
      <c r="M688" t="str">
        <f t="shared" si="32"/>
        <v>2026-05</v>
      </c>
    </row>
    <row r="689" spans="1:13">
      <c r="A689">
        <v>688</v>
      </c>
      <c r="B689">
        <v>1333</v>
      </c>
      <c r="C689">
        <v>7</v>
      </c>
      <c r="D689">
        <v>3</v>
      </c>
      <c r="E689">
        <v>65</v>
      </c>
      <c r="F689">
        <f t="shared" si="30"/>
        <v>195</v>
      </c>
      <c r="G689" t="str">
        <f>VLOOKUP(B689,Orders!$A$2:$D$1201,4,FALSE)</f>
        <v>Delivered</v>
      </c>
      <c r="H689">
        <f t="shared" si="31"/>
        <v>195</v>
      </c>
      <c r="I689" s="12">
        <f>VLOOKUP(B689,Orders!$A$2:$D$1201,3,FALSE)</f>
        <v>46096</v>
      </c>
      <c r="L689" t="str">
        <f>VLOOKUP(C689,Products!$A$2:$D$13,2,FALSE)</f>
        <v>Headphones</v>
      </c>
      <c r="M689" t="str">
        <f t="shared" si="32"/>
        <v>2026-03</v>
      </c>
    </row>
    <row r="690" spans="1:13">
      <c r="A690">
        <v>689</v>
      </c>
      <c r="B690">
        <v>1333</v>
      </c>
      <c r="C690">
        <v>12</v>
      </c>
      <c r="D690">
        <v>1</v>
      </c>
      <c r="E690">
        <v>22</v>
      </c>
      <c r="F690">
        <f t="shared" si="30"/>
        <v>22</v>
      </c>
      <c r="G690" t="str">
        <f>VLOOKUP(B690,Orders!$A$2:$D$1201,4,FALSE)</f>
        <v>Delivered</v>
      </c>
      <c r="H690">
        <f t="shared" si="31"/>
        <v>22</v>
      </c>
      <c r="I690" s="12">
        <f>VLOOKUP(B690,Orders!$A$2:$D$1201,3,FALSE)</f>
        <v>46096</v>
      </c>
      <c r="L690" t="str">
        <f>VLOOKUP(C690,Products!$A$2:$D$13,2,FALSE)</f>
        <v>Storage Box</v>
      </c>
      <c r="M690" t="str">
        <f t="shared" si="32"/>
        <v>2026-03</v>
      </c>
    </row>
    <row r="691" spans="1:13">
      <c r="A691">
        <v>690</v>
      </c>
      <c r="B691">
        <v>1334</v>
      </c>
      <c r="C691">
        <v>9</v>
      </c>
      <c r="D691">
        <v>2</v>
      </c>
      <c r="E691">
        <v>30</v>
      </c>
      <c r="F691">
        <f t="shared" si="30"/>
        <v>60</v>
      </c>
      <c r="G691" t="str">
        <f>VLOOKUP(B691,Orders!$A$2:$D$1201,4,FALSE)</f>
        <v>Shipped</v>
      </c>
      <c r="H691">
        <f t="shared" si="31"/>
        <v>60</v>
      </c>
      <c r="I691" s="12">
        <f>VLOOKUP(B691,Orders!$A$2:$D$1201,3,FALSE)</f>
        <v>46080</v>
      </c>
      <c r="L691" t="str">
        <f>VLOOKUP(C691,Products!$A$2:$D$13,2,FALSE)</f>
        <v>Lamp</v>
      </c>
      <c r="M691" t="str">
        <f t="shared" si="32"/>
        <v>2026-02</v>
      </c>
    </row>
    <row r="692" spans="1:13">
      <c r="A692">
        <v>691</v>
      </c>
      <c r="B692">
        <v>1334</v>
      </c>
      <c r="C692">
        <v>10</v>
      </c>
      <c r="D692">
        <v>3</v>
      </c>
      <c r="E692">
        <v>8</v>
      </c>
      <c r="F692">
        <f t="shared" si="30"/>
        <v>24</v>
      </c>
      <c r="G692" t="str">
        <f>VLOOKUP(B692,Orders!$A$2:$D$1201,4,FALSE)</f>
        <v>Shipped</v>
      </c>
      <c r="H692">
        <f t="shared" si="31"/>
        <v>24</v>
      </c>
      <c r="I692" s="12">
        <f>VLOOKUP(B692,Orders!$A$2:$D$1201,3,FALSE)</f>
        <v>46080</v>
      </c>
      <c r="L692" t="str">
        <f>VLOOKUP(C692,Products!$A$2:$D$13,2,FALSE)</f>
        <v>Notebook</v>
      </c>
      <c r="M692" t="str">
        <f t="shared" si="32"/>
        <v>2026-02</v>
      </c>
    </row>
    <row r="693" spans="1:13">
      <c r="A693">
        <v>692</v>
      </c>
      <c r="B693">
        <v>1334</v>
      </c>
      <c r="C693">
        <v>4</v>
      </c>
      <c r="D693">
        <v>4</v>
      </c>
      <c r="E693">
        <v>25</v>
      </c>
      <c r="F693">
        <f t="shared" si="30"/>
        <v>100</v>
      </c>
      <c r="G693" t="str">
        <f>VLOOKUP(B693,Orders!$A$2:$D$1201,4,FALSE)</f>
        <v>Shipped</v>
      </c>
      <c r="H693">
        <f t="shared" si="31"/>
        <v>100</v>
      </c>
      <c r="I693" s="12">
        <f>VLOOKUP(B693,Orders!$A$2:$D$1201,3,FALSE)</f>
        <v>46080</v>
      </c>
      <c r="L693" t="str">
        <f>VLOOKUP(C693,Products!$A$2:$D$13,2,FALSE)</f>
        <v>Mouse</v>
      </c>
      <c r="M693" t="str">
        <f t="shared" si="32"/>
        <v>2026-02</v>
      </c>
    </row>
    <row r="694" spans="1:13">
      <c r="A694">
        <v>693</v>
      </c>
      <c r="B694">
        <v>1335</v>
      </c>
      <c r="C694">
        <v>9</v>
      </c>
      <c r="D694">
        <v>1</v>
      </c>
      <c r="E694">
        <v>30</v>
      </c>
      <c r="F694">
        <f t="shared" si="30"/>
        <v>30</v>
      </c>
      <c r="G694" t="str">
        <f>VLOOKUP(B694,Orders!$A$2:$D$1201,4,FALSE)</f>
        <v>Delivered</v>
      </c>
      <c r="H694">
        <f t="shared" si="31"/>
        <v>30</v>
      </c>
      <c r="I694" s="12">
        <f>VLOOKUP(B694,Orders!$A$2:$D$1201,3,FALSE)</f>
        <v>46042</v>
      </c>
      <c r="L694" t="str">
        <f>VLOOKUP(C694,Products!$A$2:$D$13,2,FALSE)</f>
        <v>Lamp</v>
      </c>
      <c r="M694" t="str">
        <f t="shared" si="32"/>
        <v>2026-01</v>
      </c>
    </row>
    <row r="695" spans="1:13">
      <c r="A695">
        <v>694</v>
      </c>
      <c r="B695">
        <v>1335</v>
      </c>
      <c r="C695">
        <v>2</v>
      </c>
      <c r="D695">
        <v>4</v>
      </c>
      <c r="E695">
        <v>220</v>
      </c>
      <c r="F695">
        <f t="shared" si="30"/>
        <v>880</v>
      </c>
      <c r="G695" t="str">
        <f>VLOOKUP(B695,Orders!$A$2:$D$1201,4,FALSE)</f>
        <v>Delivered</v>
      </c>
      <c r="H695">
        <f t="shared" si="31"/>
        <v>880</v>
      </c>
      <c r="I695" s="12">
        <f>VLOOKUP(B695,Orders!$A$2:$D$1201,3,FALSE)</f>
        <v>46042</v>
      </c>
      <c r="L695" t="str">
        <f>VLOOKUP(C695,Products!$A$2:$D$13,2,FALSE)</f>
        <v>Monitor</v>
      </c>
      <c r="M695" t="str">
        <f t="shared" si="32"/>
        <v>2026-01</v>
      </c>
    </row>
    <row r="696" spans="1:13">
      <c r="A696">
        <v>695</v>
      </c>
      <c r="B696">
        <v>1335</v>
      </c>
      <c r="C696">
        <v>7</v>
      </c>
      <c r="D696">
        <v>3</v>
      </c>
      <c r="E696">
        <v>65</v>
      </c>
      <c r="F696">
        <f t="shared" si="30"/>
        <v>195</v>
      </c>
      <c r="G696" t="str">
        <f>VLOOKUP(B696,Orders!$A$2:$D$1201,4,FALSE)</f>
        <v>Delivered</v>
      </c>
      <c r="H696">
        <f t="shared" si="31"/>
        <v>195</v>
      </c>
      <c r="I696" s="12">
        <f>VLOOKUP(B696,Orders!$A$2:$D$1201,3,FALSE)</f>
        <v>46042</v>
      </c>
      <c r="L696" t="str">
        <f>VLOOKUP(C696,Products!$A$2:$D$13,2,FALSE)</f>
        <v>Headphones</v>
      </c>
      <c r="M696" t="str">
        <f t="shared" si="32"/>
        <v>2026-01</v>
      </c>
    </row>
    <row r="697" spans="1:13">
      <c r="A697">
        <v>696</v>
      </c>
      <c r="B697">
        <v>1336</v>
      </c>
      <c r="C697">
        <v>3</v>
      </c>
      <c r="D697">
        <v>3</v>
      </c>
      <c r="E697">
        <v>45</v>
      </c>
      <c r="F697">
        <f t="shared" si="30"/>
        <v>135</v>
      </c>
      <c r="G697" t="str">
        <f>VLOOKUP(B697,Orders!$A$2:$D$1201,4,FALSE)</f>
        <v>Delivered</v>
      </c>
      <c r="H697">
        <f t="shared" si="31"/>
        <v>135</v>
      </c>
      <c r="I697" s="12">
        <f>VLOOKUP(B697,Orders!$A$2:$D$1201,3,FALSE)</f>
        <v>46024</v>
      </c>
      <c r="L697" t="str">
        <f>VLOOKUP(C697,Products!$A$2:$D$13,2,FALSE)</f>
        <v>Keyboard</v>
      </c>
      <c r="M697" t="str">
        <f t="shared" si="32"/>
        <v>2026-01</v>
      </c>
    </row>
    <row r="698" spans="1:13">
      <c r="A698">
        <v>697</v>
      </c>
      <c r="B698">
        <v>1337</v>
      </c>
      <c r="C698">
        <v>6</v>
      </c>
      <c r="D698">
        <v>2</v>
      </c>
      <c r="E698">
        <v>140</v>
      </c>
      <c r="F698">
        <f t="shared" si="30"/>
        <v>280</v>
      </c>
      <c r="G698" t="str">
        <f>VLOOKUP(B698,Orders!$A$2:$D$1201,4,FALSE)</f>
        <v>Delivered</v>
      </c>
      <c r="H698">
        <f t="shared" si="31"/>
        <v>280</v>
      </c>
      <c r="I698" s="12">
        <f>VLOOKUP(B698,Orders!$A$2:$D$1201,3,FALSE)</f>
        <v>46100</v>
      </c>
      <c r="L698" t="str">
        <f>VLOOKUP(C698,Products!$A$2:$D$13,2,FALSE)</f>
        <v>Chair</v>
      </c>
      <c r="M698" t="str">
        <f t="shared" si="32"/>
        <v>2026-03</v>
      </c>
    </row>
    <row r="699" spans="1:13">
      <c r="A699">
        <v>698</v>
      </c>
      <c r="B699">
        <v>1337</v>
      </c>
      <c r="C699">
        <v>2</v>
      </c>
      <c r="D699">
        <v>2</v>
      </c>
      <c r="E699">
        <v>220</v>
      </c>
      <c r="F699">
        <f t="shared" si="30"/>
        <v>440</v>
      </c>
      <c r="G699" t="str">
        <f>VLOOKUP(B699,Orders!$A$2:$D$1201,4,FALSE)</f>
        <v>Delivered</v>
      </c>
      <c r="H699">
        <f t="shared" si="31"/>
        <v>440</v>
      </c>
      <c r="I699" s="12">
        <f>VLOOKUP(B699,Orders!$A$2:$D$1201,3,FALSE)</f>
        <v>46100</v>
      </c>
      <c r="L699" t="str">
        <f>VLOOKUP(C699,Products!$A$2:$D$13,2,FALSE)</f>
        <v>Monitor</v>
      </c>
      <c r="M699" t="str">
        <f t="shared" si="32"/>
        <v>2026-03</v>
      </c>
    </row>
    <row r="700" spans="1:13">
      <c r="A700">
        <v>699</v>
      </c>
      <c r="B700">
        <v>1337</v>
      </c>
      <c r="C700">
        <v>12</v>
      </c>
      <c r="D700">
        <v>1</v>
      </c>
      <c r="E700">
        <v>22</v>
      </c>
      <c r="F700">
        <f t="shared" si="30"/>
        <v>22</v>
      </c>
      <c r="G700" t="str">
        <f>VLOOKUP(B700,Orders!$A$2:$D$1201,4,FALSE)</f>
        <v>Delivered</v>
      </c>
      <c r="H700">
        <f t="shared" si="31"/>
        <v>22</v>
      </c>
      <c r="I700" s="12">
        <f>VLOOKUP(B700,Orders!$A$2:$D$1201,3,FALSE)</f>
        <v>46100</v>
      </c>
      <c r="L700" t="str">
        <f>VLOOKUP(C700,Products!$A$2:$D$13,2,FALSE)</f>
        <v>Storage Box</v>
      </c>
      <c r="M700" t="str">
        <f t="shared" si="32"/>
        <v>2026-03</v>
      </c>
    </row>
    <row r="701" spans="1:13">
      <c r="A701">
        <v>700</v>
      </c>
      <c r="B701">
        <v>1338</v>
      </c>
      <c r="C701">
        <v>6</v>
      </c>
      <c r="D701">
        <v>3</v>
      </c>
      <c r="E701">
        <v>140</v>
      </c>
      <c r="F701">
        <f t="shared" si="30"/>
        <v>420</v>
      </c>
      <c r="G701" t="str">
        <f>VLOOKUP(B701,Orders!$A$2:$D$1201,4,FALSE)</f>
        <v>Delivered</v>
      </c>
      <c r="H701">
        <f t="shared" si="31"/>
        <v>420</v>
      </c>
      <c r="I701" s="12">
        <f>VLOOKUP(B701,Orders!$A$2:$D$1201,3,FALSE)</f>
        <v>46046</v>
      </c>
      <c r="L701" t="str">
        <f>VLOOKUP(C701,Products!$A$2:$D$13,2,FALSE)</f>
        <v>Chair</v>
      </c>
      <c r="M701" t="str">
        <f t="shared" si="32"/>
        <v>2026-01</v>
      </c>
    </row>
    <row r="702" spans="1:13">
      <c r="A702">
        <v>701</v>
      </c>
      <c r="B702">
        <v>1338</v>
      </c>
      <c r="C702">
        <v>12</v>
      </c>
      <c r="D702">
        <v>2</v>
      </c>
      <c r="E702">
        <v>22</v>
      </c>
      <c r="F702">
        <f t="shared" si="30"/>
        <v>44</v>
      </c>
      <c r="G702" t="str">
        <f>VLOOKUP(B702,Orders!$A$2:$D$1201,4,FALSE)</f>
        <v>Delivered</v>
      </c>
      <c r="H702">
        <f t="shared" si="31"/>
        <v>44</v>
      </c>
      <c r="I702" s="12">
        <f>VLOOKUP(B702,Orders!$A$2:$D$1201,3,FALSE)</f>
        <v>46046</v>
      </c>
      <c r="L702" t="str">
        <f>VLOOKUP(C702,Products!$A$2:$D$13,2,FALSE)</f>
        <v>Storage Box</v>
      </c>
      <c r="M702" t="str">
        <f t="shared" si="32"/>
        <v>2026-01</v>
      </c>
    </row>
    <row r="703" spans="1:13">
      <c r="A703">
        <v>702</v>
      </c>
      <c r="B703">
        <v>1338</v>
      </c>
      <c r="C703">
        <v>11</v>
      </c>
      <c r="D703">
        <v>4</v>
      </c>
      <c r="E703">
        <v>48</v>
      </c>
      <c r="F703">
        <f t="shared" si="30"/>
        <v>192</v>
      </c>
      <c r="G703" t="str">
        <f>VLOOKUP(B703,Orders!$A$2:$D$1201,4,FALSE)</f>
        <v>Delivered</v>
      </c>
      <c r="H703">
        <f t="shared" si="31"/>
        <v>192</v>
      </c>
      <c r="I703" s="12">
        <f>VLOOKUP(B703,Orders!$A$2:$D$1201,3,FALSE)</f>
        <v>46046</v>
      </c>
      <c r="L703" t="str">
        <f>VLOOKUP(C703,Products!$A$2:$D$13,2,FALSE)</f>
        <v>Backpack</v>
      </c>
      <c r="M703" t="str">
        <f t="shared" si="32"/>
        <v>2026-01</v>
      </c>
    </row>
    <row r="704" spans="1:13">
      <c r="A704">
        <v>703</v>
      </c>
      <c r="B704">
        <v>1339</v>
      </c>
      <c r="C704">
        <v>11</v>
      </c>
      <c r="D704">
        <v>2</v>
      </c>
      <c r="E704">
        <v>48</v>
      </c>
      <c r="F704">
        <f t="shared" si="30"/>
        <v>96</v>
      </c>
      <c r="G704" t="str">
        <f>VLOOKUP(B704,Orders!$A$2:$D$1201,4,FALSE)</f>
        <v>Delivered</v>
      </c>
      <c r="H704">
        <f t="shared" si="31"/>
        <v>96</v>
      </c>
      <c r="I704" s="12">
        <f>VLOOKUP(B704,Orders!$A$2:$D$1201,3,FALSE)</f>
        <v>46052</v>
      </c>
      <c r="L704" t="str">
        <f>VLOOKUP(C704,Products!$A$2:$D$13,2,FALSE)</f>
        <v>Backpack</v>
      </c>
      <c r="M704" t="str">
        <f t="shared" si="32"/>
        <v>2026-01</v>
      </c>
    </row>
    <row r="705" spans="1:13">
      <c r="A705">
        <v>704</v>
      </c>
      <c r="B705">
        <v>1340</v>
      </c>
      <c r="C705">
        <v>9</v>
      </c>
      <c r="D705">
        <v>3</v>
      </c>
      <c r="E705">
        <v>30</v>
      </c>
      <c r="F705">
        <f t="shared" si="30"/>
        <v>90</v>
      </c>
      <c r="G705" t="str">
        <f>VLOOKUP(B705,Orders!$A$2:$D$1201,4,FALSE)</f>
        <v>Delivered</v>
      </c>
      <c r="H705">
        <f t="shared" si="31"/>
        <v>90</v>
      </c>
      <c r="I705" s="12">
        <f>VLOOKUP(B705,Orders!$A$2:$D$1201,3,FALSE)</f>
        <v>46121</v>
      </c>
      <c r="L705" t="str">
        <f>VLOOKUP(C705,Products!$A$2:$D$13,2,FALSE)</f>
        <v>Lamp</v>
      </c>
      <c r="M705" t="str">
        <f t="shared" si="32"/>
        <v>2026-04</v>
      </c>
    </row>
    <row r="706" spans="1:13">
      <c r="A706">
        <v>705</v>
      </c>
      <c r="B706">
        <v>1341</v>
      </c>
      <c r="C706">
        <v>2</v>
      </c>
      <c r="D706">
        <v>2</v>
      </c>
      <c r="E706">
        <v>220</v>
      </c>
      <c r="F706">
        <f t="shared" si="30"/>
        <v>440</v>
      </c>
      <c r="G706" t="str">
        <f>VLOOKUP(B706,Orders!$A$2:$D$1201,4,FALSE)</f>
        <v>Delivered</v>
      </c>
      <c r="H706">
        <f t="shared" si="31"/>
        <v>440</v>
      </c>
      <c r="I706" s="12">
        <f>VLOOKUP(B706,Orders!$A$2:$D$1201,3,FALSE)</f>
        <v>46189</v>
      </c>
      <c r="L706" t="str">
        <f>VLOOKUP(C706,Products!$A$2:$D$13,2,FALSE)</f>
        <v>Monitor</v>
      </c>
      <c r="M706" t="str">
        <f t="shared" si="32"/>
        <v>2026-06</v>
      </c>
    </row>
    <row r="707" spans="1:13">
      <c r="A707">
        <v>706</v>
      </c>
      <c r="B707">
        <v>1342</v>
      </c>
      <c r="C707">
        <v>7</v>
      </c>
      <c r="D707">
        <v>4</v>
      </c>
      <c r="E707">
        <v>65</v>
      </c>
      <c r="F707">
        <f t="shared" ref="F707:F770" si="33">D707*E707</f>
        <v>260</v>
      </c>
      <c r="G707" t="str">
        <f>VLOOKUP(B707,Orders!$A$2:$D$1201,4,FALSE)</f>
        <v>Delivered</v>
      </c>
      <c r="H707">
        <f t="shared" ref="H707:H770" si="34">IF(G707="Cancelled",0,F707)</f>
        <v>260</v>
      </c>
      <c r="I707" s="12">
        <f>VLOOKUP(B707,Orders!$A$2:$D$1201,3,FALSE)</f>
        <v>46039</v>
      </c>
      <c r="L707" t="str">
        <f>VLOOKUP(C707,Products!$A$2:$D$13,2,FALSE)</f>
        <v>Headphones</v>
      </c>
      <c r="M707" t="str">
        <f t="shared" ref="M707:M770" si="35">TEXT(I707,"yyyy-mm")</f>
        <v>2026-01</v>
      </c>
    </row>
    <row r="708" spans="1:13">
      <c r="A708">
        <v>707</v>
      </c>
      <c r="B708">
        <v>1342</v>
      </c>
      <c r="C708">
        <v>2</v>
      </c>
      <c r="D708">
        <v>1</v>
      </c>
      <c r="E708">
        <v>220</v>
      </c>
      <c r="F708">
        <f t="shared" si="33"/>
        <v>220</v>
      </c>
      <c r="G708" t="str">
        <f>VLOOKUP(B708,Orders!$A$2:$D$1201,4,FALSE)</f>
        <v>Delivered</v>
      </c>
      <c r="H708">
        <f t="shared" si="34"/>
        <v>220</v>
      </c>
      <c r="I708" s="12">
        <f>VLOOKUP(B708,Orders!$A$2:$D$1201,3,FALSE)</f>
        <v>46039</v>
      </c>
      <c r="L708" t="str">
        <f>VLOOKUP(C708,Products!$A$2:$D$13,2,FALSE)</f>
        <v>Monitor</v>
      </c>
      <c r="M708" t="str">
        <f t="shared" si="35"/>
        <v>2026-01</v>
      </c>
    </row>
    <row r="709" spans="1:13">
      <c r="A709">
        <v>708</v>
      </c>
      <c r="B709">
        <v>1342</v>
      </c>
      <c r="C709">
        <v>4</v>
      </c>
      <c r="D709">
        <v>2</v>
      </c>
      <c r="E709">
        <v>25</v>
      </c>
      <c r="F709">
        <f t="shared" si="33"/>
        <v>50</v>
      </c>
      <c r="G709" t="str">
        <f>VLOOKUP(B709,Orders!$A$2:$D$1201,4,FALSE)</f>
        <v>Delivered</v>
      </c>
      <c r="H709">
        <f t="shared" si="34"/>
        <v>50</v>
      </c>
      <c r="I709" s="12">
        <f>VLOOKUP(B709,Orders!$A$2:$D$1201,3,FALSE)</f>
        <v>46039</v>
      </c>
      <c r="L709" t="str">
        <f>VLOOKUP(C709,Products!$A$2:$D$13,2,FALSE)</f>
        <v>Mouse</v>
      </c>
      <c r="M709" t="str">
        <f t="shared" si="35"/>
        <v>2026-01</v>
      </c>
    </row>
    <row r="710" spans="1:13">
      <c r="A710">
        <v>709</v>
      </c>
      <c r="B710">
        <v>1343</v>
      </c>
      <c r="C710">
        <v>2</v>
      </c>
      <c r="D710">
        <v>3</v>
      </c>
      <c r="E710">
        <v>220</v>
      </c>
      <c r="F710">
        <f t="shared" si="33"/>
        <v>660</v>
      </c>
      <c r="G710" t="str">
        <f>VLOOKUP(B710,Orders!$A$2:$D$1201,4,FALSE)</f>
        <v>Delivered</v>
      </c>
      <c r="H710">
        <f t="shared" si="34"/>
        <v>660</v>
      </c>
      <c r="I710" s="12">
        <f>VLOOKUP(B710,Orders!$A$2:$D$1201,3,FALSE)</f>
        <v>46036</v>
      </c>
      <c r="L710" t="str">
        <f>VLOOKUP(C710,Products!$A$2:$D$13,2,FALSE)</f>
        <v>Monitor</v>
      </c>
      <c r="M710" t="str">
        <f t="shared" si="35"/>
        <v>2026-01</v>
      </c>
    </row>
    <row r="711" spans="1:13">
      <c r="A711">
        <v>710</v>
      </c>
      <c r="B711">
        <v>1343</v>
      </c>
      <c r="C711">
        <v>10</v>
      </c>
      <c r="D711">
        <v>4</v>
      </c>
      <c r="E711">
        <v>8</v>
      </c>
      <c r="F711">
        <f t="shared" si="33"/>
        <v>32</v>
      </c>
      <c r="G711" t="str">
        <f>VLOOKUP(B711,Orders!$A$2:$D$1201,4,FALSE)</f>
        <v>Delivered</v>
      </c>
      <c r="H711">
        <f t="shared" si="34"/>
        <v>32</v>
      </c>
      <c r="I711" s="12">
        <f>VLOOKUP(B711,Orders!$A$2:$D$1201,3,FALSE)</f>
        <v>46036</v>
      </c>
      <c r="L711" t="str">
        <f>VLOOKUP(C711,Products!$A$2:$D$13,2,FALSE)</f>
        <v>Notebook</v>
      </c>
      <c r="M711" t="str">
        <f t="shared" si="35"/>
        <v>2026-01</v>
      </c>
    </row>
    <row r="712" spans="1:13">
      <c r="A712">
        <v>711</v>
      </c>
      <c r="B712">
        <v>1343</v>
      </c>
      <c r="C712">
        <v>4</v>
      </c>
      <c r="D712">
        <v>4</v>
      </c>
      <c r="E712">
        <v>25</v>
      </c>
      <c r="F712">
        <f t="shared" si="33"/>
        <v>100</v>
      </c>
      <c r="G712" t="str">
        <f>VLOOKUP(B712,Orders!$A$2:$D$1201,4,FALSE)</f>
        <v>Delivered</v>
      </c>
      <c r="H712">
        <f t="shared" si="34"/>
        <v>100</v>
      </c>
      <c r="I712" s="12">
        <f>VLOOKUP(B712,Orders!$A$2:$D$1201,3,FALSE)</f>
        <v>46036</v>
      </c>
      <c r="L712" t="str">
        <f>VLOOKUP(C712,Products!$A$2:$D$13,2,FALSE)</f>
        <v>Mouse</v>
      </c>
      <c r="M712" t="str">
        <f t="shared" si="35"/>
        <v>2026-01</v>
      </c>
    </row>
    <row r="713" spans="1:13">
      <c r="A713">
        <v>712</v>
      </c>
      <c r="B713">
        <v>1344</v>
      </c>
      <c r="C713">
        <v>12</v>
      </c>
      <c r="D713">
        <v>1</v>
      </c>
      <c r="E713">
        <v>22</v>
      </c>
      <c r="F713">
        <f t="shared" si="33"/>
        <v>22</v>
      </c>
      <c r="G713" t="str">
        <f>VLOOKUP(B713,Orders!$A$2:$D$1201,4,FALSE)</f>
        <v>Delivered</v>
      </c>
      <c r="H713">
        <f t="shared" si="34"/>
        <v>22</v>
      </c>
      <c r="I713" s="12">
        <f>VLOOKUP(B713,Orders!$A$2:$D$1201,3,FALSE)</f>
        <v>46195</v>
      </c>
      <c r="L713" t="str">
        <f>VLOOKUP(C713,Products!$A$2:$D$13,2,FALSE)</f>
        <v>Storage Box</v>
      </c>
      <c r="M713" t="str">
        <f t="shared" si="35"/>
        <v>2026-06</v>
      </c>
    </row>
    <row r="714" spans="1:13">
      <c r="A714">
        <v>713</v>
      </c>
      <c r="B714">
        <v>1344</v>
      </c>
      <c r="C714">
        <v>10</v>
      </c>
      <c r="D714">
        <v>1</v>
      </c>
      <c r="E714">
        <v>8</v>
      </c>
      <c r="F714">
        <f t="shared" si="33"/>
        <v>8</v>
      </c>
      <c r="G714" t="str">
        <f>VLOOKUP(B714,Orders!$A$2:$D$1201,4,FALSE)</f>
        <v>Delivered</v>
      </c>
      <c r="H714">
        <f t="shared" si="34"/>
        <v>8</v>
      </c>
      <c r="I714" s="12">
        <f>VLOOKUP(B714,Orders!$A$2:$D$1201,3,FALSE)</f>
        <v>46195</v>
      </c>
      <c r="L714" t="str">
        <f>VLOOKUP(C714,Products!$A$2:$D$13,2,FALSE)</f>
        <v>Notebook</v>
      </c>
      <c r="M714" t="str">
        <f t="shared" si="35"/>
        <v>2026-06</v>
      </c>
    </row>
    <row r="715" spans="1:13">
      <c r="A715">
        <v>714</v>
      </c>
      <c r="B715">
        <v>1344</v>
      </c>
      <c r="C715">
        <v>2</v>
      </c>
      <c r="D715">
        <v>3</v>
      </c>
      <c r="E715">
        <v>220</v>
      </c>
      <c r="F715">
        <f t="shared" si="33"/>
        <v>660</v>
      </c>
      <c r="G715" t="str">
        <f>VLOOKUP(B715,Orders!$A$2:$D$1201,4,FALSE)</f>
        <v>Delivered</v>
      </c>
      <c r="H715">
        <f t="shared" si="34"/>
        <v>660</v>
      </c>
      <c r="I715" s="12">
        <f>VLOOKUP(B715,Orders!$A$2:$D$1201,3,FALSE)</f>
        <v>46195</v>
      </c>
      <c r="L715" t="str">
        <f>VLOOKUP(C715,Products!$A$2:$D$13,2,FALSE)</f>
        <v>Monitor</v>
      </c>
      <c r="M715" t="str">
        <f t="shared" si="35"/>
        <v>2026-06</v>
      </c>
    </row>
    <row r="716" spans="1:13">
      <c r="A716">
        <v>715</v>
      </c>
      <c r="B716">
        <v>1345</v>
      </c>
      <c r="C716">
        <v>7</v>
      </c>
      <c r="D716">
        <v>1</v>
      </c>
      <c r="E716">
        <v>65</v>
      </c>
      <c r="F716">
        <f t="shared" si="33"/>
        <v>65</v>
      </c>
      <c r="G716" t="str">
        <f>VLOOKUP(B716,Orders!$A$2:$D$1201,4,FALSE)</f>
        <v>Delivered</v>
      </c>
      <c r="H716">
        <f t="shared" si="34"/>
        <v>65</v>
      </c>
      <c r="I716" s="12">
        <f>VLOOKUP(B716,Orders!$A$2:$D$1201,3,FALSE)</f>
        <v>46178</v>
      </c>
      <c r="L716" t="str">
        <f>VLOOKUP(C716,Products!$A$2:$D$13,2,FALSE)</f>
        <v>Headphones</v>
      </c>
      <c r="M716" t="str">
        <f t="shared" si="35"/>
        <v>2026-06</v>
      </c>
    </row>
    <row r="717" spans="1:13">
      <c r="A717">
        <v>716</v>
      </c>
      <c r="B717">
        <v>1345</v>
      </c>
      <c r="C717">
        <v>11</v>
      </c>
      <c r="D717">
        <v>4</v>
      </c>
      <c r="E717">
        <v>48</v>
      </c>
      <c r="F717">
        <f t="shared" si="33"/>
        <v>192</v>
      </c>
      <c r="G717" t="str">
        <f>VLOOKUP(B717,Orders!$A$2:$D$1201,4,FALSE)</f>
        <v>Delivered</v>
      </c>
      <c r="H717">
        <f t="shared" si="34"/>
        <v>192</v>
      </c>
      <c r="I717" s="12">
        <f>VLOOKUP(B717,Orders!$A$2:$D$1201,3,FALSE)</f>
        <v>46178</v>
      </c>
      <c r="L717" t="str">
        <f>VLOOKUP(C717,Products!$A$2:$D$13,2,FALSE)</f>
        <v>Backpack</v>
      </c>
      <c r="M717" t="str">
        <f t="shared" si="35"/>
        <v>2026-06</v>
      </c>
    </row>
    <row r="718" spans="1:13">
      <c r="A718">
        <v>717</v>
      </c>
      <c r="B718">
        <v>1346</v>
      </c>
      <c r="C718">
        <v>11</v>
      </c>
      <c r="D718">
        <v>3</v>
      </c>
      <c r="E718">
        <v>48</v>
      </c>
      <c r="F718">
        <f t="shared" si="33"/>
        <v>144</v>
      </c>
      <c r="G718" t="str">
        <f>VLOOKUP(B718,Orders!$A$2:$D$1201,4,FALSE)</f>
        <v>Shipped</v>
      </c>
      <c r="H718">
        <f t="shared" si="34"/>
        <v>144</v>
      </c>
      <c r="I718" s="12">
        <f>VLOOKUP(B718,Orders!$A$2:$D$1201,3,FALSE)</f>
        <v>46098</v>
      </c>
      <c r="L718" t="str">
        <f>VLOOKUP(C718,Products!$A$2:$D$13,2,FALSE)</f>
        <v>Backpack</v>
      </c>
      <c r="M718" t="str">
        <f t="shared" si="35"/>
        <v>2026-03</v>
      </c>
    </row>
    <row r="719" spans="1:13">
      <c r="A719">
        <v>718</v>
      </c>
      <c r="B719">
        <v>1346</v>
      </c>
      <c r="C719">
        <v>12</v>
      </c>
      <c r="D719">
        <v>1</v>
      </c>
      <c r="E719">
        <v>22</v>
      </c>
      <c r="F719">
        <f t="shared" si="33"/>
        <v>22</v>
      </c>
      <c r="G719" t="str">
        <f>VLOOKUP(B719,Orders!$A$2:$D$1201,4,FALSE)</f>
        <v>Shipped</v>
      </c>
      <c r="H719">
        <f t="shared" si="34"/>
        <v>22</v>
      </c>
      <c r="I719" s="12">
        <f>VLOOKUP(B719,Orders!$A$2:$D$1201,3,FALSE)</f>
        <v>46098</v>
      </c>
      <c r="L719" t="str">
        <f>VLOOKUP(C719,Products!$A$2:$D$13,2,FALSE)</f>
        <v>Storage Box</v>
      </c>
      <c r="M719" t="str">
        <f t="shared" si="35"/>
        <v>2026-03</v>
      </c>
    </row>
    <row r="720" spans="1:13">
      <c r="A720">
        <v>719</v>
      </c>
      <c r="B720">
        <v>1347</v>
      </c>
      <c r="C720">
        <v>10</v>
      </c>
      <c r="D720">
        <v>1</v>
      </c>
      <c r="E720">
        <v>8</v>
      </c>
      <c r="F720">
        <f t="shared" si="33"/>
        <v>8</v>
      </c>
      <c r="G720" t="str">
        <f>VLOOKUP(B720,Orders!$A$2:$D$1201,4,FALSE)</f>
        <v>Delivered</v>
      </c>
      <c r="H720">
        <f t="shared" si="34"/>
        <v>8</v>
      </c>
      <c r="I720" s="12">
        <f>VLOOKUP(B720,Orders!$A$2:$D$1201,3,FALSE)</f>
        <v>46059</v>
      </c>
      <c r="L720" t="str">
        <f>VLOOKUP(C720,Products!$A$2:$D$13,2,FALSE)</f>
        <v>Notebook</v>
      </c>
      <c r="M720" t="str">
        <f t="shared" si="35"/>
        <v>2026-02</v>
      </c>
    </row>
    <row r="721" spans="1:13">
      <c r="A721">
        <v>720</v>
      </c>
      <c r="B721">
        <v>1347</v>
      </c>
      <c r="C721">
        <v>7</v>
      </c>
      <c r="D721">
        <v>3</v>
      </c>
      <c r="E721">
        <v>65</v>
      </c>
      <c r="F721">
        <f t="shared" si="33"/>
        <v>195</v>
      </c>
      <c r="G721" t="str">
        <f>VLOOKUP(B721,Orders!$A$2:$D$1201,4,FALSE)</f>
        <v>Delivered</v>
      </c>
      <c r="H721">
        <f t="shared" si="34"/>
        <v>195</v>
      </c>
      <c r="I721" s="12">
        <f>VLOOKUP(B721,Orders!$A$2:$D$1201,3,FALSE)</f>
        <v>46059</v>
      </c>
      <c r="L721" t="str">
        <f>VLOOKUP(C721,Products!$A$2:$D$13,2,FALSE)</f>
        <v>Headphones</v>
      </c>
      <c r="M721" t="str">
        <f t="shared" si="35"/>
        <v>2026-02</v>
      </c>
    </row>
    <row r="722" spans="1:13">
      <c r="A722">
        <v>721</v>
      </c>
      <c r="B722">
        <v>1347</v>
      </c>
      <c r="C722">
        <v>9</v>
      </c>
      <c r="D722">
        <v>2</v>
      </c>
      <c r="E722">
        <v>30</v>
      </c>
      <c r="F722">
        <f t="shared" si="33"/>
        <v>60</v>
      </c>
      <c r="G722" t="str">
        <f>VLOOKUP(B722,Orders!$A$2:$D$1201,4,FALSE)</f>
        <v>Delivered</v>
      </c>
      <c r="H722">
        <f t="shared" si="34"/>
        <v>60</v>
      </c>
      <c r="I722" s="12">
        <f>VLOOKUP(B722,Orders!$A$2:$D$1201,3,FALSE)</f>
        <v>46059</v>
      </c>
      <c r="L722" t="str">
        <f>VLOOKUP(C722,Products!$A$2:$D$13,2,FALSE)</f>
        <v>Lamp</v>
      </c>
      <c r="M722" t="str">
        <f t="shared" si="35"/>
        <v>2026-02</v>
      </c>
    </row>
    <row r="723" spans="1:13">
      <c r="A723">
        <v>722</v>
      </c>
      <c r="B723">
        <v>1348</v>
      </c>
      <c r="C723">
        <v>3</v>
      </c>
      <c r="D723">
        <v>2</v>
      </c>
      <c r="E723">
        <v>45</v>
      </c>
      <c r="F723">
        <f t="shared" si="33"/>
        <v>90</v>
      </c>
      <c r="G723" t="str">
        <f>VLOOKUP(B723,Orders!$A$2:$D$1201,4,FALSE)</f>
        <v>Cancelled</v>
      </c>
      <c r="H723">
        <f t="shared" si="34"/>
        <v>0</v>
      </c>
      <c r="I723" s="12">
        <f>VLOOKUP(B723,Orders!$A$2:$D$1201,3,FALSE)</f>
        <v>46188</v>
      </c>
      <c r="L723" t="str">
        <f>VLOOKUP(C723,Products!$A$2:$D$13,2,FALSE)</f>
        <v>Keyboard</v>
      </c>
      <c r="M723" t="str">
        <f t="shared" si="35"/>
        <v>2026-06</v>
      </c>
    </row>
    <row r="724" spans="1:13">
      <c r="A724">
        <v>723</v>
      </c>
      <c r="B724">
        <v>1349</v>
      </c>
      <c r="C724">
        <v>3</v>
      </c>
      <c r="D724">
        <v>1</v>
      </c>
      <c r="E724">
        <v>45</v>
      </c>
      <c r="F724">
        <f t="shared" si="33"/>
        <v>45</v>
      </c>
      <c r="G724" t="str">
        <f>VLOOKUP(B724,Orders!$A$2:$D$1201,4,FALSE)</f>
        <v>Delivered</v>
      </c>
      <c r="H724">
        <f t="shared" si="34"/>
        <v>45</v>
      </c>
      <c r="I724" s="12">
        <f>VLOOKUP(B724,Orders!$A$2:$D$1201,3,FALSE)</f>
        <v>46180</v>
      </c>
      <c r="L724" t="str">
        <f>VLOOKUP(C724,Products!$A$2:$D$13,2,FALSE)</f>
        <v>Keyboard</v>
      </c>
      <c r="M724" t="str">
        <f t="shared" si="35"/>
        <v>2026-06</v>
      </c>
    </row>
    <row r="725" spans="1:13">
      <c r="A725">
        <v>724</v>
      </c>
      <c r="B725">
        <v>1350</v>
      </c>
      <c r="C725">
        <v>2</v>
      </c>
      <c r="D725">
        <v>2</v>
      </c>
      <c r="E725">
        <v>220</v>
      </c>
      <c r="F725">
        <f t="shared" si="33"/>
        <v>440</v>
      </c>
      <c r="G725" t="str">
        <f>VLOOKUP(B725,Orders!$A$2:$D$1201,4,FALSE)</f>
        <v>Delivered</v>
      </c>
      <c r="H725">
        <f t="shared" si="34"/>
        <v>440</v>
      </c>
      <c r="I725" s="12">
        <f>VLOOKUP(B725,Orders!$A$2:$D$1201,3,FALSE)</f>
        <v>46188</v>
      </c>
      <c r="L725" t="str">
        <f>VLOOKUP(C725,Products!$A$2:$D$13,2,FALSE)</f>
        <v>Monitor</v>
      </c>
      <c r="M725" t="str">
        <f t="shared" si="35"/>
        <v>2026-06</v>
      </c>
    </row>
    <row r="726" spans="1:13">
      <c r="A726">
        <v>725</v>
      </c>
      <c r="B726">
        <v>1350</v>
      </c>
      <c r="C726">
        <v>5</v>
      </c>
      <c r="D726">
        <v>4</v>
      </c>
      <c r="E726">
        <v>180</v>
      </c>
      <c r="F726">
        <f t="shared" si="33"/>
        <v>720</v>
      </c>
      <c r="G726" t="str">
        <f>VLOOKUP(B726,Orders!$A$2:$D$1201,4,FALSE)</f>
        <v>Delivered</v>
      </c>
      <c r="H726">
        <f t="shared" si="34"/>
        <v>720</v>
      </c>
      <c r="I726" s="12">
        <f>VLOOKUP(B726,Orders!$A$2:$D$1201,3,FALSE)</f>
        <v>46188</v>
      </c>
      <c r="L726" t="str">
        <f>VLOOKUP(C726,Products!$A$2:$D$13,2,FALSE)</f>
        <v>Desk</v>
      </c>
      <c r="M726" t="str">
        <f t="shared" si="35"/>
        <v>2026-06</v>
      </c>
    </row>
    <row r="727" spans="1:13">
      <c r="A727">
        <v>726</v>
      </c>
      <c r="B727">
        <v>1350</v>
      </c>
      <c r="C727">
        <v>12</v>
      </c>
      <c r="D727">
        <v>3</v>
      </c>
      <c r="E727">
        <v>22</v>
      </c>
      <c r="F727">
        <f t="shared" si="33"/>
        <v>66</v>
      </c>
      <c r="G727" t="str">
        <f>VLOOKUP(B727,Orders!$A$2:$D$1201,4,FALSE)</f>
        <v>Delivered</v>
      </c>
      <c r="H727">
        <f t="shared" si="34"/>
        <v>66</v>
      </c>
      <c r="I727" s="12">
        <f>VLOOKUP(B727,Orders!$A$2:$D$1201,3,FALSE)</f>
        <v>46188</v>
      </c>
      <c r="L727" t="str">
        <f>VLOOKUP(C727,Products!$A$2:$D$13,2,FALSE)</f>
        <v>Storage Box</v>
      </c>
      <c r="M727" t="str">
        <f t="shared" si="35"/>
        <v>2026-06</v>
      </c>
    </row>
    <row r="728" spans="1:13">
      <c r="A728">
        <v>727</v>
      </c>
      <c r="B728">
        <v>1351</v>
      </c>
      <c r="C728">
        <v>8</v>
      </c>
      <c r="D728">
        <v>3</v>
      </c>
      <c r="E728">
        <v>55</v>
      </c>
      <c r="F728">
        <f t="shared" si="33"/>
        <v>165</v>
      </c>
      <c r="G728" t="str">
        <f>VLOOKUP(B728,Orders!$A$2:$D$1201,4,FALSE)</f>
        <v>Delivered</v>
      </c>
      <c r="H728">
        <f t="shared" si="34"/>
        <v>165</v>
      </c>
      <c r="I728" s="12">
        <f>VLOOKUP(B728,Orders!$A$2:$D$1201,3,FALSE)</f>
        <v>46181</v>
      </c>
      <c r="L728" t="str">
        <f>VLOOKUP(C728,Products!$A$2:$D$13,2,FALSE)</f>
        <v>Webcam</v>
      </c>
      <c r="M728" t="str">
        <f t="shared" si="35"/>
        <v>2026-06</v>
      </c>
    </row>
    <row r="729" spans="1:13">
      <c r="A729">
        <v>728</v>
      </c>
      <c r="B729">
        <v>1351</v>
      </c>
      <c r="C729">
        <v>12</v>
      </c>
      <c r="D729">
        <v>3</v>
      </c>
      <c r="E729">
        <v>22</v>
      </c>
      <c r="F729">
        <f t="shared" si="33"/>
        <v>66</v>
      </c>
      <c r="G729" t="str">
        <f>VLOOKUP(B729,Orders!$A$2:$D$1201,4,FALSE)</f>
        <v>Delivered</v>
      </c>
      <c r="H729">
        <f t="shared" si="34"/>
        <v>66</v>
      </c>
      <c r="I729" s="12">
        <f>VLOOKUP(B729,Orders!$A$2:$D$1201,3,FALSE)</f>
        <v>46181</v>
      </c>
      <c r="L729" t="str">
        <f>VLOOKUP(C729,Products!$A$2:$D$13,2,FALSE)</f>
        <v>Storage Box</v>
      </c>
      <c r="M729" t="str">
        <f t="shared" si="35"/>
        <v>2026-06</v>
      </c>
    </row>
    <row r="730" spans="1:13">
      <c r="A730">
        <v>729</v>
      </c>
      <c r="B730">
        <v>1352</v>
      </c>
      <c r="C730">
        <v>4</v>
      </c>
      <c r="D730">
        <v>4</v>
      </c>
      <c r="E730">
        <v>25</v>
      </c>
      <c r="F730">
        <f t="shared" si="33"/>
        <v>100</v>
      </c>
      <c r="G730" t="str">
        <f>VLOOKUP(B730,Orders!$A$2:$D$1201,4,FALSE)</f>
        <v>Delivered</v>
      </c>
      <c r="H730">
        <f t="shared" si="34"/>
        <v>100</v>
      </c>
      <c r="I730" s="12">
        <f>VLOOKUP(B730,Orders!$A$2:$D$1201,3,FALSE)</f>
        <v>46132</v>
      </c>
      <c r="L730" t="str">
        <f>VLOOKUP(C730,Products!$A$2:$D$13,2,FALSE)</f>
        <v>Mouse</v>
      </c>
      <c r="M730" t="str">
        <f t="shared" si="35"/>
        <v>2026-04</v>
      </c>
    </row>
    <row r="731" spans="1:13">
      <c r="A731">
        <v>730</v>
      </c>
      <c r="B731">
        <v>1353</v>
      </c>
      <c r="C731">
        <v>8</v>
      </c>
      <c r="D731">
        <v>1</v>
      </c>
      <c r="E731">
        <v>55</v>
      </c>
      <c r="F731">
        <f t="shared" si="33"/>
        <v>55</v>
      </c>
      <c r="G731" t="str">
        <f>VLOOKUP(B731,Orders!$A$2:$D$1201,4,FALSE)</f>
        <v>Delivered</v>
      </c>
      <c r="H731">
        <f t="shared" si="34"/>
        <v>55</v>
      </c>
      <c r="I731" s="12">
        <f>VLOOKUP(B731,Orders!$A$2:$D$1201,3,FALSE)</f>
        <v>46145</v>
      </c>
      <c r="L731" t="str">
        <f>VLOOKUP(C731,Products!$A$2:$D$13,2,FALSE)</f>
        <v>Webcam</v>
      </c>
      <c r="M731" t="str">
        <f t="shared" si="35"/>
        <v>2026-05</v>
      </c>
    </row>
    <row r="732" spans="1:13">
      <c r="A732">
        <v>731</v>
      </c>
      <c r="B732">
        <v>1353</v>
      </c>
      <c r="C732">
        <v>9</v>
      </c>
      <c r="D732">
        <v>2</v>
      </c>
      <c r="E732">
        <v>30</v>
      </c>
      <c r="F732">
        <f t="shared" si="33"/>
        <v>60</v>
      </c>
      <c r="G732" t="str">
        <f>VLOOKUP(B732,Orders!$A$2:$D$1201,4,FALSE)</f>
        <v>Delivered</v>
      </c>
      <c r="H732">
        <f t="shared" si="34"/>
        <v>60</v>
      </c>
      <c r="I732" s="12">
        <f>VLOOKUP(B732,Orders!$A$2:$D$1201,3,FALSE)</f>
        <v>46145</v>
      </c>
      <c r="L732" t="str">
        <f>VLOOKUP(C732,Products!$A$2:$D$13,2,FALSE)</f>
        <v>Lamp</v>
      </c>
      <c r="M732" t="str">
        <f t="shared" si="35"/>
        <v>2026-05</v>
      </c>
    </row>
    <row r="733" spans="1:13">
      <c r="A733">
        <v>732</v>
      </c>
      <c r="B733">
        <v>1354</v>
      </c>
      <c r="C733">
        <v>2</v>
      </c>
      <c r="D733">
        <v>1</v>
      </c>
      <c r="E733">
        <v>220</v>
      </c>
      <c r="F733">
        <f t="shared" si="33"/>
        <v>220</v>
      </c>
      <c r="G733" t="str">
        <f>VLOOKUP(B733,Orders!$A$2:$D$1201,4,FALSE)</f>
        <v>Delivered</v>
      </c>
      <c r="H733">
        <f t="shared" si="34"/>
        <v>220</v>
      </c>
      <c r="I733" s="12">
        <f>VLOOKUP(B733,Orders!$A$2:$D$1201,3,FALSE)</f>
        <v>46160</v>
      </c>
      <c r="L733" t="str">
        <f>VLOOKUP(C733,Products!$A$2:$D$13,2,FALSE)</f>
        <v>Monitor</v>
      </c>
      <c r="M733" t="str">
        <f t="shared" si="35"/>
        <v>2026-05</v>
      </c>
    </row>
    <row r="734" spans="1:13">
      <c r="A734">
        <v>733</v>
      </c>
      <c r="B734">
        <v>1354</v>
      </c>
      <c r="C734">
        <v>1</v>
      </c>
      <c r="D734">
        <v>4</v>
      </c>
      <c r="E734">
        <v>750</v>
      </c>
      <c r="F734">
        <f t="shared" si="33"/>
        <v>3000</v>
      </c>
      <c r="G734" t="str">
        <f>VLOOKUP(B734,Orders!$A$2:$D$1201,4,FALSE)</f>
        <v>Delivered</v>
      </c>
      <c r="H734">
        <f t="shared" si="34"/>
        <v>3000</v>
      </c>
      <c r="I734" s="12">
        <f>VLOOKUP(B734,Orders!$A$2:$D$1201,3,FALSE)</f>
        <v>46160</v>
      </c>
      <c r="L734" t="str">
        <f>VLOOKUP(C734,Products!$A$2:$D$13,2,FALSE)</f>
        <v>Laptop</v>
      </c>
      <c r="M734" t="str">
        <f t="shared" si="35"/>
        <v>2026-05</v>
      </c>
    </row>
    <row r="735" spans="1:13">
      <c r="A735">
        <v>734</v>
      </c>
      <c r="B735">
        <v>1354</v>
      </c>
      <c r="C735">
        <v>9</v>
      </c>
      <c r="D735">
        <v>2</v>
      </c>
      <c r="E735">
        <v>30</v>
      </c>
      <c r="F735">
        <f t="shared" si="33"/>
        <v>60</v>
      </c>
      <c r="G735" t="str">
        <f>VLOOKUP(B735,Orders!$A$2:$D$1201,4,FALSE)</f>
        <v>Delivered</v>
      </c>
      <c r="H735">
        <f t="shared" si="34"/>
        <v>60</v>
      </c>
      <c r="I735" s="12">
        <f>VLOOKUP(B735,Orders!$A$2:$D$1201,3,FALSE)</f>
        <v>46160</v>
      </c>
      <c r="L735" t="str">
        <f>VLOOKUP(C735,Products!$A$2:$D$13,2,FALSE)</f>
        <v>Lamp</v>
      </c>
      <c r="M735" t="str">
        <f t="shared" si="35"/>
        <v>2026-05</v>
      </c>
    </row>
    <row r="736" spans="1:13">
      <c r="A736">
        <v>735</v>
      </c>
      <c r="B736">
        <v>1355</v>
      </c>
      <c r="C736">
        <v>7</v>
      </c>
      <c r="D736">
        <v>3</v>
      </c>
      <c r="E736">
        <v>65</v>
      </c>
      <c r="F736">
        <f t="shared" si="33"/>
        <v>195</v>
      </c>
      <c r="G736" t="str">
        <f>VLOOKUP(B736,Orders!$A$2:$D$1201,4,FALSE)</f>
        <v>Delivered</v>
      </c>
      <c r="H736">
        <f t="shared" si="34"/>
        <v>195</v>
      </c>
      <c r="I736" s="12">
        <f>VLOOKUP(B736,Orders!$A$2:$D$1201,3,FALSE)</f>
        <v>46143</v>
      </c>
      <c r="L736" t="str">
        <f>VLOOKUP(C736,Products!$A$2:$D$13,2,FALSE)</f>
        <v>Headphones</v>
      </c>
      <c r="M736" t="str">
        <f t="shared" si="35"/>
        <v>2026-05</v>
      </c>
    </row>
    <row r="737" spans="1:13">
      <c r="A737">
        <v>736</v>
      </c>
      <c r="B737">
        <v>1355</v>
      </c>
      <c r="C737">
        <v>4</v>
      </c>
      <c r="D737">
        <v>2</v>
      </c>
      <c r="E737">
        <v>25</v>
      </c>
      <c r="F737">
        <f t="shared" si="33"/>
        <v>50</v>
      </c>
      <c r="G737" t="str">
        <f>VLOOKUP(B737,Orders!$A$2:$D$1201,4,FALSE)</f>
        <v>Delivered</v>
      </c>
      <c r="H737">
        <f t="shared" si="34"/>
        <v>50</v>
      </c>
      <c r="I737" s="12">
        <f>VLOOKUP(B737,Orders!$A$2:$D$1201,3,FALSE)</f>
        <v>46143</v>
      </c>
      <c r="L737" t="str">
        <f>VLOOKUP(C737,Products!$A$2:$D$13,2,FALSE)</f>
        <v>Mouse</v>
      </c>
      <c r="M737" t="str">
        <f t="shared" si="35"/>
        <v>2026-05</v>
      </c>
    </row>
    <row r="738" spans="1:13">
      <c r="A738">
        <v>737</v>
      </c>
      <c r="B738">
        <v>1356</v>
      </c>
      <c r="C738">
        <v>3</v>
      </c>
      <c r="D738">
        <v>2</v>
      </c>
      <c r="E738">
        <v>45</v>
      </c>
      <c r="F738">
        <f t="shared" si="33"/>
        <v>90</v>
      </c>
      <c r="G738" t="str">
        <f>VLOOKUP(B738,Orders!$A$2:$D$1201,4,FALSE)</f>
        <v>Delivered</v>
      </c>
      <c r="H738">
        <f t="shared" si="34"/>
        <v>90</v>
      </c>
      <c r="I738" s="12">
        <f>VLOOKUP(B738,Orders!$A$2:$D$1201,3,FALSE)</f>
        <v>46025</v>
      </c>
      <c r="L738" t="str">
        <f>VLOOKUP(C738,Products!$A$2:$D$13,2,FALSE)</f>
        <v>Keyboard</v>
      </c>
      <c r="M738" t="str">
        <f t="shared" si="35"/>
        <v>2026-01</v>
      </c>
    </row>
    <row r="739" spans="1:13">
      <c r="A739">
        <v>738</v>
      </c>
      <c r="B739">
        <v>1356</v>
      </c>
      <c r="C739">
        <v>8</v>
      </c>
      <c r="D739">
        <v>2</v>
      </c>
      <c r="E739">
        <v>55</v>
      </c>
      <c r="F739">
        <f t="shared" si="33"/>
        <v>110</v>
      </c>
      <c r="G739" t="str">
        <f>VLOOKUP(B739,Orders!$A$2:$D$1201,4,FALSE)</f>
        <v>Delivered</v>
      </c>
      <c r="H739">
        <f t="shared" si="34"/>
        <v>110</v>
      </c>
      <c r="I739" s="12">
        <f>VLOOKUP(B739,Orders!$A$2:$D$1201,3,FALSE)</f>
        <v>46025</v>
      </c>
      <c r="L739" t="str">
        <f>VLOOKUP(C739,Products!$A$2:$D$13,2,FALSE)</f>
        <v>Webcam</v>
      </c>
      <c r="M739" t="str">
        <f t="shared" si="35"/>
        <v>2026-01</v>
      </c>
    </row>
    <row r="740" spans="1:13">
      <c r="A740">
        <v>739</v>
      </c>
      <c r="B740">
        <v>1356</v>
      </c>
      <c r="C740">
        <v>12</v>
      </c>
      <c r="D740">
        <v>4</v>
      </c>
      <c r="E740">
        <v>22</v>
      </c>
      <c r="F740">
        <f t="shared" si="33"/>
        <v>88</v>
      </c>
      <c r="G740" t="str">
        <f>VLOOKUP(B740,Orders!$A$2:$D$1201,4,FALSE)</f>
        <v>Delivered</v>
      </c>
      <c r="H740">
        <f t="shared" si="34"/>
        <v>88</v>
      </c>
      <c r="I740" s="12">
        <f>VLOOKUP(B740,Orders!$A$2:$D$1201,3,FALSE)</f>
        <v>46025</v>
      </c>
      <c r="L740" t="str">
        <f>VLOOKUP(C740,Products!$A$2:$D$13,2,FALSE)</f>
        <v>Storage Box</v>
      </c>
      <c r="M740" t="str">
        <f t="shared" si="35"/>
        <v>2026-01</v>
      </c>
    </row>
    <row r="741" spans="1:13">
      <c r="A741">
        <v>740</v>
      </c>
      <c r="B741">
        <v>1357</v>
      </c>
      <c r="C741">
        <v>11</v>
      </c>
      <c r="D741">
        <v>2</v>
      </c>
      <c r="E741">
        <v>48</v>
      </c>
      <c r="F741">
        <f t="shared" si="33"/>
        <v>96</v>
      </c>
      <c r="G741" t="str">
        <f>VLOOKUP(B741,Orders!$A$2:$D$1201,4,FALSE)</f>
        <v>Delivered</v>
      </c>
      <c r="H741">
        <f t="shared" si="34"/>
        <v>96</v>
      </c>
      <c r="I741" s="12">
        <f>VLOOKUP(B741,Orders!$A$2:$D$1201,3,FALSE)</f>
        <v>46039</v>
      </c>
      <c r="L741" t="str">
        <f>VLOOKUP(C741,Products!$A$2:$D$13,2,FALSE)</f>
        <v>Backpack</v>
      </c>
      <c r="M741" t="str">
        <f t="shared" si="35"/>
        <v>2026-01</v>
      </c>
    </row>
    <row r="742" spans="1:13">
      <c r="A742">
        <v>741</v>
      </c>
      <c r="B742">
        <v>1358</v>
      </c>
      <c r="C742">
        <v>12</v>
      </c>
      <c r="D742">
        <v>3</v>
      </c>
      <c r="E742">
        <v>22</v>
      </c>
      <c r="F742">
        <f t="shared" si="33"/>
        <v>66</v>
      </c>
      <c r="G742" t="str">
        <f>VLOOKUP(B742,Orders!$A$2:$D$1201,4,FALSE)</f>
        <v>Delivered</v>
      </c>
      <c r="H742">
        <f t="shared" si="34"/>
        <v>66</v>
      </c>
      <c r="I742" s="12">
        <f>VLOOKUP(B742,Orders!$A$2:$D$1201,3,FALSE)</f>
        <v>46034</v>
      </c>
      <c r="L742" t="str">
        <f>VLOOKUP(C742,Products!$A$2:$D$13,2,FALSE)</f>
        <v>Storage Box</v>
      </c>
      <c r="M742" t="str">
        <f t="shared" si="35"/>
        <v>2026-01</v>
      </c>
    </row>
    <row r="743" spans="1:13">
      <c r="A743">
        <v>742</v>
      </c>
      <c r="B743">
        <v>1359</v>
      </c>
      <c r="C743">
        <v>11</v>
      </c>
      <c r="D743">
        <v>3</v>
      </c>
      <c r="E743">
        <v>48</v>
      </c>
      <c r="F743">
        <f t="shared" si="33"/>
        <v>144</v>
      </c>
      <c r="G743" t="str">
        <f>VLOOKUP(B743,Orders!$A$2:$D$1201,4,FALSE)</f>
        <v>Delivered</v>
      </c>
      <c r="H743">
        <f t="shared" si="34"/>
        <v>144</v>
      </c>
      <c r="I743" s="12">
        <f>VLOOKUP(B743,Orders!$A$2:$D$1201,3,FALSE)</f>
        <v>46119</v>
      </c>
      <c r="L743" t="str">
        <f>VLOOKUP(C743,Products!$A$2:$D$13,2,FALSE)</f>
        <v>Backpack</v>
      </c>
      <c r="M743" t="str">
        <f t="shared" si="35"/>
        <v>2026-04</v>
      </c>
    </row>
    <row r="744" spans="1:13">
      <c r="A744">
        <v>743</v>
      </c>
      <c r="B744">
        <v>1359</v>
      </c>
      <c r="C744">
        <v>2</v>
      </c>
      <c r="D744">
        <v>4</v>
      </c>
      <c r="E744">
        <v>220</v>
      </c>
      <c r="F744">
        <f t="shared" si="33"/>
        <v>880</v>
      </c>
      <c r="G744" t="str">
        <f>VLOOKUP(B744,Orders!$A$2:$D$1201,4,FALSE)</f>
        <v>Delivered</v>
      </c>
      <c r="H744">
        <f t="shared" si="34"/>
        <v>880</v>
      </c>
      <c r="I744" s="12">
        <f>VLOOKUP(B744,Orders!$A$2:$D$1201,3,FALSE)</f>
        <v>46119</v>
      </c>
      <c r="L744" t="str">
        <f>VLOOKUP(C744,Products!$A$2:$D$13,2,FALSE)</f>
        <v>Monitor</v>
      </c>
      <c r="M744" t="str">
        <f t="shared" si="35"/>
        <v>2026-04</v>
      </c>
    </row>
    <row r="745" spans="1:13">
      <c r="A745">
        <v>744</v>
      </c>
      <c r="B745">
        <v>1359</v>
      </c>
      <c r="C745">
        <v>9</v>
      </c>
      <c r="D745">
        <v>2</v>
      </c>
      <c r="E745">
        <v>30</v>
      </c>
      <c r="F745">
        <f t="shared" si="33"/>
        <v>60</v>
      </c>
      <c r="G745" t="str">
        <f>VLOOKUP(B745,Orders!$A$2:$D$1201,4,FALSE)</f>
        <v>Delivered</v>
      </c>
      <c r="H745">
        <f t="shared" si="34"/>
        <v>60</v>
      </c>
      <c r="I745" s="12">
        <f>VLOOKUP(B745,Orders!$A$2:$D$1201,3,FALSE)</f>
        <v>46119</v>
      </c>
      <c r="L745" t="str">
        <f>VLOOKUP(C745,Products!$A$2:$D$13,2,FALSE)</f>
        <v>Lamp</v>
      </c>
      <c r="M745" t="str">
        <f t="shared" si="35"/>
        <v>2026-04</v>
      </c>
    </row>
    <row r="746" spans="1:13">
      <c r="A746">
        <v>745</v>
      </c>
      <c r="B746">
        <v>1360</v>
      </c>
      <c r="C746">
        <v>3</v>
      </c>
      <c r="D746">
        <v>2</v>
      </c>
      <c r="E746">
        <v>45</v>
      </c>
      <c r="F746">
        <f t="shared" si="33"/>
        <v>90</v>
      </c>
      <c r="G746" t="str">
        <f>VLOOKUP(B746,Orders!$A$2:$D$1201,4,FALSE)</f>
        <v>Cancelled</v>
      </c>
      <c r="H746">
        <f t="shared" si="34"/>
        <v>0</v>
      </c>
      <c r="I746" s="12">
        <f>VLOOKUP(B746,Orders!$A$2:$D$1201,3,FALSE)</f>
        <v>46146</v>
      </c>
      <c r="L746" t="str">
        <f>VLOOKUP(C746,Products!$A$2:$D$13,2,FALSE)</f>
        <v>Keyboard</v>
      </c>
      <c r="M746" t="str">
        <f t="shared" si="35"/>
        <v>2026-05</v>
      </c>
    </row>
    <row r="747" spans="1:13">
      <c r="A747">
        <v>746</v>
      </c>
      <c r="B747">
        <v>1360</v>
      </c>
      <c r="C747">
        <v>8</v>
      </c>
      <c r="D747">
        <v>1</v>
      </c>
      <c r="E747">
        <v>55</v>
      </c>
      <c r="F747">
        <f t="shared" si="33"/>
        <v>55</v>
      </c>
      <c r="G747" t="str">
        <f>VLOOKUP(B747,Orders!$A$2:$D$1201,4,FALSE)</f>
        <v>Cancelled</v>
      </c>
      <c r="H747">
        <f t="shared" si="34"/>
        <v>0</v>
      </c>
      <c r="I747" s="12">
        <f>VLOOKUP(B747,Orders!$A$2:$D$1201,3,FALSE)</f>
        <v>46146</v>
      </c>
      <c r="L747" t="str">
        <f>VLOOKUP(C747,Products!$A$2:$D$13,2,FALSE)</f>
        <v>Webcam</v>
      </c>
      <c r="M747" t="str">
        <f t="shared" si="35"/>
        <v>2026-05</v>
      </c>
    </row>
    <row r="748" spans="1:13">
      <c r="A748">
        <v>747</v>
      </c>
      <c r="B748">
        <v>1360</v>
      </c>
      <c r="C748">
        <v>12</v>
      </c>
      <c r="D748">
        <v>3</v>
      </c>
      <c r="E748">
        <v>22</v>
      </c>
      <c r="F748">
        <f t="shared" si="33"/>
        <v>66</v>
      </c>
      <c r="G748" t="str">
        <f>VLOOKUP(B748,Orders!$A$2:$D$1201,4,FALSE)</f>
        <v>Cancelled</v>
      </c>
      <c r="H748">
        <f t="shared" si="34"/>
        <v>0</v>
      </c>
      <c r="I748" s="12">
        <f>VLOOKUP(B748,Orders!$A$2:$D$1201,3,FALSE)</f>
        <v>46146</v>
      </c>
      <c r="L748" t="str">
        <f>VLOOKUP(C748,Products!$A$2:$D$13,2,FALSE)</f>
        <v>Storage Box</v>
      </c>
      <c r="M748" t="str">
        <f t="shared" si="35"/>
        <v>2026-05</v>
      </c>
    </row>
    <row r="749" spans="1:13">
      <c r="A749">
        <v>748</v>
      </c>
      <c r="B749">
        <v>1361</v>
      </c>
      <c r="C749">
        <v>10</v>
      </c>
      <c r="D749">
        <v>2</v>
      </c>
      <c r="E749">
        <v>8</v>
      </c>
      <c r="F749">
        <f t="shared" si="33"/>
        <v>16</v>
      </c>
      <c r="G749" t="str">
        <f>VLOOKUP(B749,Orders!$A$2:$D$1201,4,FALSE)</f>
        <v>Delivered</v>
      </c>
      <c r="H749">
        <f t="shared" si="34"/>
        <v>16</v>
      </c>
      <c r="I749" s="12">
        <f>VLOOKUP(B749,Orders!$A$2:$D$1201,3,FALSE)</f>
        <v>46077</v>
      </c>
      <c r="L749" t="str">
        <f>VLOOKUP(C749,Products!$A$2:$D$13,2,FALSE)</f>
        <v>Notebook</v>
      </c>
      <c r="M749" t="str">
        <f t="shared" si="35"/>
        <v>2026-02</v>
      </c>
    </row>
    <row r="750" spans="1:13">
      <c r="A750">
        <v>749</v>
      </c>
      <c r="B750">
        <v>1361</v>
      </c>
      <c r="C750">
        <v>2</v>
      </c>
      <c r="D750">
        <v>4</v>
      </c>
      <c r="E750">
        <v>220</v>
      </c>
      <c r="F750">
        <f t="shared" si="33"/>
        <v>880</v>
      </c>
      <c r="G750" t="str">
        <f>VLOOKUP(B750,Orders!$A$2:$D$1201,4,FALSE)</f>
        <v>Delivered</v>
      </c>
      <c r="H750">
        <f t="shared" si="34"/>
        <v>880</v>
      </c>
      <c r="I750" s="12">
        <f>VLOOKUP(B750,Orders!$A$2:$D$1201,3,FALSE)</f>
        <v>46077</v>
      </c>
      <c r="L750" t="str">
        <f>VLOOKUP(C750,Products!$A$2:$D$13,2,FALSE)</f>
        <v>Monitor</v>
      </c>
      <c r="M750" t="str">
        <f t="shared" si="35"/>
        <v>2026-02</v>
      </c>
    </row>
    <row r="751" spans="1:13">
      <c r="A751">
        <v>750</v>
      </c>
      <c r="B751">
        <v>1362</v>
      </c>
      <c r="C751">
        <v>7</v>
      </c>
      <c r="D751">
        <v>1</v>
      </c>
      <c r="E751">
        <v>65</v>
      </c>
      <c r="F751">
        <f t="shared" si="33"/>
        <v>65</v>
      </c>
      <c r="G751" t="str">
        <f>VLOOKUP(B751,Orders!$A$2:$D$1201,4,FALSE)</f>
        <v>Delivered</v>
      </c>
      <c r="H751">
        <f t="shared" si="34"/>
        <v>65</v>
      </c>
      <c r="I751" s="12">
        <f>VLOOKUP(B751,Orders!$A$2:$D$1201,3,FALSE)</f>
        <v>46145</v>
      </c>
      <c r="L751" t="str">
        <f>VLOOKUP(C751,Products!$A$2:$D$13,2,FALSE)</f>
        <v>Headphones</v>
      </c>
      <c r="M751" t="str">
        <f t="shared" si="35"/>
        <v>2026-05</v>
      </c>
    </row>
    <row r="752" spans="1:13">
      <c r="A752">
        <v>751</v>
      </c>
      <c r="B752">
        <v>1362</v>
      </c>
      <c r="C752">
        <v>1</v>
      </c>
      <c r="D752">
        <v>2</v>
      </c>
      <c r="E752">
        <v>750</v>
      </c>
      <c r="F752">
        <f t="shared" si="33"/>
        <v>1500</v>
      </c>
      <c r="G752" t="str">
        <f>VLOOKUP(B752,Orders!$A$2:$D$1201,4,FALSE)</f>
        <v>Delivered</v>
      </c>
      <c r="H752">
        <f t="shared" si="34"/>
        <v>1500</v>
      </c>
      <c r="I752" s="12">
        <f>VLOOKUP(B752,Orders!$A$2:$D$1201,3,FALSE)</f>
        <v>46145</v>
      </c>
      <c r="L752" t="str">
        <f>VLOOKUP(C752,Products!$A$2:$D$13,2,FALSE)</f>
        <v>Laptop</v>
      </c>
      <c r="M752" t="str">
        <f t="shared" si="35"/>
        <v>2026-05</v>
      </c>
    </row>
    <row r="753" spans="1:13">
      <c r="A753">
        <v>752</v>
      </c>
      <c r="B753">
        <v>1362</v>
      </c>
      <c r="C753">
        <v>4</v>
      </c>
      <c r="D753">
        <v>2</v>
      </c>
      <c r="E753">
        <v>25</v>
      </c>
      <c r="F753">
        <f t="shared" si="33"/>
        <v>50</v>
      </c>
      <c r="G753" t="str">
        <f>VLOOKUP(B753,Orders!$A$2:$D$1201,4,FALSE)</f>
        <v>Delivered</v>
      </c>
      <c r="H753">
        <f t="shared" si="34"/>
        <v>50</v>
      </c>
      <c r="I753" s="12">
        <f>VLOOKUP(B753,Orders!$A$2:$D$1201,3,FALSE)</f>
        <v>46145</v>
      </c>
      <c r="L753" t="str">
        <f>VLOOKUP(C753,Products!$A$2:$D$13,2,FALSE)</f>
        <v>Mouse</v>
      </c>
      <c r="M753" t="str">
        <f t="shared" si="35"/>
        <v>2026-05</v>
      </c>
    </row>
    <row r="754" spans="1:13">
      <c r="A754">
        <v>753</v>
      </c>
      <c r="B754">
        <v>1363</v>
      </c>
      <c r="C754">
        <v>7</v>
      </c>
      <c r="D754">
        <v>1</v>
      </c>
      <c r="E754">
        <v>65</v>
      </c>
      <c r="F754">
        <f t="shared" si="33"/>
        <v>65</v>
      </c>
      <c r="G754" t="str">
        <f>VLOOKUP(B754,Orders!$A$2:$D$1201,4,FALSE)</f>
        <v>Delivered</v>
      </c>
      <c r="H754">
        <f t="shared" si="34"/>
        <v>65</v>
      </c>
      <c r="I754" s="12">
        <f>VLOOKUP(B754,Orders!$A$2:$D$1201,3,FALSE)</f>
        <v>46037</v>
      </c>
      <c r="L754" t="str">
        <f>VLOOKUP(C754,Products!$A$2:$D$13,2,FALSE)</f>
        <v>Headphones</v>
      </c>
      <c r="M754" t="str">
        <f t="shared" si="35"/>
        <v>2026-01</v>
      </c>
    </row>
    <row r="755" spans="1:13">
      <c r="A755">
        <v>754</v>
      </c>
      <c r="B755">
        <v>1363</v>
      </c>
      <c r="C755">
        <v>10</v>
      </c>
      <c r="D755">
        <v>3</v>
      </c>
      <c r="E755">
        <v>8</v>
      </c>
      <c r="F755">
        <f t="shared" si="33"/>
        <v>24</v>
      </c>
      <c r="G755" t="str">
        <f>VLOOKUP(B755,Orders!$A$2:$D$1201,4,FALSE)</f>
        <v>Delivered</v>
      </c>
      <c r="H755">
        <f t="shared" si="34"/>
        <v>24</v>
      </c>
      <c r="I755" s="12">
        <f>VLOOKUP(B755,Orders!$A$2:$D$1201,3,FALSE)</f>
        <v>46037</v>
      </c>
      <c r="L755" t="str">
        <f>VLOOKUP(C755,Products!$A$2:$D$13,2,FALSE)</f>
        <v>Notebook</v>
      </c>
      <c r="M755" t="str">
        <f t="shared" si="35"/>
        <v>2026-01</v>
      </c>
    </row>
    <row r="756" spans="1:13">
      <c r="A756">
        <v>755</v>
      </c>
      <c r="B756">
        <v>1363</v>
      </c>
      <c r="C756">
        <v>11</v>
      </c>
      <c r="D756">
        <v>1</v>
      </c>
      <c r="E756">
        <v>48</v>
      </c>
      <c r="F756">
        <f t="shared" si="33"/>
        <v>48</v>
      </c>
      <c r="G756" t="str">
        <f>VLOOKUP(B756,Orders!$A$2:$D$1201,4,FALSE)</f>
        <v>Delivered</v>
      </c>
      <c r="H756">
        <f t="shared" si="34"/>
        <v>48</v>
      </c>
      <c r="I756" s="12">
        <f>VLOOKUP(B756,Orders!$A$2:$D$1201,3,FALSE)</f>
        <v>46037</v>
      </c>
      <c r="L756" t="str">
        <f>VLOOKUP(C756,Products!$A$2:$D$13,2,FALSE)</f>
        <v>Backpack</v>
      </c>
      <c r="M756" t="str">
        <f t="shared" si="35"/>
        <v>2026-01</v>
      </c>
    </row>
    <row r="757" spans="1:13">
      <c r="A757">
        <v>756</v>
      </c>
      <c r="B757">
        <v>1364</v>
      </c>
      <c r="C757">
        <v>3</v>
      </c>
      <c r="D757">
        <v>3</v>
      </c>
      <c r="E757">
        <v>45</v>
      </c>
      <c r="F757">
        <f t="shared" si="33"/>
        <v>135</v>
      </c>
      <c r="G757" t="str">
        <f>VLOOKUP(B757,Orders!$A$2:$D$1201,4,FALSE)</f>
        <v>Delivered</v>
      </c>
      <c r="H757">
        <f t="shared" si="34"/>
        <v>135</v>
      </c>
      <c r="I757" s="12">
        <f>VLOOKUP(B757,Orders!$A$2:$D$1201,3,FALSE)</f>
        <v>46066</v>
      </c>
      <c r="L757" t="str">
        <f>VLOOKUP(C757,Products!$A$2:$D$13,2,FALSE)</f>
        <v>Keyboard</v>
      </c>
      <c r="M757" t="str">
        <f t="shared" si="35"/>
        <v>2026-02</v>
      </c>
    </row>
    <row r="758" spans="1:13">
      <c r="A758">
        <v>757</v>
      </c>
      <c r="B758">
        <v>1364</v>
      </c>
      <c r="C758">
        <v>10</v>
      </c>
      <c r="D758">
        <v>2</v>
      </c>
      <c r="E758">
        <v>8</v>
      </c>
      <c r="F758">
        <f t="shared" si="33"/>
        <v>16</v>
      </c>
      <c r="G758" t="str">
        <f>VLOOKUP(B758,Orders!$A$2:$D$1201,4,FALSE)</f>
        <v>Delivered</v>
      </c>
      <c r="H758">
        <f t="shared" si="34"/>
        <v>16</v>
      </c>
      <c r="I758" s="12">
        <f>VLOOKUP(B758,Orders!$A$2:$D$1201,3,FALSE)</f>
        <v>46066</v>
      </c>
      <c r="L758" t="str">
        <f>VLOOKUP(C758,Products!$A$2:$D$13,2,FALSE)</f>
        <v>Notebook</v>
      </c>
      <c r="M758" t="str">
        <f t="shared" si="35"/>
        <v>2026-02</v>
      </c>
    </row>
    <row r="759" spans="1:13">
      <c r="A759">
        <v>758</v>
      </c>
      <c r="B759">
        <v>1364</v>
      </c>
      <c r="C759">
        <v>12</v>
      </c>
      <c r="D759">
        <v>3</v>
      </c>
      <c r="E759">
        <v>22</v>
      </c>
      <c r="F759">
        <f t="shared" si="33"/>
        <v>66</v>
      </c>
      <c r="G759" t="str">
        <f>VLOOKUP(B759,Orders!$A$2:$D$1201,4,FALSE)</f>
        <v>Delivered</v>
      </c>
      <c r="H759">
        <f t="shared" si="34"/>
        <v>66</v>
      </c>
      <c r="I759" s="12">
        <f>VLOOKUP(B759,Orders!$A$2:$D$1201,3,FALSE)</f>
        <v>46066</v>
      </c>
      <c r="L759" t="str">
        <f>VLOOKUP(C759,Products!$A$2:$D$13,2,FALSE)</f>
        <v>Storage Box</v>
      </c>
      <c r="M759" t="str">
        <f t="shared" si="35"/>
        <v>2026-02</v>
      </c>
    </row>
    <row r="760" spans="1:13">
      <c r="A760">
        <v>759</v>
      </c>
      <c r="B760">
        <v>1365</v>
      </c>
      <c r="C760">
        <v>9</v>
      </c>
      <c r="D760">
        <v>4</v>
      </c>
      <c r="E760">
        <v>30</v>
      </c>
      <c r="F760">
        <f t="shared" si="33"/>
        <v>120</v>
      </c>
      <c r="G760" t="str">
        <f>VLOOKUP(B760,Orders!$A$2:$D$1201,4,FALSE)</f>
        <v>Delivered</v>
      </c>
      <c r="H760">
        <f t="shared" si="34"/>
        <v>120</v>
      </c>
      <c r="I760" s="12">
        <f>VLOOKUP(B760,Orders!$A$2:$D$1201,3,FALSE)</f>
        <v>46121</v>
      </c>
      <c r="L760" t="str">
        <f>VLOOKUP(C760,Products!$A$2:$D$13,2,FALSE)</f>
        <v>Lamp</v>
      </c>
      <c r="M760" t="str">
        <f t="shared" si="35"/>
        <v>2026-04</v>
      </c>
    </row>
    <row r="761" spans="1:13">
      <c r="A761">
        <v>760</v>
      </c>
      <c r="B761">
        <v>1366</v>
      </c>
      <c r="C761">
        <v>2</v>
      </c>
      <c r="D761">
        <v>2</v>
      </c>
      <c r="E761">
        <v>220</v>
      </c>
      <c r="F761">
        <f t="shared" si="33"/>
        <v>440</v>
      </c>
      <c r="G761" t="str">
        <f>VLOOKUP(B761,Orders!$A$2:$D$1201,4,FALSE)</f>
        <v>Delivered</v>
      </c>
      <c r="H761">
        <f t="shared" si="34"/>
        <v>440</v>
      </c>
      <c r="I761" s="12">
        <f>VLOOKUP(B761,Orders!$A$2:$D$1201,3,FALSE)</f>
        <v>46176</v>
      </c>
      <c r="L761" t="str">
        <f>VLOOKUP(C761,Products!$A$2:$D$13,2,FALSE)</f>
        <v>Monitor</v>
      </c>
      <c r="M761" t="str">
        <f t="shared" si="35"/>
        <v>2026-06</v>
      </c>
    </row>
    <row r="762" spans="1:13">
      <c r="A762">
        <v>761</v>
      </c>
      <c r="B762">
        <v>1366</v>
      </c>
      <c r="C762">
        <v>12</v>
      </c>
      <c r="D762">
        <v>1</v>
      </c>
      <c r="E762">
        <v>22</v>
      </c>
      <c r="F762">
        <f t="shared" si="33"/>
        <v>22</v>
      </c>
      <c r="G762" t="str">
        <f>VLOOKUP(B762,Orders!$A$2:$D$1201,4,FALSE)</f>
        <v>Delivered</v>
      </c>
      <c r="H762">
        <f t="shared" si="34"/>
        <v>22</v>
      </c>
      <c r="I762" s="12">
        <f>VLOOKUP(B762,Orders!$A$2:$D$1201,3,FALSE)</f>
        <v>46176</v>
      </c>
      <c r="L762" t="str">
        <f>VLOOKUP(C762,Products!$A$2:$D$13,2,FALSE)</f>
        <v>Storage Box</v>
      </c>
      <c r="M762" t="str">
        <f t="shared" si="35"/>
        <v>2026-06</v>
      </c>
    </row>
    <row r="763" spans="1:13">
      <c r="A763">
        <v>762</v>
      </c>
      <c r="B763">
        <v>1366</v>
      </c>
      <c r="C763">
        <v>8</v>
      </c>
      <c r="D763">
        <v>4</v>
      </c>
      <c r="E763">
        <v>55</v>
      </c>
      <c r="F763">
        <f t="shared" si="33"/>
        <v>220</v>
      </c>
      <c r="G763" t="str">
        <f>VLOOKUP(B763,Orders!$A$2:$D$1201,4,FALSE)</f>
        <v>Delivered</v>
      </c>
      <c r="H763">
        <f t="shared" si="34"/>
        <v>220</v>
      </c>
      <c r="I763" s="12">
        <f>VLOOKUP(B763,Orders!$A$2:$D$1201,3,FALSE)</f>
        <v>46176</v>
      </c>
      <c r="L763" t="str">
        <f>VLOOKUP(C763,Products!$A$2:$D$13,2,FALSE)</f>
        <v>Webcam</v>
      </c>
      <c r="M763" t="str">
        <f t="shared" si="35"/>
        <v>2026-06</v>
      </c>
    </row>
    <row r="764" spans="1:13">
      <c r="A764">
        <v>763</v>
      </c>
      <c r="B764">
        <v>1367</v>
      </c>
      <c r="C764">
        <v>6</v>
      </c>
      <c r="D764">
        <v>1</v>
      </c>
      <c r="E764">
        <v>140</v>
      </c>
      <c r="F764">
        <f t="shared" si="33"/>
        <v>140</v>
      </c>
      <c r="G764" t="str">
        <f>VLOOKUP(B764,Orders!$A$2:$D$1201,4,FALSE)</f>
        <v>Delivered</v>
      </c>
      <c r="H764">
        <f t="shared" si="34"/>
        <v>140</v>
      </c>
      <c r="I764" s="12">
        <f>VLOOKUP(B764,Orders!$A$2:$D$1201,3,FALSE)</f>
        <v>46132</v>
      </c>
      <c r="L764" t="str">
        <f>VLOOKUP(C764,Products!$A$2:$D$13,2,FALSE)</f>
        <v>Chair</v>
      </c>
      <c r="M764" t="str">
        <f t="shared" si="35"/>
        <v>2026-04</v>
      </c>
    </row>
    <row r="765" spans="1:13">
      <c r="A765">
        <v>764</v>
      </c>
      <c r="B765">
        <v>1367</v>
      </c>
      <c r="C765">
        <v>10</v>
      </c>
      <c r="D765">
        <v>4</v>
      </c>
      <c r="E765">
        <v>8</v>
      </c>
      <c r="F765">
        <f t="shared" si="33"/>
        <v>32</v>
      </c>
      <c r="G765" t="str">
        <f>VLOOKUP(B765,Orders!$A$2:$D$1201,4,FALSE)</f>
        <v>Delivered</v>
      </c>
      <c r="H765">
        <f t="shared" si="34"/>
        <v>32</v>
      </c>
      <c r="I765" s="12">
        <f>VLOOKUP(B765,Orders!$A$2:$D$1201,3,FALSE)</f>
        <v>46132</v>
      </c>
      <c r="L765" t="str">
        <f>VLOOKUP(C765,Products!$A$2:$D$13,2,FALSE)</f>
        <v>Notebook</v>
      </c>
      <c r="M765" t="str">
        <f t="shared" si="35"/>
        <v>2026-04</v>
      </c>
    </row>
    <row r="766" spans="1:13">
      <c r="A766">
        <v>765</v>
      </c>
      <c r="B766">
        <v>1368</v>
      </c>
      <c r="C766">
        <v>5</v>
      </c>
      <c r="D766">
        <v>1</v>
      </c>
      <c r="E766">
        <v>180</v>
      </c>
      <c r="F766">
        <f t="shared" si="33"/>
        <v>180</v>
      </c>
      <c r="G766" t="str">
        <f>VLOOKUP(B766,Orders!$A$2:$D$1201,4,FALSE)</f>
        <v>Delivered</v>
      </c>
      <c r="H766">
        <f t="shared" si="34"/>
        <v>180</v>
      </c>
      <c r="I766" s="12">
        <f>VLOOKUP(B766,Orders!$A$2:$D$1201,3,FALSE)</f>
        <v>46095</v>
      </c>
      <c r="L766" t="str">
        <f>VLOOKUP(C766,Products!$A$2:$D$13,2,FALSE)</f>
        <v>Desk</v>
      </c>
      <c r="M766" t="str">
        <f t="shared" si="35"/>
        <v>2026-03</v>
      </c>
    </row>
    <row r="767" spans="1:13">
      <c r="A767">
        <v>766</v>
      </c>
      <c r="B767">
        <v>1368</v>
      </c>
      <c r="C767">
        <v>4</v>
      </c>
      <c r="D767">
        <v>1</v>
      </c>
      <c r="E767">
        <v>25</v>
      </c>
      <c r="F767">
        <f t="shared" si="33"/>
        <v>25</v>
      </c>
      <c r="G767" t="str">
        <f>VLOOKUP(B767,Orders!$A$2:$D$1201,4,FALSE)</f>
        <v>Delivered</v>
      </c>
      <c r="H767">
        <f t="shared" si="34"/>
        <v>25</v>
      </c>
      <c r="I767" s="12">
        <f>VLOOKUP(B767,Orders!$A$2:$D$1201,3,FALSE)</f>
        <v>46095</v>
      </c>
      <c r="L767" t="str">
        <f>VLOOKUP(C767,Products!$A$2:$D$13,2,FALSE)</f>
        <v>Mouse</v>
      </c>
      <c r="M767" t="str">
        <f t="shared" si="35"/>
        <v>2026-03</v>
      </c>
    </row>
    <row r="768" spans="1:13">
      <c r="A768">
        <v>767</v>
      </c>
      <c r="B768">
        <v>1369</v>
      </c>
      <c r="C768">
        <v>6</v>
      </c>
      <c r="D768">
        <v>2</v>
      </c>
      <c r="E768">
        <v>140</v>
      </c>
      <c r="F768">
        <f t="shared" si="33"/>
        <v>280</v>
      </c>
      <c r="G768" t="str">
        <f>VLOOKUP(B768,Orders!$A$2:$D$1201,4,FALSE)</f>
        <v>Delivered</v>
      </c>
      <c r="H768">
        <f t="shared" si="34"/>
        <v>280</v>
      </c>
      <c r="I768" s="12">
        <f>VLOOKUP(B768,Orders!$A$2:$D$1201,3,FALSE)</f>
        <v>46075</v>
      </c>
      <c r="L768" t="str">
        <f>VLOOKUP(C768,Products!$A$2:$D$13,2,FALSE)</f>
        <v>Chair</v>
      </c>
      <c r="M768" t="str">
        <f t="shared" si="35"/>
        <v>2026-02</v>
      </c>
    </row>
    <row r="769" spans="1:13">
      <c r="A769">
        <v>768</v>
      </c>
      <c r="B769">
        <v>1369</v>
      </c>
      <c r="C769">
        <v>2</v>
      </c>
      <c r="D769">
        <v>4</v>
      </c>
      <c r="E769">
        <v>220</v>
      </c>
      <c r="F769">
        <f t="shared" si="33"/>
        <v>880</v>
      </c>
      <c r="G769" t="str">
        <f>VLOOKUP(B769,Orders!$A$2:$D$1201,4,FALSE)</f>
        <v>Delivered</v>
      </c>
      <c r="H769">
        <f t="shared" si="34"/>
        <v>880</v>
      </c>
      <c r="I769" s="12">
        <f>VLOOKUP(B769,Orders!$A$2:$D$1201,3,FALSE)</f>
        <v>46075</v>
      </c>
      <c r="L769" t="str">
        <f>VLOOKUP(C769,Products!$A$2:$D$13,2,FALSE)</f>
        <v>Monitor</v>
      </c>
      <c r="M769" t="str">
        <f t="shared" si="35"/>
        <v>2026-02</v>
      </c>
    </row>
    <row r="770" spans="1:13">
      <c r="A770">
        <v>769</v>
      </c>
      <c r="B770">
        <v>1370</v>
      </c>
      <c r="C770">
        <v>7</v>
      </c>
      <c r="D770">
        <v>4</v>
      </c>
      <c r="E770">
        <v>65</v>
      </c>
      <c r="F770">
        <f t="shared" si="33"/>
        <v>260</v>
      </c>
      <c r="G770" t="str">
        <f>VLOOKUP(B770,Orders!$A$2:$D$1201,4,FALSE)</f>
        <v>Delivered</v>
      </c>
      <c r="H770">
        <f t="shared" si="34"/>
        <v>260</v>
      </c>
      <c r="I770" s="12">
        <f>VLOOKUP(B770,Orders!$A$2:$D$1201,3,FALSE)</f>
        <v>46167</v>
      </c>
      <c r="L770" t="str">
        <f>VLOOKUP(C770,Products!$A$2:$D$13,2,FALSE)</f>
        <v>Headphones</v>
      </c>
      <c r="M770" t="str">
        <f t="shared" si="35"/>
        <v>2026-05</v>
      </c>
    </row>
    <row r="771" spans="1:13">
      <c r="A771">
        <v>770</v>
      </c>
      <c r="B771">
        <v>1370</v>
      </c>
      <c r="C771">
        <v>4</v>
      </c>
      <c r="D771">
        <v>2</v>
      </c>
      <c r="E771">
        <v>25</v>
      </c>
      <c r="F771">
        <f t="shared" ref="F771:F834" si="36">D771*E771</f>
        <v>50</v>
      </c>
      <c r="G771" t="str">
        <f>VLOOKUP(B771,Orders!$A$2:$D$1201,4,FALSE)</f>
        <v>Delivered</v>
      </c>
      <c r="H771">
        <f t="shared" ref="H771:H834" si="37">IF(G771="Cancelled",0,F771)</f>
        <v>50</v>
      </c>
      <c r="I771" s="12">
        <f>VLOOKUP(B771,Orders!$A$2:$D$1201,3,FALSE)</f>
        <v>46167</v>
      </c>
      <c r="L771" t="str">
        <f>VLOOKUP(C771,Products!$A$2:$D$13,2,FALSE)</f>
        <v>Mouse</v>
      </c>
      <c r="M771" t="str">
        <f t="shared" ref="M771:M834" si="38">TEXT(I771,"yyyy-mm")</f>
        <v>2026-05</v>
      </c>
    </row>
    <row r="772" spans="1:13">
      <c r="A772">
        <v>771</v>
      </c>
      <c r="B772">
        <v>1370</v>
      </c>
      <c r="C772">
        <v>12</v>
      </c>
      <c r="D772">
        <v>3</v>
      </c>
      <c r="E772">
        <v>22</v>
      </c>
      <c r="F772">
        <f t="shared" si="36"/>
        <v>66</v>
      </c>
      <c r="G772" t="str">
        <f>VLOOKUP(B772,Orders!$A$2:$D$1201,4,FALSE)</f>
        <v>Delivered</v>
      </c>
      <c r="H772">
        <f t="shared" si="37"/>
        <v>66</v>
      </c>
      <c r="I772" s="12">
        <f>VLOOKUP(B772,Orders!$A$2:$D$1201,3,FALSE)</f>
        <v>46167</v>
      </c>
      <c r="L772" t="str">
        <f>VLOOKUP(C772,Products!$A$2:$D$13,2,FALSE)</f>
        <v>Storage Box</v>
      </c>
      <c r="M772" t="str">
        <f t="shared" si="38"/>
        <v>2026-05</v>
      </c>
    </row>
    <row r="773" spans="1:13">
      <c r="A773">
        <v>772</v>
      </c>
      <c r="B773">
        <v>1371</v>
      </c>
      <c r="C773">
        <v>3</v>
      </c>
      <c r="D773">
        <v>2</v>
      </c>
      <c r="E773">
        <v>45</v>
      </c>
      <c r="F773">
        <f t="shared" si="36"/>
        <v>90</v>
      </c>
      <c r="G773" t="str">
        <f>VLOOKUP(B773,Orders!$A$2:$D$1201,4,FALSE)</f>
        <v>Delivered</v>
      </c>
      <c r="H773">
        <f t="shared" si="37"/>
        <v>90</v>
      </c>
      <c r="I773" s="12">
        <f>VLOOKUP(B773,Orders!$A$2:$D$1201,3,FALSE)</f>
        <v>46111</v>
      </c>
      <c r="L773" t="str">
        <f>VLOOKUP(C773,Products!$A$2:$D$13,2,FALSE)</f>
        <v>Keyboard</v>
      </c>
      <c r="M773" t="str">
        <f t="shared" si="38"/>
        <v>2026-03</v>
      </c>
    </row>
    <row r="774" spans="1:13">
      <c r="A774">
        <v>773</v>
      </c>
      <c r="B774">
        <v>1371</v>
      </c>
      <c r="C774">
        <v>11</v>
      </c>
      <c r="D774">
        <v>4</v>
      </c>
      <c r="E774">
        <v>48</v>
      </c>
      <c r="F774">
        <f t="shared" si="36"/>
        <v>192</v>
      </c>
      <c r="G774" t="str">
        <f>VLOOKUP(B774,Orders!$A$2:$D$1201,4,FALSE)</f>
        <v>Delivered</v>
      </c>
      <c r="H774">
        <f t="shared" si="37"/>
        <v>192</v>
      </c>
      <c r="I774" s="12">
        <f>VLOOKUP(B774,Orders!$A$2:$D$1201,3,FALSE)</f>
        <v>46111</v>
      </c>
      <c r="L774" t="str">
        <f>VLOOKUP(C774,Products!$A$2:$D$13,2,FALSE)</f>
        <v>Backpack</v>
      </c>
      <c r="M774" t="str">
        <f t="shared" si="38"/>
        <v>2026-03</v>
      </c>
    </row>
    <row r="775" spans="1:13">
      <c r="A775">
        <v>774</v>
      </c>
      <c r="B775">
        <v>1371</v>
      </c>
      <c r="C775">
        <v>2</v>
      </c>
      <c r="D775">
        <v>2</v>
      </c>
      <c r="E775">
        <v>220</v>
      </c>
      <c r="F775">
        <f t="shared" si="36"/>
        <v>440</v>
      </c>
      <c r="G775" t="str">
        <f>VLOOKUP(B775,Orders!$A$2:$D$1201,4,FALSE)</f>
        <v>Delivered</v>
      </c>
      <c r="H775">
        <f t="shared" si="37"/>
        <v>440</v>
      </c>
      <c r="I775" s="12">
        <f>VLOOKUP(B775,Orders!$A$2:$D$1201,3,FALSE)</f>
        <v>46111</v>
      </c>
      <c r="L775" t="str">
        <f>VLOOKUP(C775,Products!$A$2:$D$13,2,FALSE)</f>
        <v>Monitor</v>
      </c>
      <c r="M775" t="str">
        <f t="shared" si="38"/>
        <v>2026-03</v>
      </c>
    </row>
    <row r="776" spans="1:13">
      <c r="A776">
        <v>775</v>
      </c>
      <c r="B776">
        <v>1372</v>
      </c>
      <c r="C776">
        <v>7</v>
      </c>
      <c r="D776">
        <v>1</v>
      </c>
      <c r="E776">
        <v>65</v>
      </c>
      <c r="F776">
        <f t="shared" si="36"/>
        <v>65</v>
      </c>
      <c r="G776" t="str">
        <f>VLOOKUP(B776,Orders!$A$2:$D$1201,4,FALSE)</f>
        <v>Delivered</v>
      </c>
      <c r="H776">
        <f t="shared" si="37"/>
        <v>65</v>
      </c>
      <c r="I776" s="12">
        <f>VLOOKUP(B776,Orders!$A$2:$D$1201,3,FALSE)</f>
        <v>46180</v>
      </c>
      <c r="L776" t="str">
        <f>VLOOKUP(C776,Products!$A$2:$D$13,2,FALSE)</f>
        <v>Headphones</v>
      </c>
      <c r="M776" t="str">
        <f t="shared" si="38"/>
        <v>2026-06</v>
      </c>
    </row>
    <row r="777" spans="1:13">
      <c r="A777">
        <v>776</v>
      </c>
      <c r="B777">
        <v>1373</v>
      </c>
      <c r="C777">
        <v>6</v>
      </c>
      <c r="D777">
        <v>1</v>
      </c>
      <c r="E777">
        <v>140</v>
      </c>
      <c r="F777">
        <f t="shared" si="36"/>
        <v>140</v>
      </c>
      <c r="G777" t="str">
        <f>VLOOKUP(B777,Orders!$A$2:$D$1201,4,FALSE)</f>
        <v>Delivered</v>
      </c>
      <c r="H777">
        <f t="shared" si="37"/>
        <v>140</v>
      </c>
      <c r="I777" s="12">
        <f>VLOOKUP(B777,Orders!$A$2:$D$1201,3,FALSE)</f>
        <v>46134</v>
      </c>
      <c r="L777" t="str">
        <f>VLOOKUP(C777,Products!$A$2:$D$13,2,FALSE)</f>
        <v>Chair</v>
      </c>
      <c r="M777" t="str">
        <f t="shared" si="38"/>
        <v>2026-04</v>
      </c>
    </row>
    <row r="778" spans="1:13">
      <c r="A778">
        <v>777</v>
      </c>
      <c r="B778">
        <v>1374</v>
      </c>
      <c r="C778">
        <v>10</v>
      </c>
      <c r="D778">
        <v>4</v>
      </c>
      <c r="E778">
        <v>8</v>
      </c>
      <c r="F778">
        <f t="shared" si="36"/>
        <v>32</v>
      </c>
      <c r="G778" t="str">
        <f>VLOOKUP(B778,Orders!$A$2:$D$1201,4,FALSE)</f>
        <v>Delivered</v>
      </c>
      <c r="H778">
        <f t="shared" si="37"/>
        <v>32</v>
      </c>
      <c r="I778" s="12">
        <f>VLOOKUP(B778,Orders!$A$2:$D$1201,3,FALSE)</f>
        <v>46180</v>
      </c>
      <c r="L778" t="str">
        <f>VLOOKUP(C778,Products!$A$2:$D$13,2,FALSE)</f>
        <v>Notebook</v>
      </c>
      <c r="M778" t="str">
        <f t="shared" si="38"/>
        <v>2026-06</v>
      </c>
    </row>
    <row r="779" spans="1:13">
      <c r="A779">
        <v>778</v>
      </c>
      <c r="B779">
        <v>1374</v>
      </c>
      <c r="C779">
        <v>1</v>
      </c>
      <c r="D779">
        <v>4</v>
      </c>
      <c r="E779">
        <v>750</v>
      </c>
      <c r="F779">
        <f t="shared" si="36"/>
        <v>3000</v>
      </c>
      <c r="G779" t="str">
        <f>VLOOKUP(B779,Orders!$A$2:$D$1201,4,FALSE)</f>
        <v>Delivered</v>
      </c>
      <c r="H779">
        <f t="shared" si="37"/>
        <v>3000</v>
      </c>
      <c r="I779" s="12">
        <f>VLOOKUP(B779,Orders!$A$2:$D$1201,3,FALSE)</f>
        <v>46180</v>
      </c>
      <c r="L779" t="str">
        <f>VLOOKUP(C779,Products!$A$2:$D$13,2,FALSE)</f>
        <v>Laptop</v>
      </c>
      <c r="M779" t="str">
        <f t="shared" si="38"/>
        <v>2026-06</v>
      </c>
    </row>
    <row r="780" spans="1:13">
      <c r="A780">
        <v>779</v>
      </c>
      <c r="B780">
        <v>1374</v>
      </c>
      <c r="C780">
        <v>3</v>
      </c>
      <c r="D780">
        <v>1</v>
      </c>
      <c r="E780">
        <v>45</v>
      </c>
      <c r="F780">
        <f t="shared" si="36"/>
        <v>45</v>
      </c>
      <c r="G780" t="str">
        <f>VLOOKUP(B780,Orders!$A$2:$D$1201,4,FALSE)</f>
        <v>Delivered</v>
      </c>
      <c r="H780">
        <f t="shared" si="37"/>
        <v>45</v>
      </c>
      <c r="I780" s="12">
        <f>VLOOKUP(B780,Orders!$A$2:$D$1201,3,FALSE)</f>
        <v>46180</v>
      </c>
      <c r="L780" t="str">
        <f>VLOOKUP(C780,Products!$A$2:$D$13,2,FALSE)</f>
        <v>Keyboard</v>
      </c>
      <c r="M780" t="str">
        <f t="shared" si="38"/>
        <v>2026-06</v>
      </c>
    </row>
    <row r="781" spans="1:13">
      <c r="A781">
        <v>780</v>
      </c>
      <c r="B781">
        <v>1375</v>
      </c>
      <c r="C781">
        <v>12</v>
      </c>
      <c r="D781">
        <v>2</v>
      </c>
      <c r="E781">
        <v>22</v>
      </c>
      <c r="F781">
        <f t="shared" si="36"/>
        <v>44</v>
      </c>
      <c r="G781" t="str">
        <f>VLOOKUP(B781,Orders!$A$2:$D$1201,4,FALSE)</f>
        <v>Delivered</v>
      </c>
      <c r="H781">
        <f t="shared" si="37"/>
        <v>44</v>
      </c>
      <c r="I781" s="12">
        <f>VLOOKUP(B781,Orders!$A$2:$D$1201,3,FALSE)</f>
        <v>46072</v>
      </c>
      <c r="L781" t="str">
        <f>VLOOKUP(C781,Products!$A$2:$D$13,2,FALSE)</f>
        <v>Storage Box</v>
      </c>
      <c r="M781" t="str">
        <f t="shared" si="38"/>
        <v>2026-02</v>
      </c>
    </row>
    <row r="782" spans="1:13">
      <c r="A782">
        <v>781</v>
      </c>
      <c r="B782">
        <v>1375</v>
      </c>
      <c r="C782">
        <v>4</v>
      </c>
      <c r="D782">
        <v>1</v>
      </c>
      <c r="E782">
        <v>25</v>
      </c>
      <c r="F782">
        <f t="shared" si="36"/>
        <v>25</v>
      </c>
      <c r="G782" t="str">
        <f>VLOOKUP(B782,Orders!$A$2:$D$1201,4,FALSE)</f>
        <v>Delivered</v>
      </c>
      <c r="H782">
        <f t="shared" si="37"/>
        <v>25</v>
      </c>
      <c r="I782" s="12">
        <f>VLOOKUP(B782,Orders!$A$2:$D$1201,3,FALSE)</f>
        <v>46072</v>
      </c>
      <c r="L782" t="str">
        <f>VLOOKUP(C782,Products!$A$2:$D$13,2,FALSE)</f>
        <v>Mouse</v>
      </c>
      <c r="M782" t="str">
        <f t="shared" si="38"/>
        <v>2026-02</v>
      </c>
    </row>
    <row r="783" spans="1:13">
      <c r="A783">
        <v>782</v>
      </c>
      <c r="B783">
        <v>1375</v>
      </c>
      <c r="C783">
        <v>10</v>
      </c>
      <c r="D783">
        <v>3</v>
      </c>
      <c r="E783">
        <v>8</v>
      </c>
      <c r="F783">
        <f t="shared" si="36"/>
        <v>24</v>
      </c>
      <c r="G783" t="str">
        <f>VLOOKUP(B783,Orders!$A$2:$D$1201,4,FALSE)</f>
        <v>Delivered</v>
      </c>
      <c r="H783">
        <f t="shared" si="37"/>
        <v>24</v>
      </c>
      <c r="I783" s="12">
        <f>VLOOKUP(B783,Orders!$A$2:$D$1201,3,FALSE)</f>
        <v>46072</v>
      </c>
      <c r="L783" t="str">
        <f>VLOOKUP(C783,Products!$A$2:$D$13,2,FALSE)</f>
        <v>Notebook</v>
      </c>
      <c r="M783" t="str">
        <f t="shared" si="38"/>
        <v>2026-02</v>
      </c>
    </row>
    <row r="784" spans="1:13">
      <c r="A784">
        <v>783</v>
      </c>
      <c r="B784">
        <v>1376</v>
      </c>
      <c r="C784">
        <v>10</v>
      </c>
      <c r="D784">
        <v>1</v>
      </c>
      <c r="E784">
        <v>8</v>
      </c>
      <c r="F784">
        <f t="shared" si="36"/>
        <v>8</v>
      </c>
      <c r="G784" t="str">
        <f>VLOOKUP(B784,Orders!$A$2:$D$1201,4,FALSE)</f>
        <v>Delivered</v>
      </c>
      <c r="H784">
        <f t="shared" si="37"/>
        <v>8</v>
      </c>
      <c r="I784" s="12">
        <f>VLOOKUP(B784,Orders!$A$2:$D$1201,3,FALSE)</f>
        <v>46125</v>
      </c>
      <c r="L784" t="str">
        <f>VLOOKUP(C784,Products!$A$2:$D$13,2,FALSE)</f>
        <v>Notebook</v>
      </c>
      <c r="M784" t="str">
        <f t="shared" si="38"/>
        <v>2026-04</v>
      </c>
    </row>
    <row r="785" spans="1:13">
      <c r="A785">
        <v>784</v>
      </c>
      <c r="B785">
        <v>1376</v>
      </c>
      <c r="C785">
        <v>4</v>
      </c>
      <c r="D785">
        <v>1</v>
      </c>
      <c r="E785">
        <v>25</v>
      </c>
      <c r="F785">
        <f t="shared" si="36"/>
        <v>25</v>
      </c>
      <c r="G785" t="str">
        <f>VLOOKUP(B785,Orders!$A$2:$D$1201,4,FALSE)</f>
        <v>Delivered</v>
      </c>
      <c r="H785">
        <f t="shared" si="37"/>
        <v>25</v>
      </c>
      <c r="I785" s="12">
        <f>VLOOKUP(B785,Orders!$A$2:$D$1201,3,FALSE)</f>
        <v>46125</v>
      </c>
      <c r="L785" t="str">
        <f>VLOOKUP(C785,Products!$A$2:$D$13,2,FALSE)</f>
        <v>Mouse</v>
      </c>
      <c r="M785" t="str">
        <f t="shared" si="38"/>
        <v>2026-04</v>
      </c>
    </row>
    <row r="786" spans="1:13">
      <c r="A786">
        <v>785</v>
      </c>
      <c r="B786">
        <v>1377</v>
      </c>
      <c r="C786">
        <v>10</v>
      </c>
      <c r="D786">
        <v>2</v>
      </c>
      <c r="E786">
        <v>8</v>
      </c>
      <c r="F786">
        <f t="shared" si="36"/>
        <v>16</v>
      </c>
      <c r="G786" t="str">
        <f>VLOOKUP(B786,Orders!$A$2:$D$1201,4,FALSE)</f>
        <v>Delivered</v>
      </c>
      <c r="H786">
        <f t="shared" si="37"/>
        <v>16</v>
      </c>
      <c r="I786" s="12">
        <f>VLOOKUP(B786,Orders!$A$2:$D$1201,3,FALSE)</f>
        <v>46172</v>
      </c>
      <c r="L786" t="str">
        <f>VLOOKUP(C786,Products!$A$2:$D$13,2,FALSE)</f>
        <v>Notebook</v>
      </c>
      <c r="M786" t="str">
        <f t="shared" si="38"/>
        <v>2026-05</v>
      </c>
    </row>
    <row r="787" spans="1:13">
      <c r="A787">
        <v>786</v>
      </c>
      <c r="B787">
        <v>1378</v>
      </c>
      <c r="C787">
        <v>9</v>
      </c>
      <c r="D787">
        <v>3</v>
      </c>
      <c r="E787">
        <v>30</v>
      </c>
      <c r="F787">
        <f t="shared" si="36"/>
        <v>90</v>
      </c>
      <c r="G787" t="str">
        <f>VLOOKUP(B787,Orders!$A$2:$D$1201,4,FALSE)</f>
        <v>Delivered</v>
      </c>
      <c r="H787">
        <f t="shared" si="37"/>
        <v>90</v>
      </c>
      <c r="I787" s="12">
        <f>VLOOKUP(B787,Orders!$A$2:$D$1201,3,FALSE)</f>
        <v>46127</v>
      </c>
      <c r="L787" t="str">
        <f>VLOOKUP(C787,Products!$A$2:$D$13,2,FALSE)</f>
        <v>Lamp</v>
      </c>
      <c r="M787" t="str">
        <f t="shared" si="38"/>
        <v>2026-04</v>
      </c>
    </row>
    <row r="788" spans="1:13">
      <c r="A788">
        <v>787</v>
      </c>
      <c r="B788">
        <v>1379</v>
      </c>
      <c r="C788">
        <v>12</v>
      </c>
      <c r="D788">
        <v>4</v>
      </c>
      <c r="E788">
        <v>22</v>
      </c>
      <c r="F788">
        <f t="shared" si="36"/>
        <v>88</v>
      </c>
      <c r="G788" t="str">
        <f>VLOOKUP(B788,Orders!$A$2:$D$1201,4,FALSE)</f>
        <v>Delivered</v>
      </c>
      <c r="H788">
        <f t="shared" si="37"/>
        <v>88</v>
      </c>
      <c r="I788" s="12">
        <f>VLOOKUP(B788,Orders!$A$2:$D$1201,3,FALSE)</f>
        <v>46160</v>
      </c>
      <c r="L788" t="str">
        <f>VLOOKUP(C788,Products!$A$2:$D$13,2,FALSE)</f>
        <v>Storage Box</v>
      </c>
      <c r="M788" t="str">
        <f t="shared" si="38"/>
        <v>2026-05</v>
      </c>
    </row>
    <row r="789" spans="1:13">
      <c r="A789">
        <v>788</v>
      </c>
      <c r="B789">
        <v>1379</v>
      </c>
      <c r="C789">
        <v>8</v>
      </c>
      <c r="D789">
        <v>4</v>
      </c>
      <c r="E789">
        <v>55</v>
      </c>
      <c r="F789">
        <f t="shared" si="36"/>
        <v>220</v>
      </c>
      <c r="G789" t="str">
        <f>VLOOKUP(B789,Orders!$A$2:$D$1201,4,FALSE)</f>
        <v>Delivered</v>
      </c>
      <c r="H789">
        <f t="shared" si="37"/>
        <v>220</v>
      </c>
      <c r="I789" s="12">
        <f>VLOOKUP(B789,Orders!$A$2:$D$1201,3,FALSE)</f>
        <v>46160</v>
      </c>
      <c r="L789" t="str">
        <f>VLOOKUP(C789,Products!$A$2:$D$13,2,FALSE)</f>
        <v>Webcam</v>
      </c>
      <c r="M789" t="str">
        <f t="shared" si="38"/>
        <v>2026-05</v>
      </c>
    </row>
    <row r="790" spans="1:13">
      <c r="A790">
        <v>789</v>
      </c>
      <c r="B790">
        <v>1380</v>
      </c>
      <c r="C790">
        <v>2</v>
      </c>
      <c r="D790">
        <v>1</v>
      </c>
      <c r="E790">
        <v>220</v>
      </c>
      <c r="F790">
        <f t="shared" si="36"/>
        <v>220</v>
      </c>
      <c r="G790" t="str">
        <f>VLOOKUP(B790,Orders!$A$2:$D$1201,4,FALSE)</f>
        <v>Delivered</v>
      </c>
      <c r="H790">
        <f t="shared" si="37"/>
        <v>220</v>
      </c>
      <c r="I790" s="12">
        <f>VLOOKUP(B790,Orders!$A$2:$D$1201,3,FALSE)</f>
        <v>46197</v>
      </c>
      <c r="L790" t="str">
        <f>VLOOKUP(C790,Products!$A$2:$D$13,2,FALSE)</f>
        <v>Monitor</v>
      </c>
      <c r="M790" t="str">
        <f t="shared" si="38"/>
        <v>2026-06</v>
      </c>
    </row>
    <row r="791" spans="1:13">
      <c r="A791">
        <v>790</v>
      </c>
      <c r="B791">
        <v>1380</v>
      </c>
      <c r="C791">
        <v>5</v>
      </c>
      <c r="D791">
        <v>4</v>
      </c>
      <c r="E791">
        <v>180</v>
      </c>
      <c r="F791">
        <f t="shared" si="36"/>
        <v>720</v>
      </c>
      <c r="G791" t="str">
        <f>VLOOKUP(B791,Orders!$A$2:$D$1201,4,FALSE)</f>
        <v>Delivered</v>
      </c>
      <c r="H791">
        <f t="shared" si="37"/>
        <v>720</v>
      </c>
      <c r="I791" s="12">
        <f>VLOOKUP(B791,Orders!$A$2:$D$1201,3,FALSE)</f>
        <v>46197</v>
      </c>
      <c r="L791" t="str">
        <f>VLOOKUP(C791,Products!$A$2:$D$13,2,FALSE)</f>
        <v>Desk</v>
      </c>
      <c r="M791" t="str">
        <f t="shared" si="38"/>
        <v>2026-06</v>
      </c>
    </row>
    <row r="792" spans="1:13">
      <c r="A792">
        <v>791</v>
      </c>
      <c r="B792">
        <v>1381</v>
      </c>
      <c r="C792">
        <v>9</v>
      </c>
      <c r="D792">
        <v>2</v>
      </c>
      <c r="E792">
        <v>30</v>
      </c>
      <c r="F792">
        <f t="shared" si="36"/>
        <v>60</v>
      </c>
      <c r="G792" t="str">
        <f>VLOOKUP(B792,Orders!$A$2:$D$1201,4,FALSE)</f>
        <v>Delivered</v>
      </c>
      <c r="H792">
        <f t="shared" si="37"/>
        <v>60</v>
      </c>
      <c r="I792" s="12">
        <f>VLOOKUP(B792,Orders!$A$2:$D$1201,3,FALSE)</f>
        <v>46103</v>
      </c>
      <c r="L792" t="str">
        <f>VLOOKUP(C792,Products!$A$2:$D$13,2,FALSE)</f>
        <v>Lamp</v>
      </c>
      <c r="M792" t="str">
        <f t="shared" si="38"/>
        <v>2026-03</v>
      </c>
    </row>
    <row r="793" spans="1:13">
      <c r="A793">
        <v>792</v>
      </c>
      <c r="B793">
        <v>1381</v>
      </c>
      <c r="C793">
        <v>1</v>
      </c>
      <c r="D793">
        <v>3</v>
      </c>
      <c r="E793">
        <v>750</v>
      </c>
      <c r="F793">
        <f t="shared" si="36"/>
        <v>2250</v>
      </c>
      <c r="G793" t="str">
        <f>VLOOKUP(B793,Orders!$A$2:$D$1201,4,FALSE)</f>
        <v>Delivered</v>
      </c>
      <c r="H793">
        <f t="shared" si="37"/>
        <v>2250</v>
      </c>
      <c r="I793" s="12">
        <f>VLOOKUP(B793,Orders!$A$2:$D$1201,3,FALSE)</f>
        <v>46103</v>
      </c>
      <c r="L793" t="str">
        <f>VLOOKUP(C793,Products!$A$2:$D$13,2,FALSE)</f>
        <v>Laptop</v>
      </c>
      <c r="M793" t="str">
        <f t="shared" si="38"/>
        <v>2026-03</v>
      </c>
    </row>
    <row r="794" spans="1:13">
      <c r="A794">
        <v>793</v>
      </c>
      <c r="B794">
        <v>1381</v>
      </c>
      <c r="C794">
        <v>5</v>
      </c>
      <c r="D794">
        <v>1</v>
      </c>
      <c r="E794">
        <v>180</v>
      </c>
      <c r="F794">
        <f t="shared" si="36"/>
        <v>180</v>
      </c>
      <c r="G794" t="str">
        <f>VLOOKUP(B794,Orders!$A$2:$D$1201,4,FALSE)</f>
        <v>Delivered</v>
      </c>
      <c r="H794">
        <f t="shared" si="37"/>
        <v>180</v>
      </c>
      <c r="I794" s="12">
        <f>VLOOKUP(B794,Orders!$A$2:$D$1201,3,FALSE)</f>
        <v>46103</v>
      </c>
      <c r="L794" t="str">
        <f>VLOOKUP(C794,Products!$A$2:$D$13,2,FALSE)</f>
        <v>Desk</v>
      </c>
      <c r="M794" t="str">
        <f t="shared" si="38"/>
        <v>2026-03</v>
      </c>
    </row>
    <row r="795" spans="1:13">
      <c r="A795">
        <v>794</v>
      </c>
      <c r="B795">
        <v>1382</v>
      </c>
      <c r="C795">
        <v>10</v>
      </c>
      <c r="D795">
        <v>3</v>
      </c>
      <c r="E795">
        <v>8</v>
      </c>
      <c r="F795">
        <f t="shared" si="36"/>
        <v>24</v>
      </c>
      <c r="G795" t="str">
        <f>VLOOKUP(B795,Orders!$A$2:$D$1201,4,FALSE)</f>
        <v>Delivered</v>
      </c>
      <c r="H795">
        <f t="shared" si="37"/>
        <v>24</v>
      </c>
      <c r="I795" s="12">
        <f>VLOOKUP(B795,Orders!$A$2:$D$1201,3,FALSE)</f>
        <v>46068</v>
      </c>
      <c r="L795" t="str">
        <f>VLOOKUP(C795,Products!$A$2:$D$13,2,FALSE)</f>
        <v>Notebook</v>
      </c>
      <c r="M795" t="str">
        <f t="shared" si="38"/>
        <v>2026-02</v>
      </c>
    </row>
    <row r="796" spans="1:13">
      <c r="A796">
        <v>795</v>
      </c>
      <c r="B796">
        <v>1383</v>
      </c>
      <c r="C796">
        <v>4</v>
      </c>
      <c r="D796">
        <v>2</v>
      </c>
      <c r="E796">
        <v>25</v>
      </c>
      <c r="F796">
        <f t="shared" si="36"/>
        <v>50</v>
      </c>
      <c r="G796" t="str">
        <f>VLOOKUP(B796,Orders!$A$2:$D$1201,4,FALSE)</f>
        <v>Delivered</v>
      </c>
      <c r="H796">
        <f t="shared" si="37"/>
        <v>50</v>
      </c>
      <c r="I796" s="12">
        <f>VLOOKUP(B796,Orders!$A$2:$D$1201,3,FALSE)</f>
        <v>46150</v>
      </c>
      <c r="L796" t="str">
        <f>VLOOKUP(C796,Products!$A$2:$D$13,2,FALSE)</f>
        <v>Mouse</v>
      </c>
      <c r="M796" t="str">
        <f t="shared" si="38"/>
        <v>2026-05</v>
      </c>
    </row>
    <row r="797" spans="1:13">
      <c r="A797">
        <v>796</v>
      </c>
      <c r="B797">
        <v>1383</v>
      </c>
      <c r="C797">
        <v>5</v>
      </c>
      <c r="D797">
        <v>2</v>
      </c>
      <c r="E797">
        <v>180</v>
      </c>
      <c r="F797">
        <f t="shared" si="36"/>
        <v>360</v>
      </c>
      <c r="G797" t="str">
        <f>VLOOKUP(B797,Orders!$A$2:$D$1201,4,FALSE)</f>
        <v>Delivered</v>
      </c>
      <c r="H797">
        <f t="shared" si="37"/>
        <v>360</v>
      </c>
      <c r="I797" s="12">
        <f>VLOOKUP(B797,Orders!$A$2:$D$1201,3,FALSE)</f>
        <v>46150</v>
      </c>
      <c r="L797" t="str">
        <f>VLOOKUP(C797,Products!$A$2:$D$13,2,FALSE)</f>
        <v>Desk</v>
      </c>
      <c r="M797" t="str">
        <f t="shared" si="38"/>
        <v>2026-05</v>
      </c>
    </row>
    <row r="798" spans="1:13">
      <c r="A798">
        <v>797</v>
      </c>
      <c r="B798">
        <v>1383</v>
      </c>
      <c r="C798">
        <v>12</v>
      </c>
      <c r="D798">
        <v>2</v>
      </c>
      <c r="E798">
        <v>22</v>
      </c>
      <c r="F798">
        <f t="shared" si="36"/>
        <v>44</v>
      </c>
      <c r="G798" t="str">
        <f>VLOOKUP(B798,Orders!$A$2:$D$1201,4,FALSE)</f>
        <v>Delivered</v>
      </c>
      <c r="H798">
        <f t="shared" si="37"/>
        <v>44</v>
      </c>
      <c r="I798" s="12">
        <f>VLOOKUP(B798,Orders!$A$2:$D$1201,3,FALSE)</f>
        <v>46150</v>
      </c>
      <c r="L798" t="str">
        <f>VLOOKUP(C798,Products!$A$2:$D$13,2,FALSE)</f>
        <v>Storage Box</v>
      </c>
      <c r="M798" t="str">
        <f t="shared" si="38"/>
        <v>2026-05</v>
      </c>
    </row>
    <row r="799" spans="1:13">
      <c r="A799">
        <v>798</v>
      </c>
      <c r="B799">
        <v>1384</v>
      </c>
      <c r="C799">
        <v>1</v>
      </c>
      <c r="D799">
        <v>4</v>
      </c>
      <c r="E799">
        <v>750</v>
      </c>
      <c r="F799">
        <f t="shared" si="36"/>
        <v>3000</v>
      </c>
      <c r="G799" t="str">
        <f>VLOOKUP(B799,Orders!$A$2:$D$1201,4,FALSE)</f>
        <v>Delivered</v>
      </c>
      <c r="H799">
        <f t="shared" si="37"/>
        <v>3000</v>
      </c>
      <c r="I799" s="12">
        <f>VLOOKUP(B799,Orders!$A$2:$D$1201,3,FALSE)</f>
        <v>46043</v>
      </c>
      <c r="L799" t="str">
        <f>VLOOKUP(C799,Products!$A$2:$D$13,2,FALSE)</f>
        <v>Laptop</v>
      </c>
      <c r="M799" t="str">
        <f t="shared" si="38"/>
        <v>2026-01</v>
      </c>
    </row>
    <row r="800" spans="1:13">
      <c r="A800">
        <v>799</v>
      </c>
      <c r="B800">
        <v>1384</v>
      </c>
      <c r="C800">
        <v>9</v>
      </c>
      <c r="D800">
        <v>3</v>
      </c>
      <c r="E800">
        <v>30</v>
      </c>
      <c r="F800">
        <f t="shared" si="36"/>
        <v>90</v>
      </c>
      <c r="G800" t="str">
        <f>VLOOKUP(B800,Orders!$A$2:$D$1201,4,FALSE)</f>
        <v>Delivered</v>
      </c>
      <c r="H800">
        <f t="shared" si="37"/>
        <v>90</v>
      </c>
      <c r="I800" s="12">
        <f>VLOOKUP(B800,Orders!$A$2:$D$1201,3,FALSE)</f>
        <v>46043</v>
      </c>
      <c r="L800" t="str">
        <f>VLOOKUP(C800,Products!$A$2:$D$13,2,FALSE)</f>
        <v>Lamp</v>
      </c>
      <c r="M800" t="str">
        <f t="shared" si="38"/>
        <v>2026-01</v>
      </c>
    </row>
    <row r="801" spans="1:13">
      <c r="A801">
        <v>800</v>
      </c>
      <c r="B801">
        <v>1384</v>
      </c>
      <c r="C801">
        <v>12</v>
      </c>
      <c r="D801">
        <v>3</v>
      </c>
      <c r="E801">
        <v>22</v>
      </c>
      <c r="F801">
        <f t="shared" si="36"/>
        <v>66</v>
      </c>
      <c r="G801" t="str">
        <f>VLOOKUP(B801,Orders!$A$2:$D$1201,4,FALSE)</f>
        <v>Delivered</v>
      </c>
      <c r="H801">
        <f t="shared" si="37"/>
        <v>66</v>
      </c>
      <c r="I801" s="12">
        <f>VLOOKUP(B801,Orders!$A$2:$D$1201,3,FALSE)</f>
        <v>46043</v>
      </c>
      <c r="L801" t="str">
        <f>VLOOKUP(C801,Products!$A$2:$D$13,2,FALSE)</f>
        <v>Storage Box</v>
      </c>
      <c r="M801" t="str">
        <f t="shared" si="38"/>
        <v>2026-01</v>
      </c>
    </row>
    <row r="802" spans="1:13">
      <c r="A802">
        <v>801</v>
      </c>
      <c r="B802">
        <v>1385</v>
      </c>
      <c r="C802">
        <v>7</v>
      </c>
      <c r="D802">
        <v>2</v>
      </c>
      <c r="E802">
        <v>65</v>
      </c>
      <c r="F802">
        <f t="shared" si="36"/>
        <v>130</v>
      </c>
      <c r="G802" t="str">
        <f>VLOOKUP(B802,Orders!$A$2:$D$1201,4,FALSE)</f>
        <v>Delivered</v>
      </c>
      <c r="H802">
        <f t="shared" si="37"/>
        <v>130</v>
      </c>
      <c r="I802" s="12">
        <f>VLOOKUP(B802,Orders!$A$2:$D$1201,3,FALSE)</f>
        <v>46148</v>
      </c>
      <c r="L802" t="str">
        <f>VLOOKUP(C802,Products!$A$2:$D$13,2,FALSE)</f>
        <v>Headphones</v>
      </c>
      <c r="M802" t="str">
        <f t="shared" si="38"/>
        <v>2026-05</v>
      </c>
    </row>
    <row r="803" spans="1:13">
      <c r="A803">
        <v>802</v>
      </c>
      <c r="B803">
        <v>1385</v>
      </c>
      <c r="C803">
        <v>4</v>
      </c>
      <c r="D803">
        <v>1</v>
      </c>
      <c r="E803">
        <v>25</v>
      </c>
      <c r="F803">
        <f t="shared" si="36"/>
        <v>25</v>
      </c>
      <c r="G803" t="str">
        <f>VLOOKUP(B803,Orders!$A$2:$D$1201,4,FALSE)</f>
        <v>Delivered</v>
      </c>
      <c r="H803">
        <f t="shared" si="37"/>
        <v>25</v>
      </c>
      <c r="I803" s="12">
        <f>VLOOKUP(B803,Orders!$A$2:$D$1201,3,FALSE)</f>
        <v>46148</v>
      </c>
      <c r="L803" t="str">
        <f>VLOOKUP(C803,Products!$A$2:$D$13,2,FALSE)</f>
        <v>Mouse</v>
      </c>
      <c r="M803" t="str">
        <f t="shared" si="38"/>
        <v>2026-05</v>
      </c>
    </row>
    <row r="804" spans="1:13">
      <c r="A804">
        <v>803</v>
      </c>
      <c r="B804">
        <v>1386</v>
      </c>
      <c r="C804">
        <v>2</v>
      </c>
      <c r="D804">
        <v>4</v>
      </c>
      <c r="E804">
        <v>220</v>
      </c>
      <c r="F804">
        <f t="shared" si="36"/>
        <v>880</v>
      </c>
      <c r="G804" t="str">
        <f>VLOOKUP(B804,Orders!$A$2:$D$1201,4,FALSE)</f>
        <v>Delivered</v>
      </c>
      <c r="H804">
        <f t="shared" si="37"/>
        <v>880</v>
      </c>
      <c r="I804" s="12">
        <f>VLOOKUP(B804,Orders!$A$2:$D$1201,3,FALSE)</f>
        <v>46151</v>
      </c>
      <c r="L804" t="str">
        <f>VLOOKUP(C804,Products!$A$2:$D$13,2,FALSE)</f>
        <v>Monitor</v>
      </c>
      <c r="M804" t="str">
        <f t="shared" si="38"/>
        <v>2026-05</v>
      </c>
    </row>
    <row r="805" spans="1:13">
      <c r="A805">
        <v>804</v>
      </c>
      <c r="B805">
        <v>1386</v>
      </c>
      <c r="C805">
        <v>9</v>
      </c>
      <c r="D805">
        <v>3</v>
      </c>
      <c r="E805">
        <v>30</v>
      </c>
      <c r="F805">
        <f t="shared" si="36"/>
        <v>90</v>
      </c>
      <c r="G805" t="str">
        <f>VLOOKUP(B805,Orders!$A$2:$D$1201,4,FALSE)</f>
        <v>Delivered</v>
      </c>
      <c r="H805">
        <f t="shared" si="37"/>
        <v>90</v>
      </c>
      <c r="I805" s="12">
        <f>VLOOKUP(B805,Orders!$A$2:$D$1201,3,FALSE)</f>
        <v>46151</v>
      </c>
      <c r="L805" t="str">
        <f>VLOOKUP(C805,Products!$A$2:$D$13,2,FALSE)</f>
        <v>Lamp</v>
      </c>
      <c r="M805" t="str">
        <f t="shared" si="38"/>
        <v>2026-05</v>
      </c>
    </row>
    <row r="806" spans="1:13">
      <c r="A806">
        <v>805</v>
      </c>
      <c r="B806">
        <v>1387</v>
      </c>
      <c r="C806">
        <v>9</v>
      </c>
      <c r="D806">
        <v>3</v>
      </c>
      <c r="E806">
        <v>30</v>
      </c>
      <c r="F806">
        <f t="shared" si="36"/>
        <v>90</v>
      </c>
      <c r="G806" t="str">
        <f>VLOOKUP(B806,Orders!$A$2:$D$1201,4,FALSE)</f>
        <v>Delivered</v>
      </c>
      <c r="H806">
        <f t="shared" si="37"/>
        <v>90</v>
      </c>
      <c r="I806" s="12">
        <f>VLOOKUP(B806,Orders!$A$2:$D$1201,3,FALSE)</f>
        <v>46048</v>
      </c>
      <c r="L806" t="str">
        <f>VLOOKUP(C806,Products!$A$2:$D$13,2,FALSE)</f>
        <v>Lamp</v>
      </c>
      <c r="M806" t="str">
        <f t="shared" si="38"/>
        <v>2026-01</v>
      </c>
    </row>
    <row r="807" spans="1:13">
      <c r="A807">
        <v>806</v>
      </c>
      <c r="B807">
        <v>1388</v>
      </c>
      <c r="C807">
        <v>12</v>
      </c>
      <c r="D807">
        <v>3</v>
      </c>
      <c r="E807">
        <v>22</v>
      </c>
      <c r="F807">
        <f t="shared" si="36"/>
        <v>66</v>
      </c>
      <c r="G807" t="str">
        <f>VLOOKUP(B807,Orders!$A$2:$D$1201,4,FALSE)</f>
        <v>Delivered</v>
      </c>
      <c r="H807">
        <f t="shared" si="37"/>
        <v>66</v>
      </c>
      <c r="I807" s="12">
        <f>VLOOKUP(B807,Orders!$A$2:$D$1201,3,FALSE)</f>
        <v>46070</v>
      </c>
      <c r="L807" t="str">
        <f>VLOOKUP(C807,Products!$A$2:$D$13,2,FALSE)</f>
        <v>Storage Box</v>
      </c>
      <c r="M807" t="str">
        <f t="shared" si="38"/>
        <v>2026-02</v>
      </c>
    </row>
    <row r="808" spans="1:13">
      <c r="A808">
        <v>807</v>
      </c>
      <c r="B808">
        <v>1388</v>
      </c>
      <c r="C808">
        <v>6</v>
      </c>
      <c r="D808">
        <v>4</v>
      </c>
      <c r="E808">
        <v>140</v>
      </c>
      <c r="F808">
        <f t="shared" si="36"/>
        <v>560</v>
      </c>
      <c r="G808" t="str">
        <f>VLOOKUP(B808,Orders!$A$2:$D$1201,4,FALSE)</f>
        <v>Delivered</v>
      </c>
      <c r="H808">
        <f t="shared" si="37"/>
        <v>560</v>
      </c>
      <c r="I808" s="12">
        <f>VLOOKUP(B808,Orders!$A$2:$D$1201,3,FALSE)</f>
        <v>46070</v>
      </c>
      <c r="L808" t="str">
        <f>VLOOKUP(C808,Products!$A$2:$D$13,2,FALSE)</f>
        <v>Chair</v>
      </c>
      <c r="M808" t="str">
        <f t="shared" si="38"/>
        <v>2026-02</v>
      </c>
    </row>
    <row r="809" spans="1:13">
      <c r="A809">
        <v>808</v>
      </c>
      <c r="B809">
        <v>1389</v>
      </c>
      <c r="C809">
        <v>5</v>
      </c>
      <c r="D809">
        <v>4</v>
      </c>
      <c r="E809">
        <v>180</v>
      </c>
      <c r="F809">
        <f t="shared" si="36"/>
        <v>720</v>
      </c>
      <c r="G809" t="str">
        <f>VLOOKUP(B809,Orders!$A$2:$D$1201,4,FALSE)</f>
        <v>Delivered</v>
      </c>
      <c r="H809">
        <f t="shared" si="37"/>
        <v>720</v>
      </c>
      <c r="I809" s="12">
        <f>VLOOKUP(B809,Orders!$A$2:$D$1201,3,FALSE)</f>
        <v>46198</v>
      </c>
      <c r="L809" t="str">
        <f>VLOOKUP(C809,Products!$A$2:$D$13,2,FALSE)</f>
        <v>Desk</v>
      </c>
      <c r="M809" t="str">
        <f t="shared" si="38"/>
        <v>2026-06</v>
      </c>
    </row>
    <row r="810" spans="1:13">
      <c r="A810">
        <v>809</v>
      </c>
      <c r="B810">
        <v>1389</v>
      </c>
      <c r="C810">
        <v>4</v>
      </c>
      <c r="D810">
        <v>4</v>
      </c>
      <c r="E810">
        <v>25</v>
      </c>
      <c r="F810">
        <f t="shared" si="36"/>
        <v>100</v>
      </c>
      <c r="G810" t="str">
        <f>VLOOKUP(B810,Orders!$A$2:$D$1201,4,FALSE)</f>
        <v>Delivered</v>
      </c>
      <c r="H810">
        <f t="shared" si="37"/>
        <v>100</v>
      </c>
      <c r="I810" s="12">
        <f>VLOOKUP(B810,Orders!$A$2:$D$1201,3,FALSE)</f>
        <v>46198</v>
      </c>
      <c r="L810" t="str">
        <f>VLOOKUP(C810,Products!$A$2:$D$13,2,FALSE)</f>
        <v>Mouse</v>
      </c>
      <c r="M810" t="str">
        <f t="shared" si="38"/>
        <v>2026-06</v>
      </c>
    </row>
    <row r="811" spans="1:13">
      <c r="A811">
        <v>810</v>
      </c>
      <c r="B811">
        <v>1389</v>
      </c>
      <c r="C811">
        <v>9</v>
      </c>
      <c r="D811">
        <v>2</v>
      </c>
      <c r="E811">
        <v>30</v>
      </c>
      <c r="F811">
        <f t="shared" si="36"/>
        <v>60</v>
      </c>
      <c r="G811" t="str">
        <f>VLOOKUP(B811,Orders!$A$2:$D$1201,4,FALSE)</f>
        <v>Delivered</v>
      </c>
      <c r="H811">
        <f t="shared" si="37"/>
        <v>60</v>
      </c>
      <c r="I811" s="12">
        <f>VLOOKUP(B811,Orders!$A$2:$D$1201,3,FALSE)</f>
        <v>46198</v>
      </c>
      <c r="L811" t="str">
        <f>VLOOKUP(C811,Products!$A$2:$D$13,2,FALSE)</f>
        <v>Lamp</v>
      </c>
      <c r="M811" t="str">
        <f t="shared" si="38"/>
        <v>2026-06</v>
      </c>
    </row>
    <row r="812" spans="1:13">
      <c r="A812">
        <v>811</v>
      </c>
      <c r="B812">
        <v>1390</v>
      </c>
      <c r="C812">
        <v>9</v>
      </c>
      <c r="D812">
        <v>4</v>
      </c>
      <c r="E812">
        <v>30</v>
      </c>
      <c r="F812">
        <f t="shared" si="36"/>
        <v>120</v>
      </c>
      <c r="G812" t="str">
        <f>VLOOKUP(B812,Orders!$A$2:$D$1201,4,FALSE)</f>
        <v>Delivered</v>
      </c>
      <c r="H812">
        <f t="shared" si="37"/>
        <v>120</v>
      </c>
      <c r="I812" s="12">
        <f>VLOOKUP(B812,Orders!$A$2:$D$1201,3,FALSE)</f>
        <v>46068</v>
      </c>
      <c r="L812" t="str">
        <f>VLOOKUP(C812,Products!$A$2:$D$13,2,FALSE)</f>
        <v>Lamp</v>
      </c>
      <c r="M812" t="str">
        <f t="shared" si="38"/>
        <v>2026-02</v>
      </c>
    </row>
    <row r="813" spans="1:13">
      <c r="A813">
        <v>812</v>
      </c>
      <c r="B813">
        <v>1390</v>
      </c>
      <c r="C813">
        <v>12</v>
      </c>
      <c r="D813">
        <v>3</v>
      </c>
      <c r="E813">
        <v>22</v>
      </c>
      <c r="F813">
        <f t="shared" si="36"/>
        <v>66</v>
      </c>
      <c r="G813" t="str">
        <f>VLOOKUP(B813,Orders!$A$2:$D$1201,4,FALSE)</f>
        <v>Delivered</v>
      </c>
      <c r="H813">
        <f t="shared" si="37"/>
        <v>66</v>
      </c>
      <c r="I813" s="12">
        <f>VLOOKUP(B813,Orders!$A$2:$D$1201,3,FALSE)</f>
        <v>46068</v>
      </c>
      <c r="L813" t="str">
        <f>VLOOKUP(C813,Products!$A$2:$D$13,2,FALSE)</f>
        <v>Storage Box</v>
      </c>
      <c r="M813" t="str">
        <f t="shared" si="38"/>
        <v>2026-02</v>
      </c>
    </row>
    <row r="814" spans="1:13">
      <c r="A814">
        <v>813</v>
      </c>
      <c r="B814">
        <v>1390</v>
      </c>
      <c r="C814">
        <v>6</v>
      </c>
      <c r="D814">
        <v>3</v>
      </c>
      <c r="E814">
        <v>140</v>
      </c>
      <c r="F814">
        <f t="shared" si="36"/>
        <v>420</v>
      </c>
      <c r="G814" t="str">
        <f>VLOOKUP(B814,Orders!$A$2:$D$1201,4,FALSE)</f>
        <v>Delivered</v>
      </c>
      <c r="H814">
        <f t="shared" si="37"/>
        <v>420</v>
      </c>
      <c r="I814" s="12">
        <f>VLOOKUP(B814,Orders!$A$2:$D$1201,3,FALSE)</f>
        <v>46068</v>
      </c>
      <c r="L814" t="str">
        <f>VLOOKUP(C814,Products!$A$2:$D$13,2,FALSE)</f>
        <v>Chair</v>
      </c>
      <c r="M814" t="str">
        <f t="shared" si="38"/>
        <v>2026-02</v>
      </c>
    </row>
    <row r="815" spans="1:13">
      <c r="A815">
        <v>814</v>
      </c>
      <c r="B815">
        <v>1391</v>
      </c>
      <c r="C815">
        <v>11</v>
      </c>
      <c r="D815">
        <v>4</v>
      </c>
      <c r="E815">
        <v>48</v>
      </c>
      <c r="F815">
        <f t="shared" si="36"/>
        <v>192</v>
      </c>
      <c r="G815" t="str">
        <f>VLOOKUP(B815,Orders!$A$2:$D$1201,4,FALSE)</f>
        <v>Delivered</v>
      </c>
      <c r="H815">
        <f t="shared" si="37"/>
        <v>192</v>
      </c>
      <c r="I815" s="12">
        <f>VLOOKUP(B815,Orders!$A$2:$D$1201,3,FALSE)</f>
        <v>46064</v>
      </c>
      <c r="L815" t="str">
        <f>VLOOKUP(C815,Products!$A$2:$D$13,2,FALSE)</f>
        <v>Backpack</v>
      </c>
      <c r="M815" t="str">
        <f t="shared" si="38"/>
        <v>2026-02</v>
      </c>
    </row>
    <row r="816" spans="1:13">
      <c r="A816">
        <v>815</v>
      </c>
      <c r="B816">
        <v>1391</v>
      </c>
      <c r="C816">
        <v>2</v>
      </c>
      <c r="D816">
        <v>3</v>
      </c>
      <c r="E816">
        <v>220</v>
      </c>
      <c r="F816">
        <f t="shared" si="36"/>
        <v>660</v>
      </c>
      <c r="G816" t="str">
        <f>VLOOKUP(B816,Orders!$A$2:$D$1201,4,FALSE)</f>
        <v>Delivered</v>
      </c>
      <c r="H816">
        <f t="shared" si="37"/>
        <v>660</v>
      </c>
      <c r="I816" s="12">
        <f>VLOOKUP(B816,Orders!$A$2:$D$1201,3,FALSE)</f>
        <v>46064</v>
      </c>
      <c r="L816" t="str">
        <f>VLOOKUP(C816,Products!$A$2:$D$13,2,FALSE)</f>
        <v>Monitor</v>
      </c>
      <c r="M816" t="str">
        <f t="shared" si="38"/>
        <v>2026-02</v>
      </c>
    </row>
    <row r="817" spans="1:13">
      <c r="A817">
        <v>816</v>
      </c>
      <c r="B817">
        <v>1392</v>
      </c>
      <c r="C817">
        <v>11</v>
      </c>
      <c r="D817">
        <v>2</v>
      </c>
      <c r="E817">
        <v>48</v>
      </c>
      <c r="F817">
        <f t="shared" si="36"/>
        <v>96</v>
      </c>
      <c r="G817" t="str">
        <f>VLOOKUP(B817,Orders!$A$2:$D$1201,4,FALSE)</f>
        <v>Delivered</v>
      </c>
      <c r="H817">
        <f t="shared" si="37"/>
        <v>96</v>
      </c>
      <c r="I817" s="12">
        <f>VLOOKUP(B817,Orders!$A$2:$D$1201,3,FALSE)</f>
        <v>46111</v>
      </c>
      <c r="L817" t="str">
        <f>VLOOKUP(C817,Products!$A$2:$D$13,2,FALSE)</f>
        <v>Backpack</v>
      </c>
      <c r="M817" t="str">
        <f t="shared" si="38"/>
        <v>2026-03</v>
      </c>
    </row>
    <row r="818" spans="1:13">
      <c r="A818">
        <v>817</v>
      </c>
      <c r="B818">
        <v>1392</v>
      </c>
      <c r="C818">
        <v>10</v>
      </c>
      <c r="D818">
        <v>2</v>
      </c>
      <c r="E818">
        <v>8</v>
      </c>
      <c r="F818">
        <f t="shared" si="36"/>
        <v>16</v>
      </c>
      <c r="G818" t="str">
        <f>VLOOKUP(B818,Orders!$A$2:$D$1201,4,FALSE)</f>
        <v>Delivered</v>
      </c>
      <c r="H818">
        <f t="shared" si="37"/>
        <v>16</v>
      </c>
      <c r="I818" s="12">
        <f>VLOOKUP(B818,Orders!$A$2:$D$1201,3,FALSE)</f>
        <v>46111</v>
      </c>
      <c r="L818" t="str">
        <f>VLOOKUP(C818,Products!$A$2:$D$13,2,FALSE)</f>
        <v>Notebook</v>
      </c>
      <c r="M818" t="str">
        <f t="shared" si="38"/>
        <v>2026-03</v>
      </c>
    </row>
    <row r="819" spans="1:13">
      <c r="A819">
        <v>818</v>
      </c>
      <c r="B819">
        <v>1393</v>
      </c>
      <c r="C819">
        <v>7</v>
      </c>
      <c r="D819">
        <v>3</v>
      </c>
      <c r="E819">
        <v>65</v>
      </c>
      <c r="F819">
        <f t="shared" si="36"/>
        <v>195</v>
      </c>
      <c r="G819" t="str">
        <f>VLOOKUP(B819,Orders!$A$2:$D$1201,4,FALSE)</f>
        <v>Delivered</v>
      </c>
      <c r="H819">
        <f t="shared" si="37"/>
        <v>195</v>
      </c>
      <c r="I819" s="12">
        <f>VLOOKUP(B819,Orders!$A$2:$D$1201,3,FALSE)</f>
        <v>46147</v>
      </c>
      <c r="L819" t="str">
        <f>VLOOKUP(C819,Products!$A$2:$D$13,2,FALSE)</f>
        <v>Headphones</v>
      </c>
      <c r="M819" t="str">
        <f t="shared" si="38"/>
        <v>2026-05</v>
      </c>
    </row>
    <row r="820" spans="1:13">
      <c r="A820">
        <v>819</v>
      </c>
      <c r="B820">
        <v>1394</v>
      </c>
      <c r="C820">
        <v>2</v>
      </c>
      <c r="D820">
        <v>2</v>
      </c>
      <c r="E820">
        <v>220</v>
      </c>
      <c r="F820">
        <f t="shared" si="36"/>
        <v>440</v>
      </c>
      <c r="G820" t="str">
        <f>VLOOKUP(B820,Orders!$A$2:$D$1201,4,FALSE)</f>
        <v>Delivered</v>
      </c>
      <c r="H820">
        <f t="shared" si="37"/>
        <v>440</v>
      </c>
      <c r="I820" s="12">
        <f>VLOOKUP(B820,Orders!$A$2:$D$1201,3,FALSE)</f>
        <v>46109</v>
      </c>
      <c r="L820" t="str">
        <f>VLOOKUP(C820,Products!$A$2:$D$13,2,FALSE)</f>
        <v>Monitor</v>
      </c>
      <c r="M820" t="str">
        <f t="shared" si="38"/>
        <v>2026-03</v>
      </c>
    </row>
    <row r="821" spans="1:13">
      <c r="A821">
        <v>820</v>
      </c>
      <c r="B821">
        <v>1394</v>
      </c>
      <c r="C821">
        <v>12</v>
      </c>
      <c r="D821">
        <v>3</v>
      </c>
      <c r="E821">
        <v>22</v>
      </c>
      <c r="F821">
        <f t="shared" si="36"/>
        <v>66</v>
      </c>
      <c r="G821" t="str">
        <f>VLOOKUP(B821,Orders!$A$2:$D$1201,4,FALSE)</f>
        <v>Delivered</v>
      </c>
      <c r="H821">
        <f t="shared" si="37"/>
        <v>66</v>
      </c>
      <c r="I821" s="12">
        <f>VLOOKUP(B821,Orders!$A$2:$D$1201,3,FALSE)</f>
        <v>46109</v>
      </c>
      <c r="L821" t="str">
        <f>VLOOKUP(C821,Products!$A$2:$D$13,2,FALSE)</f>
        <v>Storage Box</v>
      </c>
      <c r="M821" t="str">
        <f t="shared" si="38"/>
        <v>2026-03</v>
      </c>
    </row>
    <row r="822" spans="1:13">
      <c r="A822">
        <v>821</v>
      </c>
      <c r="B822">
        <v>1395</v>
      </c>
      <c r="C822">
        <v>6</v>
      </c>
      <c r="D822">
        <v>4</v>
      </c>
      <c r="E822">
        <v>140</v>
      </c>
      <c r="F822">
        <f t="shared" si="36"/>
        <v>560</v>
      </c>
      <c r="G822" t="str">
        <f>VLOOKUP(B822,Orders!$A$2:$D$1201,4,FALSE)</f>
        <v>Delivered</v>
      </c>
      <c r="H822">
        <f t="shared" si="37"/>
        <v>560</v>
      </c>
      <c r="I822" s="12">
        <f>VLOOKUP(B822,Orders!$A$2:$D$1201,3,FALSE)</f>
        <v>46177</v>
      </c>
      <c r="L822" t="str">
        <f>VLOOKUP(C822,Products!$A$2:$D$13,2,FALSE)</f>
        <v>Chair</v>
      </c>
      <c r="M822" t="str">
        <f t="shared" si="38"/>
        <v>2026-06</v>
      </c>
    </row>
    <row r="823" spans="1:13">
      <c r="A823">
        <v>822</v>
      </c>
      <c r="B823">
        <v>1395</v>
      </c>
      <c r="C823">
        <v>10</v>
      </c>
      <c r="D823">
        <v>4</v>
      </c>
      <c r="E823">
        <v>8</v>
      </c>
      <c r="F823">
        <f t="shared" si="36"/>
        <v>32</v>
      </c>
      <c r="G823" t="str">
        <f>VLOOKUP(B823,Orders!$A$2:$D$1201,4,FALSE)</f>
        <v>Delivered</v>
      </c>
      <c r="H823">
        <f t="shared" si="37"/>
        <v>32</v>
      </c>
      <c r="I823" s="12">
        <f>VLOOKUP(B823,Orders!$A$2:$D$1201,3,FALSE)</f>
        <v>46177</v>
      </c>
      <c r="L823" t="str">
        <f>VLOOKUP(C823,Products!$A$2:$D$13,2,FALSE)</f>
        <v>Notebook</v>
      </c>
      <c r="M823" t="str">
        <f t="shared" si="38"/>
        <v>2026-06</v>
      </c>
    </row>
    <row r="824" spans="1:13">
      <c r="A824">
        <v>823</v>
      </c>
      <c r="B824">
        <v>1396</v>
      </c>
      <c r="C824">
        <v>3</v>
      </c>
      <c r="D824">
        <v>4</v>
      </c>
      <c r="E824">
        <v>45</v>
      </c>
      <c r="F824">
        <f t="shared" si="36"/>
        <v>180</v>
      </c>
      <c r="G824" t="str">
        <f>VLOOKUP(B824,Orders!$A$2:$D$1201,4,FALSE)</f>
        <v>Delivered</v>
      </c>
      <c r="H824">
        <f t="shared" si="37"/>
        <v>180</v>
      </c>
      <c r="I824" s="12">
        <f>VLOOKUP(B824,Orders!$A$2:$D$1201,3,FALSE)</f>
        <v>46192</v>
      </c>
      <c r="L824" t="str">
        <f>VLOOKUP(C824,Products!$A$2:$D$13,2,FALSE)</f>
        <v>Keyboard</v>
      </c>
      <c r="M824" t="str">
        <f t="shared" si="38"/>
        <v>2026-06</v>
      </c>
    </row>
    <row r="825" spans="1:13">
      <c r="A825">
        <v>824</v>
      </c>
      <c r="B825">
        <v>1397</v>
      </c>
      <c r="C825">
        <v>2</v>
      </c>
      <c r="D825">
        <v>2</v>
      </c>
      <c r="E825">
        <v>220</v>
      </c>
      <c r="F825">
        <f t="shared" si="36"/>
        <v>440</v>
      </c>
      <c r="G825" t="str">
        <f>VLOOKUP(B825,Orders!$A$2:$D$1201,4,FALSE)</f>
        <v>Delivered</v>
      </c>
      <c r="H825">
        <f t="shared" si="37"/>
        <v>440</v>
      </c>
      <c r="I825" s="12">
        <f>VLOOKUP(B825,Orders!$A$2:$D$1201,3,FALSE)</f>
        <v>46036</v>
      </c>
      <c r="L825" t="str">
        <f>VLOOKUP(C825,Products!$A$2:$D$13,2,FALSE)</f>
        <v>Monitor</v>
      </c>
      <c r="M825" t="str">
        <f t="shared" si="38"/>
        <v>2026-01</v>
      </c>
    </row>
    <row r="826" spans="1:13">
      <c r="A826">
        <v>825</v>
      </c>
      <c r="B826">
        <v>1397</v>
      </c>
      <c r="C826">
        <v>12</v>
      </c>
      <c r="D826">
        <v>1</v>
      </c>
      <c r="E826">
        <v>22</v>
      </c>
      <c r="F826">
        <f t="shared" si="36"/>
        <v>22</v>
      </c>
      <c r="G826" t="str">
        <f>VLOOKUP(B826,Orders!$A$2:$D$1201,4,FALSE)</f>
        <v>Delivered</v>
      </c>
      <c r="H826">
        <f t="shared" si="37"/>
        <v>22</v>
      </c>
      <c r="I826" s="12">
        <f>VLOOKUP(B826,Orders!$A$2:$D$1201,3,FALSE)</f>
        <v>46036</v>
      </c>
      <c r="L826" t="str">
        <f>VLOOKUP(C826,Products!$A$2:$D$13,2,FALSE)</f>
        <v>Storage Box</v>
      </c>
      <c r="M826" t="str">
        <f t="shared" si="38"/>
        <v>2026-01</v>
      </c>
    </row>
    <row r="827" spans="1:13">
      <c r="A827">
        <v>826</v>
      </c>
      <c r="B827">
        <v>1397</v>
      </c>
      <c r="C827">
        <v>5</v>
      </c>
      <c r="D827">
        <v>4</v>
      </c>
      <c r="E827">
        <v>180</v>
      </c>
      <c r="F827">
        <f t="shared" si="36"/>
        <v>720</v>
      </c>
      <c r="G827" t="str">
        <f>VLOOKUP(B827,Orders!$A$2:$D$1201,4,FALSE)</f>
        <v>Delivered</v>
      </c>
      <c r="H827">
        <f t="shared" si="37"/>
        <v>720</v>
      </c>
      <c r="I827" s="12">
        <f>VLOOKUP(B827,Orders!$A$2:$D$1201,3,FALSE)</f>
        <v>46036</v>
      </c>
      <c r="L827" t="str">
        <f>VLOOKUP(C827,Products!$A$2:$D$13,2,FALSE)</f>
        <v>Desk</v>
      </c>
      <c r="M827" t="str">
        <f t="shared" si="38"/>
        <v>2026-01</v>
      </c>
    </row>
    <row r="828" spans="1:13">
      <c r="A828">
        <v>827</v>
      </c>
      <c r="B828">
        <v>1398</v>
      </c>
      <c r="C828">
        <v>1</v>
      </c>
      <c r="D828">
        <v>3</v>
      </c>
      <c r="E828">
        <v>750</v>
      </c>
      <c r="F828">
        <f t="shared" si="36"/>
        <v>2250</v>
      </c>
      <c r="G828" t="str">
        <f>VLOOKUP(B828,Orders!$A$2:$D$1201,4,FALSE)</f>
        <v>Delivered</v>
      </c>
      <c r="H828">
        <f t="shared" si="37"/>
        <v>2250</v>
      </c>
      <c r="I828" s="12">
        <f>VLOOKUP(B828,Orders!$A$2:$D$1201,3,FALSE)</f>
        <v>46055</v>
      </c>
      <c r="L828" t="str">
        <f>VLOOKUP(C828,Products!$A$2:$D$13,2,FALSE)</f>
        <v>Laptop</v>
      </c>
      <c r="M828" t="str">
        <f t="shared" si="38"/>
        <v>2026-02</v>
      </c>
    </row>
    <row r="829" spans="1:13">
      <c r="A829">
        <v>828</v>
      </c>
      <c r="B829">
        <v>1399</v>
      </c>
      <c r="C829">
        <v>9</v>
      </c>
      <c r="D829">
        <v>4</v>
      </c>
      <c r="E829">
        <v>30</v>
      </c>
      <c r="F829">
        <f t="shared" si="36"/>
        <v>120</v>
      </c>
      <c r="G829" t="str">
        <f>VLOOKUP(B829,Orders!$A$2:$D$1201,4,FALSE)</f>
        <v>Delivered</v>
      </c>
      <c r="H829">
        <f t="shared" si="37"/>
        <v>120</v>
      </c>
      <c r="I829" s="12">
        <f>VLOOKUP(B829,Orders!$A$2:$D$1201,3,FALSE)</f>
        <v>46092</v>
      </c>
      <c r="L829" t="str">
        <f>VLOOKUP(C829,Products!$A$2:$D$13,2,FALSE)</f>
        <v>Lamp</v>
      </c>
      <c r="M829" t="str">
        <f t="shared" si="38"/>
        <v>2026-03</v>
      </c>
    </row>
    <row r="830" spans="1:13">
      <c r="A830">
        <v>829</v>
      </c>
      <c r="B830">
        <v>1399</v>
      </c>
      <c r="C830">
        <v>3</v>
      </c>
      <c r="D830">
        <v>4</v>
      </c>
      <c r="E830">
        <v>45</v>
      </c>
      <c r="F830">
        <f t="shared" si="36"/>
        <v>180</v>
      </c>
      <c r="G830" t="str">
        <f>VLOOKUP(B830,Orders!$A$2:$D$1201,4,FALSE)</f>
        <v>Delivered</v>
      </c>
      <c r="H830">
        <f t="shared" si="37"/>
        <v>180</v>
      </c>
      <c r="I830" s="12">
        <f>VLOOKUP(B830,Orders!$A$2:$D$1201,3,FALSE)</f>
        <v>46092</v>
      </c>
      <c r="L830" t="str">
        <f>VLOOKUP(C830,Products!$A$2:$D$13,2,FALSE)</f>
        <v>Keyboard</v>
      </c>
      <c r="M830" t="str">
        <f t="shared" si="38"/>
        <v>2026-03</v>
      </c>
    </row>
    <row r="831" spans="1:13">
      <c r="A831">
        <v>830</v>
      </c>
      <c r="B831">
        <v>1399</v>
      </c>
      <c r="C831">
        <v>10</v>
      </c>
      <c r="D831">
        <v>3</v>
      </c>
      <c r="E831">
        <v>8</v>
      </c>
      <c r="F831">
        <f t="shared" si="36"/>
        <v>24</v>
      </c>
      <c r="G831" t="str">
        <f>VLOOKUP(B831,Orders!$A$2:$D$1201,4,FALSE)</f>
        <v>Delivered</v>
      </c>
      <c r="H831">
        <f t="shared" si="37"/>
        <v>24</v>
      </c>
      <c r="I831" s="12">
        <f>VLOOKUP(B831,Orders!$A$2:$D$1201,3,FALSE)</f>
        <v>46092</v>
      </c>
      <c r="L831" t="str">
        <f>VLOOKUP(C831,Products!$A$2:$D$13,2,FALSE)</f>
        <v>Notebook</v>
      </c>
      <c r="M831" t="str">
        <f t="shared" si="38"/>
        <v>2026-03</v>
      </c>
    </row>
    <row r="832" spans="1:13">
      <c r="A832">
        <v>831</v>
      </c>
      <c r="B832">
        <v>1400</v>
      </c>
      <c r="C832">
        <v>3</v>
      </c>
      <c r="D832">
        <v>1</v>
      </c>
      <c r="E832">
        <v>45</v>
      </c>
      <c r="F832">
        <f t="shared" si="36"/>
        <v>45</v>
      </c>
      <c r="G832" t="str">
        <f>VLOOKUP(B832,Orders!$A$2:$D$1201,4,FALSE)</f>
        <v>Delivered</v>
      </c>
      <c r="H832">
        <f t="shared" si="37"/>
        <v>45</v>
      </c>
      <c r="I832" s="12">
        <f>VLOOKUP(B832,Orders!$A$2:$D$1201,3,FALSE)</f>
        <v>46136</v>
      </c>
      <c r="L832" t="str">
        <f>VLOOKUP(C832,Products!$A$2:$D$13,2,FALSE)</f>
        <v>Keyboard</v>
      </c>
      <c r="M832" t="str">
        <f t="shared" si="38"/>
        <v>2026-04</v>
      </c>
    </row>
    <row r="833" spans="1:13">
      <c r="A833">
        <v>832</v>
      </c>
      <c r="B833">
        <v>1400</v>
      </c>
      <c r="C833">
        <v>5</v>
      </c>
      <c r="D833">
        <v>1</v>
      </c>
      <c r="E833">
        <v>180</v>
      </c>
      <c r="F833">
        <f t="shared" si="36"/>
        <v>180</v>
      </c>
      <c r="G833" t="str">
        <f>VLOOKUP(B833,Orders!$A$2:$D$1201,4,FALSE)</f>
        <v>Delivered</v>
      </c>
      <c r="H833">
        <f t="shared" si="37"/>
        <v>180</v>
      </c>
      <c r="I833" s="12">
        <f>VLOOKUP(B833,Orders!$A$2:$D$1201,3,FALSE)</f>
        <v>46136</v>
      </c>
      <c r="L833" t="str">
        <f>VLOOKUP(C833,Products!$A$2:$D$13,2,FALSE)</f>
        <v>Desk</v>
      </c>
      <c r="M833" t="str">
        <f t="shared" si="38"/>
        <v>2026-04</v>
      </c>
    </row>
    <row r="834" spans="1:13">
      <c r="A834">
        <v>833</v>
      </c>
      <c r="B834">
        <v>1401</v>
      </c>
      <c r="C834">
        <v>5</v>
      </c>
      <c r="D834">
        <v>4</v>
      </c>
      <c r="E834">
        <v>180</v>
      </c>
      <c r="F834">
        <f t="shared" si="36"/>
        <v>720</v>
      </c>
      <c r="G834" t="str">
        <f>VLOOKUP(B834,Orders!$A$2:$D$1201,4,FALSE)</f>
        <v>Delivered</v>
      </c>
      <c r="H834">
        <f t="shared" si="37"/>
        <v>720</v>
      </c>
      <c r="I834" s="12">
        <f>VLOOKUP(B834,Orders!$A$2:$D$1201,3,FALSE)</f>
        <v>46143</v>
      </c>
      <c r="L834" t="str">
        <f>VLOOKUP(C834,Products!$A$2:$D$13,2,FALSE)</f>
        <v>Desk</v>
      </c>
      <c r="M834" t="str">
        <f t="shared" si="38"/>
        <v>2026-05</v>
      </c>
    </row>
    <row r="835" spans="1:13">
      <c r="A835">
        <v>834</v>
      </c>
      <c r="B835">
        <v>1401</v>
      </c>
      <c r="C835">
        <v>1</v>
      </c>
      <c r="D835">
        <v>3</v>
      </c>
      <c r="E835">
        <v>750</v>
      </c>
      <c r="F835">
        <f t="shared" ref="F835:F898" si="39">D835*E835</f>
        <v>2250</v>
      </c>
      <c r="G835" t="str">
        <f>VLOOKUP(B835,Orders!$A$2:$D$1201,4,FALSE)</f>
        <v>Delivered</v>
      </c>
      <c r="H835">
        <f t="shared" ref="H835:H898" si="40">IF(G835="Cancelled",0,F835)</f>
        <v>2250</v>
      </c>
      <c r="I835" s="12">
        <f>VLOOKUP(B835,Orders!$A$2:$D$1201,3,FALSE)</f>
        <v>46143</v>
      </c>
      <c r="L835" t="str">
        <f>VLOOKUP(C835,Products!$A$2:$D$13,2,FALSE)</f>
        <v>Laptop</v>
      </c>
      <c r="M835" t="str">
        <f t="shared" ref="M835:M898" si="41">TEXT(I835,"yyyy-mm")</f>
        <v>2026-05</v>
      </c>
    </row>
    <row r="836" spans="1:13">
      <c r="A836">
        <v>835</v>
      </c>
      <c r="B836">
        <v>1402</v>
      </c>
      <c r="C836">
        <v>4</v>
      </c>
      <c r="D836">
        <v>4</v>
      </c>
      <c r="E836">
        <v>25</v>
      </c>
      <c r="F836">
        <f t="shared" si="39"/>
        <v>100</v>
      </c>
      <c r="G836" t="str">
        <f>VLOOKUP(B836,Orders!$A$2:$D$1201,4,FALSE)</f>
        <v>Cancelled</v>
      </c>
      <c r="H836">
        <f t="shared" si="40"/>
        <v>0</v>
      </c>
      <c r="I836" s="12">
        <f>VLOOKUP(B836,Orders!$A$2:$D$1201,3,FALSE)</f>
        <v>46128</v>
      </c>
      <c r="L836" t="str">
        <f>VLOOKUP(C836,Products!$A$2:$D$13,2,FALSE)</f>
        <v>Mouse</v>
      </c>
      <c r="M836" t="str">
        <f t="shared" si="41"/>
        <v>2026-04</v>
      </c>
    </row>
    <row r="837" spans="1:13">
      <c r="A837">
        <v>836</v>
      </c>
      <c r="B837">
        <v>1402</v>
      </c>
      <c r="C837">
        <v>3</v>
      </c>
      <c r="D837">
        <v>4</v>
      </c>
      <c r="E837">
        <v>45</v>
      </c>
      <c r="F837">
        <f t="shared" si="39"/>
        <v>180</v>
      </c>
      <c r="G837" t="str">
        <f>VLOOKUP(B837,Orders!$A$2:$D$1201,4,FALSE)</f>
        <v>Cancelled</v>
      </c>
      <c r="H837">
        <f t="shared" si="40"/>
        <v>0</v>
      </c>
      <c r="I837" s="12">
        <f>VLOOKUP(B837,Orders!$A$2:$D$1201,3,FALSE)</f>
        <v>46128</v>
      </c>
      <c r="L837" t="str">
        <f>VLOOKUP(C837,Products!$A$2:$D$13,2,FALSE)</f>
        <v>Keyboard</v>
      </c>
      <c r="M837" t="str">
        <f t="shared" si="41"/>
        <v>2026-04</v>
      </c>
    </row>
    <row r="838" spans="1:13">
      <c r="A838">
        <v>837</v>
      </c>
      <c r="B838">
        <v>1403</v>
      </c>
      <c r="C838">
        <v>4</v>
      </c>
      <c r="D838">
        <v>3</v>
      </c>
      <c r="E838">
        <v>25</v>
      </c>
      <c r="F838">
        <f t="shared" si="39"/>
        <v>75</v>
      </c>
      <c r="G838" t="str">
        <f>VLOOKUP(B838,Orders!$A$2:$D$1201,4,FALSE)</f>
        <v>Delivered</v>
      </c>
      <c r="H838">
        <f t="shared" si="40"/>
        <v>75</v>
      </c>
      <c r="I838" s="12">
        <f>VLOOKUP(B838,Orders!$A$2:$D$1201,3,FALSE)</f>
        <v>46079</v>
      </c>
      <c r="L838" t="str">
        <f>VLOOKUP(C838,Products!$A$2:$D$13,2,FALSE)</f>
        <v>Mouse</v>
      </c>
      <c r="M838" t="str">
        <f t="shared" si="41"/>
        <v>2026-02</v>
      </c>
    </row>
    <row r="839" spans="1:13">
      <c r="A839">
        <v>838</v>
      </c>
      <c r="B839">
        <v>1403</v>
      </c>
      <c r="C839">
        <v>9</v>
      </c>
      <c r="D839">
        <v>3</v>
      </c>
      <c r="E839">
        <v>30</v>
      </c>
      <c r="F839">
        <f t="shared" si="39"/>
        <v>90</v>
      </c>
      <c r="G839" t="str">
        <f>VLOOKUP(B839,Orders!$A$2:$D$1201,4,FALSE)</f>
        <v>Delivered</v>
      </c>
      <c r="H839">
        <f t="shared" si="40"/>
        <v>90</v>
      </c>
      <c r="I839" s="12">
        <f>VLOOKUP(B839,Orders!$A$2:$D$1201,3,FALSE)</f>
        <v>46079</v>
      </c>
      <c r="L839" t="str">
        <f>VLOOKUP(C839,Products!$A$2:$D$13,2,FALSE)</f>
        <v>Lamp</v>
      </c>
      <c r="M839" t="str">
        <f t="shared" si="41"/>
        <v>2026-02</v>
      </c>
    </row>
    <row r="840" spans="1:13">
      <c r="A840">
        <v>839</v>
      </c>
      <c r="B840">
        <v>1403</v>
      </c>
      <c r="C840">
        <v>10</v>
      </c>
      <c r="D840">
        <v>3</v>
      </c>
      <c r="E840">
        <v>8</v>
      </c>
      <c r="F840">
        <f t="shared" si="39"/>
        <v>24</v>
      </c>
      <c r="G840" t="str">
        <f>VLOOKUP(B840,Orders!$A$2:$D$1201,4,FALSE)</f>
        <v>Delivered</v>
      </c>
      <c r="H840">
        <f t="shared" si="40"/>
        <v>24</v>
      </c>
      <c r="I840" s="12">
        <f>VLOOKUP(B840,Orders!$A$2:$D$1201,3,FALSE)</f>
        <v>46079</v>
      </c>
      <c r="L840" t="str">
        <f>VLOOKUP(C840,Products!$A$2:$D$13,2,FALSE)</f>
        <v>Notebook</v>
      </c>
      <c r="M840" t="str">
        <f t="shared" si="41"/>
        <v>2026-02</v>
      </c>
    </row>
    <row r="841" spans="1:13">
      <c r="A841">
        <v>840</v>
      </c>
      <c r="B841">
        <v>1404</v>
      </c>
      <c r="C841">
        <v>12</v>
      </c>
      <c r="D841">
        <v>4</v>
      </c>
      <c r="E841">
        <v>22</v>
      </c>
      <c r="F841">
        <f t="shared" si="39"/>
        <v>88</v>
      </c>
      <c r="G841" t="str">
        <f>VLOOKUP(B841,Orders!$A$2:$D$1201,4,FALSE)</f>
        <v>Delivered</v>
      </c>
      <c r="H841">
        <f t="shared" si="40"/>
        <v>88</v>
      </c>
      <c r="I841" s="12">
        <f>VLOOKUP(B841,Orders!$A$2:$D$1201,3,FALSE)</f>
        <v>46051</v>
      </c>
      <c r="L841" t="str">
        <f>VLOOKUP(C841,Products!$A$2:$D$13,2,FALSE)</f>
        <v>Storage Box</v>
      </c>
      <c r="M841" t="str">
        <f t="shared" si="41"/>
        <v>2026-01</v>
      </c>
    </row>
    <row r="842" spans="1:13">
      <c r="A842">
        <v>841</v>
      </c>
      <c r="B842">
        <v>1404</v>
      </c>
      <c r="C842">
        <v>10</v>
      </c>
      <c r="D842">
        <v>2</v>
      </c>
      <c r="E842">
        <v>8</v>
      </c>
      <c r="F842">
        <f t="shared" si="39"/>
        <v>16</v>
      </c>
      <c r="G842" t="str">
        <f>VLOOKUP(B842,Orders!$A$2:$D$1201,4,FALSE)</f>
        <v>Delivered</v>
      </c>
      <c r="H842">
        <f t="shared" si="40"/>
        <v>16</v>
      </c>
      <c r="I842" s="12">
        <f>VLOOKUP(B842,Orders!$A$2:$D$1201,3,FALSE)</f>
        <v>46051</v>
      </c>
      <c r="L842" t="str">
        <f>VLOOKUP(C842,Products!$A$2:$D$13,2,FALSE)</f>
        <v>Notebook</v>
      </c>
      <c r="M842" t="str">
        <f t="shared" si="41"/>
        <v>2026-01</v>
      </c>
    </row>
    <row r="843" spans="1:13">
      <c r="A843">
        <v>842</v>
      </c>
      <c r="B843">
        <v>1405</v>
      </c>
      <c r="C843">
        <v>3</v>
      </c>
      <c r="D843">
        <v>1</v>
      </c>
      <c r="E843">
        <v>45</v>
      </c>
      <c r="F843">
        <f t="shared" si="39"/>
        <v>45</v>
      </c>
      <c r="G843" t="str">
        <f>VLOOKUP(B843,Orders!$A$2:$D$1201,4,FALSE)</f>
        <v>Pending</v>
      </c>
      <c r="H843">
        <f t="shared" si="40"/>
        <v>45</v>
      </c>
      <c r="I843" s="12">
        <f>VLOOKUP(B843,Orders!$A$2:$D$1201,3,FALSE)</f>
        <v>46070</v>
      </c>
      <c r="L843" t="str">
        <f>VLOOKUP(C843,Products!$A$2:$D$13,2,FALSE)</f>
        <v>Keyboard</v>
      </c>
      <c r="M843" t="str">
        <f t="shared" si="41"/>
        <v>2026-02</v>
      </c>
    </row>
    <row r="844" spans="1:13">
      <c r="A844">
        <v>843</v>
      </c>
      <c r="B844">
        <v>1405</v>
      </c>
      <c r="C844">
        <v>8</v>
      </c>
      <c r="D844">
        <v>2</v>
      </c>
      <c r="E844">
        <v>55</v>
      </c>
      <c r="F844">
        <f t="shared" si="39"/>
        <v>110</v>
      </c>
      <c r="G844" t="str">
        <f>VLOOKUP(B844,Orders!$A$2:$D$1201,4,FALSE)</f>
        <v>Pending</v>
      </c>
      <c r="H844">
        <f t="shared" si="40"/>
        <v>110</v>
      </c>
      <c r="I844" s="12">
        <f>VLOOKUP(B844,Orders!$A$2:$D$1201,3,FALSE)</f>
        <v>46070</v>
      </c>
      <c r="L844" t="str">
        <f>VLOOKUP(C844,Products!$A$2:$D$13,2,FALSE)</f>
        <v>Webcam</v>
      </c>
      <c r="M844" t="str">
        <f t="shared" si="41"/>
        <v>2026-02</v>
      </c>
    </row>
    <row r="845" spans="1:13">
      <c r="A845">
        <v>844</v>
      </c>
      <c r="B845">
        <v>1406</v>
      </c>
      <c r="C845">
        <v>7</v>
      </c>
      <c r="D845">
        <v>4</v>
      </c>
      <c r="E845">
        <v>65</v>
      </c>
      <c r="F845">
        <f t="shared" si="39"/>
        <v>260</v>
      </c>
      <c r="G845" t="str">
        <f>VLOOKUP(B845,Orders!$A$2:$D$1201,4,FALSE)</f>
        <v>Delivered</v>
      </c>
      <c r="H845">
        <f t="shared" si="40"/>
        <v>260</v>
      </c>
      <c r="I845" s="12">
        <f>VLOOKUP(B845,Orders!$A$2:$D$1201,3,FALSE)</f>
        <v>46061</v>
      </c>
      <c r="L845" t="str">
        <f>VLOOKUP(C845,Products!$A$2:$D$13,2,FALSE)</f>
        <v>Headphones</v>
      </c>
      <c r="M845" t="str">
        <f t="shared" si="41"/>
        <v>2026-02</v>
      </c>
    </row>
    <row r="846" spans="1:13">
      <c r="A846">
        <v>845</v>
      </c>
      <c r="B846">
        <v>1406</v>
      </c>
      <c r="C846">
        <v>5</v>
      </c>
      <c r="D846">
        <v>3</v>
      </c>
      <c r="E846">
        <v>180</v>
      </c>
      <c r="F846">
        <f t="shared" si="39"/>
        <v>540</v>
      </c>
      <c r="G846" t="str">
        <f>VLOOKUP(B846,Orders!$A$2:$D$1201,4,FALSE)</f>
        <v>Delivered</v>
      </c>
      <c r="H846">
        <f t="shared" si="40"/>
        <v>540</v>
      </c>
      <c r="I846" s="12">
        <f>VLOOKUP(B846,Orders!$A$2:$D$1201,3,FALSE)</f>
        <v>46061</v>
      </c>
      <c r="L846" t="str">
        <f>VLOOKUP(C846,Products!$A$2:$D$13,2,FALSE)</f>
        <v>Desk</v>
      </c>
      <c r="M846" t="str">
        <f t="shared" si="41"/>
        <v>2026-02</v>
      </c>
    </row>
    <row r="847" spans="1:13">
      <c r="A847">
        <v>846</v>
      </c>
      <c r="B847">
        <v>1407</v>
      </c>
      <c r="C847">
        <v>9</v>
      </c>
      <c r="D847">
        <v>4</v>
      </c>
      <c r="E847">
        <v>30</v>
      </c>
      <c r="F847">
        <f t="shared" si="39"/>
        <v>120</v>
      </c>
      <c r="G847" t="str">
        <f>VLOOKUP(B847,Orders!$A$2:$D$1201,4,FALSE)</f>
        <v>Delivered</v>
      </c>
      <c r="H847">
        <f t="shared" si="40"/>
        <v>120</v>
      </c>
      <c r="I847" s="12">
        <f>VLOOKUP(B847,Orders!$A$2:$D$1201,3,FALSE)</f>
        <v>46037</v>
      </c>
      <c r="L847" t="str">
        <f>VLOOKUP(C847,Products!$A$2:$D$13,2,FALSE)</f>
        <v>Lamp</v>
      </c>
      <c r="M847" t="str">
        <f t="shared" si="41"/>
        <v>2026-01</v>
      </c>
    </row>
    <row r="848" spans="1:13">
      <c r="A848">
        <v>847</v>
      </c>
      <c r="B848">
        <v>1408</v>
      </c>
      <c r="C848">
        <v>8</v>
      </c>
      <c r="D848">
        <v>1</v>
      </c>
      <c r="E848">
        <v>55</v>
      </c>
      <c r="F848">
        <f t="shared" si="39"/>
        <v>55</v>
      </c>
      <c r="G848" t="str">
        <f>VLOOKUP(B848,Orders!$A$2:$D$1201,4,FALSE)</f>
        <v>Delivered</v>
      </c>
      <c r="H848">
        <f t="shared" si="40"/>
        <v>55</v>
      </c>
      <c r="I848" s="12">
        <f>VLOOKUP(B848,Orders!$A$2:$D$1201,3,FALSE)</f>
        <v>46026</v>
      </c>
      <c r="L848" t="str">
        <f>VLOOKUP(C848,Products!$A$2:$D$13,2,FALSE)</f>
        <v>Webcam</v>
      </c>
      <c r="M848" t="str">
        <f t="shared" si="41"/>
        <v>2026-01</v>
      </c>
    </row>
    <row r="849" spans="1:13">
      <c r="A849">
        <v>848</v>
      </c>
      <c r="B849">
        <v>1408</v>
      </c>
      <c r="C849">
        <v>4</v>
      </c>
      <c r="D849">
        <v>2</v>
      </c>
      <c r="E849">
        <v>25</v>
      </c>
      <c r="F849">
        <f t="shared" si="39"/>
        <v>50</v>
      </c>
      <c r="G849" t="str">
        <f>VLOOKUP(B849,Orders!$A$2:$D$1201,4,FALSE)</f>
        <v>Delivered</v>
      </c>
      <c r="H849">
        <f t="shared" si="40"/>
        <v>50</v>
      </c>
      <c r="I849" s="12">
        <f>VLOOKUP(B849,Orders!$A$2:$D$1201,3,FALSE)</f>
        <v>46026</v>
      </c>
      <c r="L849" t="str">
        <f>VLOOKUP(C849,Products!$A$2:$D$13,2,FALSE)</f>
        <v>Mouse</v>
      </c>
      <c r="M849" t="str">
        <f t="shared" si="41"/>
        <v>2026-01</v>
      </c>
    </row>
    <row r="850" spans="1:13">
      <c r="A850">
        <v>849</v>
      </c>
      <c r="B850">
        <v>1409</v>
      </c>
      <c r="C850">
        <v>3</v>
      </c>
      <c r="D850">
        <v>1</v>
      </c>
      <c r="E850">
        <v>45</v>
      </c>
      <c r="F850">
        <f t="shared" si="39"/>
        <v>45</v>
      </c>
      <c r="G850" t="str">
        <f>VLOOKUP(B850,Orders!$A$2:$D$1201,4,FALSE)</f>
        <v>Delivered</v>
      </c>
      <c r="H850">
        <f t="shared" si="40"/>
        <v>45</v>
      </c>
      <c r="I850" s="12">
        <f>VLOOKUP(B850,Orders!$A$2:$D$1201,3,FALSE)</f>
        <v>46144</v>
      </c>
      <c r="L850" t="str">
        <f>VLOOKUP(C850,Products!$A$2:$D$13,2,FALSE)</f>
        <v>Keyboard</v>
      </c>
      <c r="M850" t="str">
        <f t="shared" si="41"/>
        <v>2026-05</v>
      </c>
    </row>
    <row r="851" spans="1:13">
      <c r="A851">
        <v>850</v>
      </c>
      <c r="B851">
        <v>1409</v>
      </c>
      <c r="C851">
        <v>11</v>
      </c>
      <c r="D851">
        <v>1</v>
      </c>
      <c r="E851">
        <v>48</v>
      </c>
      <c r="F851">
        <f t="shared" si="39"/>
        <v>48</v>
      </c>
      <c r="G851" t="str">
        <f>VLOOKUP(B851,Orders!$A$2:$D$1201,4,FALSE)</f>
        <v>Delivered</v>
      </c>
      <c r="H851">
        <f t="shared" si="40"/>
        <v>48</v>
      </c>
      <c r="I851" s="12">
        <f>VLOOKUP(B851,Orders!$A$2:$D$1201,3,FALSE)</f>
        <v>46144</v>
      </c>
      <c r="L851" t="str">
        <f>VLOOKUP(C851,Products!$A$2:$D$13,2,FALSE)</f>
        <v>Backpack</v>
      </c>
      <c r="M851" t="str">
        <f t="shared" si="41"/>
        <v>2026-05</v>
      </c>
    </row>
    <row r="852" spans="1:13">
      <c r="A852">
        <v>851</v>
      </c>
      <c r="B852">
        <v>1410</v>
      </c>
      <c r="C852">
        <v>11</v>
      </c>
      <c r="D852">
        <v>4</v>
      </c>
      <c r="E852">
        <v>48</v>
      </c>
      <c r="F852">
        <f t="shared" si="39"/>
        <v>192</v>
      </c>
      <c r="G852" t="str">
        <f>VLOOKUP(B852,Orders!$A$2:$D$1201,4,FALSE)</f>
        <v>Delivered</v>
      </c>
      <c r="H852">
        <f t="shared" si="40"/>
        <v>192</v>
      </c>
      <c r="I852" s="12">
        <f>VLOOKUP(B852,Orders!$A$2:$D$1201,3,FALSE)</f>
        <v>46193</v>
      </c>
      <c r="L852" t="str">
        <f>VLOOKUP(C852,Products!$A$2:$D$13,2,FALSE)</f>
        <v>Backpack</v>
      </c>
      <c r="M852" t="str">
        <f t="shared" si="41"/>
        <v>2026-06</v>
      </c>
    </row>
    <row r="853" spans="1:13">
      <c r="A853">
        <v>852</v>
      </c>
      <c r="B853">
        <v>1411</v>
      </c>
      <c r="C853">
        <v>10</v>
      </c>
      <c r="D853">
        <v>4</v>
      </c>
      <c r="E853">
        <v>8</v>
      </c>
      <c r="F853">
        <f t="shared" si="39"/>
        <v>32</v>
      </c>
      <c r="G853" t="str">
        <f>VLOOKUP(B853,Orders!$A$2:$D$1201,4,FALSE)</f>
        <v>Delivered</v>
      </c>
      <c r="H853">
        <f t="shared" si="40"/>
        <v>32</v>
      </c>
      <c r="I853" s="12">
        <f>VLOOKUP(B853,Orders!$A$2:$D$1201,3,FALSE)</f>
        <v>46124</v>
      </c>
      <c r="L853" t="str">
        <f>VLOOKUP(C853,Products!$A$2:$D$13,2,FALSE)</f>
        <v>Notebook</v>
      </c>
      <c r="M853" t="str">
        <f t="shared" si="41"/>
        <v>2026-04</v>
      </c>
    </row>
    <row r="854" spans="1:13">
      <c r="A854">
        <v>853</v>
      </c>
      <c r="B854">
        <v>1412</v>
      </c>
      <c r="C854">
        <v>1</v>
      </c>
      <c r="D854">
        <v>2</v>
      </c>
      <c r="E854">
        <v>750</v>
      </c>
      <c r="F854">
        <f t="shared" si="39"/>
        <v>1500</v>
      </c>
      <c r="G854" t="str">
        <f>VLOOKUP(B854,Orders!$A$2:$D$1201,4,FALSE)</f>
        <v>Delivered</v>
      </c>
      <c r="H854">
        <f t="shared" si="40"/>
        <v>1500</v>
      </c>
      <c r="I854" s="12">
        <f>VLOOKUP(B854,Orders!$A$2:$D$1201,3,FALSE)</f>
        <v>46063</v>
      </c>
      <c r="L854" t="str">
        <f>VLOOKUP(C854,Products!$A$2:$D$13,2,FALSE)</f>
        <v>Laptop</v>
      </c>
      <c r="M854" t="str">
        <f t="shared" si="41"/>
        <v>2026-02</v>
      </c>
    </row>
    <row r="855" spans="1:13">
      <c r="A855">
        <v>854</v>
      </c>
      <c r="B855">
        <v>1412</v>
      </c>
      <c r="C855">
        <v>12</v>
      </c>
      <c r="D855">
        <v>1</v>
      </c>
      <c r="E855">
        <v>22</v>
      </c>
      <c r="F855">
        <f t="shared" si="39"/>
        <v>22</v>
      </c>
      <c r="G855" t="str">
        <f>VLOOKUP(B855,Orders!$A$2:$D$1201,4,FALSE)</f>
        <v>Delivered</v>
      </c>
      <c r="H855">
        <f t="shared" si="40"/>
        <v>22</v>
      </c>
      <c r="I855" s="12">
        <f>VLOOKUP(B855,Orders!$A$2:$D$1201,3,FALSE)</f>
        <v>46063</v>
      </c>
      <c r="L855" t="str">
        <f>VLOOKUP(C855,Products!$A$2:$D$13,2,FALSE)</f>
        <v>Storage Box</v>
      </c>
      <c r="M855" t="str">
        <f t="shared" si="41"/>
        <v>2026-02</v>
      </c>
    </row>
    <row r="856" spans="1:13">
      <c r="A856">
        <v>855</v>
      </c>
      <c r="B856">
        <v>1412</v>
      </c>
      <c r="C856">
        <v>6</v>
      </c>
      <c r="D856">
        <v>2</v>
      </c>
      <c r="E856">
        <v>140</v>
      </c>
      <c r="F856">
        <f t="shared" si="39"/>
        <v>280</v>
      </c>
      <c r="G856" t="str">
        <f>VLOOKUP(B856,Orders!$A$2:$D$1201,4,FALSE)</f>
        <v>Delivered</v>
      </c>
      <c r="H856">
        <f t="shared" si="40"/>
        <v>280</v>
      </c>
      <c r="I856" s="12">
        <f>VLOOKUP(B856,Orders!$A$2:$D$1201,3,FALSE)</f>
        <v>46063</v>
      </c>
      <c r="L856" t="str">
        <f>VLOOKUP(C856,Products!$A$2:$D$13,2,FALSE)</f>
        <v>Chair</v>
      </c>
      <c r="M856" t="str">
        <f t="shared" si="41"/>
        <v>2026-02</v>
      </c>
    </row>
    <row r="857" spans="1:13">
      <c r="A857">
        <v>856</v>
      </c>
      <c r="B857">
        <v>1413</v>
      </c>
      <c r="C857">
        <v>4</v>
      </c>
      <c r="D857">
        <v>3</v>
      </c>
      <c r="E857">
        <v>25</v>
      </c>
      <c r="F857">
        <f t="shared" si="39"/>
        <v>75</v>
      </c>
      <c r="G857" t="str">
        <f>VLOOKUP(B857,Orders!$A$2:$D$1201,4,FALSE)</f>
        <v>Delivered</v>
      </c>
      <c r="H857">
        <f t="shared" si="40"/>
        <v>75</v>
      </c>
      <c r="I857" s="12">
        <f>VLOOKUP(B857,Orders!$A$2:$D$1201,3,FALSE)</f>
        <v>46111</v>
      </c>
      <c r="L857" t="str">
        <f>VLOOKUP(C857,Products!$A$2:$D$13,2,FALSE)</f>
        <v>Mouse</v>
      </c>
      <c r="M857" t="str">
        <f t="shared" si="41"/>
        <v>2026-03</v>
      </c>
    </row>
    <row r="858" spans="1:13">
      <c r="A858">
        <v>857</v>
      </c>
      <c r="B858">
        <v>1413</v>
      </c>
      <c r="C858">
        <v>1</v>
      </c>
      <c r="D858">
        <v>2</v>
      </c>
      <c r="E858">
        <v>750</v>
      </c>
      <c r="F858">
        <f t="shared" si="39"/>
        <v>1500</v>
      </c>
      <c r="G858" t="str">
        <f>VLOOKUP(B858,Orders!$A$2:$D$1201,4,FALSE)</f>
        <v>Delivered</v>
      </c>
      <c r="H858">
        <f t="shared" si="40"/>
        <v>1500</v>
      </c>
      <c r="I858" s="12">
        <f>VLOOKUP(B858,Orders!$A$2:$D$1201,3,FALSE)</f>
        <v>46111</v>
      </c>
      <c r="L858" t="str">
        <f>VLOOKUP(C858,Products!$A$2:$D$13,2,FALSE)</f>
        <v>Laptop</v>
      </c>
      <c r="M858" t="str">
        <f t="shared" si="41"/>
        <v>2026-03</v>
      </c>
    </row>
    <row r="859" spans="1:13">
      <c r="A859">
        <v>858</v>
      </c>
      <c r="B859">
        <v>1413</v>
      </c>
      <c r="C859">
        <v>7</v>
      </c>
      <c r="D859">
        <v>3</v>
      </c>
      <c r="E859">
        <v>65</v>
      </c>
      <c r="F859">
        <f t="shared" si="39"/>
        <v>195</v>
      </c>
      <c r="G859" t="str">
        <f>VLOOKUP(B859,Orders!$A$2:$D$1201,4,FALSE)</f>
        <v>Delivered</v>
      </c>
      <c r="H859">
        <f t="shared" si="40"/>
        <v>195</v>
      </c>
      <c r="I859" s="12">
        <f>VLOOKUP(B859,Orders!$A$2:$D$1201,3,FALSE)</f>
        <v>46111</v>
      </c>
      <c r="L859" t="str">
        <f>VLOOKUP(C859,Products!$A$2:$D$13,2,FALSE)</f>
        <v>Headphones</v>
      </c>
      <c r="M859" t="str">
        <f t="shared" si="41"/>
        <v>2026-03</v>
      </c>
    </row>
    <row r="860" spans="1:13">
      <c r="A860">
        <v>859</v>
      </c>
      <c r="B860">
        <v>1414</v>
      </c>
      <c r="C860">
        <v>3</v>
      </c>
      <c r="D860">
        <v>3</v>
      </c>
      <c r="E860">
        <v>45</v>
      </c>
      <c r="F860">
        <f t="shared" si="39"/>
        <v>135</v>
      </c>
      <c r="G860" t="str">
        <f>VLOOKUP(B860,Orders!$A$2:$D$1201,4,FALSE)</f>
        <v>Delivered</v>
      </c>
      <c r="H860">
        <f t="shared" si="40"/>
        <v>135</v>
      </c>
      <c r="I860" s="12">
        <f>VLOOKUP(B860,Orders!$A$2:$D$1201,3,FALSE)</f>
        <v>46161</v>
      </c>
      <c r="L860" t="str">
        <f>VLOOKUP(C860,Products!$A$2:$D$13,2,FALSE)</f>
        <v>Keyboard</v>
      </c>
      <c r="M860" t="str">
        <f t="shared" si="41"/>
        <v>2026-05</v>
      </c>
    </row>
    <row r="861" spans="1:13">
      <c r="A861">
        <v>860</v>
      </c>
      <c r="B861">
        <v>1414</v>
      </c>
      <c r="C861">
        <v>9</v>
      </c>
      <c r="D861">
        <v>4</v>
      </c>
      <c r="E861">
        <v>30</v>
      </c>
      <c r="F861">
        <f t="shared" si="39"/>
        <v>120</v>
      </c>
      <c r="G861" t="str">
        <f>VLOOKUP(B861,Orders!$A$2:$D$1201,4,FALSE)</f>
        <v>Delivered</v>
      </c>
      <c r="H861">
        <f t="shared" si="40"/>
        <v>120</v>
      </c>
      <c r="I861" s="12">
        <f>VLOOKUP(B861,Orders!$A$2:$D$1201,3,FALSE)</f>
        <v>46161</v>
      </c>
      <c r="L861" t="str">
        <f>VLOOKUP(C861,Products!$A$2:$D$13,2,FALSE)</f>
        <v>Lamp</v>
      </c>
      <c r="M861" t="str">
        <f t="shared" si="41"/>
        <v>2026-05</v>
      </c>
    </row>
    <row r="862" spans="1:13">
      <c r="A862">
        <v>861</v>
      </c>
      <c r="B862">
        <v>1414</v>
      </c>
      <c r="C862">
        <v>6</v>
      </c>
      <c r="D862">
        <v>3</v>
      </c>
      <c r="E862">
        <v>140</v>
      </c>
      <c r="F862">
        <f t="shared" si="39"/>
        <v>420</v>
      </c>
      <c r="G862" t="str">
        <f>VLOOKUP(B862,Orders!$A$2:$D$1201,4,FALSE)</f>
        <v>Delivered</v>
      </c>
      <c r="H862">
        <f t="shared" si="40"/>
        <v>420</v>
      </c>
      <c r="I862" s="12">
        <f>VLOOKUP(B862,Orders!$A$2:$D$1201,3,FALSE)</f>
        <v>46161</v>
      </c>
      <c r="L862" t="str">
        <f>VLOOKUP(C862,Products!$A$2:$D$13,2,FALSE)</f>
        <v>Chair</v>
      </c>
      <c r="M862" t="str">
        <f t="shared" si="41"/>
        <v>2026-05</v>
      </c>
    </row>
    <row r="863" spans="1:13">
      <c r="A863">
        <v>862</v>
      </c>
      <c r="B863">
        <v>1415</v>
      </c>
      <c r="C863">
        <v>5</v>
      </c>
      <c r="D863">
        <v>3</v>
      </c>
      <c r="E863">
        <v>180</v>
      </c>
      <c r="F863">
        <f t="shared" si="39"/>
        <v>540</v>
      </c>
      <c r="G863" t="str">
        <f>VLOOKUP(B863,Orders!$A$2:$D$1201,4,FALSE)</f>
        <v>Delivered</v>
      </c>
      <c r="H863">
        <f t="shared" si="40"/>
        <v>540</v>
      </c>
      <c r="I863" s="12">
        <f>VLOOKUP(B863,Orders!$A$2:$D$1201,3,FALSE)</f>
        <v>46040</v>
      </c>
      <c r="L863" t="str">
        <f>VLOOKUP(C863,Products!$A$2:$D$13,2,FALSE)</f>
        <v>Desk</v>
      </c>
      <c r="M863" t="str">
        <f t="shared" si="41"/>
        <v>2026-01</v>
      </c>
    </row>
    <row r="864" spans="1:13">
      <c r="A864">
        <v>863</v>
      </c>
      <c r="B864">
        <v>1415</v>
      </c>
      <c r="C864">
        <v>9</v>
      </c>
      <c r="D864">
        <v>4</v>
      </c>
      <c r="E864">
        <v>30</v>
      </c>
      <c r="F864">
        <f t="shared" si="39"/>
        <v>120</v>
      </c>
      <c r="G864" t="str">
        <f>VLOOKUP(B864,Orders!$A$2:$D$1201,4,FALSE)</f>
        <v>Delivered</v>
      </c>
      <c r="H864">
        <f t="shared" si="40"/>
        <v>120</v>
      </c>
      <c r="I864" s="12">
        <f>VLOOKUP(B864,Orders!$A$2:$D$1201,3,FALSE)</f>
        <v>46040</v>
      </c>
      <c r="L864" t="str">
        <f>VLOOKUP(C864,Products!$A$2:$D$13,2,FALSE)</f>
        <v>Lamp</v>
      </c>
      <c r="M864" t="str">
        <f t="shared" si="41"/>
        <v>2026-01</v>
      </c>
    </row>
    <row r="865" spans="1:13">
      <c r="A865">
        <v>864</v>
      </c>
      <c r="B865">
        <v>1416</v>
      </c>
      <c r="C865">
        <v>4</v>
      </c>
      <c r="D865">
        <v>4</v>
      </c>
      <c r="E865">
        <v>25</v>
      </c>
      <c r="F865">
        <f t="shared" si="39"/>
        <v>100</v>
      </c>
      <c r="G865" t="str">
        <f>VLOOKUP(B865,Orders!$A$2:$D$1201,4,FALSE)</f>
        <v>Delivered</v>
      </c>
      <c r="H865">
        <f t="shared" si="40"/>
        <v>100</v>
      </c>
      <c r="I865" s="12">
        <f>VLOOKUP(B865,Orders!$A$2:$D$1201,3,FALSE)</f>
        <v>46027</v>
      </c>
      <c r="L865" t="str">
        <f>VLOOKUP(C865,Products!$A$2:$D$13,2,FALSE)</f>
        <v>Mouse</v>
      </c>
      <c r="M865" t="str">
        <f t="shared" si="41"/>
        <v>2026-01</v>
      </c>
    </row>
    <row r="866" spans="1:13">
      <c r="A866">
        <v>865</v>
      </c>
      <c r="B866">
        <v>1416</v>
      </c>
      <c r="C866">
        <v>6</v>
      </c>
      <c r="D866">
        <v>2</v>
      </c>
      <c r="E866">
        <v>140</v>
      </c>
      <c r="F866">
        <f t="shared" si="39"/>
        <v>280</v>
      </c>
      <c r="G866" t="str">
        <f>VLOOKUP(B866,Orders!$A$2:$D$1201,4,FALSE)</f>
        <v>Delivered</v>
      </c>
      <c r="H866">
        <f t="shared" si="40"/>
        <v>280</v>
      </c>
      <c r="I866" s="12">
        <f>VLOOKUP(B866,Orders!$A$2:$D$1201,3,FALSE)</f>
        <v>46027</v>
      </c>
      <c r="L866" t="str">
        <f>VLOOKUP(C866,Products!$A$2:$D$13,2,FALSE)</f>
        <v>Chair</v>
      </c>
      <c r="M866" t="str">
        <f t="shared" si="41"/>
        <v>2026-01</v>
      </c>
    </row>
    <row r="867" spans="1:13">
      <c r="A867">
        <v>866</v>
      </c>
      <c r="B867">
        <v>1416</v>
      </c>
      <c r="C867">
        <v>2</v>
      </c>
      <c r="D867">
        <v>4</v>
      </c>
      <c r="E867">
        <v>220</v>
      </c>
      <c r="F867">
        <f t="shared" si="39"/>
        <v>880</v>
      </c>
      <c r="G867" t="str">
        <f>VLOOKUP(B867,Orders!$A$2:$D$1201,4,FALSE)</f>
        <v>Delivered</v>
      </c>
      <c r="H867">
        <f t="shared" si="40"/>
        <v>880</v>
      </c>
      <c r="I867" s="12">
        <f>VLOOKUP(B867,Orders!$A$2:$D$1201,3,FALSE)</f>
        <v>46027</v>
      </c>
      <c r="L867" t="str">
        <f>VLOOKUP(C867,Products!$A$2:$D$13,2,FALSE)</f>
        <v>Monitor</v>
      </c>
      <c r="M867" t="str">
        <f t="shared" si="41"/>
        <v>2026-01</v>
      </c>
    </row>
    <row r="868" spans="1:13">
      <c r="A868">
        <v>867</v>
      </c>
      <c r="B868">
        <v>1417</v>
      </c>
      <c r="C868">
        <v>11</v>
      </c>
      <c r="D868">
        <v>2</v>
      </c>
      <c r="E868">
        <v>48</v>
      </c>
      <c r="F868">
        <f t="shared" si="39"/>
        <v>96</v>
      </c>
      <c r="G868" t="str">
        <f>VLOOKUP(B868,Orders!$A$2:$D$1201,4,FALSE)</f>
        <v>Delivered</v>
      </c>
      <c r="H868">
        <f t="shared" si="40"/>
        <v>96</v>
      </c>
      <c r="I868" s="12">
        <f>VLOOKUP(B868,Orders!$A$2:$D$1201,3,FALSE)</f>
        <v>46187</v>
      </c>
      <c r="L868" t="str">
        <f>VLOOKUP(C868,Products!$A$2:$D$13,2,FALSE)</f>
        <v>Backpack</v>
      </c>
      <c r="M868" t="str">
        <f t="shared" si="41"/>
        <v>2026-06</v>
      </c>
    </row>
    <row r="869" spans="1:13">
      <c r="A869">
        <v>868</v>
      </c>
      <c r="B869">
        <v>1417</v>
      </c>
      <c r="C869">
        <v>2</v>
      </c>
      <c r="D869">
        <v>2</v>
      </c>
      <c r="E869">
        <v>220</v>
      </c>
      <c r="F869">
        <f t="shared" si="39"/>
        <v>440</v>
      </c>
      <c r="G869" t="str">
        <f>VLOOKUP(B869,Orders!$A$2:$D$1201,4,FALSE)</f>
        <v>Delivered</v>
      </c>
      <c r="H869">
        <f t="shared" si="40"/>
        <v>440</v>
      </c>
      <c r="I869" s="12">
        <f>VLOOKUP(B869,Orders!$A$2:$D$1201,3,FALSE)</f>
        <v>46187</v>
      </c>
      <c r="L869" t="str">
        <f>VLOOKUP(C869,Products!$A$2:$D$13,2,FALSE)</f>
        <v>Monitor</v>
      </c>
      <c r="M869" t="str">
        <f t="shared" si="41"/>
        <v>2026-06</v>
      </c>
    </row>
    <row r="870" spans="1:13">
      <c r="A870">
        <v>869</v>
      </c>
      <c r="B870">
        <v>1417</v>
      </c>
      <c r="C870">
        <v>1</v>
      </c>
      <c r="D870">
        <v>1</v>
      </c>
      <c r="E870">
        <v>750</v>
      </c>
      <c r="F870">
        <f t="shared" si="39"/>
        <v>750</v>
      </c>
      <c r="G870" t="str">
        <f>VLOOKUP(B870,Orders!$A$2:$D$1201,4,FALSE)</f>
        <v>Delivered</v>
      </c>
      <c r="H870">
        <f t="shared" si="40"/>
        <v>750</v>
      </c>
      <c r="I870" s="12">
        <f>VLOOKUP(B870,Orders!$A$2:$D$1201,3,FALSE)</f>
        <v>46187</v>
      </c>
      <c r="L870" t="str">
        <f>VLOOKUP(C870,Products!$A$2:$D$13,2,FALSE)</f>
        <v>Laptop</v>
      </c>
      <c r="M870" t="str">
        <f t="shared" si="41"/>
        <v>2026-06</v>
      </c>
    </row>
    <row r="871" spans="1:13">
      <c r="A871">
        <v>870</v>
      </c>
      <c r="B871">
        <v>1418</v>
      </c>
      <c r="C871">
        <v>10</v>
      </c>
      <c r="D871">
        <v>1</v>
      </c>
      <c r="E871">
        <v>8</v>
      </c>
      <c r="F871">
        <f t="shared" si="39"/>
        <v>8</v>
      </c>
      <c r="G871" t="str">
        <f>VLOOKUP(B871,Orders!$A$2:$D$1201,4,FALSE)</f>
        <v>Delivered</v>
      </c>
      <c r="H871">
        <f t="shared" si="40"/>
        <v>8</v>
      </c>
      <c r="I871" s="12">
        <f>VLOOKUP(B871,Orders!$A$2:$D$1201,3,FALSE)</f>
        <v>46187</v>
      </c>
      <c r="L871" t="str">
        <f>VLOOKUP(C871,Products!$A$2:$D$13,2,FALSE)</f>
        <v>Notebook</v>
      </c>
      <c r="M871" t="str">
        <f t="shared" si="41"/>
        <v>2026-06</v>
      </c>
    </row>
    <row r="872" spans="1:13">
      <c r="A872">
        <v>871</v>
      </c>
      <c r="B872">
        <v>1418</v>
      </c>
      <c r="C872">
        <v>12</v>
      </c>
      <c r="D872">
        <v>3</v>
      </c>
      <c r="E872">
        <v>22</v>
      </c>
      <c r="F872">
        <f t="shared" si="39"/>
        <v>66</v>
      </c>
      <c r="G872" t="str">
        <f>VLOOKUP(B872,Orders!$A$2:$D$1201,4,FALSE)</f>
        <v>Delivered</v>
      </c>
      <c r="H872">
        <f t="shared" si="40"/>
        <v>66</v>
      </c>
      <c r="I872" s="12">
        <f>VLOOKUP(B872,Orders!$A$2:$D$1201,3,FALSE)</f>
        <v>46187</v>
      </c>
      <c r="L872" t="str">
        <f>VLOOKUP(C872,Products!$A$2:$D$13,2,FALSE)</f>
        <v>Storage Box</v>
      </c>
      <c r="M872" t="str">
        <f t="shared" si="41"/>
        <v>2026-06</v>
      </c>
    </row>
    <row r="873" spans="1:13">
      <c r="A873">
        <v>872</v>
      </c>
      <c r="B873">
        <v>1418</v>
      </c>
      <c r="C873">
        <v>5</v>
      </c>
      <c r="D873">
        <v>2</v>
      </c>
      <c r="E873">
        <v>180</v>
      </c>
      <c r="F873">
        <f t="shared" si="39"/>
        <v>360</v>
      </c>
      <c r="G873" t="str">
        <f>VLOOKUP(B873,Orders!$A$2:$D$1201,4,FALSE)</f>
        <v>Delivered</v>
      </c>
      <c r="H873">
        <f t="shared" si="40"/>
        <v>360</v>
      </c>
      <c r="I873" s="12">
        <f>VLOOKUP(B873,Orders!$A$2:$D$1201,3,FALSE)</f>
        <v>46187</v>
      </c>
      <c r="L873" t="str">
        <f>VLOOKUP(C873,Products!$A$2:$D$13,2,FALSE)</f>
        <v>Desk</v>
      </c>
      <c r="M873" t="str">
        <f t="shared" si="41"/>
        <v>2026-06</v>
      </c>
    </row>
    <row r="874" spans="1:13">
      <c r="A874">
        <v>873</v>
      </c>
      <c r="B874">
        <v>1419</v>
      </c>
      <c r="C874">
        <v>11</v>
      </c>
      <c r="D874">
        <v>3</v>
      </c>
      <c r="E874">
        <v>48</v>
      </c>
      <c r="F874">
        <f t="shared" si="39"/>
        <v>144</v>
      </c>
      <c r="G874" t="str">
        <f>VLOOKUP(B874,Orders!$A$2:$D$1201,4,FALSE)</f>
        <v>Delivered</v>
      </c>
      <c r="H874">
        <f t="shared" si="40"/>
        <v>144</v>
      </c>
      <c r="I874" s="12">
        <f>VLOOKUP(B874,Orders!$A$2:$D$1201,3,FALSE)</f>
        <v>46190</v>
      </c>
      <c r="L874" t="str">
        <f>VLOOKUP(C874,Products!$A$2:$D$13,2,FALSE)</f>
        <v>Backpack</v>
      </c>
      <c r="M874" t="str">
        <f t="shared" si="41"/>
        <v>2026-06</v>
      </c>
    </row>
    <row r="875" spans="1:13">
      <c r="A875">
        <v>874</v>
      </c>
      <c r="B875">
        <v>1419</v>
      </c>
      <c r="C875">
        <v>1</v>
      </c>
      <c r="D875">
        <v>4</v>
      </c>
      <c r="E875">
        <v>750</v>
      </c>
      <c r="F875">
        <f t="shared" si="39"/>
        <v>3000</v>
      </c>
      <c r="G875" t="str">
        <f>VLOOKUP(B875,Orders!$A$2:$D$1201,4,FALSE)</f>
        <v>Delivered</v>
      </c>
      <c r="H875">
        <f t="shared" si="40"/>
        <v>3000</v>
      </c>
      <c r="I875" s="12">
        <f>VLOOKUP(B875,Orders!$A$2:$D$1201,3,FALSE)</f>
        <v>46190</v>
      </c>
      <c r="L875" t="str">
        <f>VLOOKUP(C875,Products!$A$2:$D$13,2,FALSE)</f>
        <v>Laptop</v>
      </c>
      <c r="M875" t="str">
        <f t="shared" si="41"/>
        <v>2026-06</v>
      </c>
    </row>
    <row r="876" spans="1:13">
      <c r="A876">
        <v>875</v>
      </c>
      <c r="B876">
        <v>1420</v>
      </c>
      <c r="C876">
        <v>2</v>
      </c>
      <c r="D876">
        <v>1</v>
      </c>
      <c r="E876">
        <v>220</v>
      </c>
      <c r="F876">
        <f t="shared" si="39"/>
        <v>220</v>
      </c>
      <c r="G876" t="str">
        <f>VLOOKUP(B876,Orders!$A$2:$D$1201,4,FALSE)</f>
        <v>Delivered</v>
      </c>
      <c r="H876">
        <f t="shared" si="40"/>
        <v>220</v>
      </c>
      <c r="I876" s="12">
        <f>VLOOKUP(B876,Orders!$A$2:$D$1201,3,FALSE)</f>
        <v>46091</v>
      </c>
      <c r="L876" t="str">
        <f>VLOOKUP(C876,Products!$A$2:$D$13,2,FALSE)</f>
        <v>Monitor</v>
      </c>
      <c r="M876" t="str">
        <f t="shared" si="41"/>
        <v>2026-03</v>
      </c>
    </row>
    <row r="877" spans="1:13">
      <c r="A877">
        <v>876</v>
      </c>
      <c r="B877">
        <v>1420</v>
      </c>
      <c r="C877">
        <v>4</v>
      </c>
      <c r="D877">
        <v>1</v>
      </c>
      <c r="E877">
        <v>25</v>
      </c>
      <c r="F877">
        <f t="shared" si="39"/>
        <v>25</v>
      </c>
      <c r="G877" t="str">
        <f>VLOOKUP(B877,Orders!$A$2:$D$1201,4,FALSE)</f>
        <v>Delivered</v>
      </c>
      <c r="H877">
        <f t="shared" si="40"/>
        <v>25</v>
      </c>
      <c r="I877" s="12">
        <f>VLOOKUP(B877,Orders!$A$2:$D$1201,3,FALSE)</f>
        <v>46091</v>
      </c>
      <c r="L877" t="str">
        <f>VLOOKUP(C877,Products!$A$2:$D$13,2,FALSE)</f>
        <v>Mouse</v>
      </c>
      <c r="M877" t="str">
        <f t="shared" si="41"/>
        <v>2026-03</v>
      </c>
    </row>
    <row r="878" spans="1:13">
      <c r="A878">
        <v>877</v>
      </c>
      <c r="B878">
        <v>1421</v>
      </c>
      <c r="C878">
        <v>12</v>
      </c>
      <c r="D878">
        <v>1</v>
      </c>
      <c r="E878">
        <v>22</v>
      </c>
      <c r="F878">
        <f t="shared" si="39"/>
        <v>22</v>
      </c>
      <c r="G878" t="str">
        <f>VLOOKUP(B878,Orders!$A$2:$D$1201,4,FALSE)</f>
        <v>Delivered</v>
      </c>
      <c r="H878">
        <f t="shared" si="40"/>
        <v>22</v>
      </c>
      <c r="I878" s="12">
        <f>VLOOKUP(B878,Orders!$A$2:$D$1201,3,FALSE)</f>
        <v>46191</v>
      </c>
      <c r="L878" t="str">
        <f>VLOOKUP(C878,Products!$A$2:$D$13,2,FALSE)</f>
        <v>Storage Box</v>
      </c>
      <c r="M878" t="str">
        <f t="shared" si="41"/>
        <v>2026-06</v>
      </c>
    </row>
    <row r="879" spans="1:13">
      <c r="A879">
        <v>878</v>
      </c>
      <c r="B879">
        <v>1421</v>
      </c>
      <c r="C879">
        <v>9</v>
      </c>
      <c r="D879">
        <v>3</v>
      </c>
      <c r="E879">
        <v>30</v>
      </c>
      <c r="F879">
        <f t="shared" si="39"/>
        <v>90</v>
      </c>
      <c r="G879" t="str">
        <f>VLOOKUP(B879,Orders!$A$2:$D$1201,4,FALSE)</f>
        <v>Delivered</v>
      </c>
      <c r="H879">
        <f t="shared" si="40"/>
        <v>90</v>
      </c>
      <c r="I879" s="12">
        <f>VLOOKUP(B879,Orders!$A$2:$D$1201,3,FALSE)</f>
        <v>46191</v>
      </c>
      <c r="L879" t="str">
        <f>VLOOKUP(C879,Products!$A$2:$D$13,2,FALSE)</f>
        <v>Lamp</v>
      </c>
      <c r="M879" t="str">
        <f t="shared" si="41"/>
        <v>2026-06</v>
      </c>
    </row>
    <row r="880" spans="1:13">
      <c r="A880">
        <v>879</v>
      </c>
      <c r="B880">
        <v>1421</v>
      </c>
      <c r="C880">
        <v>7</v>
      </c>
      <c r="D880">
        <v>4</v>
      </c>
      <c r="E880">
        <v>65</v>
      </c>
      <c r="F880">
        <f t="shared" si="39"/>
        <v>260</v>
      </c>
      <c r="G880" t="str">
        <f>VLOOKUP(B880,Orders!$A$2:$D$1201,4,FALSE)</f>
        <v>Delivered</v>
      </c>
      <c r="H880">
        <f t="shared" si="40"/>
        <v>260</v>
      </c>
      <c r="I880" s="12">
        <f>VLOOKUP(B880,Orders!$A$2:$D$1201,3,FALSE)</f>
        <v>46191</v>
      </c>
      <c r="L880" t="str">
        <f>VLOOKUP(C880,Products!$A$2:$D$13,2,FALSE)</f>
        <v>Headphones</v>
      </c>
      <c r="M880" t="str">
        <f t="shared" si="41"/>
        <v>2026-06</v>
      </c>
    </row>
    <row r="881" spans="1:13">
      <c r="A881">
        <v>880</v>
      </c>
      <c r="B881">
        <v>1422</v>
      </c>
      <c r="C881">
        <v>3</v>
      </c>
      <c r="D881">
        <v>4</v>
      </c>
      <c r="E881">
        <v>45</v>
      </c>
      <c r="F881">
        <f t="shared" si="39"/>
        <v>180</v>
      </c>
      <c r="G881" t="str">
        <f>VLOOKUP(B881,Orders!$A$2:$D$1201,4,FALSE)</f>
        <v>Delivered</v>
      </c>
      <c r="H881">
        <f t="shared" si="40"/>
        <v>180</v>
      </c>
      <c r="I881" s="12">
        <f>VLOOKUP(B881,Orders!$A$2:$D$1201,3,FALSE)</f>
        <v>46163</v>
      </c>
      <c r="L881" t="str">
        <f>VLOOKUP(C881,Products!$A$2:$D$13,2,FALSE)</f>
        <v>Keyboard</v>
      </c>
      <c r="M881" t="str">
        <f t="shared" si="41"/>
        <v>2026-05</v>
      </c>
    </row>
    <row r="882" spans="1:13">
      <c r="A882">
        <v>881</v>
      </c>
      <c r="B882">
        <v>1422</v>
      </c>
      <c r="C882">
        <v>9</v>
      </c>
      <c r="D882">
        <v>3</v>
      </c>
      <c r="E882">
        <v>30</v>
      </c>
      <c r="F882">
        <f t="shared" si="39"/>
        <v>90</v>
      </c>
      <c r="G882" t="str">
        <f>VLOOKUP(B882,Orders!$A$2:$D$1201,4,FALSE)</f>
        <v>Delivered</v>
      </c>
      <c r="H882">
        <f t="shared" si="40"/>
        <v>90</v>
      </c>
      <c r="I882" s="12">
        <f>VLOOKUP(B882,Orders!$A$2:$D$1201,3,FALSE)</f>
        <v>46163</v>
      </c>
      <c r="L882" t="str">
        <f>VLOOKUP(C882,Products!$A$2:$D$13,2,FALSE)</f>
        <v>Lamp</v>
      </c>
      <c r="M882" t="str">
        <f t="shared" si="41"/>
        <v>2026-05</v>
      </c>
    </row>
    <row r="883" spans="1:13">
      <c r="A883">
        <v>882</v>
      </c>
      <c r="B883">
        <v>1422</v>
      </c>
      <c r="C883">
        <v>10</v>
      </c>
      <c r="D883">
        <v>3</v>
      </c>
      <c r="E883">
        <v>8</v>
      </c>
      <c r="F883">
        <f t="shared" si="39"/>
        <v>24</v>
      </c>
      <c r="G883" t="str">
        <f>VLOOKUP(B883,Orders!$A$2:$D$1201,4,FALSE)</f>
        <v>Delivered</v>
      </c>
      <c r="H883">
        <f t="shared" si="40"/>
        <v>24</v>
      </c>
      <c r="I883" s="12">
        <f>VLOOKUP(B883,Orders!$A$2:$D$1201,3,FALSE)</f>
        <v>46163</v>
      </c>
      <c r="L883" t="str">
        <f>VLOOKUP(C883,Products!$A$2:$D$13,2,FALSE)</f>
        <v>Notebook</v>
      </c>
      <c r="M883" t="str">
        <f t="shared" si="41"/>
        <v>2026-05</v>
      </c>
    </row>
    <row r="884" spans="1:13">
      <c r="A884">
        <v>883</v>
      </c>
      <c r="B884">
        <v>1423</v>
      </c>
      <c r="C884">
        <v>4</v>
      </c>
      <c r="D884">
        <v>2</v>
      </c>
      <c r="E884">
        <v>25</v>
      </c>
      <c r="F884">
        <f t="shared" si="39"/>
        <v>50</v>
      </c>
      <c r="G884" t="str">
        <f>VLOOKUP(B884,Orders!$A$2:$D$1201,4,FALSE)</f>
        <v>Delivered</v>
      </c>
      <c r="H884">
        <f t="shared" si="40"/>
        <v>50</v>
      </c>
      <c r="I884" s="12">
        <f>VLOOKUP(B884,Orders!$A$2:$D$1201,3,FALSE)</f>
        <v>46185</v>
      </c>
      <c r="L884" t="str">
        <f>VLOOKUP(C884,Products!$A$2:$D$13,2,FALSE)</f>
        <v>Mouse</v>
      </c>
      <c r="M884" t="str">
        <f t="shared" si="41"/>
        <v>2026-06</v>
      </c>
    </row>
    <row r="885" spans="1:13">
      <c r="A885">
        <v>884</v>
      </c>
      <c r="B885">
        <v>1423</v>
      </c>
      <c r="C885">
        <v>10</v>
      </c>
      <c r="D885">
        <v>4</v>
      </c>
      <c r="E885">
        <v>8</v>
      </c>
      <c r="F885">
        <f t="shared" si="39"/>
        <v>32</v>
      </c>
      <c r="G885" t="str">
        <f>VLOOKUP(B885,Orders!$A$2:$D$1201,4,FALSE)</f>
        <v>Delivered</v>
      </c>
      <c r="H885">
        <f t="shared" si="40"/>
        <v>32</v>
      </c>
      <c r="I885" s="12">
        <f>VLOOKUP(B885,Orders!$A$2:$D$1201,3,FALSE)</f>
        <v>46185</v>
      </c>
      <c r="L885" t="str">
        <f>VLOOKUP(C885,Products!$A$2:$D$13,2,FALSE)</f>
        <v>Notebook</v>
      </c>
      <c r="M885" t="str">
        <f t="shared" si="41"/>
        <v>2026-06</v>
      </c>
    </row>
    <row r="886" spans="1:13">
      <c r="A886">
        <v>885</v>
      </c>
      <c r="B886">
        <v>1423</v>
      </c>
      <c r="C886">
        <v>9</v>
      </c>
      <c r="D886">
        <v>3</v>
      </c>
      <c r="E886">
        <v>30</v>
      </c>
      <c r="F886">
        <f t="shared" si="39"/>
        <v>90</v>
      </c>
      <c r="G886" t="str">
        <f>VLOOKUP(B886,Orders!$A$2:$D$1201,4,FALSE)</f>
        <v>Delivered</v>
      </c>
      <c r="H886">
        <f t="shared" si="40"/>
        <v>90</v>
      </c>
      <c r="I886" s="12">
        <f>VLOOKUP(B886,Orders!$A$2:$D$1201,3,FALSE)</f>
        <v>46185</v>
      </c>
      <c r="L886" t="str">
        <f>VLOOKUP(C886,Products!$A$2:$D$13,2,FALSE)</f>
        <v>Lamp</v>
      </c>
      <c r="M886" t="str">
        <f t="shared" si="41"/>
        <v>2026-06</v>
      </c>
    </row>
    <row r="887" spans="1:13">
      <c r="A887">
        <v>886</v>
      </c>
      <c r="B887">
        <v>1424</v>
      </c>
      <c r="C887">
        <v>3</v>
      </c>
      <c r="D887">
        <v>3</v>
      </c>
      <c r="E887">
        <v>45</v>
      </c>
      <c r="F887">
        <f t="shared" si="39"/>
        <v>135</v>
      </c>
      <c r="G887" t="str">
        <f>VLOOKUP(B887,Orders!$A$2:$D$1201,4,FALSE)</f>
        <v>Pending</v>
      </c>
      <c r="H887">
        <f t="shared" si="40"/>
        <v>135</v>
      </c>
      <c r="I887" s="12">
        <f>VLOOKUP(B887,Orders!$A$2:$D$1201,3,FALSE)</f>
        <v>46031</v>
      </c>
      <c r="L887" t="str">
        <f>VLOOKUP(C887,Products!$A$2:$D$13,2,FALSE)</f>
        <v>Keyboard</v>
      </c>
      <c r="M887" t="str">
        <f t="shared" si="41"/>
        <v>2026-01</v>
      </c>
    </row>
    <row r="888" spans="1:13">
      <c r="A888">
        <v>887</v>
      </c>
      <c r="B888">
        <v>1424</v>
      </c>
      <c r="C888">
        <v>5</v>
      </c>
      <c r="D888">
        <v>2</v>
      </c>
      <c r="E888">
        <v>180</v>
      </c>
      <c r="F888">
        <f t="shared" si="39"/>
        <v>360</v>
      </c>
      <c r="G888" t="str">
        <f>VLOOKUP(B888,Orders!$A$2:$D$1201,4,FALSE)</f>
        <v>Pending</v>
      </c>
      <c r="H888">
        <f t="shared" si="40"/>
        <v>360</v>
      </c>
      <c r="I888" s="12">
        <f>VLOOKUP(B888,Orders!$A$2:$D$1201,3,FALSE)</f>
        <v>46031</v>
      </c>
      <c r="L888" t="str">
        <f>VLOOKUP(C888,Products!$A$2:$D$13,2,FALSE)</f>
        <v>Desk</v>
      </c>
      <c r="M888" t="str">
        <f t="shared" si="41"/>
        <v>2026-01</v>
      </c>
    </row>
    <row r="889" spans="1:13">
      <c r="A889">
        <v>888</v>
      </c>
      <c r="B889">
        <v>1424</v>
      </c>
      <c r="C889">
        <v>1</v>
      </c>
      <c r="D889">
        <v>2</v>
      </c>
      <c r="E889">
        <v>750</v>
      </c>
      <c r="F889">
        <f t="shared" si="39"/>
        <v>1500</v>
      </c>
      <c r="G889" t="str">
        <f>VLOOKUP(B889,Orders!$A$2:$D$1201,4,FALSE)</f>
        <v>Pending</v>
      </c>
      <c r="H889">
        <f t="shared" si="40"/>
        <v>1500</v>
      </c>
      <c r="I889" s="12">
        <f>VLOOKUP(B889,Orders!$A$2:$D$1201,3,FALSE)</f>
        <v>46031</v>
      </c>
      <c r="L889" t="str">
        <f>VLOOKUP(C889,Products!$A$2:$D$13,2,FALSE)</f>
        <v>Laptop</v>
      </c>
      <c r="M889" t="str">
        <f t="shared" si="41"/>
        <v>2026-01</v>
      </c>
    </row>
    <row r="890" spans="1:13">
      <c r="A890">
        <v>889</v>
      </c>
      <c r="B890">
        <v>1425</v>
      </c>
      <c r="C890">
        <v>9</v>
      </c>
      <c r="D890">
        <v>2</v>
      </c>
      <c r="E890">
        <v>30</v>
      </c>
      <c r="F890">
        <f t="shared" si="39"/>
        <v>60</v>
      </c>
      <c r="G890" t="str">
        <f>VLOOKUP(B890,Orders!$A$2:$D$1201,4,FALSE)</f>
        <v>Delivered</v>
      </c>
      <c r="H890">
        <f t="shared" si="40"/>
        <v>60</v>
      </c>
      <c r="I890" s="12">
        <f>VLOOKUP(B890,Orders!$A$2:$D$1201,3,FALSE)</f>
        <v>46028</v>
      </c>
      <c r="L890" t="str">
        <f>VLOOKUP(C890,Products!$A$2:$D$13,2,FALSE)</f>
        <v>Lamp</v>
      </c>
      <c r="M890" t="str">
        <f t="shared" si="41"/>
        <v>2026-01</v>
      </c>
    </row>
    <row r="891" spans="1:13">
      <c r="A891">
        <v>890</v>
      </c>
      <c r="B891">
        <v>1425</v>
      </c>
      <c r="C891">
        <v>12</v>
      </c>
      <c r="D891">
        <v>1</v>
      </c>
      <c r="E891">
        <v>22</v>
      </c>
      <c r="F891">
        <f t="shared" si="39"/>
        <v>22</v>
      </c>
      <c r="G891" t="str">
        <f>VLOOKUP(B891,Orders!$A$2:$D$1201,4,FALSE)</f>
        <v>Delivered</v>
      </c>
      <c r="H891">
        <f t="shared" si="40"/>
        <v>22</v>
      </c>
      <c r="I891" s="12">
        <f>VLOOKUP(B891,Orders!$A$2:$D$1201,3,FALSE)</f>
        <v>46028</v>
      </c>
      <c r="L891" t="str">
        <f>VLOOKUP(C891,Products!$A$2:$D$13,2,FALSE)</f>
        <v>Storage Box</v>
      </c>
      <c r="M891" t="str">
        <f t="shared" si="41"/>
        <v>2026-01</v>
      </c>
    </row>
    <row r="892" spans="1:13">
      <c r="A892">
        <v>891</v>
      </c>
      <c r="B892">
        <v>1425</v>
      </c>
      <c r="C892">
        <v>10</v>
      </c>
      <c r="D892">
        <v>1</v>
      </c>
      <c r="E892">
        <v>8</v>
      </c>
      <c r="F892">
        <f t="shared" si="39"/>
        <v>8</v>
      </c>
      <c r="G892" t="str">
        <f>VLOOKUP(B892,Orders!$A$2:$D$1201,4,FALSE)</f>
        <v>Delivered</v>
      </c>
      <c r="H892">
        <f t="shared" si="40"/>
        <v>8</v>
      </c>
      <c r="I892" s="12">
        <f>VLOOKUP(B892,Orders!$A$2:$D$1201,3,FALSE)</f>
        <v>46028</v>
      </c>
      <c r="L892" t="str">
        <f>VLOOKUP(C892,Products!$A$2:$D$13,2,FALSE)</f>
        <v>Notebook</v>
      </c>
      <c r="M892" t="str">
        <f t="shared" si="41"/>
        <v>2026-01</v>
      </c>
    </row>
    <row r="893" spans="1:13">
      <c r="A893">
        <v>892</v>
      </c>
      <c r="B893">
        <v>1426</v>
      </c>
      <c r="C893">
        <v>10</v>
      </c>
      <c r="D893">
        <v>4</v>
      </c>
      <c r="E893">
        <v>8</v>
      </c>
      <c r="F893">
        <f t="shared" si="39"/>
        <v>32</v>
      </c>
      <c r="G893" t="str">
        <f>VLOOKUP(B893,Orders!$A$2:$D$1201,4,FALSE)</f>
        <v>Delivered</v>
      </c>
      <c r="H893">
        <f t="shared" si="40"/>
        <v>32</v>
      </c>
      <c r="I893" s="12">
        <f>VLOOKUP(B893,Orders!$A$2:$D$1201,3,FALSE)</f>
        <v>46086</v>
      </c>
      <c r="L893" t="str">
        <f>VLOOKUP(C893,Products!$A$2:$D$13,2,FALSE)</f>
        <v>Notebook</v>
      </c>
      <c r="M893" t="str">
        <f t="shared" si="41"/>
        <v>2026-03</v>
      </c>
    </row>
    <row r="894" spans="1:13">
      <c r="A894">
        <v>893</v>
      </c>
      <c r="B894">
        <v>1427</v>
      </c>
      <c r="C894">
        <v>10</v>
      </c>
      <c r="D894">
        <v>3</v>
      </c>
      <c r="E894">
        <v>8</v>
      </c>
      <c r="F894">
        <f t="shared" si="39"/>
        <v>24</v>
      </c>
      <c r="G894" t="str">
        <f>VLOOKUP(B894,Orders!$A$2:$D$1201,4,FALSE)</f>
        <v>Delivered</v>
      </c>
      <c r="H894">
        <f t="shared" si="40"/>
        <v>24</v>
      </c>
      <c r="I894" s="12">
        <f>VLOOKUP(B894,Orders!$A$2:$D$1201,3,FALSE)</f>
        <v>46146</v>
      </c>
      <c r="L894" t="str">
        <f>VLOOKUP(C894,Products!$A$2:$D$13,2,FALSE)</f>
        <v>Notebook</v>
      </c>
      <c r="M894" t="str">
        <f t="shared" si="41"/>
        <v>2026-05</v>
      </c>
    </row>
    <row r="895" spans="1:13">
      <c r="A895">
        <v>894</v>
      </c>
      <c r="B895">
        <v>1428</v>
      </c>
      <c r="C895">
        <v>2</v>
      </c>
      <c r="D895">
        <v>1</v>
      </c>
      <c r="E895">
        <v>220</v>
      </c>
      <c r="F895">
        <f t="shared" si="39"/>
        <v>220</v>
      </c>
      <c r="G895" t="str">
        <f>VLOOKUP(B895,Orders!$A$2:$D$1201,4,FALSE)</f>
        <v>Delivered</v>
      </c>
      <c r="H895">
        <f t="shared" si="40"/>
        <v>220</v>
      </c>
      <c r="I895" s="12">
        <f>VLOOKUP(B895,Orders!$A$2:$D$1201,3,FALSE)</f>
        <v>46108</v>
      </c>
      <c r="L895" t="str">
        <f>VLOOKUP(C895,Products!$A$2:$D$13,2,FALSE)</f>
        <v>Monitor</v>
      </c>
      <c r="M895" t="str">
        <f t="shared" si="41"/>
        <v>2026-03</v>
      </c>
    </row>
    <row r="896" spans="1:13">
      <c r="A896">
        <v>895</v>
      </c>
      <c r="B896">
        <v>1428</v>
      </c>
      <c r="C896">
        <v>4</v>
      </c>
      <c r="D896">
        <v>4</v>
      </c>
      <c r="E896">
        <v>25</v>
      </c>
      <c r="F896">
        <f t="shared" si="39"/>
        <v>100</v>
      </c>
      <c r="G896" t="str">
        <f>VLOOKUP(B896,Orders!$A$2:$D$1201,4,FALSE)</f>
        <v>Delivered</v>
      </c>
      <c r="H896">
        <f t="shared" si="40"/>
        <v>100</v>
      </c>
      <c r="I896" s="12">
        <f>VLOOKUP(B896,Orders!$A$2:$D$1201,3,FALSE)</f>
        <v>46108</v>
      </c>
      <c r="L896" t="str">
        <f>VLOOKUP(C896,Products!$A$2:$D$13,2,FALSE)</f>
        <v>Mouse</v>
      </c>
      <c r="M896" t="str">
        <f t="shared" si="41"/>
        <v>2026-03</v>
      </c>
    </row>
    <row r="897" spans="1:13">
      <c r="A897">
        <v>896</v>
      </c>
      <c r="B897">
        <v>1429</v>
      </c>
      <c r="C897">
        <v>1</v>
      </c>
      <c r="D897">
        <v>4</v>
      </c>
      <c r="E897">
        <v>750</v>
      </c>
      <c r="F897">
        <f t="shared" si="39"/>
        <v>3000</v>
      </c>
      <c r="G897" t="str">
        <f>VLOOKUP(B897,Orders!$A$2:$D$1201,4,FALSE)</f>
        <v>Delivered</v>
      </c>
      <c r="H897">
        <f t="shared" si="40"/>
        <v>3000</v>
      </c>
      <c r="I897" s="12">
        <f>VLOOKUP(B897,Orders!$A$2:$D$1201,3,FALSE)</f>
        <v>46061</v>
      </c>
      <c r="L897" t="str">
        <f>VLOOKUP(C897,Products!$A$2:$D$13,2,FALSE)</f>
        <v>Laptop</v>
      </c>
      <c r="M897" t="str">
        <f t="shared" si="41"/>
        <v>2026-02</v>
      </c>
    </row>
    <row r="898" spans="1:13">
      <c r="A898">
        <v>897</v>
      </c>
      <c r="B898">
        <v>1430</v>
      </c>
      <c r="C898">
        <v>3</v>
      </c>
      <c r="D898">
        <v>3</v>
      </c>
      <c r="E898">
        <v>45</v>
      </c>
      <c r="F898">
        <f t="shared" si="39"/>
        <v>135</v>
      </c>
      <c r="G898" t="str">
        <f>VLOOKUP(B898,Orders!$A$2:$D$1201,4,FALSE)</f>
        <v>Delivered</v>
      </c>
      <c r="H898">
        <f t="shared" si="40"/>
        <v>135</v>
      </c>
      <c r="I898" s="12">
        <f>VLOOKUP(B898,Orders!$A$2:$D$1201,3,FALSE)</f>
        <v>46079</v>
      </c>
      <c r="L898" t="str">
        <f>VLOOKUP(C898,Products!$A$2:$D$13,2,FALSE)</f>
        <v>Keyboard</v>
      </c>
      <c r="M898" t="str">
        <f t="shared" si="41"/>
        <v>2026-02</v>
      </c>
    </row>
    <row r="899" spans="1:13">
      <c r="A899">
        <v>898</v>
      </c>
      <c r="B899">
        <v>1431</v>
      </c>
      <c r="C899">
        <v>12</v>
      </c>
      <c r="D899">
        <v>2</v>
      </c>
      <c r="E899">
        <v>22</v>
      </c>
      <c r="F899">
        <f t="shared" ref="F899:F962" si="42">D899*E899</f>
        <v>44</v>
      </c>
      <c r="G899" t="str">
        <f>VLOOKUP(B899,Orders!$A$2:$D$1201,4,FALSE)</f>
        <v>Delivered</v>
      </c>
      <c r="H899">
        <f t="shared" ref="H899:H962" si="43">IF(G899="Cancelled",0,F899)</f>
        <v>44</v>
      </c>
      <c r="I899" s="12">
        <f>VLOOKUP(B899,Orders!$A$2:$D$1201,3,FALSE)</f>
        <v>46090</v>
      </c>
      <c r="L899" t="str">
        <f>VLOOKUP(C899,Products!$A$2:$D$13,2,FALSE)</f>
        <v>Storage Box</v>
      </c>
      <c r="M899" t="str">
        <f t="shared" ref="M899:M962" si="44">TEXT(I899,"yyyy-mm")</f>
        <v>2026-03</v>
      </c>
    </row>
    <row r="900" spans="1:13">
      <c r="A900">
        <v>899</v>
      </c>
      <c r="B900">
        <v>1431</v>
      </c>
      <c r="C900">
        <v>3</v>
      </c>
      <c r="D900">
        <v>4</v>
      </c>
      <c r="E900">
        <v>45</v>
      </c>
      <c r="F900">
        <f t="shared" si="42"/>
        <v>180</v>
      </c>
      <c r="G900" t="str">
        <f>VLOOKUP(B900,Orders!$A$2:$D$1201,4,FALSE)</f>
        <v>Delivered</v>
      </c>
      <c r="H900">
        <f t="shared" si="43"/>
        <v>180</v>
      </c>
      <c r="I900" s="12">
        <f>VLOOKUP(B900,Orders!$A$2:$D$1201,3,FALSE)</f>
        <v>46090</v>
      </c>
      <c r="L900" t="str">
        <f>VLOOKUP(C900,Products!$A$2:$D$13,2,FALSE)</f>
        <v>Keyboard</v>
      </c>
      <c r="M900" t="str">
        <f t="shared" si="44"/>
        <v>2026-03</v>
      </c>
    </row>
    <row r="901" spans="1:13">
      <c r="A901">
        <v>900</v>
      </c>
      <c r="B901">
        <v>1432</v>
      </c>
      <c r="C901">
        <v>4</v>
      </c>
      <c r="D901">
        <v>1</v>
      </c>
      <c r="E901">
        <v>25</v>
      </c>
      <c r="F901">
        <f t="shared" si="42"/>
        <v>25</v>
      </c>
      <c r="G901" t="str">
        <f>VLOOKUP(B901,Orders!$A$2:$D$1201,4,FALSE)</f>
        <v>Delivered</v>
      </c>
      <c r="H901">
        <f t="shared" si="43"/>
        <v>25</v>
      </c>
      <c r="I901" s="12">
        <f>VLOOKUP(B901,Orders!$A$2:$D$1201,3,FALSE)</f>
        <v>46166</v>
      </c>
      <c r="L901" t="str">
        <f>VLOOKUP(C901,Products!$A$2:$D$13,2,FALSE)</f>
        <v>Mouse</v>
      </c>
      <c r="M901" t="str">
        <f t="shared" si="44"/>
        <v>2026-05</v>
      </c>
    </row>
    <row r="902" spans="1:13">
      <c r="A902">
        <v>901</v>
      </c>
      <c r="B902">
        <v>1433</v>
      </c>
      <c r="C902">
        <v>6</v>
      </c>
      <c r="D902">
        <v>2</v>
      </c>
      <c r="E902">
        <v>140</v>
      </c>
      <c r="F902">
        <f t="shared" si="42"/>
        <v>280</v>
      </c>
      <c r="G902" t="str">
        <f>VLOOKUP(B902,Orders!$A$2:$D$1201,4,FALSE)</f>
        <v>Delivered</v>
      </c>
      <c r="H902">
        <f t="shared" si="43"/>
        <v>280</v>
      </c>
      <c r="I902" s="12">
        <f>VLOOKUP(B902,Orders!$A$2:$D$1201,3,FALSE)</f>
        <v>46045</v>
      </c>
      <c r="L902" t="str">
        <f>VLOOKUP(C902,Products!$A$2:$D$13,2,FALSE)</f>
        <v>Chair</v>
      </c>
      <c r="M902" t="str">
        <f t="shared" si="44"/>
        <v>2026-01</v>
      </c>
    </row>
    <row r="903" spans="1:13">
      <c r="A903">
        <v>902</v>
      </c>
      <c r="B903">
        <v>1433</v>
      </c>
      <c r="C903">
        <v>12</v>
      </c>
      <c r="D903">
        <v>3</v>
      </c>
      <c r="E903">
        <v>22</v>
      </c>
      <c r="F903">
        <f t="shared" si="42"/>
        <v>66</v>
      </c>
      <c r="G903" t="str">
        <f>VLOOKUP(B903,Orders!$A$2:$D$1201,4,FALSE)</f>
        <v>Delivered</v>
      </c>
      <c r="H903">
        <f t="shared" si="43"/>
        <v>66</v>
      </c>
      <c r="I903" s="12">
        <f>VLOOKUP(B903,Orders!$A$2:$D$1201,3,FALSE)</f>
        <v>46045</v>
      </c>
      <c r="L903" t="str">
        <f>VLOOKUP(C903,Products!$A$2:$D$13,2,FALSE)</f>
        <v>Storage Box</v>
      </c>
      <c r="M903" t="str">
        <f t="shared" si="44"/>
        <v>2026-01</v>
      </c>
    </row>
    <row r="904" spans="1:13">
      <c r="A904">
        <v>903</v>
      </c>
      <c r="B904">
        <v>1434</v>
      </c>
      <c r="C904">
        <v>3</v>
      </c>
      <c r="D904">
        <v>2</v>
      </c>
      <c r="E904">
        <v>45</v>
      </c>
      <c r="F904">
        <f t="shared" si="42"/>
        <v>90</v>
      </c>
      <c r="G904" t="str">
        <f>VLOOKUP(B904,Orders!$A$2:$D$1201,4,FALSE)</f>
        <v>Delivered</v>
      </c>
      <c r="H904">
        <f t="shared" si="43"/>
        <v>90</v>
      </c>
      <c r="I904" s="12">
        <f>VLOOKUP(B904,Orders!$A$2:$D$1201,3,FALSE)</f>
        <v>46112</v>
      </c>
      <c r="L904" t="str">
        <f>VLOOKUP(C904,Products!$A$2:$D$13,2,FALSE)</f>
        <v>Keyboard</v>
      </c>
      <c r="M904" t="str">
        <f t="shared" si="44"/>
        <v>2026-03</v>
      </c>
    </row>
    <row r="905" spans="1:13">
      <c r="A905">
        <v>904</v>
      </c>
      <c r="B905">
        <v>1434</v>
      </c>
      <c r="C905">
        <v>8</v>
      </c>
      <c r="D905">
        <v>2</v>
      </c>
      <c r="E905">
        <v>55</v>
      </c>
      <c r="F905">
        <f t="shared" si="42"/>
        <v>110</v>
      </c>
      <c r="G905" t="str">
        <f>VLOOKUP(B905,Orders!$A$2:$D$1201,4,FALSE)</f>
        <v>Delivered</v>
      </c>
      <c r="H905">
        <f t="shared" si="43"/>
        <v>110</v>
      </c>
      <c r="I905" s="12">
        <f>VLOOKUP(B905,Orders!$A$2:$D$1201,3,FALSE)</f>
        <v>46112</v>
      </c>
      <c r="L905" t="str">
        <f>VLOOKUP(C905,Products!$A$2:$D$13,2,FALSE)</f>
        <v>Webcam</v>
      </c>
      <c r="M905" t="str">
        <f t="shared" si="44"/>
        <v>2026-03</v>
      </c>
    </row>
    <row r="906" spans="1:13">
      <c r="A906">
        <v>905</v>
      </c>
      <c r="B906">
        <v>1434</v>
      </c>
      <c r="C906">
        <v>1</v>
      </c>
      <c r="D906">
        <v>3</v>
      </c>
      <c r="E906">
        <v>750</v>
      </c>
      <c r="F906">
        <f t="shared" si="42"/>
        <v>2250</v>
      </c>
      <c r="G906" t="str">
        <f>VLOOKUP(B906,Orders!$A$2:$D$1201,4,FALSE)</f>
        <v>Delivered</v>
      </c>
      <c r="H906">
        <f t="shared" si="43"/>
        <v>2250</v>
      </c>
      <c r="I906" s="12">
        <f>VLOOKUP(B906,Orders!$A$2:$D$1201,3,FALSE)</f>
        <v>46112</v>
      </c>
      <c r="L906" t="str">
        <f>VLOOKUP(C906,Products!$A$2:$D$13,2,FALSE)</f>
        <v>Laptop</v>
      </c>
      <c r="M906" t="str">
        <f t="shared" si="44"/>
        <v>2026-03</v>
      </c>
    </row>
    <row r="907" spans="1:13">
      <c r="A907">
        <v>906</v>
      </c>
      <c r="B907">
        <v>1435</v>
      </c>
      <c r="C907">
        <v>1</v>
      </c>
      <c r="D907">
        <v>1</v>
      </c>
      <c r="E907">
        <v>750</v>
      </c>
      <c r="F907">
        <f t="shared" si="42"/>
        <v>750</v>
      </c>
      <c r="G907" t="str">
        <f>VLOOKUP(B907,Orders!$A$2:$D$1201,4,FALSE)</f>
        <v>Delivered</v>
      </c>
      <c r="H907">
        <f t="shared" si="43"/>
        <v>750</v>
      </c>
      <c r="I907" s="12">
        <f>VLOOKUP(B907,Orders!$A$2:$D$1201,3,FALSE)</f>
        <v>46036</v>
      </c>
      <c r="L907" t="str">
        <f>VLOOKUP(C907,Products!$A$2:$D$13,2,FALSE)</f>
        <v>Laptop</v>
      </c>
      <c r="M907" t="str">
        <f t="shared" si="44"/>
        <v>2026-01</v>
      </c>
    </row>
    <row r="908" spans="1:13">
      <c r="A908">
        <v>907</v>
      </c>
      <c r="B908">
        <v>1435</v>
      </c>
      <c r="C908">
        <v>6</v>
      </c>
      <c r="D908">
        <v>3</v>
      </c>
      <c r="E908">
        <v>140</v>
      </c>
      <c r="F908">
        <f t="shared" si="42"/>
        <v>420</v>
      </c>
      <c r="G908" t="str">
        <f>VLOOKUP(B908,Orders!$A$2:$D$1201,4,FALSE)</f>
        <v>Delivered</v>
      </c>
      <c r="H908">
        <f t="shared" si="43"/>
        <v>420</v>
      </c>
      <c r="I908" s="12">
        <f>VLOOKUP(B908,Orders!$A$2:$D$1201,3,FALSE)</f>
        <v>46036</v>
      </c>
      <c r="L908" t="str">
        <f>VLOOKUP(C908,Products!$A$2:$D$13,2,FALSE)</f>
        <v>Chair</v>
      </c>
      <c r="M908" t="str">
        <f t="shared" si="44"/>
        <v>2026-01</v>
      </c>
    </row>
    <row r="909" spans="1:13">
      <c r="A909">
        <v>908</v>
      </c>
      <c r="B909">
        <v>1436</v>
      </c>
      <c r="C909">
        <v>9</v>
      </c>
      <c r="D909">
        <v>2</v>
      </c>
      <c r="E909">
        <v>30</v>
      </c>
      <c r="F909">
        <f t="shared" si="42"/>
        <v>60</v>
      </c>
      <c r="G909" t="str">
        <f>VLOOKUP(B909,Orders!$A$2:$D$1201,4,FALSE)</f>
        <v>Delivered</v>
      </c>
      <c r="H909">
        <f t="shared" si="43"/>
        <v>60</v>
      </c>
      <c r="I909" s="12">
        <f>VLOOKUP(B909,Orders!$A$2:$D$1201,3,FALSE)</f>
        <v>46077</v>
      </c>
      <c r="L909" t="str">
        <f>VLOOKUP(C909,Products!$A$2:$D$13,2,FALSE)</f>
        <v>Lamp</v>
      </c>
      <c r="M909" t="str">
        <f t="shared" si="44"/>
        <v>2026-02</v>
      </c>
    </row>
    <row r="910" spans="1:13">
      <c r="A910">
        <v>909</v>
      </c>
      <c r="B910">
        <v>1436</v>
      </c>
      <c r="C910">
        <v>8</v>
      </c>
      <c r="D910">
        <v>1</v>
      </c>
      <c r="E910">
        <v>55</v>
      </c>
      <c r="F910">
        <f t="shared" si="42"/>
        <v>55</v>
      </c>
      <c r="G910" t="str">
        <f>VLOOKUP(B910,Orders!$A$2:$D$1201,4,FALSE)</f>
        <v>Delivered</v>
      </c>
      <c r="H910">
        <f t="shared" si="43"/>
        <v>55</v>
      </c>
      <c r="I910" s="12">
        <f>VLOOKUP(B910,Orders!$A$2:$D$1201,3,FALSE)</f>
        <v>46077</v>
      </c>
      <c r="L910" t="str">
        <f>VLOOKUP(C910,Products!$A$2:$D$13,2,FALSE)</f>
        <v>Webcam</v>
      </c>
      <c r="M910" t="str">
        <f t="shared" si="44"/>
        <v>2026-02</v>
      </c>
    </row>
    <row r="911" spans="1:13">
      <c r="A911">
        <v>910</v>
      </c>
      <c r="B911">
        <v>1437</v>
      </c>
      <c r="C911">
        <v>10</v>
      </c>
      <c r="D911">
        <v>4</v>
      </c>
      <c r="E911">
        <v>8</v>
      </c>
      <c r="F911">
        <f t="shared" si="42"/>
        <v>32</v>
      </c>
      <c r="G911" t="str">
        <f>VLOOKUP(B911,Orders!$A$2:$D$1201,4,FALSE)</f>
        <v>Delivered</v>
      </c>
      <c r="H911">
        <f t="shared" si="43"/>
        <v>32</v>
      </c>
      <c r="I911" s="12">
        <f>VLOOKUP(B911,Orders!$A$2:$D$1201,3,FALSE)</f>
        <v>46066</v>
      </c>
      <c r="L911" t="str">
        <f>VLOOKUP(C911,Products!$A$2:$D$13,2,FALSE)</f>
        <v>Notebook</v>
      </c>
      <c r="M911" t="str">
        <f t="shared" si="44"/>
        <v>2026-02</v>
      </c>
    </row>
    <row r="912" spans="1:13">
      <c r="A912">
        <v>911</v>
      </c>
      <c r="B912">
        <v>1437</v>
      </c>
      <c r="C912">
        <v>5</v>
      </c>
      <c r="D912">
        <v>1</v>
      </c>
      <c r="E912">
        <v>180</v>
      </c>
      <c r="F912">
        <f t="shared" si="42"/>
        <v>180</v>
      </c>
      <c r="G912" t="str">
        <f>VLOOKUP(B912,Orders!$A$2:$D$1201,4,FALSE)</f>
        <v>Delivered</v>
      </c>
      <c r="H912">
        <f t="shared" si="43"/>
        <v>180</v>
      </c>
      <c r="I912" s="12">
        <f>VLOOKUP(B912,Orders!$A$2:$D$1201,3,FALSE)</f>
        <v>46066</v>
      </c>
      <c r="L912" t="str">
        <f>VLOOKUP(C912,Products!$A$2:$D$13,2,FALSE)</f>
        <v>Desk</v>
      </c>
      <c r="M912" t="str">
        <f t="shared" si="44"/>
        <v>2026-02</v>
      </c>
    </row>
    <row r="913" spans="1:13">
      <c r="A913">
        <v>912</v>
      </c>
      <c r="B913">
        <v>1437</v>
      </c>
      <c r="C913">
        <v>1</v>
      </c>
      <c r="D913">
        <v>1</v>
      </c>
      <c r="E913">
        <v>750</v>
      </c>
      <c r="F913">
        <f t="shared" si="42"/>
        <v>750</v>
      </c>
      <c r="G913" t="str">
        <f>VLOOKUP(B913,Orders!$A$2:$D$1201,4,FALSE)</f>
        <v>Delivered</v>
      </c>
      <c r="H913">
        <f t="shared" si="43"/>
        <v>750</v>
      </c>
      <c r="I913" s="12">
        <f>VLOOKUP(B913,Orders!$A$2:$D$1201,3,FALSE)</f>
        <v>46066</v>
      </c>
      <c r="L913" t="str">
        <f>VLOOKUP(C913,Products!$A$2:$D$13,2,FALSE)</f>
        <v>Laptop</v>
      </c>
      <c r="M913" t="str">
        <f t="shared" si="44"/>
        <v>2026-02</v>
      </c>
    </row>
    <row r="914" spans="1:13">
      <c r="A914">
        <v>913</v>
      </c>
      <c r="B914">
        <v>1438</v>
      </c>
      <c r="C914">
        <v>11</v>
      </c>
      <c r="D914">
        <v>2</v>
      </c>
      <c r="E914">
        <v>48</v>
      </c>
      <c r="F914">
        <f t="shared" si="42"/>
        <v>96</v>
      </c>
      <c r="G914" t="str">
        <f>VLOOKUP(B914,Orders!$A$2:$D$1201,4,FALSE)</f>
        <v>Cancelled</v>
      </c>
      <c r="H914">
        <f t="shared" si="43"/>
        <v>0</v>
      </c>
      <c r="I914" s="12">
        <f>VLOOKUP(B914,Orders!$A$2:$D$1201,3,FALSE)</f>
        <v>46115</v>
      </c>
      <c r="L914" t="str">
        <f>VLOOKUP(C914,Products!$A$2:$D$13,2,FALSE)</f>
        <v>Backpack</v>
      </c>
      <c r="M914" t="str">
        <f t="shared" si="44"/>
        <v>2026-04</v>
      </c>
    </row>
    <row r="915" spans="1:13">
      <c r="A915">
        <v>914</v>
      </c>
      <c r="B915">
        <v>1438</v>
      </c>
      <c r="C915">
        <v>7</v>
      </c>
      <c r="D915">
        <v>4</v>
      </c>
      <c r="E915">
        <v>65</v>
      </c>
      <c r="F915">
        <f t="shared" si="42"/>
        <v>260</v>
      </c>
      <c r="G915" t="str">
        <f>VLOOKUP(B915,Orders!$A$2:$D$1201,4,FALSE)</f>
        <v>Cancelled</v>
      </c>
      <c r="H915">
        <f t="shared" si="43"/>
        <v>0</v>
      </c>
      <c r="I915" s="12">
        <f>VLOOKUP(B915,Orders!$A$2:$D$1201,3,FALSE)</f>
        <v>46115</v>
      </c>
      <c r="L915" t="str">
        <f>VLOOKUP(C915,Products!$A$2:$D$13,2,FALSE)</f>
        <v>Headphones</v>
      </c>
      <c r="M915" t="str">
        <f t="shared" si="44"/>
        <v>2026-04</v>
      </c>
    </row>
    <row r="916" spans="1:13">
      <c r="A916">
        <v>915</v>
      </c>
      <c r="B916">
        <v>1439</v>
      </c>
      <c r="C916">
        <v>8</v>
      </c>
      <c r="D916">
        <v>1</v>
      </c>
      <c r="E916">
        <v>55</v>
      </c>
      <c r="F916">
        <f t="shared" si="42"/>
        <v>55</v>
      </c>
      <c r="G916" t="str">
        <f>VLOOKUP(B916,Orders!$A$2:$D$1201,4,FALSE)</f>
        <v>Pending</v>
      </c>
      <c r="H916">
        <f t="shared" si="43"/>
        <v>55</v>
      </c>
      <c r="I916" s="12">
        <f>VLOOKUP(B916,Orders!$A$2:$D$1201,3,FALSE)</f>
        <v>46153</v>
      </c>
      <c r="L916" t="str">
        <f>VLOOKUP(C916,Products!$A$2:$D$13,2,FALSE)</f>
        <v>Webcam</v>
      </c>
      <c r="M916" t="str">
        <f t="shared" si="44"/>
        <v>2026-05</v>
      </c>
    </row>
    <row r="917" spans="1:13">
      <c r="A917">
        <v>916</v>
      </c>
      <c r="B917">
        <v>1439</v>
      </c>
      <c r="C917">
        <v>10</v>
      </c>
      <c r="D917">
        <v>2</v>
      </c>
      <c r="E917">
        <v>8</v>
      </c>
      <c r="F917">
        <f t="shared" si="42"/>
        <v>16</v>
      </c>
      <c r="G917" t="str">
        <f>VLOOKUP(B917,Orders!$A$2:$D$1201,4,FALSE)</f>
        <v>Pending</v>
      </c>
      <c r="H917">
        <f t="shared" si="43"/>
        <v>16</v>
      </c>
      <c r="I917" s="12">
        <f>VLOOKUP(B917,Orders!$A$2:$D$1201,3,FALSE)</f>
        <v>46153</v>
      </c>
      <c r="L917" t="str">
        <f>VLOOKUP(C917,Products!$A$2:$D$13,2,FALSE)</f>
        <v>Notebook</v>
      </c>
      <c r="M917" t="str">
        <f t="shared" si="44"/>
        <v>2026-05</v>
      </c>
    </row>
    <row r="918" spans="1:13">
      <c r="A918">
        <v>917</v>
      </c>
      <c r="B918">
        <v>1440</v>
      </c>
      <c r="C918">
        <v>1</v>
      </c>
      <c r="D918">
        <v>3</v>
      </c>
      <c r="E918">
        <v>750</v>
      </c>
      <c r="F918">
        <f t="shared" si="42"/>
        <v>2250</v>
      </c>
      <c r="G918" t="str">
        <f>VLOOKUP(B918,Orders!$A$2:$D$1201,4,FALSE)</f>
        <v>Shipped</v>
      </c>
      <c r="H918">
        <f t="shared" si="43"/>
        <v>2250</v>
      </c>
      <c r="I918" s="12">
        <f>VLOOKUP(B918,Orders!$A$2:$D$1201,3,FALSE)</f>
        <v>46151</v>
      </c>
      <c r="L918" t="str">
        <f>VLOOKUP(C918,Products!$A$2:$D$13,2,FALSE)</f>
        <v>Laptop</v>
      </c>
      <c r="M918" t="str">
        <f t="shared" si="44"/>
        <v>2026-05</v>
      </c>
    </row>
    <row r="919" spans="1:13">
      <c r="A919">
        <v>918</v>
      </c>
      <c r="B919">
        <v>1440</v>
      </c>
      <c r="C919">
        <v>12</v>
      </c>
      <c r="D919">
        <v>3</v>
      </c>
      <c r="E919">
        <v>22</v>
      </c>
      <c r="F919">
        <f t="shared" si="42"/>
        <v>66</v>
      </c>
      <c r="G919" t="str">
        <f>VLOOKUP(B919,Orders!$A$2:$D$1201,4,FALSE)</f>
        <v>Shipped</v>
      </c>
      <c r="H919">
        <f t="shared" si="43"/>
        <v>66</v>
      </c>
      <c r="I919" s="12">
        <f>VLOOKUP(B919,Orders!$A$2:$D$1201,3,FALSE)</f>
        <v>46151</v>
      </c>
      <c r="L919" t="str">
        <f>VLOOKUP(C919,Products!$A$2:$D$13,2,FALSE)</f>
        <v>Storage Box</v>
      </c>
      <c r="M919" t="str">
        <f t="shared" si="44"/>
        <v>2026-05</v>
      </c>
    </row>
    <row r="920" spans="1:13">
      <c r="A920">
        <v>919</v>
      </c>
      <c r="B920">
        <v>1440</v>
      </c>
      <c r="C920">
        <v>4</v>
      </c>
      <c r="D920">
        <v>4</v>
      </c>
      <c r="E920">
        <v>25</v>
      </c>
      <c r="F920">
        <f t="shared" si="42"/>
        <v>100</v>
      </c>
      <c r="G920" t="str">
        <f>VLOOKUP(B920,Orders!$A$2:$D$1201,4,FALSE)</f>
        <v>Shipped</v>
      </c>
      <c r="H920">
        <f t="shared" si="43"/>
        <v>100</v>
      </c>
      <c r="I920" s="12">
        <f>VLOOKUP(B920,Orders!$A$2:$D$1201,3,FALSE)</f>
        <v>46151</v>
      </c>
      <c r="L920" t="str">
        <f>VLOOKUP(C920,Products!$A$2:$D$13,2,FALSE)</f>
        <v>Mouse</v>
      </c>
      <c r="M920" t="str">
        <f t="shared" si="44"/>
        <v>2026-05</v>
      </c>
    </row>
    <row r="921" spans="1:13">
      <c r="A921">
        <v>920</v>
      </c>
      <c r="B921">
        <v>1441</v>
      </c>
      <c r="C921">
        <v>11</v>
      </c>
      <c r="D921">
        <v>2</v>
      </c>
      <c r="E921">
        <v>48</v>
      </c>
      <c r="F921">
        <f t="shared" si="42"/>
        <v>96</v>
      </c>
      <c r="G921" t="str">
        <f>VLOOKUP(B921,Orders!$A$2:$D$1201,4,FALSE)</f>
        <v>Delivered</v>
      </c>
      <c r="H921">
        <f t="shared" si="43"/>
        <v>96</v>
      </c>
      <c r="I921" s="12">
        <f>VLOOKUP(B921,Orders!$A$2:$D$1201,3,FALSE)</f>
        <v>46027</v>
      </c>
      <c r="L921" t="str">
        <f>VLOOKUP(C921,Products!$A$2:$D$13,2,FALSE)</f>
        <v>Backpack</v>
      </c>
      <c r="M921" t="str">
        <f t="shared" si="44"/>
        <v>2026-01</v>
      </c>
    </row>
    <row r="922" spans="1:13">
      <c r="A922">
        <v>921</v>
      </c>
      <c r="B922">
        <v>1441</v>
      </c>
      <c r="C922">
        <v>5</v>
      </c>
      <c r="D922">
        <v>3</v>
      </c>
      <c r="E922">
        <v>180</v>
      </c>
      <c r="F922">
        <f t="shared" si="42"/>
        <v>540</v>
      </c>
      <c r="G922" t="str">
        <f>VLOOKUP(B922,Orders!$A$2:$D$1201,4,FALSE)</f>
        <v>Delivered</v>
      </c>
      <c r="H922">
        <f t="shared" si="43"/>
        <v>540</v>
      </c>
      <c r="I922" s="12">
        <f>VLOOKUP(B922,Orders!$A$2:$D$1201,3,FALSE)</f>
        <v>46027</v>
      </c>
      <c r="L922" t="str">
        <f>VLOOKUP(C922,Products!$A$2:$D$13,2,FALSE)</f>
        <v>Desk</v>
      </c>
      <c r="M922" t="str">
        <f t="shared" si="44"/>
        <v>2026-01</v>
      </c>
    </row>
    <row r="923" spans="1:13">
      <c r="A923">
        <v>922</v>
      </c>
      <c r="B923">
        <v>1442</v>
      </c>
      <c r="C923">
        <v>6</v>
      </c>
      <c r="D923">
        <v>4</v>
      </c>
      <c r="E923">
        <v>140</v>
      </c>
      <c r="F923">
        <f t="shared" si="42"/>
        <v>560</v>
      </c>
      <c r="G923" t="str">
        <f>VLOOKUP(B923,Orders!$A$2:$D$1201,4,FALSE)</f>
        <v>Shipped</v>
      </c>
      <c r="H923">
        <f t="shared" si="43"/>
        <v>560</v>
      </c>
      <c r="I923" s="12">
        <f>VLOOKUP(B923,Orders!$A$2:$D$1201,3,FALSE)</f>
        <v>46165</v>
      </c>
      <c r="L923" t="str">
        <f>VLOOKUP(C923,Products!$A$2:$D$13,2,FALSE)</f>
        <v>Chair</v>
      </c>
      <c r="M923" t="str">
        <f t="shared" si="44"/>
        <v>2026-05</v>
      </c>
    </row>
    <row r="924" spans="1:13">
      <c r="A924">
        <v>923</v>
      </c>
      <c r="B924">
        <v>1443</v>
      </c>
      <c r="C924">
        <v>4</v>
      </c>
      <c r="D924">
        <v>2</v>
      </c>
      <c r="E924">
        <v>25</v>
      </c>
      <c r="F924">
        <f t="shared" si="42"/>
        <v>50</v>
      </c>
      <c r="G924" t="str">
        <f>VLOOKUP(B924,Orders!$A$2:$D$1201,4,FALSE)</f>
        <v>Delivered</v>
      </c>
      <c r="H924">
        <f t="shared" si="43"/>
        <v>50</v>
      </c>
      <c r="I924" s="12">
        <f>VLOOKUP(B924,Orders!$A$2:$D$1201,3,FALSE)</f>
        <v>46120</v>
      </c>
      <c r="L924" t="str">
        <f>VLOOKUP(C924,Products!$A$2:$D$13,2,FALSE)</f>
        <v>Mouse</v>
      </c>
      <c r="M924" t="str">
        <f t="shared" si="44"/>
        <v>2026-04</v>
      </c>
    </row>
    <row r="925" spans="1:13">
      <c r="A925">
        <v>924</v>
      </c>
      <c r="B925">
        <v>1443</v>
      </c>
      <c r="C925">
        <v>10</v>
      </c>
      <c r="D925">
        <v>4</v>
      </c>
      <c r="E925">
        <v>8</v>
      </c>
      <c r="F925">
        <f t="shared" si="42"/>
        <v>32</v>
      </c>
      <c r="G925" t="str">
        <f>VLOOKUP(B925,Orders!$A$2:$D$1201,4,FALSE)</f>
        <v>Delivered</v>
      </c>
      <c r="H925">
        <f t="shared" si="43"/>
        <v>32</v>
      </c>
      <c r="I925" s="12">
        <f>VLOOKUP(B925,Orders!$A$2:$D$1201,3,FALSE)</f>
        <v>46120</v>
      </c>
      <c r="L925" t="str">
        <f>VLOOKUP(C925,Products!$A$2:$D$13,2,FALSE)</f>
        <v>Notebook</v>
      </c>
      <c r="M925" t="str">
        <f t="shared" si="44"/>
        <v>2026-04</v>
      </c>
    </row>
    <row r="926" spans="1:13">
      <c r="A926">
        <v>925</v>
      </c>
      <c r="B926">
        <v>1444</v>
      </c>
      <c r="C926">
        <v>9</v>
      </c>
      <c r="D926">
        <v>2</v>
      </c>
      <c r="E926">
        <v>30</v>
      </c>
      <c r="F926">
        <f t="shared" si="42"/>
        <v>60</v>
      </c>
      <c r="G926" t="str">
        <f>VLOOKUP(B926,Orders!$A$2:$D$1201,4,FALSE)</f>
        <v>Delivered</v>
      </c>
      <c r="H926">
        <f t="shared" si="43"/>
        <v>60</v>
      </c>
      <c r="I926" s="12">
        <f>VLOOKUP(B926,Orders!$A$2:$D$1201,3,FALSE)</f>
        <v>46056</v>
      </c>
      <c r="L926" t="str">
        <f>VLOOKUP(C926,Products!$A$2:$D$13,2,FALSE)</f>
        <v>Lamp</v>
      </c>
      <c r="M926" t="str">
        <f t="shared" si="44"/>
        <v>2026-02</v>
      </c>
    </row>
    <row r="927" spans="1:13">
      <c r="A927">
        <v>926</v>
      </c>
      <c r="B927">
        <v>1444</v>
      </c>
      <c r="C927">
        <v>11</v>
      </c>
      <c r="D927">
        <v>3</v>
      </c>
      <c r="E927">
        <v>48</v>
      </c>
      <c r="F927">
        <f t="shared" si="42"/>
        <v>144</v>
      </c>
      <c r="G927" t="str">
        <f>VLOOKUP(B927,Orders!$A$2:$D$1201,4,FALSE)</f>
        <v>Delivered</v>
      </c>
      <c r="H927">
        <f t="shared" si="43"/>
        <v>144</v>
      </c>
      <c r="I927" s="12">
        <f>VLOOKUP(B927,Orders!$A$2:$D$1201,3,FALSE)</f>
        <v>46056</v>
      </c>
      <c r="L927" t="str">
        <f>VLOOKUP(C927,Products!$A$2:$D$13,2,FALSE)</f>
        <v>Backpack</v>
      </c>
      <c r="M927" t="str">
        <f t="shared" si="44"/>
        <v>2026-02</v>
      </c>
    </row>
    <row r="928" spans="1:13">
      <c r="A928">
        <v>927</v>
      </c>
      <c r="B928">
        <v>1444</v>
      </c>
      <c r="C928">
        <v>4</v>
      </c>
      <c r="D928">
        <v>2</v>
      </c>
      <c r="E928">
        <v>25</v>
      </c>
      <c r="F928">
        <f t="shared" si="42"/>
        <v>50</v>
      </c>
      <c r="G928" t="str">
        <f>VLOOKUP(B928,Orders!$A$2:$D$1201,4,FALSE)</f>
        <v>Delivered</v>
      </c>
      <c r="H928">
        <f t="shared" si="43"/>
        <v>50</v>
      </c>
      <c r="I928" s="12">
        <f>VLOOKUP(B928,Orders!$A$2:$D$1201,3,FALSE)</f>
        <v>46056</v>
      </c>
      <c r="L928" t="str">
        <f>VLOOKUP(C928,Products!$A$2:$D$13,2,FALSE)</f>
        <v>Mouse</v>
      </c>
      <c r="M928" t="str">
        <f t="shared" si="44"/>
        <v>2026-02</v>
      </c>
    </row>
    <row r="929" spans="1:13">
      <c r="A929">
        <v>928</v>
      </c>
      <c r="B929">
        <v>1445</v>
      </c>
      <c r="C929">
        <v>9</v>
      </c>
      <c r="D929">
        <v>1</v>
      </c>
      <c r="E929">
        <v>30</v>
      </c>
      <c r="F929">
        <f t="shared" si="42"/>
        <v>30</v>
      </c>
      <c r="G929" t="str">
        <f>VLOOKUP(B929,Orders!$A$2:$D$1201,4,FALSE)</f>
        <v>Shipped</v>
      </c>
      <c r="H929">
        <f t="shared" si="43"/>
        <v>30</v>
      </c>
      <c r="I929" s="12">
        <f>VLOOKUP(B929,Orders!$A$2:$D$1201,3,FALSE)</f>
        <v>46167</v>
      </c>
      <c r="L929" t="str">
        <f>VLOOKUP(C929,Products!$A$2:$D$13,2,FALSE)</f>
        <v>Lamp</v>
      </c>
      <c r="M929" t="str">
        <f t="shared" si="44"/>
        <v>2026-05</v>
      </c>
    </row>
    <row r="930" spans="1:13">
      <c r="A930">
        <v>929</v>
      </c>
      <c r="B930">
        <v>1446</v>
      </c>
      <c r="C930">
        <v>5</v>
      </c>
      <c r="D930">
        <v>3</v>
      </c>
      <c r="E930">
        <v>180</v>
      </c>
      <c r="F930">
        <f t="shared" si="42"/>
        <v>540</v>
      </c>
      <c r="G930" t="str">
        <f>VLOOKUP(B930,Orders!$A$2:$D$1201,4,FALSE)</f>
        <v>Delivered</v>
      </c>
      <c r="H930">
        <f t="shared" si="43"/>
        <v>540</v>
      </c>
      <c r="I930" s="12">
        <f>VLOOKUP(B930,Orders!$A$2:$D$1201,3,FALSE)</f>
        <v>46030</v>
      </c>
      <c r="L930" t="str">
        <f>VLOOKUP(C930,Products!$A$2:$D$13,2,FALSE)</f>
        <v>Desk</v>
      </c>
      <c r="M930" t="str">
        <f t="shared" si="44"/>
        <v>2026-01</v>
      </c>
    </row>
    <row r="931" spans="1:13">
      <c r="A931">
        <v>930</v>
      </c>
      <c r="B931">
        <v>1446</v>
      </c>
      <c r="C931">
        <v>8</v>
      </c>
      <c r="D931">
        <v>2</v>
      </c>
      <c r="E931">
        <v>55</v>
      </c>
      <c r="F931">
        <f t="shared" si="42"/>
        <v>110</v>
      </c>
      <c r="G931" t="str">
        <f>VLOOKUP(B931,Orders!$A$2:$D$1201,4,FALSE)</f>
        <v>Delivered</v>
      </c>
      <c r="H931">
        <f t="shared" si="43"/>
        <v>110</v>
      </c>
      <c r="I931" s="12">
        <f>VLOOKUP(B931,Orders!$A$2:$D$1201,3,FALSE)</f>
        <v>46030</v>
      </c>
      <c r="L931" t="str">
        <f>VLOOKUP(C931,Products!$A$2:$D$13,2,FALSE)</f>
        <v>Webcam</v>
      </c>
      <c r="M931" t="str">
        <f t="shared" si="44"/>
        <v>2026-01</v>
      </c>
    </row>
    <row r="932" spans="1:13">
      <c r="A932">
        <v>931</v>
      </c>
      <c r="B932">
        <v>1447</v>
      </c>
      <c r="C932">
        <v>4</v>
      </c>
      <c r="D932">
        <v>2</v>
      </c>
      <c r="E932">
        <v>25</v>
      </c>
      <c r="F932">
        <f t="shared" si="42"/>
        <v>50</v>
      </c>
      <c r="G932" t="str">
        <f>VLOOKUP(B932,Orders!$A$2:$D$1201,4,FALSE)</f>
        <v>Delivered</v>
      </c>
      <c r="H932">
        <f t="shared" si="43"/>
        <v>50</v>
      </c>
      <c r="I932" s="12">
        <f>VLOOKUP(B932,Orders!$A$2:$D$1201,3,FALSE)</f>
        <v>46180</v>
      </c>
      <c r="L932" t="str">
        <f>VLOOKUP(C932,Products!$A$2:$D$13,2,FALSE)</f>
        <v>Mouse</v>
      </c>
      <c r="M932" t="str">
        <f t="shared" si="44"/>
        <v>2026-06</v>
      </c>
    </row>
    <row r="933" spans="1:13">
      <c r="A933">
        <v>932</v>
      </c>
      <c r="B933">
        <v>1447</v>
      </c>
      <c r="C933">
        <v>10</v>
      </c>
      <c r="D933">
        <v>1</v>
      </c>
      <c r="E933">
        <v>8</v>
      </c>
      <c r="F933">
        <f t="shared" si="42"/>
        <v>8</v>
      </c>
      <c r="G933" t="str">
        <f>VLOOKUP(B933,Orders!$A$2:$D$1201,4,FALSE)</f>
        <v>Delivered</v>
      </c>
      <c r="H933">
        <f t="shared" si="43"/>
        <v>8</v>
      </c>
      <c r="I933" s="12">
        <f>VLOOKUP(B933,Orders!$A$2:$D$1201,3,FALSE)</f>
        <v>46180</v>
      </c>
      <c r="L933" t="str">
        <f>VLOOKUP(C933,Products!$A$2:$D$13,2,FALSE)</f>
        <v>Notebook</v>
      </c>
      <c r="M933" t="str">
        <f t="shared" si="44"/>
        <v>2026-06</v>
      </c>
    </row>
    <row r="934" spans="1:13">
      <c r="A934">
        <v>933</v>
      </c>
      <c r="B934">
        <v>1447</v>
      </c>
      <c r="C934">
        <v>12</v>
      </c>
      <c r="D934">
        <v>3</v>
      </c>
      <c r="E934">
        <v>22</v>
      </c>
      <c r="F934">
        <f t="shared" si="42"/>
        <v>66</v>
      </c>
      <c r="G934" t="str">
        <f>VLOOKUP(B934,Orders!$A$2:$D$1201,4,FALSE)</f>
        <v>Delivered</v>
      </c>
      <c r="H934">
        <f t="shared" si="43"/>
        <v>66</v>
      </c>
      <c r="I934" s="12">
        <f>VLOOKUP(B934,Orders!$A$2:$D$1201,3,FALSE)</f>
        <v>46180</v>
      </c>
      <c r="L934" t="str">
        <f>VLOOKUP(C934,Products!$A$2:$D$13,2,FALSE)</f>
        <v>Storage Box</v>
      </c>
      <c r="M934" t="str">
        <f t="shared" si="44"/>
        <v>2026-06</v>
      </c>
    </row>
    <row r="935" spans="1:13">
      <c r="A935">
        <v>934</v>
      </c>
      <c r="B935">
        <v>1448</v>
      </c>
      <c r="C935">
        <v>7</v>
      </c>
      <c r="D935">
        <v>4</v>
      </c>
      <c r="E935">
        <v>65</v>
      </c>
      <c r="F935">
        <f t="shared" si="42"/>
        <v>260</v>
      </c>
      <c r="G935" t="str">
        <f>VLOOKUP(B935,Orders!$A$2:$D$1201,4,FALSE)</f>
        <v>Delivered</v>
      </c>
      <c r="H935">
        <f t="shared" si="43"/>
        <v>260</v>
      </c>
      <c r="I935" s="12">
        <f>VLOOKUP(B935,Orders!$A$2:$D$1201,3,FALSE)</f>
        <v>46143</v>
      </c>
      <c r="L935" t="str">
        <f>VLOOKUP(C935,Products!$A$2:$D$13,2,FALSE)</f>
        <v>Headphones</v>
      </c>
      <c r="M935" t="str">
        <f t="shared" si="44"/>
        <v>2026-05</v>
      </c>
    </row>
    <row r="936" spans="1:13">
      <c r="A936">
        <v>935</v>
      </c>
      <c r="B936">
        <v>1449</v>
      </c>
      <c r="C936">
        <v>12</v>
      </c>
      <c r="D936">
        <v>2</v>
      </c>
      <c r="E936">
        <v>22</v>
      </c>
      <c r="F936">
        <f t="shared" si="42"/>
        <v>44</v>
      </c>
      <c r="G936" t="str">
        <f>VLOOKUP(B936,Orders!$A$2:$D$1201,4,FALSE)</f>
        <v>Shipped</v>
      </c>
      <c r="H936">
        <f t="shared" si="43"/>
        <v>44</v>
      </c>
      <c r="I936" s="12">
        <f>VLOOKUP(B936,Orders!$A$2:$D$1201,3,FALSE)</f>
        <v>46026</v>
      </c>
      <c r="L936" t="str">
        <f>VLOOKUP(C936,Products!$A$2:$D$13,2,FALSE)</f>
        <v>Storage Box</v>
      </c>
      <c r="M936" t="str">
        <f t="shared" si="44"/>
        <v>2026-01</v>
      </c>
    </row>
    <row r="937" spans="1:13">
      <c r="A937">
        <v>936</v>
      </c>
      <c r="B937">
        <v>1450</v>
      </c>
      <c r="C937">
        <v>8</v>
      </c>
      <c r="D937">
        <v>2</v>
      </c>
      <c r="E937">
        <v>55</v>
      </c>
      <c r="F937">
        <f t="shared" si="42"/>
        <v>110</v>
      </c>
      <c r="G937" t="str">
        <f>VLOOKUP(B937,Orders!$A$2:$D$1201,4,FALSE)</f>
        <v>Shipped</v>
      </c>
      <c r="H937">
        <f t="shared" si="43"/>
        <v>110</v>
      </c>
      <c r="I937" s="12">
        <f>VLOOKUP(B937,Orders!$A$2:$D$1201,3,FALSE)</f>
        <v>46068</v>
      </c>
      <c r="L937" t="str">
        <f>VLOOKUP(C937,Products!$A$2:$D$13,2,FALSE)</f>
        <v>Webcam</v>
      </c>
      <c r="M937" t="str">
        <f t="shared" si="44"/>
        <v>2026-02</v>
      </c>
    </row>
    <row r="938" spans="1:13">
      <c r="A938">
        <v>937</v>
      </c>
      <c r="B938">
        <v>1450</v>
      </c>
      <c r="C938">
        <v>6</v>
      </c>
      <c r="D938">
        <v>4</v>
      </c>
      <c r="E938">
        <v>140</v>
      </c>
      <c r="F938">
        <f t="shared" si="42"/>
        <v>560</v>
      </c>
      <c r="G938" t="str">
        <f>VLOOKUP(B938,Orders!$A$2:$D$1201,4,FALSE)</f>
        <v>Shipped</v>
      </c>
      <c r="H938">
        <f t="shared" si="43"/>
        <v>560</v>
      </c>
      <c r="I938" s="12">
        <f>VLOOKUP(B938,Orders!$A$2:$D$1201,3,FALSE)</f>
        <v>46068</v>
      </c>
      <c r="L938" t="str">
        <f>VLOOKUP(C938,Products!$A$2:$D$13,2,FALSE)</f>
        <v>Chair</v>
      </c>
      <c r="M938" t="str">
        <f t="shared" si="44"/>
        <v>2026-02</v>
      </c>
    </row>
    <row r="939" spans="1:13">
      <c r="A939">
        <v>938</v>
      </c>
      <c r="B939">
        <v>1450</v>
      </c>
      <c r="C939">
        <v>12</v>
      </c>
      <c r="D939">
        <v>4</v>
      </c>
      <c r="E939">
        <v>22</v>
      </c>
      <c r="F939">
        <f t="shared" si="42"/>
        <v>88</v>
      </c>
      <c r="G939" t="str">
        <f>VLOOKUP(B939,Orders!$A$2:$D$1201,4,FALSE)</f>
        <v>Shipped</v>
      </c>
      <c r="H939">
        <f t="shared" si="43"/>
        <v>88</v>
      </c>
      <c r="I939" s="12">
        <f>VLOOKUP(B939,Orders!$A$2:$D$1201,3,FALSE)</f>
        <v>46068</v>
      </c>
      <c r="L939" t="str">
        <f>VLOOKUP(C939,Products!$A$2:$D$13,2,FALSE)</f>
        <v>Storage Box</v>
      </c>
      <c r="M939" t="str">
        <f t="shared" si="44"/>
        <v>2026-02</v>
      </c>
    </row>
    <row r="940" spans="1:13">
      <c r="A940">
        <v>939</v>
      </c>
      <c r="B940">
        <v>1451</v>
      </c>
      <c r="C940">
        <v>12</v>
      </c>
      <c r="D940">
        <v>1</v>
      </c>
      <c r="E940">
        <v>22</v>
      </c>
      <c r="F940">
        <f t="shared" si="42"/>
        <v>22</v>
      </c>
      <c r="G940" t="str">
        <f>VLOOKUP(B940,Orders!$A$2:$D$1201,4,FALSE)</f>
        <v>Delivered</v>
      </c>
      <c r="H940">
        <f t="shared" si="43"/>
        <v>22</v>
      </c>
      <c r="I940" s="12">
        <f>VLOOKUP(B940,Orders!$A$2:$D$1201,3,FALSE)</f>
        <v>46120</v>
      </c>
      <c r="L940" t="str">
        <f>VLOOKUP(C940,Products!$A$2:$D$13,2,FALSE)</f>
        <v>Storage Box</v>
      </c>
      <c r="M940" t="str">
        <f t="shared" si="44"/>
        <v>2026-04</v>
      </c>
    </row>
    <row r="941" spans="1:13">
      <c r="A941">
        <v>940</v>
      </c>
      <c r="B941">
        <v>1451</v>
      </c>
      <c r="C941">
        <v>10</v>
      </c>
      <c r="D941">
        <v>1</v>
      </c>
      <c r="E941">
        <v>8</v>
      </c>
      <c r="F941">
        <f t="shared" si="42"/>
        <v>8</v>
      </c>
      <c r="G941" t="str">
        <f>VLOOKUP(B941,Orders!$A$2:$D$1201,4,FALSE)</f>
        <v>Delivered</v>
      </c>
      <c r="H941">
        <f t="shared" si="43"/>
        <v>8</v>
      </c>
      <c r="I941" s="12">
        <f>VLOOKUP(B941,Orders!$A$2:$D$1201,3,FALSE)</f>
        <v>46120</v>
      </c>
      <c r="L941" t="str">
        <f>VLOOKUP(C941,Products!$A$2:$D$13,2,FALSE)</f>
        <v>Notebook</v>
      </c>
      <c r="M941" t="str">
        <f t="shared" si="44"/>
        <v>2026-04</v>
      </c>
    </row>
    <row r="942" spans="1:13">
      <c r="A942">
        <v>941</v>
      </c>
      <c r="B942">
        <v>1451</v>
      </c>
      <c r="C942">
        <v>11</v>
      </c>
      <c r="D942">
        <v>4</v>
      </c>
      <c r="E942">
        <v>48</v>
      </c>
      <c r="F942">
        <f t="shared" si="42"/>
        <v>192</v>
      </c>
      <c r="G942" t="str">
        <f>VLOOKUP(B942,Orders!$A$2:$D$1201,4,FALSE)</f>
        <v>Delivered</v>
      </c>
      <c r="H942">
        <f t="shared" si="43"/>
        <v>192</v>
      </c>
      <c r="I942" s="12">
        <f>VLOOKUP(B942,Orders!$A$2:$D$1201,3,FALSE)</f>
        <v>46120</v>
      </c>
      <c r="L942" t="str">
        <f>VLOOKUP(C942,Products!$A$2:$D$13,2,FALSE)</f>
        <v>Backpack</v>
      </c>
      <c r="M942" t="str">
        <f t="shared" si="44"/>
        <v>2026-04</v>
      </c>
    </row>
    <row r="943" spans="1:13">
      <c r="A943">
        <v>942</v>
      </c>
      <c r="B943">
        <v>1452</v>
      </c>
      <c r="C943">
        <v>7</v>
      </c>
      <c r="D943">
        <v>2</v>
      </c>
      <c r="E943">
        <v>65</v>
      </c>
      <c r="F943">
        <f t="shared" si="42"/>
        <v>130</v>
      </c>
      <c r="G943" t="str">
        <f>VLOOKUP(B943,Orders!$A$2:$D$1201,4,FALSE)</f>
        <v>Delivered</v>
      </c>
      <c r="H943">
        <f t="shared" si="43"/>
        <v>130</v>
      </c>
      <c r="I943" s="12">
        <f>VLOOKUP(B943,Orders!$A$2:$D$1201,3,FALSE)</f>
        <v>46155</v>
      </c>
      <c r="L943" t="str">
        <f>VLOOKUP(C943,Products!$A$2:$D$13,2,FALSE)</f>
        <v>Headphones</v>
      </c>
      <c r="M943" t="str">
        <f t="shared" si="44"/>
        <v>2026-05</v>
      </c>
    </row>
    <row r="944" spans="1:13">
      <c r="A944">
        <v>943</v>
      </c>
      <c r="B944">
        <v>1452</v>
      </c>
      <c r="C944">
        <v>9</v>
      </c>
      <c r="D944">
        <v>3</v>
      </c>
      <c r="E944">
        <v>30</v>
      </c>
      <c r="F944">
        <f t="shared" si="42"/>
        <v>90</v>
      </c>
      <c r="G944" t="str">
        <f>VLOOKUP(B944,Orders!$A$2:$D$1201,4,FALSE)</f>
        <v>Delivered</v>
      </c>
      <c r="H944">
        <f t="shared" si="43"/>
        <v>90</v>
      </c>
      <c r="I944" s="12">
        <f>VLOOKUP(B944,Orders!$A$2:$D$1201,3,FALSE)</f>
        <v>46155</v>
      </c>
      <c r="L944" t="str">
        <f>VLOOKUP(C944,Products!$A$2:$D$13,2,FALSE)</f>
        <v>Lamp</v>
      </c>
      <c r="M944" t="str">
        <f t="shared" si="44"/>
        <v>2026-05</v>
      </c>
    </row>
    <row r="945" spans="1:13">
      <c r="A945">
        <v>944</v>
      </c>
      <c r="B945">
        <v>1452</v>
      </c>
      <c r="C945">
        <v>1</v>
      </c>
      <c r="D945">
        <v>4</v>
      </c>
      <c r="E945">
        <v>750</v>
      </c>
      <c r="F945">
        <f t="shared" si="42"/>
        <v>3000</v>
      </c>
      <c r="G945" t="str">
        <f>VLOOKUP(B945,Orders!$A$2:$D$1201,4,FALSE)</f>
        <v>Delivered</v>
      </c>
      <c r="H945">
        <f t="shared" si="43"/>
        <v>3000</v>
      </c>
      <c r="I945" s="12">
        <f>VLOOKUP(B945,Orders!$A$2:$D$1201,3,FALSE)</f>
        <v>46155</v>
      </c>
      <c r="L945" t="str">
        <f>VLOOKUP(C945,Products!$A$2:$D$13,2,FALSE)</f>
        <v>Laptop</v>
      </c>
      <c r="M945" t="str">
        <f t="shared" si="44"/>
        <v>2026-05</v>
      </c>
    </row>
    <row r="946" spans="1:13">
      <c r="A946">
        <v>945</v>
      </c>
      <c r="B946">
        <v>1453</v>
      </c>
      <c r="C946">
        <v>9</v>
      </c>
      <c r="D946">
        <v>4</v>
      </c>
      <c r="E946">
        <v>30</v>
      </c>
      <c r="F946">
        <f t="shared" si="42"/>
        <v>120</v>
      </c>
      <c r="G946" t="str">
        <f>VLOOKUP(B946,Orders!$A$2:$D$1201,4,FALSE)</f>
        <v>Delivered</v>
      </c>
      <c r="H946">
        <f t="shared" si="43"/>
        <v>120</v>
      </c>
      <c r="I946" s="12">
        <f>VLOOKUP(B946,Orders!$A$2:$D$1201,3,FALSE)</f>
        <v>46065</v>
      </c>
      <c r="L946" t="str">
        <f>VLOOKUP(C946,Products!$A$2:$D$13,2,FALSE)</f>
        <v>Lamp</v>
      </c>
      <c r="M946" t="str">
        <f t="shared" si="44"/>
        <v>2026-02</v>
      </c>
    </row>
    <row r="947" spans="1:13">
      <c r="A947">
        <v>946</v>
      </c>
      <c r="B947">
        <v>1453</v>
      </c>
      <c r="C947">
        <v>3</v>
      </c>
      <c r="D947">
        <v>1</v>
      </c>
      <c r="E947">
        <v>45</v>
      </c>
      <c r="F947">
        <f t="shared" si="42"/>
        <v>45</v>
      </c>
      <c r="G947" t="str">
        <f>VLOOKUP(B947,Orders!$A$2:$D$1201,4,FALSE)</f>
        <v>Delivered</v>
      </c>
      <c r="H947">
        <f t="shared" si="43"/>
        <v>45</v>
      </c>
      <c r="I947" s="12">
        <f>VLOOKUP(B947,Orders!$A$2:$D$1201,3,FALSE)</f>
        <v>46065</v>
      </c>
      <c r="L947" t="str">
        <f>VLOOKUP(C947,Products!$A$2:$D$13,2,FALSE)</f>
        <v>Keyboard</v>
      </c>
      <c r="M947" t="str">
        <f t="shared" si="44"/>
        <v>2026-02</v>
      </c>
    </row>
    <row r="948" spans="1:13">
      <c r="A948">
        <v>947</v>
      </c>
      <c r="B948">
        <v>1453</v>
      </c>
      <c r="C948">
        <v>8</v>
      </c>
      <c r="D948">
        <v>1</v>
      </c>
      <c r="E948">
        <v>55</v>
      </c>
      <c r="F948">
        <f t="shared" si="42"/>
        <v>55</v>
      </c>
      <c r="G948" t="str">
        <f>VLOOKUP(B948,Orders!$A$2:$D$1201,4,FALSE)</f>
        <v>Delivered</v>
      </c>
      <c r="H948">
        <f t="shared" si="43"/>
        <v>55</v>
      </c>
      <c r="I948" s="12">
        <f>VLOOKUP(B948,Orders!$A$2:$D$1201,3,FALSE)</f>
        <v>46065</v>
      </c>
      <c r="L948" t="str">
        <f>VLOOKUP(C948,Products!$A$2:$D$13,2,FALSE)</f>
        <v>Webcam</v>
      </c>
      <c r="M948" t="str">
        <f t="shared" si="44"/>
        <v>2026-02</v>
      </c>
    </row>
    <row r="949" spans="1:13">
      <c r="A949">
        <v>948</v>
      </c>
      <c r="B949">
        <v>1454</v>
      </c>
      <c r="C949">
        <v>1</v>
      </c>
      <c r="D949">
        <v>4</v>
      </c>
      <c r="E949">
        <v>750</v>
      </c>
      <c r="F949">
        <f t="shared" si="42"/>
        <v>3000</v>
      </c>
      <c r="G949" t="str">
        <f>VLOOKUP(B949,Orders!$A$2:$D$1201,4,FALSE)</f>
        <v>Delivered</v>
      </c>
      <c r="H949">
        <f t="shared" si="43"/>
        <v>3000</v>
      </c>
      <c r="I949" s="12">
        <f>VLOOKUP(B949,Orders!$A$2:$D$1201,3,FALSE)</f>
        <v>46057</v>
      </c>
      <c r="L949" t="str">
        <f>VLOOKUP(C949,Products!$A$2:$D$13,2,FALSE)</f>
        <v>Laptop</v>
      </c>
      <c r="M949" t="str">
        <f t="shared" si="44"/>
        <v>2026-02</v>
      </c>
    </row>
    <row r="950" spans="1:13">
      <c r="A950">
        <v>949</v>
      </c>
      <c r="B950">
        <v>1454</v>
      </c>
      <c r="C950">
        <v>3</v>
      </c>
      <c r="D950">
        <v>2</v>
      </c>
      <c r="E950">
        <v>45</v>
      </c>
      <c r="F950">
        <f t="shared" si="42"/>
        <v>90</v>
      </c>
      <c r="G950" t="str">
        <f>VLOOKUP(B950,Orders!$A$2:$D$1201,4,FALSE)</f>
        <v>Delivered</v>
      </c>
      <c r="H950">
        <f t="shared" si="43"/>
        <v>90</v>
      </c>
      <c r="I950" s="12">
        <f>VLOOKUP(B950,Orders!$A$2:$D$1201,3,FALSE)</f>
        <v>46057</v>
      </c>
      <c r="L950" t="str">
        <f>VLOOKUP(C950,Products!$A$2:$D$13,2,FALSE)</f>
        <v>Keyboard</v>
      </c>
      <c r="M950" t="str">
        <f t="shared" si="44"/>
        <v>2026-02</v>
      </c>
    </row>
    <row r="951" spans="1:13">
      <c r="A951">
        <v>950</v>
      </c>
      <c r="B951">
        <v>1455</v>
      </c>
      <c r="C951">
        <v>2</v>
      </c>
      <c r="D951">
        <v>4</v>
      </c>
      <c r="E951">
        <v>220</v>
      </c>
      <c r="F951">
        <f t="shared" si="42"/>
        <v>880</v>
      </c>
      <c r="G951" t="str">
        <f>VLOOKUP(B951,Orders!$A$2:$D$1201,4,FALSE)</f>
        <v>Delivered</v>
      </c>
      <c r="H951">
        <f t="shared" si="43"/>
        <v>880</v>
      </c>
      <c r="I951" s="12">
        <f>VLOOKUP(B951,Orders!$A$2:$D$1201,3,FALSE)</f>
        <v>46064</v>
      </c>
      <c r="L951" t="str">
        <f>VLOOKUP(C951,Products!$A$2:$D$13,2,FALSE)</f>
        <v>Monitor</v>
      </c>
      <c r="M951" t="str">
        <f t="shared" si="44"/>
        <v>2026-02</v>
      </c>
    </row>
    <row r="952" spans="1:13">
      <c r="A952">
        <v>951</v>
      </c>
      <c r="B952">
        <v>1456</v>
      </c>
      <c r="C952">
        <v>9</v>
      </c>
      <c r="D952">
        <v>1</v>
      </c>
      <c r="E952">
        <v>30</v>
      </c>
      <c r="F952">
        <f t="shared" si="42"/>
        <v>30</v>
      </c>
      <c r="G952" t="str">
        <f>VLOOKUP(B952,Orders!$A$2:$D$1201,4,FALSE)</f>
        <v>Delivered</v>
      </c>
      <c r="H952">
        <f t="shared" si="43"/>
        <v>30</v>
      </c>
      <c r="I952" s="12">
        <f>VLOOKUP(B952,Orders!$A$2:$D$1201,3,FALSE)</f>
        <v>46153</v>
      </c>
      <c r="L952" t="str">
        <f>VLOOKUP(C952,Products!$A$2:$D$13,2,FALSE)</f>
        <v>Lamp</v>
      </c>
      <c r="M952" t="str">
        <f t="shared" si="44"/>
        <v>2026-05</v>
      </c>
    </row>
    <row r="953" spans="1:13">
      <c r="A953">
        <v>952</v>
      </c>
      <c r="B953">
        <v>1456</v>
      </c>
      <c r="C953">
        <v>7</v>
      </c>
      <c r="D953">
        <v>2</v>
      </c>
      <c r="E953">
        <v>65</v>
      </c>
      <c r="F953">
        <f t="shared" si="42"/>
        <v>130</v>
      </c>
      <c r="G953" t="str">
        <f>VLOOKUP(B953,Orders!$A$2:$D$1201,4,FALSE)</f>
        <v>Delivered</v>
      </c>
      <c r="H953">
        <f t="shared" si="43"/>
        <v>130</v>
      </c>
      <c r="I953" s="12">
        <f>VLOOKUP(B953,Orders!$A$2:$D$1201,3,FALSE)</f>
        <v>46153</v>
      </c>
      <c r="L953" t="str">
        <f>VLOOKUP(C953,Products!$A$2:$D$13,2,FALSE)</f>
        <v>Headphones</v>
      </c>
      <c r="M953" t="str">
        <f t="shared" si="44"/>
        <v>2026-05</v>
      </c>
    </row>
    <row r="954" spans="1:13">
      <c r="A954">
        <v>953</v>
      </c>
      <c r="B954">
        <v>1457</v>
      </c>
      <c r="C954">
        <v>1</v>
      </c>
      <c r="D954">
        <v>3</v>
      </c>
      <c r="E954">
        <v>750</v>
      </c>
      <c r="F954">
        <f t="shared" si="42"/>
        <v>2250</v>
      </c>
      <c r="G954" t="str">
        <f>VLOOKUP(B954,Orders!$A$2:$D$1201,4,FALSE)</f>
        <v>Cancelled</v>
      </c>
      <c r="H954">
        <f t="shared" si="43"/>
        <v>0</v>
      </c>
      <c r="I954" s="12">
        <f>VLOOKUP(B954,Orders!$A$2:$D$1201,3,FALSE)</f>
        <v>46064</v>
      </c>
      <c r="L954" t="str">
        <f>VLOOKUP(C954,Products!$A$2:$D$13,2,FALSE)</f>
        <v>Laptop</v>
      </c>
      <c r="M954" t="str">
        <f t="shared" si="44"/>
        <v>2026-02</v>
      </c>
    </row>
    <row r="955" spans="1:13">
      <c r="A955">
        <v>954</v>
      </c>
      <c r="B955">
        <v>1457</v>
      </c>
      <c r="C955">
        <v>7</v>
      </c>
      <c r="D955">
        <v>4</v>
      </c>
      <c r="E955">
        <v>65</v>
      </c>
      <c r="F955">
        <f t="shared" si="42"/>
        <v>260</v>
      </c>
      <c r="G955" t="str">
        <f>VLOOKUP(B955,Orders!$A$2:$D$1201,4,FALSE)</f>
        <v>Cancelled</v>
      </c>
      <c r="H955">
        <f t="shared" si="43"/>
        <v>0</v>
      </c>
      <c r="I955" s="12">
        <f>VLOOKUP(B955,Orders!$A$2:$D$1201,3,FALSE)</f>
        <v>46064</v>
      </c>
      <c r="L955" t="str">
        <f>VLOOKUP(C955,Products!$A$2:$D$13,2,FALSE)</f>
        <v>Headphones</v>
      </c>
      <c r="M955" t="str">
        <f t="shared" si="44"/>
        <v>2026-02</v>
      </c>
    </row>
    <row r="956" spans="1:13">
      <c r="A956">
        <v>955</v>
      </c>
      <c r="B956">
        <v>1457</v>
      </c>
      <c r="C956">
        <v>5</v>
      </c>
      <c r="D956">
        <v>3</v>
      </c>
      <c r="E956">
        <v>180</v>
      </c>
      <c r="F956">
        <f t="shared" si="42"/>
        <v>540</v>
      </c>
      <c r="G956" t="str">
        <f>VLOOKUP(B956,Orders!$A$2:$D$1201,4,FALSE)</f>
        <v>Cancelled</v>
      </c>
      <c r="H956">
        <f t="shared" si="43"/>
        <v>0</v>
      </c>
      <c r="I956" s="12">
        <f>VLOOKUP(B956,Orders!$A$2:$D$1201,3,FALSE)</f>
        <v>46064</v>
      </c>
      <c r="L956" t="str">
        <f>VLOOKUP(C956,Products!$A$2:$D$13,2,FALSE)</f>
        <v>Desk</v>
      </c>
      <c r="M956" t="str">
        <f t="shared" si="44"/>
        <v>2026-02</v>
      </c>
    </row>
    <row r="957" spans="1:13">
      <c r="A957">
        <v>956</v>
      </c>
      <c r="B957">
        <v>1458</v>
      </c>
      <c r="C957">
        <v>1</v>
      </c>
      <c r="D957">
        <v>3</v>
      </c>
      <c r="E957">
        <v>750</v>
      </c>
      <c r="F957">
        <f t="shared" si="42"/>
        <v>2250</v>
      </c>
      <c r="G957" t="str">
        <f>VLOOKUP(B957,Orders!$A$2:$D$1201,4,FALSE)</f>
        <v>Delivered</v>
      </c>
      <c r="H957">
        <f t="shared" si="43"/>
        <v>2250</v>
      </c>
      <c r="I957" s="12">
        <f>VLOOKUP(B957,Orders!$A$2:$D$1201,3,FALSE)</f>
        <v>46183</v>
      </c>
      <c r="L957" t="str">
        <f>VLOOKUP(C957,Products!$A$2:$D$13,2,FALSE)</f>
        <v>Laptop</v>
      </c>
      <c r="M957" t="str">
        <f t="shared" si="44"/>
        <v>2026-06</v>
      </c>
    </row>
    <row r="958" spans="1:13">
      <c r="A958">
        <v>957</v>
      </c>
      <c r="B958">
        <v>1459</v>
      </c>
      <c r="C958">
        <v>10</v>
      </c>
      <c r="D958">
        <v>4</v>
      </c>
      <c r="E958">
        <v>8</v>
      </c>
      <c r="F958">
        <f t="shared" si="42"/>
        <v>32</v>
      </c>
      <c r="G958" t="str">
        <f>VLOOKUP(B958,Orders!$A$2:$D$1201,4,FALSE)</f>
        <v>Cancelled</v>
      </c>
      <c r="H958">
        <f t="shared" si="43"/>
        <v>0</v>
      </c>
      <c r="I958" s="12">
        <f>VLOOKUP(B958,Orders!$A$2:$D$1201,3,FALSE)</f>
        <v>46178</v>
      </c>
      <c r="L958" t="str">
        <f>VLOOKUP(C958,Products!$A$2:$D$13,2,FALSE)</f>
        <v>Notebook</v>
      </c>
      <c r="M958" t="str">
        <f t="shared" si="44"/>
        <v>2026-06</v>
      </c>
    </row>
    <row r="959" spans="1:13">
      <c r="A959">
        <v>958</v>
      </c>
      <c r="B959">
        <v>1460</v>
      </c>
      <c r="C959">
        <v>10</v>
      </c>
      <c r="D959">
        <v>3</v>
      </c>
      <c r="E959">
        <v>8</v>
      </c>
      <c r="F959">
        <f t="shared" si="42"/>
        <v>24</v>
      </c>
      <c r="G959" t="str">
        <f>VLOOKUP(B959,Orders!$A$2:$D$1201,4,FALSE)</f>
        <v>Delivered</v>
      </c>
      <c r="H959">
        <f t="shared" si="43"/>
        <v>24</v>
      </c>
      <c r="I959" s="12">
        <f>VLOOKUP(B959,Orders!$A$2:$D$1201,3,FALSE)</f>
        <v>46139</v>
      </c>
      <c r="L959" t="str">
        <f>VLOOKUP(C959,Products!$A$2:$D$13,2,FALSE)</f>
        <v>Notebook</v>
      </c>
      <c r="M959" t="str">
        <f t="shared" si="44"/>
        <v>2026-04</v>
      </c>
    </row>
    <row r="960" spans="1:13">
      <c r="A960">
        <v>959</v>
      </c>
      <c r="B960">
        <v>1460</v>
      </c>
      <c r="C960">
        <v>1</v>
      </c>
      <c r="D960">
        <v>2</v>
      </c>
      <c r="E960">
        <v>750</v>
      </c>
      <c r="F960">
        <f t="shared" si="42"/>
        <v>1500</v>
      </c>
      <c r="G960" t="str">
        <f>VLOOKUP(B960,Orders!$A$2:$D$1201,4,FALSE)</f>
        <v>Delivered</v>
      </c>
      <c r="H960">
        <f t="shared" si="43"/>
        <v>1500</v>
      </c>
      <c r="I960" s="12">
        <f>VLOOKUP(B960,Orders!$A$2:$D$1201,3,FALSE)</f>
        <v>46139</v>
      </c>
      <c r="L960" t="str">
        <f>VLOOKUP(C960,Products!$A$2:$D$13,2,FALSE)</f>
        <v>Laptop</v>
      </c>
      <c r="M960" t="str">
        <f t="shared" si="44"/>
        <v>2026-04</v>
      </c>
    </row>
    <row r="961" spans="1:13">
      <c r="A961">
        <v>960</v>
      </c>
      <c r="B961">
        <v>1460</v>
      </c>
      <c r="C961">
        <v>4</v>
      </c>
      <c r="D961">
        <v>1</v>
      </c>
      <c r="E961">
        <v>25</v>
      </c>
      <c r="F961">
        <f t="shared" si="42"/>
        <v>25</v>
      </c>
      <c r="G961" t="str">
        <f>VLOOKUP(B961,Orders!$A$2:$D$1201,4,FALSE)</f>
        <v>Delivered</v>
      </c>
      <c r="H961">
        <f t="shared" si="43"/>
        <v>25</v>
      </c>
      <c r="I961" s="12">
        <f>VLOOKUP(B961,Orders!$A$2:$D$1201,3,FALSE)</f>
        <v>46139</v>
      </c>
      <c r="L961" t="str">
        <f>VLOOKUP(C961,Products!$A$2:$D$13,2,FALSE)</f>
        <v>Mouse</v>
      </c>
      <c r="M961" t="str">
        <f t="shared" si="44"/>
        <v>2026-04</v>
      </c>
    </row>
    <row r="962" spans="1:13">
      <c r="A962">
        <v>961</v>
      </c>
      <c r="B962">
        <v>1461</v>
      </c>
      <c r="C962">
        <v>2</v>
      </c>
      <c r="D962">
        <v>1</v>
      </c>
      <c r="E962">
        <v>220</v>
      </c>
      <c r="F962">
        <f t="shared" si="42"/>
        <v>220</v>
      </c>
      <c r="G962" t="str">
        <f>VLOOKUP(B962,Orders!$A$2:$D$1201,4,FALSE)</f>
        <v>Delivered</v>
      </c>
      <c r="H962">
        <f t="shared" si="43"/>
        <v>220</v>
      </c>
      <c r="I962" s="12">
        <f>VLOOKUP(B962,Orders!$A$2:$D$1201,3,FALSE)</f>
        <v>46031</v>
      </c>
      <c r="L962" t="str">
        <f>VLOOKUP(C962,Products!$A$2:$D$13,2,FALSE)</f>
        <v>Monitor</v>
      </c>
      <c r="M962" t="str">
        <f t="shared" si="44"/>
        <v>2026-01</v>
      </c>
    </row>
    <row r="963" spans="1:13">
      <c r="A963">
        <v>962</v>
      </c>
      <c r="B963">
        <v>1461</v>
      </c>
      <c r="C963">
        <v>1</v>
      </c>
      <c r="D963">
        <v>4</v>
      </c>
      <c r="E963">
        <v>750</v>
      </c>
      <c r="F963">
        <f t="shared" ref="F963:F1026" si="45">D963*E963</f>
        <v>3000</v>
      </c>
      <c r="G963" t="str">
        <f>VLOOKUP(B963,Orders!$A$2:$D$1201,4,FALSE)</f>
        <v>Delivered</v>
      </c>
      <c r="H963">
        <f t="shared" ref="H963:H1026" si="46">IF(G963="Cancelled",0,F963)</f>
        <v>3000</v>
      </c>
      <c r="I963" s="12">
        <f>VLOOKUP(B963,Orders!$A$2:$D$1201,3,FALSE)</f>
        <v>46031</v>
      </c>
      <c r="L963" t="str">
        <f>VLOOKUP(C963,Products!$A$2:$D$13,2,FALSE)</f>
        <v>Laptop</v>
      </c>
      <c r="M963" t="str">
        <f t="shared" ref="M963:M1026" si="47">TEXT(I963,"yyyy-mm")</f>
        <v>2026-01</v>
      </c>
    </row>
    <row r="964" spans="1:13">
      <c r="A964">
        <v>963</v>
      </c>
      <c r="B964">
        <v>1462</v>
      </c>
      <c r="C964">
        <v>3</v>
      </c>
      <c r="D964">
        <v>3</v>
      </c>
      <c r="E964">
        <v>45</v>
      </c>
      <c r="F964">
        <f t="shared" si="45"/>
        <v>135</v>
      </c>
      <c r="G964" t="str">
        <f>VLOOKUP(B964,Orders!$A$2:$D$1201,4,FALSE)</f>
        <v>Delivered</v>
      </c>
      <c r="H964">
        <f t="shared" si="46"/>
        <v>135</v>
      </c>
      <c r="I964" s="12">
        <f>VLOOKUP(B964,Orders!$A$2:$D$1201,3,FALSE)</f>
        <v>46200</v>
      </c>
      <c r="L964" t="str">
        <f>VLOOKUP(C964,Products!$A$2:$D$13,2,FALSE)</f>
        <v>Keyboard</v>
      </c>
      <c r="M964" t="str">
        <f t="shared" si="47"/>
        <v>2026-06</v>
      </c>
    </row>
    <row r="965" spans="1:13">
      <c r="A965">
        <v>964</v>
      </c>
      <c r="B965">
        <v>1462</v>
      </c>
      <c r="C965">
        <v>8</v>
      </c>
      <c r="D965">
        <v>1</v>
      </c>
      <c r="E965">
        <v>55</v>
      </c>
      <c r="F965">
        <f t="shared" si="45"/>
        <v>55</v>
      </c>
      <c r="G965" t="str">
        <f>VLOOKUP(B965,Orders!$A$2:$D$1201,4,FALSE)</f>
        <v>Delivered</v>
      </c>
      <c r="H965">
        <f t="shared" si="46"/>
        <v>55</v>
      </c>
      <c r="I965" s="12">
        <f>VLOOKUP(B965,Orders!$A$2:$D$1201,3,FALSE)</f>
        <v>46200</v>
      </c>
      <c r="L965" t="str">
        <f>VLOOKUP(C965,Products!$A$2:$D$13,2,FALSE)</f>
        <v>Webcam</v>
      </c>
      <c r="M965" t="str">
        <f t="shared" si="47"/>
        <v>2026-06</v>
      </c>
    </row>
    <row r="966" spans="1:13">
      <c r="A966">
        <v>965</v>
      </c>
      <c r="B966">
        <v>1462</v>
      </c>
      <c r="C966">
        <v>10</v>
      </c>
      <c r="D966">
        <v>1</v>
      </c>
      <c r="E966">
        <v>8</v>
      </c>
      <c r="F966">
        <f t="shared" si="45"/>
        <v>8</v>
      </c>
      <c r="G966" t="str">
        <f>VLOOKUP(B966,Orders!$A$2:$D$1201,4,FALSE)</f>
        <v>Delivered</v>
      </c>
      <c r="H966">
        <f t="shared" si="46"/>
        <v>8</v>
      </c>
      <c r="I966" s="12">
        <f>VLOOKUP(B966,Orders!$A$2:$D$1201,3,FALSE)</f>
        <v>46200</v>
      </c>
      <c r="L966" t="str">
        <f>VLOOKUP(C966,Products!$A$2:$D$13,2,FALSE)</f>
        <v>Notebook</v>
      </c>
      <c r="M966" t="str">
        <f t="shared" si="47"/>
        <v>2026-06</v>
      </c>
    </row>
    <row r="967" spans="1:13">
      <c r="A967">
        <v>966</v>
      </c>
      <c r="B967">
        <v>1463</v>
      </c>
      <c r="C967">
        <v>8</v>
      </c>
      <c r="D967">
        <v>1</v>
      </c>
      <c r="E967">
        <v>55</v>
      </c>
      <c r="F967">
        <f t="shared" si="45"/>
        <v>55</v>
      </c>
      <c r="G967" t="str">
        <f>VLOOKUP(B967,Orders!$A$2:$D$1201,4,FALSE)</f>
        <v>Delivered</v>
      </c>
      <c r="H967">
        <f t="shared" si="46"/>
        <v>55</v>
      </c>
      <c r="I967" s="12">
        <f>VLOOKUP(B967,Orders!$A$2:$D$1201,3,FALSE)</f>
        <v>46132</v>
      </c>
      <c r="L967" t="str">
        <f>VLOOKUP(C967,Products!$A$2:$D$13,2,FALSE)</f>
        <v>Webcam</v>
      </c>
      <c r="M967" t="str">
        <f t="shared" si="47"/>
        <v>2026-04</v>
      </c>
    </row>
    <row r="968" spans="1:13">
      <c r="A968">
        <v>967</v>
      </c>
      <c r="B968">
        <v>1463</v>
      </c>
      <c r="C968">
        <v>3</v>
      </c>
      <c r="D968">
        <v>3</v>
      </c>
      <c r="E968">
        <v>45</v>
      </c>
      <c r="F968">
        <f t="shared" si="45"/>
        <v>135</v>
      </c>
      <c r="G968" t="str">
        <f>VLOOKUP(B968,Orders!$A$2:$D$1201,4,FALSE)</f>
        <v>Delivered</v>
      </c>
      <c r="H968">
        <f t="shared" si="46"/>
        <v>135</v>
      </c>
      <c r="I968" s="12">
        <f>VLOOKUP(B968,Orders!$A$2:$D$1201,3,FALSE)</f>
        <v>46132</v>
      </c>
      <c r="L968" t="str">
        <f>VLOOKUP(C968,Products!$A$2:$D$13,2,FALSE)</f>
        <v>Keyboard</v>
      </c>
      <c r="M968" t="str">
        <f t="shared" si="47"/>
        <v>2026-04</v>
      </c>
    </row>
    <row r="969" spans="1:13">
      <c r="A969">
        <v>968</v>
      </c>
      <c r="B969">
        <v>1464</v>
      </c>
      <c r="C969">
        <v>11</v>
      </c>
      <c r="D969">
        <v>4</v>
      </c>
      <c r="E969">
        <v>48</v>
      </c>
      <c r="F969">
        <f t="shared" si="45"/>
        <v>192</v>
      </c>
      <c r="G969" t="str">
        <f>VLOOKUP(B969,Orders!$A$2:$D$1201,4,FALSE)</f>
        <v>Delivered</v>
      </c>
      <c r="H969">
        <f t="shared" si="46"/>
        <v>192</v>
      </c>
      <c r="I969" s="12">
        <f>VLOOKUP(B969,Orders!$A$2:$D$1201,3,FALSE)</f>
        <v>46179</v>
      </c>
      <c r="L969" t="str">
        <f>VLOOKUP(C969,Products!$A$2:$D$13,2,FALSE)</f>
        <v>Backpack</v>
      </c>
      <c r="M969" t="str">
        <f t="shared" si="47"/>
        <v>2026-06</v>
      </c>
    </row>
    <row r="970" spans="1:13">
      <c r="A970">
        <v>969</v>
      </c>
      <c r="B970">
        <v>1464</v>
      </c>
      <c r="C970">
        <v>9</v>
      </c>
      <c r="D970">
        <v>3</v>
      </c>
      <c r="E970">
        <v>30</v>
      </c>
      <c r="F970">
        <f t="shared" si="45"/>
        <v>90</v>
      </c>
      <c r="G970" t="str">
        <f>VLOOKUP(B970,Orders!$A$2:$D$1201,4,FALSE)</f>
        <v>Delivered</v>
      </c>
      <c r="H970">
        <f t="shared" si="46"/>
        <v>90</v>
      </c>
      <c r="I970" s="12">
        <f>VLOOKUP(B970,Orders!$A$2:$D$1201,3,FALSE)</f>
        <v>46179</v>
      </c>
      <c r="L970" t="str">
        <f>VLOOKUP(C970,Products!$A$2:$D$13,2,FALSE)</f>
        <v>Lamp</v>
      </c>
      <c r="M970" t="str">
        <f t="shared" si="47"/>
        <v>2026-06</v>
      </c>
    </row>
    <row r="971" spans="1:13">
      <c r="A971">
        <v>970</v>
      </c>
      <c r="B971">
        <v>1464</v>
      </c>
      <c r="C971">
        <v>2</v>
      </c>
      <c r="D971">
        <v>4</v>
      </c>
      <c r="E971">
        <v>220</v>
      </c>
      <c r="F971">
        <f t="shared" si="45"/>
        <v>880</v>
      </c>
      <c r="G971" t="str">
        <f>VLOOKUP(B971,Orders!$A$2:$D$1201,4,FALSE)</f>
        <v>Delivered</v>
      </c>
      <c r="H971">
        <f t="shared" si="46"/>
        <v>880</v>
      </c>
      <c r="I971" s="12">
        <f>VLOOKUP(B971,Orders!$A$2:$D$1201,3,FALSE)</f>
        <v>46179</v>
      </c>
      <c r="L971" t="str">
        <f>VLOOKUP(C971,Products!$A$2:$D$13,2,FALSE)</f>
        <v>Monitor</v>
      </c>
      <c r="M971" t="str">
        <f t="shared" si="47"/>
        <v>2026-06</v>
      </c>
    </row>
    <row r="972" spans="1:13">
      <c r="A972">
        <v>971</v>
      </c>
      <c r="B972">
        <v>1465</v>
      </c>
      <c r="C972">
        <v>9</v>
      </c>
      <c r="D972">
        <v>4</v>
      </c>
      <c r="E972">
        <v>30</v>
      </c>
      <c r="F972">
        <f t="shared" si="45"/>
        <v>120</v>
      </c>
      <c r="G972" t="str">
        <f>VLOOKUP(B972,Orders!$A$2:$D$1201,4,FALSE)</f>
        <v>Shipped</v>
      </c>
      <c r="H972">
        <f t="shared" si="46"/>
        <v>120</v>
      </c>
      <c r="I972" s="12">
        <f>VLOOKUP(B972,Orders!$A$2:$D$1201,3,FALSE)</f>
        <v>46113</v>
      </c>
      <c r="L972" t="str">
        <f>VLOOKUP(C972,Products!$A$2:$D$13,2,FALSE)</f>
        <v>Lamp</v>
      </c>
      <c r="M972" t="str">
        <f t="shared" si="47"/>
        <v>2026-04</v>
      </c>
    </row>
    <row r="973" spans="1:13">
      <c r="A973">
        <v>972</v>
      </c>
      <c r="B973">
        <v>1465</v>
      </c>
      <c r="C973">
        <v>11</v>
      </c>
      <c r="D973">
        <v>4</v>
      </c>
      <c r="E973">
        <v>48</v>
      </c>
      <c r="F973">
        <f t="shared" si="45"/>
        <v>192</v>
      </c>
      <c r="G973" t="str">
        <f>VLOOKUP(B973,Orders!$A$2:$D$1201,4,FALSE)</f>
        <v>Shipped</v>
      </c>
      <c r="H973">
        <f t="shared" si="46"/>
        <v>192</v>
      </c>
      <c r="I973" s="12">
        <f>VLOOKUP(B973,Orders!$A$2:$D$1201,3,FALSE)</f>
        <v>46113</v>
      </c>
      <c r="L973" t="str">
        <f>VLOOKUP(C973,Products!$A$2:$D$13,2,FALSE)</f>
        <v>Backpack</v>
      </c>
      <c r="M973" t="str">
        <f t="shared" si="47"/>
        <v>2026-04</v>
      </c>
    </row>
    <row r="974" spans="1:13">
      <c r="A974">
        <v>973</v>
      </c>
      <c r="B974">
        <v>1466</v>
      </c>
      <c r="C974">
        <v>2</v>
      </c>
      <c r="D974">
        <v>1</v>
      </c>
      <c r="E974">
        <v>220</v>
      </c>
      <c r="F974">
        <f t="shared" si="45"/>
        <v>220</v>
      </c>
      <c r="G974" t="str">
        <f>VLOOKUP(B974,Orders!$A$2:$D$1201,4,FALSE)</f>
        <v>Delivered</v>
      </c>
      <c r="H974">
        <f t="shared" si="46"/>
        <v>220</v>
      </c>
      <c r="I974" s="12">
        <f>VLOOKUP(B974,Orders!$A$2:$D$1201,3,FALSE)</f>
        <v>46082</v>
      </c>
      <c r="L974" t="str">
        <f>VLOOKUP(C974,Products!$A$2:$D$13,2,FALSE)</f>
        <v>Monitor</v>
      </c>
      <c r="M974" t="str">
        <f t="shared" si="47"/>
        <v>2026-03</v>
      </c>
    </row>
    <row r="975" spans="1:13">
      <c r="A975">
        <v>974</v>
      </c>
      <c r="B975">
        <v>1467</v>
      </c>
      <c r="C975">
        <v>6</v>
      </c>
      <c r="D975">
        <v>3</v>
      </c>
      <c r="E975">
        <v>140</v>
      </c>
      <c r="F975">
        <f t="shared" si="45"/>
        <v>420</v>
      </c>
      <c r="G975" t="str">
        <f>VLOOKUP(B975,Orders!$A$2:$D$1201,4,FALSE)</f>
        <v>Pending</v>
      </c>
      <c r="H975">
        <f t="shared" si="46"/>
        <v>420</v>
      </c>
      <c r="I975" s="12">
        <f>VLOOKUP(B975,Orders!$A$2:$D$1201,3,FALSE)</f>
        <v>46180</v>
      </c>
      <c r="L975" t="str">
        <f>VLOOKUP(C975,Products!$A$2:$D$13,2,FALSE)</f>
        <v>Chair</v>
      </c>
      <c r="M975" t="str">
        <f t="shared" si="47"/>
        <v>2026-06</v>
      </c>
    </row>
    <row r="976" spans="1:13">
      <c r="A976">
        <v>975</v>
      </c>
      <c r="B976">
        <v>1468</v>
      </c>
      <c r="C976">
        <v>5</v>
      </c>
      <c r="D976">
        <v>3</v>
      </c>
      <c r="E976">
        <v>180</v>
      </c>
      <c r="F976">
        <f t="shared" si="45"/>
        <v>540</v>
      </c>
      <c r="G976" t="str">
        <f>VLOOKUP(B976,Orders!$A$2:$D$1201,4,FALSE)</f>
        <v>Delivered</v>
      </c>
      <c r="H976">
        <f t="shared" si="46"/>
        <v>540</v>
      </c>
      <c r="I976" s="12">
        <f>VLOOKUP(B976,Orders!$A$2:$D$1201,3,FALSE)</f>
        <v>46186</v>
      </c>
      <c r="L976" t="str">
        <f>VLOOKUP(C976,Products!$A$2:$D$13,2,FALSE)</f>
        <v>Desk</v>
      </c>
      <c r="M976" t="str">
        <f t="shared" si="47"/>
        <v>2026-06</v>
      </c>
    </row>
    <row r="977" spans="1:13">
      <c r="A977">
        <v>976</v>
      </c>
      <c r="B977">
        <v>1468</v>
      </c>
      <c r="C977">
        <v>12</v>
      </c>
      <c r="D977">
        <v>3</v>
      </c>
      <c r="E977">
        <v>22</v>
      </c>
      <c r="F977">
        <f t="shared" si="45"/>
        <v>66</v>
      </c>
      <c r="G977" t="str">
        <f>VLOOKUP(B977,Orders!$A$2:$D$1201,4,FALSE)</f>
        <v>Delivered</v>
      </c>
      <c r="H977">
        <f t="shared" si="46"/>
        <v>66</v>
      </c>
      <c r="I977" s="12">
        <f>VLOOKUP(B977,Orders!$A$2:$D$1201,3,FALSE)</f>
        <v>46186</v>
      </c>
      <c r="L977" t="str">
        <f>VLOOKUP(C977,Products!$A$2:$D$13,2,FALSE)</f>
        <v>Storage Box</v>
      </c>
      <c r="M977" t="str">
        <f t="shared" si="47"/>
        <v>2026-06</v>
      </c>
    </row>
    <row r="978" spans="1:13">
      <c r="A978">
        <v>977</v>
      </c>
      <c r="B978">
        <v>1468</v>
      </c>
      <c r="C978">
        <v>2</v>
      </c>
      <c r="D978">
        <v>3</v>
      </c>
      <c r="E978">
        <v>220</v>
      </c>
      <c r="F978">
        <f t="shared" si="45"/>
        <v>660</v>
      </c>
      <c r="G978" t="str">
        <f>VLOOKUP(B978,Orders!$A$2:$D$1201,4,FALSE)</f>
        <v>Delivered</v>
      </c>
      <c r="H978">
        <f t="shared" si="46"/>
        <v>660</v>
      </c>
      <c r="I978" s="12">
        <f>VLOOKUP(B978,Orders!$A$2:$D$1201,3,FALSE)</f>
        <v>46186</v>
      </c>
      <c r="L978" t="str">
        <f>VLOOKUP(C978,Products!$A$2:$D$13,2,FALSE)</f>
        <v>Monitor</v>
      </c>
      <c r="M978" t="str">
        <f t="shared" si="47"/>
        <v>2026-06</v>
      </c>
    </row>
    <row r="979" spans="1:13">
      <c r="A979">
        <v>978</v>
      </c>
      <c r="B979">
        <v>1469</v>
      </c>
      <c r="C979">
        <v>4</v>
      </c>
      <c r="D979">
        <v>3</v>
      </c>
      <c r="E979">
        <v>25</v>
      </c>
      <c r="F979">
        <f t="shared" si="45"/>
        <v>75</v>
      </c>
      <c r="G979" t="str">
        <f>VLOOKUP(B979,Orders!$A$2:$D$1201,4,FALSE)</f>
        <v>Delivered</v>
      </c>
      <c r="H979">
        <f t="shared" si="46"/>
        <v>75</v>
      </c>
      <c r="I979" s="12">
        <f>VLOOKUP(B979,Orders!$A$2:$D$1201,3,FALSE)</f>
        <v>46168</v>
      </c>
      <c r="L979" t="str">
        <f>VLOOKUP(C979,Products!$A$2:$D$13,2,FALSE)</f>
        <v>Mouse</v>
      </c>
      <c r="M979" t="str">
        <f t="shared" si="47"/>
        <v>2026-05</v>
      </c>
    </row>
    <row r="980" spans="1:13">
      <c r="A980">
        <v>979</v>
      </c>
      <c r="B980">
        <v>1470</v>
      </c>
      <c r="C980">
        <v>11</v>
      </c>
      <c r="D980">
        <v>4</v>
      </c>
      <c r="E980">
        <v>48</v>
      </c>
      <c r="F980">
        <f t="shared" si="45"/>
        <v>192</v>
      </c>
      <c r="G980" t="str">
        <f>VLOOKUP(B980,Orders!$A$2:$D$1201,4,FALSE)</f>
        <v>Delivered</v>
      </c>
      <c r="H980">
        <f t="shared" si="46"/>
        <v>192</v>
      </c>
      <c r="I980" s="12">
        <f>VLOOKUP(B980,Orders!$A$2:$D$1201,3,FALSE)</f>
        <v>46032</v>
      </c>
      <c r="L980" t="str">
        <f>VLOOKUP(C980,Products!$A$2:$D$13,2,FALSE)</f>
        <v>Backpack</v>
      </c>
      <c r="M980" t="str">
        <f t="shared" si="47"/>
        <v>2026-01</v>
      </c>
    </row>
    <row r="981" spans="1:13">
      <c r="A981">
        <v>980</v>
      </c>
      <c r="B981">
        <v>1471</v>
      </c>
      <c r="C981">
        <v>12</v>
      </c>
      <c r="D981">
        <v>1</v>
      </c>
      <c r="E981">
        <v>22</v>
      </c>
      <c r="F981">
        <f t="shared" si="45"/>
        <v>22</v>
      </c>
      <c r="G981" t="str">
        <f>VLOOKUP(B981,Orders!$A$2:$D$1201,4,FALSE)</f>
        <v>Delivered</v>
      </c>
      <c r="H981">
        <f t="shared" si="46"/>
        <v>22</v>
      </c>
      <c r="I981" s="12">
        <f>VLOOKUP(B981,Orders!$A$2:$D$1201,3,FALSE)</f>
        <v>46037</v>
      </c>
      <c r="L981" t="str">
        <f>VLOOKUP(C981,Products!$A$2:$D$13,2,FALSE)</f>
        <v>Storage Box</v>
      </c>
      <c r="M981" t="str">
        <f t="shared" si="47"/>
        <v>2026-01</v>
      </c>
    </row>
    <row r="982" spans="1:13">
      <c r="A982">
        <v>981</v>
      </c>
      <c r="B982">
        <v>1471</v>
      </c>
      <c r="C982">
        <v>11</v>
      </c>
      <c r="D982">
        <v>2</v>
      </c>
      <c r="E982">
        <v>48</v>
      </c>
      <c r="F982">
        <f t="shared" si="45"/>
        <v>96</v>
      </c>
      <c r="G982" t="str">
        <f>VLOOKUP(B982,Orders!$A$2:$D$1201,4,FALSE)</f>
        <v>Delivered</v>
      </c>
      <c r="H982">
        <f t="shared" si="46"/>
        <v>96</v>
      </c>
      <c r="I982" s="12">
        <f>VLOOKUP(B982,Orders!$A$2:$D$1201,3,FALSE)</f>
        <v>46037</v>
      </c>
      <c r="L982" t="str">
        <f>VLOOKUP(C982,Products!$A$2:$D$13,2,FALSE)</f>
        <v>Backpack</v>
      </c>
      <c r="M982" t="str">
        <f t="shared" si="47"/>
        <v>2026-01</v>
      </c>
    </row>
    <row r="983" spans="1:13">
      <c r="A983">
        <v>982</v>
      </c>
      <c r="B983">
        <v>1471</v>
      </c>
      <c r="C983">
        <v>6</v>
      </c>
      <c r="D983">
        <v>3</v>
      </c>
      <c r="E983">
        <v>140</v>
      </c>
      <c r="F983">
        <f t="shared" si="45"/>
        <v>420</v>
      </c>
      <c r="G983" t="str">
        <f>VLOOKUP(B983,Orders!$A$2:$D$1201,4,FALSE)</f>
        <v>Delivered</v>
      </c>
      <c r="H983">
        <f t="shared" si="46"/>
        <v>420</v>
      </c>
      <c r="I983" s="12">
        <f>VLOOKUP(B983,Orders!$A$2:$D$1201,3,FALSE)</f>
        <v>46037</v>
      </c>
      <c r="L983" t="str">
        <f>VLOOKUP(C983,Products!$A$2:$D$13,2,FALSE)</f>
        <v>Chair</v>
      </c>
      <c r="M983" t="str">
        <f t="shared" si="47"/>
        <v>2026-01</v>
      </c>
    </row>
    <row r="984" spans="1:13">
      <c r="A984">
        <v>983</v>
      </c>
      <c r="B984">
        <v>1472</v>
      </c>
      <c r="C984">
        <v>11</v>
      </c>
      <c r="D984">
        <v>2</v>
      </c>
      <c r="E984">
        <v>48</v>
      </c>
      <c r="F984">
        <f t="shared" si="45"/>
        <v>96</v>
      </c>
      <c r="G984" t="str">
        <f>VLOOKUP(B984,Orders!$A$2:$D$1201,4,FALSE)</f>
        <v>Delivered</v>
      </c>
      <c r="H984">
        <f t="shared" si="46"/>
        <v>96</v>
      </c>
      <c r="I984" s="12">
        <f>VLOOKUP(B984,Orders!$A$2:$D$1201,3,FALSE)</f>
        <v>46094</v>
      </c>
      <c r="L984" t="str">
        <f>VLOOKUP(C984,Products!$A$2:$D$13,2,FALSE)</f>
        <v>Backpack</v>
      </c>
      <c r="M984" t="str">
        <f t="shared" si="47"/>
        <v>2026-03</v>
      </c>
    </row>
    <row r="985" spans="1:13">
      <c r="A985">
        <v>984</v>
      </c>
      <c r="B985">
        <v>1472</v>
      </c>
      <c r="C985">
        <v>9</v>
      </c>
      <c r="D985">
        <v>4</v>
      </c>
      <c r="E985">
        <v>30</v>
      </c>
      <c r="F985">
        <f t="shared" si="45"/>
        <v>120</v>
      </c>
      <c r="G985" t="str">
        <f>VLOOKUP(B985,Orders!$A$2:$D$1201,4,FALSE)</f>
        <v>Delivered</v>
      </c>
      <c r="H985">
        <f t="shared" si="46"/>
        <v>120</v>
      </c>
      <c r="I985" s="12">
        <f>VLOOKUP(B985,Orders!$A$2:$D$1201,3,FALSE)</f>
        <v>46094</v>
      </c>
      <c r="L985" t="str">
        <f>VLOOKUP(C985,Products!$A$2:$D$13,2,FALSE)</f>
        <v>Lamp</v>
      </c>
      <c r="M985" t="str">
        <f t="shared" si="47"/>
        <v>2026-03</v>
      </c>
    </row>
    <row r="986" spans="1:13">
      <c r="A986">
        <v>985</v>
      </c>
      <c r="B986">
        <v>1473</v>
      </c>
      <c r="C986">
        <v>7</v>
      </c>
      <c r="D986">
        <v>4</v>
      </c>
      <c r="E986">
        <v>65</v>
      </c>
      <c r="F986">
        <f t="shared" si="45"/>
        <v>260</v>
      </c>
      <c r="G986" t="str">
        <f>VLOOKUP(B986,Orders!$A$2:$D$1201,4,FALSE)</f>
        <v>Cancelled</v>
      </c>
      <c r="H986">
        <f t="shared" si="46"/>
        <v>0</v>
      </c>
      <c r="I986" s="12">
        <f>VLOOKUP(B986,Orders!$A$2:$D$1201,3,FALSE)</f>
        <v>46203</v>
      </c>
      <c r="L986" t="str">
        <f>VLOOKUP(C986,Products!$A$2:$D$13,2,FALSE)</f>
        <v>Headphones</v>
      </c>
      <c r="M986" t="str">
        <f t="shared" si="47"/>
        <v>2026-06</v>
      </c>
    </row>
    <row r="987" spans="1:13">
      <c r="A987">
        <v>986</v>
      </c>
      <c r="B987">
        <v>1473</v>
      </c>
      <c r="C987">
        <v>2</v>
      </c>
      <c r="D987">
        <v>2</v>
      </c>
      <c r="E987">
        <v>220</v>
      </c>
      <c r="F987">
        <f t="shared" si="45"/>
        <v>440</v>
      </c>
      <c r="G987" t="str">
        <f>VLOOKUP(B987,Orders!$A$2:$D$1201,4,FALSE)</f>
        <v>Cancelled</v>
      </c>
      <c r="H987">
        <f t="shared" si="46"/>
        <v>0</v>
      </c>
      <c r="I987" s="12">
        <f>VLOOKUP(B987,Orders!$A$2:$D$1201,3,FALSE)</f>
        <v>46203</v>
      </c>
      <c r="L987" t="str">
        <f>VLOOKUP(C987,Products!$A$2:$D$13,2,FALSE)</f>
        <v>Monitor</v>
      </c>
      <c r="M987" t="str">
        <f t="shared" si="47"/>
        <v>2026-06</v>
      </c>
    </row>
    <row r="988" spans="1:13">
      <c r="A988">
        <v>987</v>
      </c>
      <c r="B988">
        <v>1474</v>
      </c>
      <c r="C988">
        <v>9</v>
      </c>
      <c r="D988">
        <v>3</v>
      </c>
      <c r="E988">
        <v>30</v>
      </c>
      <c r="F988">
        <f t="shared" si="45"/>
        <v>90</v>
      </c>
      <c r="G988" t="str">
        <f>VLOOKUP(B988,Orders!$A$2:$D$1201,4,FALSE)</f>
        <v>Delivered</v>
      </c>
      <c r="H988">
        <f t="shared" si="46"/>
        <v>90</v>
      </c>
      <c r="I988" s="12">
        <f>VLOOKUP(B988,Orders!$A$2:$D$1201,3,FALSE)</f>
        <v>46118</v>
      </c>
      <c r="L988" t="str">
        <f>VLOOKUP(C988,Products!$A$2:$D$13,2,FALSE)</f>
        <v>Lamp</v>
      </c>
      <c r="M988" t="str">
        <f t="shared" si="47"/>
        <v>2026-04</v>
      </c>
    </row>
    <row r="989" spans="1:13">
      <c r="A989">
        <v>988</v>
      </c>
      <c r="B989">
        <v>1475</v>
      </c>
      <c r="C989">
        <v>9</v>
      </c>
      <c r="D989">
        <v>2</v>
      </c>
      <c r="E989">
        <v>30</v>
      </c>
      <c r="F989">
        <f t="shared" si="45"/>
        <v>60</v>
      </c>
      <c r="G989" t="str">
        <f>VLOOKUP(B989,Orders!$A$2:$D$1201,4,FALSE)</f>
        <v>Delivered</v>
      </c>
      <c r="H989">
        <f t="shared" si="46"/>
        <v>60</v>
      </c>
      <c r="I989" s="12">
        <f>VLOOKUP(B989,Orders!$A$2:$D$1201,3,FALSE)</f>
        <v>46046</v>
      </c>
      <c r="L989" t="str">
        <f>VLOOKUP(C989,Products!$A$2:$D$13,2,FALSE)</f>
        <v>Lamp</v>
      </c>
      <c r="M989" t="str">
        <f t="shared" si="47"/>
        <v>2026-01</v>
      </c>
    </row>
    <row r="990" spans="1:13">
      <c r="A990">
        <v>989</v>
      </c>
      <c r="B990">
        <v>1475</v>
      </c>
      <c r="C990">
        <v>3</v>
      </c>
      <c r="D990">
        <v>3</v>
      </c>
      <c r="E990">
        <v>45</v>
      </c>
      <c r="F990">
        <f t="shared" si="45"/>
        <v>135</v>
      </c>
      <c r="G990" t="str">
        <f>VLOOKUP(B990,Orders!$A$2:$D$1201,4,FALSE)</f>
        <v>Delivered</v>
      </c>
      <c r="H990">
        <f t="shared" si="46"/>
        <v>135</v>
      </c>
      <c r="I990" s="12">
        <f>VLOOKUP(B990,Orders!$A$2:$D$1201,3,FALSE)</f>
        <v>46046</v>
      </c>
      <c r="L990" t="str">
        <f>VLOOKUP(C990,Products!$A$2:$D$13,2,FALSE)</f>
        <v>Keyboard</v>
      </c>
      <c r="M990" t="str">
        <f t="shared" si="47"/>
        <v>2026-01</v>
      </c>
    </row>
    <row r="991" spans="1:13">
      <c r="A991">
        <v>990</v>
      </c>
      <c r="B991">
        <v>1476</v>
      </c>
      <c r="C991">
        <v>11</v>
      </c>
      <c r="D991">
        <v>1</v>
      </c>
      <c r="E991">
        <v>48</v>
      </c>
      <c r="F991">
        <f t="shared" si="45"/>
        <v>48</v>
      </c>
      <c r="G991" t="str">
        <f>VLOOKUP(B991,Orders!$A$2:$D$1201,4,FALSE)</f>
        <v>Delivered</v>
      </c>
      <c r="H991">
        <f t="shared" si="46"/>
        <v>48</v>
      </c>
      <c r="I991" s="12">
        <f>VLOOKUP(B991,Orders!$A$2:$D$1201,3,FALSE)</f>
        <v>46059</v>
      </c>
      <c r="L991" t="str">
        <f>VLOOKUP(C991,Products!$A$2:$D$13,2,FALSE)</f>
        <v>Backpack</v>
      </c>
      <c r="M991" t="str">
        <f t="shared" si="47"/>
        <v>2026-02</v>
      </c>
    </row>
    <row r="992" spans="1:13">
      <c r="A992">
        <v>991</v>
      </c>
      <c r="B992">
        <v>1476</v>
      </c>
      <c r="C992">
        <v>3</v>
      </c>
      <c r="D992">
        <v>4</v>
      </c>
      <c r="E992">
        <v>45</v>
      </c>
      <c r="F992">
        <f t="shared" si="45"/>
        <v>180</v>
      </c>
      <c r="G992" t="str">
        <f>VLOOKUP(B992,Orders!$A$2:$D$1201,4,FALSE)</f>
        <v>Delivered</v>
      </c>
      <c r="H992">
        <f t="shared" si="46"/>
        <v>180</v>
      </c>
      <c r="I992" s="12">
        <f>VLOOKUP(B992,Orders!$A$2:$D$1201,3,FALSE)</f>
        <v>46059</v>
      </c>
      <c r="L992" t="str">
        <f>VLOOKUP(C992,Products!$A$2:$D$13,2,FALSE)</f>
        <v>Keyboard</v>
      </c>
      <c r="M992" t="str">
        <f t="shared" si="47"/>
        <v>2026-02</v>
      </c>
    </row>
    <row r="993" spans="1:13">
      <c r="A993">
        <v>992</v>
      </c>
      <c r="B993">
        <v>1476</v>
      </c>
      <c r="C993">
        <v>4</v>
      </c>
      <c r="D993">
        <v>4</v>
      </c>
      <c r="E993">
        <v>25</v>
      </c>
      <c r="F993">
        <f t="shared" si="45"/>
        <v>100</v>
      </c>
      <c r="G993" t="str">
        <f>VLOOKUP(B993,Orders!$A$2:$D$1201,4,FALSE)</f>
        <v>Delivered</v>
      </c>
      <c r="H993">
        <f t="shared" si="46"/>
        <v>100</v>
      </c>
      <c r="I993" s="12">
        <f>VLOOKUP(B993,Orders!$A$2:$D$1201,3,FALSE)</f>
        <v>46059</v>
      </c>
      <c r="L993" t="str">
        <f>VLOOKUP(C993,Products!$A$2:$D$13,2,FALSE)</f>
        <v>Mouse</v>
      </c>
      <c r="M993" t="str">
        <f t="shared" si="47"/>
        <v>2026-02</v>
      </c>
    </row>
    <row r="994" spans="1:13">
      <c r="A994">
        <v>993</v>
      </c>
      <c r="B994">
        <v>1477</v>
      </c>
      <c r="C994">
        <v>8</v>
      </c>
      <c r="D994">
        <v>1</v>
      </c>
      <c r="E994">
        <v>55</v>
      </c>
      <c r="F994">
        <f t="shared" si="45"/>
        <v>55</v>
      </c>
      <c r="G994" t="str">
        <f>VLOOKUP(B994,Orders!$A$2:$D$1201,4,FALSE)</f>
        <v>Delivered</v>
      </c>
      <c r="H994">
        <f t="shared" si="46"/>
        <v>55</v>
      </c>
      <c r="I994" s="12">
        <f>VLOOKUP(B994,Orders!$A$2:$D$1201,3,FALSE)</f>
        <v>46198</v>
      </c>
      <c r="L994" t="str">
        <f>VLOOKUP(C994,Products!$A$2:$D$13,2,FALSE)</f>
        <v>Webcam</v>
      </c>
      <c r="M994" t="str">
        <f t="shared" si="47"/>
        <v>2026-06</v>
      </c>
    </row>
    <row r="995" spans="1:13">
      <c r="A995">
        <v>994</v>
      </c>
      <c r="B995">
        <v>1477</v>
      </c>
      <c r="C995">
        <v>1</v>
      </c>
      <c r="D995">
        <v>3</v>
      </c>
      <c r="E995">
        <v>750</v>
      </c>
      <c r="F995">
        <f t="shared" si="45"/>
        <v>2250</v>
      </c>
      <c r="G995" t="str">
        <f>VLOOKUP(B995,Orders!$A$2:$D$1201,4,FALSE)</f>
        <v>Delivered</v>
      </c>
      <c r="H995">
        <f t="shared" si="46"/>
        <v>2250</v>
      </c>
      <c r="I995" s="12">
        <f>VLOOKUP(B995,Orders!$A$2:$D$1201,3,FALSE)</f>
        <v>46198</v>
      </c>
      <c r="L995" t="str">
        <f>VLOOKUP(C995,Products!$A$2:$D$13,2,FALSE)</f>
        <v>Laptop</v>
      </c>
      <c r="M995" t="str">
        <f t="shared" si="47"/>
        <v>2026-06</v>
      </c>
    </row>
    <row r="996" spans="1:13">
      <c r="A996">
        <v>995</v>
      </c>
      <c r="B996">
        <v>1478</v>
      </c>
      <c r="C996">
        <v>9</v>
      </c>
      <c r="D996">
        <v>4</v>
      </c>
      <c r="E996">
        <v>30</v>
      </c>
      <c r="F996">
        <f t="shared" si="45"/>
        <v>120</v>
      </c>
      <c r="G996" t="str">
        <f>VLOOKUP(B996,Orders!$A$2:$D$1201,4,FALSE)</f>
        <v>Delivered</v>
      </c>
      <c r="H996">
        <f t="shared" si="46"/>
        <v>120</v>
      </c>
      <c r="I996" s="12">
        <f>VLOOKUP(B996,Orders!$A$2:$D$1201,3,FALSE)</f>
        <v>46105</v>
      </c>
      <c r="L996" t="str">
        <f>VLOOKUP(C996,Products!$A$2:$D$13,2,FALSE)</f>
        <v>Lamp</v>
      </c>
      <c r="M996" t="str">
        <f t="shared" si="47"/>
        <v>2026-03</v>
      </c>
    </row>
    <row r="997" spans="1:13">
      <c r="A997">
        <v>996</v>
      </c>
      <c r="B997">
        <v>1478</v>
      </c>
      <c r="C997">
        <v>6</v>
      </c>
      <c r="D997">
        <v>1</v>
      </c>
      <c r="E997">
        <v>140</v>
      </c>
      <c r="F997">
        <f t="shared" si="45"/>
        <v>140</v>
      </c>
      <c r="G997" t="str">
        <f>VLOOKUP(B997,Orders!$A$2:$D$1201,4,FALSE)</f>
        <v>Delivered</v>
      </c>
      <c r="H997">
        <f t="shared" si="46"/>
        <v>140</v>
      </c>
      <c r="I997" s="12">
        <f>VLOOKUP(B997,Orders!$A$2:$D$1201,3,FALSE)</f>
        <v>46105</v>
      </c>
      <c r="L997" t="str">
        <f>VLOOKUP(C997,Products!$A$2:$D$13,2,FALSE)</f>
        <v>Chair</v>
      </c>
      <c r="M997" t="str">
        <f t="shared" si="47"/>
        <v>2026-03</v>
      </c>
    </row>
    <row r="998" spans="1:13">
      <c r="A998">
        <v>997</v>
      </c>
      <c r="B998">
        <v>1479</v>
      </c>
      <c r="C998">
        <v>6</v>
      </c>
      <c r="D998">
        <v>3</v>
      </c>
      <c r="E998">
        <v>140</v>
      </c>
      <c r="F998">
        <f t="shared" si="45"/>
        <v>420</v>
      </c>
      <c r="G998" t="str">
        <f>VLOOKUP(B998,Orders!$A$2:$D$1201,4,FALSE)</f>
        <v>Delivered</v>
      </c>
      <c r="H998">
        <f t="shared" si="46"/>
        <v>420</v>
      </c>
      <c r="I998" s="12">
        <f>VLOOKUP(B998,Orders!$A$2:$D$1201,3,FALSE)</f>
        <v>46166</v>
      </c>
      <c r="L998" t="str">
        <f>VLOOKUP(C998,Products!$A$2:$D$13,2,FALSE)</f>
        <v>Chair</v>
      </c>
      <c r="M998" t="str">
        <f t="shared" si="47"/>
        <v>2026-05</v>
      </c>
    </row>
    <row r="999" spans="1:13">
      <c r="A999">
        <v>998</v>
      </c>
      <c r="B999">
        <v>1479</v>
      </c>
      <c r="C999">
        <v>9</v>
      </c>
      <c r="D999">
        <v>2</v>
      </c>
      <c r="E999">
        <v>30</v>
      </c>
      <c r="F999">
        <f t="shared" si="45"/>
        <v>60</v>
      </c>
      <c r="G999" t="str">
        <f>VLOOKUP(B999,Orders!$A$2:$D$1201,4,FALSE)</f>
        <v>Delivered</v>
      </c>
      <c r="H999">
        <f t="shared" si="46"/>
        <v>60</v>
      </c>
      <c r="I999" s="12">
        <f>VLOOKUP(B999,Orders!$A$2:$D$1201,3,FALSE)</f>
        <v>46166</v>
      </c>
      <c r="L999" t="str">
        <f>VLOOKUP(C999,Products!$A$2:$D$13,2,FALSE)</f>
        <v>Lamp</v>
      </c>
      <c r="M999" t="str">
        <f t="shared" si="47"/>
        <v>2026-05</v>
      </c>
    </row>
    <row r="1000" spans="1:13">
      <c r="A1000">
        <v>999</v>
      </c>
      <c r="B1000">
        <v>1479</v>
      </c>
      <c r="C1000">
        <v>12</v>
      </c>
      <c r="D1000">
        <v>3</v>
      </c>
      <c r="E1000">
        <v>22</v>
      </c>
      <c r="F1000">
        <f t="shared" si="45"/>
        <v>66</v>
      </c>
      <c r="G1000" t="str">
        <f>VLOOKUP(B1000,Orders!$A$2:$D$1201,4,FALSE)</f>
        <v>Delivered</v>
      </c>
      <c r="H1000">
        <f t="shared" si="46"/>
        <v>66</v>
      </c>
      <c r="I1000" s="12">
        <f>VLOOKUP(B1000,Orders!$A$2:$D$1201,3,FALSE)</f>
        <v>46166</v>
      </c>
      <c r="L1000" t="str">
        <f>VLOOKUP(C1000,Products!$A$2:$D$13,2,FALSE)</f>
        <v>Storage Box</v>
      </c>
      <c r="M1000" t="str">
        <f t="shared" si="47"/>
        <v>2026-05</v>
      </c>
    </row>
    <row r="1001" spans="1:13">
      <c r="A1001">
        <v>1000</v>
      </c>
      <c r="B1001">
        <v>1480</v>
      </c>
      <c r="C1001">
        <v>8</v>
      </c>
      <c r="D1001">
        <v>1</v>
      </c>
      <c r="E1001">
        <v>55</v>
      </c>
      <c r="F1001">
        <f t="shared" si="45"/>
        <v>55</v>
      </c>
      <c r="G1001" t="str">
        <f>VLOOKUP(B1001,Orders!$A$2:$D$1201,4,FALSE)</f>
        <v>Delivered</v>
      </c>
      <c r="H1001">
        <f t="shared" si="46"/>
        <v>55</v>
      </c>
      <c r="I1001" s="12">
        <f>VLOOKUP(B1001,Orders!$A$2:$D$1201,3,FALSE)</f>
        <v>46161</v>
      </c>
      <c r="L1001" t="str">
        <f>VLOOKUP(C1001,Products!$A$2:$D$13,2,FALSE)</f>
        <v>Webcam</v>
      </c>
      <c r="M1001" t="str">
        <f t="shared" si="47"/>
        <v>2026-05</v>
      </c>
    </row>
    <row r="1002" spans="1:13">
      <c r="A1002">
        <v>1001</v>
      </c>
      <c r="B1002">
        <v>1481</v>
      </c>
      <c r="C1002">
        <v>6</v>
      </c>
      <c r="D1002">
        <v>2</v>
      </c>
      <c r="E1002">
        <v>140</v>
      </c>
      <c r="F1002">
        <f t="shared" si="45"/>
        <v>280</v>
      </c>
      <c r="G1002" t="str">
        <f>VLOOKUP(B1002,Orders!$A$2:$D$1201,4,FALSE)</f>
        <v>Delivered</v>
      </c>
      <c r="H1002">
        <f t="shared" si="46"/>
        <v>280</v>
      </c>
      <c r="I1002" s="12">
        <f>VLOOKUP(B1002,Orders!$A$2:$D$1201,3,FALSE)</f>
        <v>46203</v>
      </c>
      <c r="L1002" t="str">
        <f>VLOOKUP(C1002,Products!$A$2:$D$13,2,FALSE)</f>
        <v>Chair</v>
      </c>
      <c r="M1002" t="str">
        <f t="shared" si="47"/>
        <v>2026-06</v>
      </c>
    </row>
    <row r="1003" spans="1:13">
      <c r="A1003">
        <v>1002</v>
      </c>
      <c r="B1003">
        <v>1481</v>
      </c>
      <c r="C1003">
        <v>5</v>
      </c>
      <c r="D1003">
        <v>1</v>
      </c>
      <c r="E1003">
        <v>180</v>
      </c>
      <c r="F1003">
        <f t="shared" si="45"/>
        <v>180</v>
      </c>
      <c r="G1003" t="str">
        <f>VLOOKUP(B1003,Orders!$A$2:$D$1201,4,FALSE)</f>
        <v>Delivered</v>
      </c>
      <c r="H1003">
        <f t="shared" si="46"/>
        <v>180</v>
      </c>
      <c r="I1003" s="12">
        <f>VLOOKUP(B1003,Orders!$A$2:$D$1201,3,FALSE)</f>
        <v>46203</v>
      </c>
      <c r="L1003" t="str">
        <f>VLOOKUP(C1003,Products!$A$2:$D$13,2,FALSE)</f>
        <v>Desk</v>
      </c>
      <c r="M1003" t="str">
        <f t="shared" si="47"/>
        <v>2026-06</v>
      </c>
    </row>
    <row r="1004" spans="1:13">
      <c r="A1004">
        <v>1003</v>
      </c>
      <c r="B1004">
        <v>1481</v>
      </c>
      <c r="C1004">
        <v>12</v>
      </c>
      <c r="D1004">
        <v>4</v>
      </c>
      <c r="E1004">
        <v>22</v>
      </c>
      <c r="F1004">
        <f t="shared" si="45"/>
        <v>88</v>
      </c>
      <c r="G1004" t="str">
        <f>VLOOKUP(B1004,Orders!$A$2:$D$1201,4,FALSE)</f>
        <v>Delivered</v>
      </c>
      <c r="H1004">
        <f t="shared" si="46"/>
        <v>88</v>
      </c>
      <c r="I1004" s="12">
        <f>VLOOKUP(B1004,Orders!$A$2:$D$1201,3,FALSE)</f>
        <v>46203</v>
      </c>
      <c r="L1004" t="str">
        <f>VLOOKUP(C1004,Products!$A$2:$D$13,2,FALSE)</f>
        <v>Storage Box</v>
      </c>
      <c r="M1004" t="str">
        <f t="shared" si="47"/>
        <v>2026-06</v>
      </c>
    </row>
    <row r="1005" spans="1:13">
      <c r="A1005">
        <v>1004</v>
      </c>
      <c r="B1005">
        <v>1482</v>
      </c>
      <c r="C1005">
        <v>11</v>
      </c>
      <c r="D1005">
        <v>2</v>
      </c>
      <c r="E1005">
        <v>48</v>
      </c>
      <c r="F1005">
        <f t="shared" si="45"/>
        <v>96</v>
      </c>
      <c r="G1005" t="str">
        <f>VLOOKUP(B1005,Orders!$A$2:$D$1201,4,FALSE)</f>
        <v>Delivered</v>
      </c>
      <c r="H1005">
        <f t="shared" si="46"/>
        <v>96</v>
      </c>
      <c r="I1005" s="12">
        <f>VLOOKUP(B1005,Orders!$A$2:$D$1201,3,FALSE)</f>
        <v>46142</v>
      </c>
      <c r="L1005" t="str">
        <f>VLOOKUP(C1005,Products!$A$2:$D$13,2,FALSE)</f>
        <v>Backpack</v>
      </c>
      <c r="M1005" t="str">
        <f t="shared" si="47"/>
        <v>2026-04</v>
      </c>
    </row>
    <row r="1006" spans="1:13">
      <c r="A1006">
        <v>1005</v>
      </c>
      <c r="B1006">
        <v>1482</v>
      </c>
      <c r="C1006">
        <v>8</v>
      </c>
      <c r="D1006">
        <v>2</v>
      </c>
      <c r="E1006">
        <v>55</v>
      </c>
      <c r="F1006">
        <f t="shared" si="45"/>
        <v>110</v>
      </c>
      <c r="G1006" t="str">
        <f>VLOOKUP(B1006,Orders!$A$2:$D$1201,4,FALSE)</f>
        <v>Delivered</v>
      </c>
      <c r="H1006">
        <f t="shared" si="46"/>
        <v>110</v>
      </c>
      <c r="I1006" s="12">
        <f>VLOOKUP(B1006,Orders!$A$2:$D$1201,3,FALSE)</f>
        <v>46142</v>
      </c>
      <c r="L1006" t="str">
        <f>VLOOKUP(C1006,Products!$A$2:$D$13,2,FALSE)</f>
        <v>Webcam</v>
      </c>
      <c r="M1006" t="str">
        <f t="shared" si="47"/>
        <v>2026-04</v>
      </c>
    </row>
    <row r="1007" spans="1:13">
      <c r="A1007">
        <v>1006</v>
      </c>
      <c r="B1007">
        <v>1482</v>
      </c>
      <c r="C1007">
        <v>12</v>
      </c>
      <c r="D1007">
        <v>2</v>
      </c>
      <c r="E1007">
        <v>22</v>
      </c>
      <c r="F1007">
        <f t="shared" si="45"/>
        <v>44</v>
      </c>
      <c r="G1007" t="str">
        <f>VLOOKUP(B1007,Orders!$A$2:$D$1201,4,FALSE)</f>
        <v>Delivered</v>
      </c>
      <c r="H1007">
        <f t="shared" si="46"/>
        <v>44</v>
      </c>
      <c r="I1007" s="12">
        <f>VLOOKUP(B1007,Orders!$A$2:$D$1201,3,FALSE)</f>
        <v>46142</v>
      </c>
      <c r="L1007" t="str">
        <f>VLOOKUP(C1007,Products!$A$2:$D$13,2,FALSE)</f>
        <v>Storage Box</v>
      </c>
      <c r="M1007" t="str">
        <f t="shared" si="47"/>
        <v>2026-04</v>
      </c>
    </row>
    <row r="1008" spans="1:13">
      <c r="A1008">
        <v>1007</v>
      </c>
      <c r="B1008">
        <v>1483</v>
      </c>
      <c r="C1008">
        <v>8</v>
      </c>
      <c r="D1008">
        <v>1</v>
      </c>
      <c r="E1008">
        <v>55</v>
      </c>
      <c r="F1008">
        <f t="shared" si="45"/>
        <v>55</v>
      </c>
      <c r="G1008" t="str">
        <f>VLOOKUP(B1008,Orders!$A$2:$D$1201,4,FALSE)</f>
        <v>Delivered</v>
      </c>
      <c r="H1008">
        <f t="shared" si="46"/>
        <v>55</v>
      </c>
      <c r="I1008" s="12">
        <f>VLOOKUP(B1008,Orders!$A$2:$D$1201,3,FALSE)</f>
        <v>46069</v>
      </c>
      <c r="L1008" t="str">
        <f>VLOOKUP(C1008,Products!$A$2:$D$13,2,FALSE)</f>
        <v>Webcam</v>
      </c>
      <c r="M1008" t="str">
        <f t="shared" si="47"/>
        <v>2026-02</v>
      </c>
    </row>
    <row r="1009" spans="1:13">
      <c r="A1009">
        <v>1008</v>
      </c>
      <c r="B1009">
        <v>1483</v>
      </c>
      <c r="C1009">
        <v>12</v>
      </c>
      <c r="D1009">
        <v>1</v>
      </c>
      <c r="E1009">
        <v>22</v>
      </c>
      <c r="F1009">
        <f t="shared" si="45"/>
        <v>22</v>
      </c>
      <c r="G1009" t="str">
        <f>VLOOKUP(B1009,Orders!$A$2:$D$1201,4,FALSE)</f>
        <v>Delivered</v>
      </c>
      <c r="H1009">
        <f t="shared" si="46"/>
        <v>22</v>
      </c>
      <c r="I1009" s="12">
        <f>VLOOKUP(B1009,Orders!$A$2:$D$1201,3,FALSE)</f>
        <v>46069</v>
      </c>
      <c r="L1009" t="str">
        <f>VLOOKUP(C1009,Products!$A$2:$D$13,2,FALSE)</f>
        <v>Storage Box</v>
      </c>
      <c r="M1009" t="str">
        <f t="shared" si="47"/>
        <v>2026-02</v>
      </c>
    </row>
    <row r="1010" spans="1:13">
      <c r="A1010">
        <v>1009</v>
      </c>
      <c r="B1010">
        <v>1484</v>
      </c>
      <c r="C1010">
        <v>9</v>
      </c>
      <c r="D1010">
        <v>1</v>
      </c>
      <c r="E1010">
        <v>30</v>
      </c>
      <c r="F1010">
        <f t="shared" si="45"/>
        <v>30</v>
      </c>
      <c r="G1010" t="str">
        <f>VLOOKUP(B1010,Orders!$A$2:$D$1201,4,FALSE)</f>
        <v>Delivered</v>
      </c>
      <c r="H1010">
        <f t="shared" si="46"/>
        <v>30</v>
      </c>
      <c r="I1010" s="12">
        <f>VLOOKUP(B1010,Orders!$A$2:$D$1201,3,FALSE)</f>
        <v>46095</v>
      </c>
      <c r="L1010" t="str">
        <f>VLOOKUP(C1010,Products!$A$2:$D$13,2,FALSE)</f>
        <v>Lamp</v>
      </c>
      <c r="M1010" t="str">
        <f t="shared" si="47"/>
        <v>2026-03</v>
      </c>
    </row>
    <row r="1011" spans="1:13">
      <c r="A1011">
        <v>1010</v>
      </c>
      <c r="B1011">
        <v>1485</v>
      </c>
      <c r="C1011">
        <v>8</v>
      </c>
      <c r="D1011">
        <v>4</v>
      </c>
      <c r="E1011">
        <v>55</v>
      </c>
      <c r="F1011">
        <f t="shared" si="45"/>
        <v>220</v>
      </c>
      <c r="G1011" t="str">
        <f>VLOOKUP(B1011,Orders!$A$2:$D$1201,4,FALSE)</f>
        <v>Delivered</v>
      </c>
      <c r="H1011">
        <f t="shared" si="46"/>
        <v>220</v>
      </c>
      <c r="I1011" s="12">
        <f>VLOOKUP(B1011,Orders!$A$2:$D$1201,3,FALSE)</f>
        <v>46189</v>
      </c>
      <c r="L1011" t="str">
        <f>VLOOKUP(C1011,Products!$A$2:$D$13,2,FALSE)</f>
        <v>Webcam</v>
      </c>
      <c r="M1011" t="str">
        <f t="shared" si="47"/>
        <v>2026-06</v>
      </c>
    </row>
    <row r="1012" spans="1:13">
      <c r="A1012">
        <v>1011</v>
      </c>
      <c r="B1012">
        <v>1485</v>
      </c>
      <c r="C1012">
        <v>7</v>
      </c>
      <c r="D1012">
        <v>2</v>
      </c>
      <c r="E1012">
        <v>65</v>
      </c>
      <c r="F1012">
        <f t="shared" si="45"/>
        <v>130</v>
      </c>
      <c r="G1012" t="str">
        <f>VLOOKUP(B1012,Orders!$A$2:$D$1201,4,FALSE)</f>
        <v>Delivered</v>
      </c>
      <c r="H1012">
        <f t="shared" si="46"/>
        <v>130</v>
      </c>
      <c r="I1012" s="12">
        <f>VLOOKUP(B1012,Orders!$A$2:$D$1201,3,FALSE)</f>
        <v>46189</v>
      </c>
      <c r="L1012" t="str">
        <f>VLOOKUP(C1012,Products!$A$2:$D$13,2,FALSE)</f>
        <v>Headphones</v>
      </c>
      <c r="M1012" t="str">
        <f t="shared" si="47"/>
        <v>2026-06</v>
      </c>
    </row>
    <row r="1013" spans="1:13">
      <c r="A1013">
        <v>1012</v>
      </c>
      <c r="B1013">
        <v>1485</v>
      </c>
      <c r="C1013">
        <v>10</v>
      </c>
      <c r="D1013">
        <v>2</v>
      </c>
      <c r="E1013">
        <v>8</v>
      </c>
      <c r="F1013">
        <f t="shared" si="45"/>
        <v>16</v>
      </c>
      <c r="G1013" t="str">
        <f>VLOOKUP(B1013,Orders!$A$2:$D$1201,4,FALSE)</f>
        <v>Delivered</v>
      </c>
      <c r="H1013">
        <f t="shared" si="46"/>
        <v>16</v>
      </c>
      <c r="I1013" s="12">
        <f>VLOOKUP(B1013,Orders!$A$2:$D$1201,3,FALSE)</f>
        <v>46189</v>
      </c>
      <c r="L1013" t="str">
        <f>VLOOKUP(C1013,Products!$A$2:$D$13,2,FALSE)</f>
        <v>Notebook</v>
      </c>
      <c r="M1013" t="str">
        <f t="shared" si="47"/>
        <v>2026-06</v>
      </c>
    </row>
    <row r="1014" spans="1:13">
      <c r="A1014">
        <v>1013</v>
      </c>
      <c r="B1014">
        <v>1486</v>
      </c>
      <c r="C1014">
        <v>10</v>
      </c>
      <c r="D1014">
        <v>2</v>
      </c>
      <c r="E1014">
        <v>8</v>
      </c>
      <c r="F1014">
        <f t="shared" si="45"/>
        <v>16</v>
      </c>
      <c r="G1014" t="str">
        <f>VLOOKUP(B1014,Orders!$A$2:$D$1201,4,FALSE)</f>
        <v>Delivered</v>
      </c>
      <c r="H1014">
        <f t="shared" si="46"/>
        <v>16</v>
      </c>
      <c r="I1014" s="12">
        <f>VLOOKUP(B1014,Orders!$A$2:$D$1201,3,FALSE)</f>
        <v>46076</v>
      </c>
      <c r="L1014" t="str">
        <f>VLOOKUP(C1014,Products!$A$2:$D$13,2,FALSE)</f>
        <v>Notebook</v>
      </c>
      <c r="M1014" t="str">
        <f t="shared" si="47"/>
        <v>2026-02</v>
      </c>
    </row>
    <row r="1015" spans="1:13">
      <c r="A1015">
        <v>1014</v>
      </c>
      <c r="B1015">
        <v>1486</v>
      </c>
      <c r="C1015">
        <v>6</v>
      </c>
      <c r="D1015">
        <v>2</v>
      </c>
      <c r="E1015">
        <v>140</v>
      </c>
      <c r="F1015">
        <f t="shared" si="45"/>
        <v>280</v>
      </c>
      <c r="G1015" t="str">
        <f>VLOOKUP(B1015,Orders!$A$2:$D$1201,4,FALSE)</f>
        <v>Delivered</v>
      </c>
      <c r="H1015">
        <f t="shared" si="46"/>
        <v>280</v>
      </c>
      <c r="I1015" s="12">
        <f>VLOOKUP(B1015,Orders!$A$2:$D$1201,3,FALSE)</f>
        <v>46076</v>
      </c>
      <c r="L1015" t="str">
        <f>VLOOKUP(C1015,Products!$A$2:$D$13,2,FALSE)</f>
        <v>Chair</v>
      </c>
      <c r="M1015" t="str">
        <f t="shared" si="47"/>
        <v>2026-02</v>
      </c>
    </row>
    <row r="1016" spans="1:13">
      <c r="A1016">
        <v>1015</v>
      </c>
      <c r="B1016">
        <v>1487</v>
      </c>
      <c r="C1016">
        <v>9</v>
      </c>
      <c r="D1016">
        <v>4</v>
      </c>
      <c r="E1016">
        <v>30</v>
      </c>
      <c r="F1016">
        <f t="shared" si="45"/>
        <v>120</v>
      </c>
      <c r="G1016" t="str">
        <f>VLOOKUP(B1016,Orders!$A$2:$D$1201,4,FALSE)</f>
        <v>Delivered</v>
      </c>
      <c r="H1016">
        <f t="shared" si="46"/>
        <v>120</v>
      </c>
      <c r="I1016" s="12">
        <f>VLOOKUP(B1016,Orders!$A$2:$D$1201,3,FALSE)</f>
        <v>46147</v>
      </c>
      <c r="L1016" t="str">
        <f>VLOOKUP(C1016,Products!$A$2:$D$13,2,FALSE)</f>
        <v>Lamp</v>
      </c>
      <c r="M1016" t="str">
        <f t="shared" si="47"/>
        <v>2026-05</v>
      </c>
    </row>
    <row r="1017" spans="1:13">
      <c r="A1017">
        <v>1016</v>
      </c>
      <c r="B1017">
        <v>1487</v>
      </c>
      <c r="C1017">
        <v>2</v>
      </c>
      <c r="D1017">
        <v>2</v>
      </c>
      <c r="E1017">
        <v>220</v>
      </c>
      <c r="F1017">
        <f t="shared" si="45"/>
        <v>440</v>
      </c>
      <c r="G1017" t="str">
        <f>VLOOKUP(B1017,Orders!$A$2:$D$1201,4,FALSE)</f>
        <v>Delivered</v>
      </c>
      <c r="H1017">
        <f t="shared" si="46"/>
        <v>440</v>
      </c>
      <c r="I1017" s="12">
        <f>VLOOKUP(B1017,Orders!$A$2:$D$1201,3,FALSE)</f>
        <v>46147</v>
      </c>
      <c r="L1017" t="str">
        <f>VLOOKUP(C1017,Products!$A$2:$D$13,2,FALSE)</f>
        <v>Monitor</v>
      </c>
      <c r="M1017" t="str">
        <f t="shared" si="47"/>
        <v>2026-05</v>
      </c>
    </row>
    <row r="1018" spans="1:13">
      <c r="A1018">
        <v>1017</v>
      </c>
      <c r="B1018">
        <v>1488</v>
      </c>
      <c r="C1018">
        <v>8</v>
      </c>
      <c r="D1018">
        <v>1</v>
      </c>
      <c r="E1018">
        <v>55</v>
      </c>
      <c r="F1018">
        <f t="shared" si="45"/>
        <v>55</v>
      </c>
      <c r="G1018" t="str">
        <f>VLOOKUP(B1018,Orders!$A$2:$D$1201,4,FALSE)</f>
        <v>Delivered</v>
      </c>
      <c r="H1018">
        <f t="shared" si="46"/>
        <v>55</v>
      </c>
      <c r="I1018" s="12">
        <f>VLOOKUP(B1018,Orders!$A$2:$D$1201,3,FALSE)</f>
        <v>46175</v>
      </c>
      <c r="L1018" t="str">
        <f>VLOOKUP(C1018,Products!$A$2:$D$13,2,FALSE)</f>
        <v>Webcam</v>
      </c>
      <c r="M1018" t="str">
        <f t="shared" si="47"/>
        <v>2026-06</v>
      </c>
    </row>
    <row r="1019" spans="1:13">
      <c r="A1019">
        <v>1018</v>
      </c>
      <c r="B1019">
        <v>1488</v>
      </c>
      <c r="C1019">
        <v>11</v>
      </c>
      <c r="D1019">
        <v>1</v>
      </c>
      <c r="E1019">
        <v>48</v>
      </c>
      <c r="F1019">
        <f t="shared" si="45"/>
        <v>48</v>
      </c>
      <c r="G1019" t="str">
        <f>VLOOKUP(B1019,Orders!$A$2:$D$1201,4,FALSE)</f>
        <v>Delivered</v>
      </c>
      <c r="H1019">
        <f t="shared" si="46"/>
        <v>48</v>
      </c>
      <c r="I1019" s="12">
        <f>VLOOKUP(B1019,Orders!$A$2:$D$1201,3,FALSE)</f>
        <v>46175</v>
      </c>
      <c r="L1019" t="str">
        <f>VLOOKUP(C1019,Products!$A$2:$D$13,2,FALSE)</f>
        <v>Backpack</v>
      </c>
      <c r="M1019" t="str">
        <f t="shared" si="47"/>
        <v>2026-06</v>
      </c>
    </row>
    <row r="1020" spans="1:13">
      <c r="A1020">
        <v>1019</v>
      </c>
      <c r="B1020">
        <v>1489</v>
      </c>
      <c r="C1020">
        <v>9</v>
      </c>
      <c r="D1020">
        <v>4</v>
      </c>
      <c r="E1020">
        <v>30</v>
      </c>
      <c r="F1020">
        <f t="shared" si="45"/>
        <v>120</v>
      </c>
      <c r="G1020" t="str">
        <f>VLOOKUP(B1020,Orders!$A$2:$D$1201,4,FALSE)</f>
        <v>Delivered</v>
      </c>
      <c r="H1020">
        <f t="shared" si="46"/>
        <v>120</v>
      </c>
      <c r="I1020" s="12">
        <f>VLOOKUP(B1020,Orders!$A$2:$D$1201,3,FALSE)</f>
        <v>46023</v>
      </c>
      <c r="L1020" t="str">
        <f>VLOOKUP(C1020,Products!$A$2:$D$13,2,FALSE)</f>
        <v>Lamp</v>
      </c>
      <c r="M1020" t="str">
        <f t="shared" si="47"/>
        <v>2026-01</v>
      </c>
    </row>
    <row r="1021" spans="1:13">
      <c r="A1021">
        <v>1020</v>
      </c>
      <c r="B1021">
        <v>1489</v>
      </c>
      <c r="C1021">
        <v>5</v>
      </c>
      <c r="D1021">
        <v>4</v>
      </c>
      <c r="E1021">
        <v>180</v>
      </c>
      <c r="F1021">
        <f t="shared" si="45"/>
        <v>720</v>
      </c>
      <c r="G1021" t="str">
        <f>VLOOKUP(B1021,Orders!$A$2:$D$1201,4,FALSE)</f>
        <v>Delivered</v>
      </c>
      <c r="H1021">
        <f t="shared" si="46"/>
        <v>720</v>
      </c>
      <c r="I1021" s="12">
        <f>VLOOKUP(B1021,Orders!$A$2:$D$1201,3,FALSE)</f>
        <v>46023</v>
      </c>
      <c r="L1021" t="str">
        <f>VLOOKUP(C1021,Products!$A$2:$D$13,2,FALSE)</f>
        <v>Desk</v>
      </c>
      <c r="M1021" t="str">
        <f t="shared" si="47"/>
        <v>2026-01</v>
      </c>
    </row>
    <row r="1022" spans="1:13">
      <c r="A1022">
        <v>1021</v>
      </c>
      <c r="B1022">
        <v>1490</v>
      </c>
      <c r="C1022">
        <v>6</v>
      </c>
      <c r="D1022">
        <v>1</v>
      </c>
      <c r="E1022">
        <v>140</v>
      </c>
      <c r="F1022">
        <f t="shared" si="45"/>
        <v>140</v>
      </c>
      <c r="G1022" t="str">
        <f>VLOOKUP(B1022,Orders!$A$2:$D$1201,4,FALSE)</f>
        <v>Delivered</v>
      </c>
      <c r="H1022">
        <f t="shared" si="46"/>
        <v>140</v>
      </c>
      <c r="I1022" s="12">
        <f>VLOOKUP(B1022,Orders!$A$2:$D$1201,3,FALSE)</f>
        <v>46196</v>
      </c>
      <c r="L1022" t="str">
        <f>VLOOKUP(C1022,Products!$A$2:$D$13,2,FALSE)</f>
        <v>Chair</v>
      </c>
      <c r="M1022" t="str">
        <f t="shared" si="47"/>
        <v>2026-06</v>
      </c>
    </row>
    <row r="1023" spans="1:13">
      <c r="A1023">
        <v>1022</v>
      </c>
      <c r="B1023">
        <v>1490</v>
      </c>
      <c r="C1023">
        <v>2</v>
      </c>
      <c r="D1023">
        <v>4</v>
      </c>
      <c r="E1023">
        <v>220</v>
      </c>
      <c r="F1023">
        <f t="shared" si="45"/>
        <v>880</v>
      </c>
      <c r="G1023" t="str">
        <f>VLOOKUP(B1023,Orders!$A$2:$D$1201,4,FALSE)</f>
        <v>Delivered</v>
      </c>
      <c r="H1023">
        <f t="shared" si="46"/>
        <v>880</v>
      </c>
      <c r="I1023" s="12">
        <f>VLOOKUP(B1023,Orders!$A$2:$D$1201,3,FALSE)</f>
        <v>46196</v>
      </c>
      <c r="L1023" t="str">
        <f>VLOOKUP(C1023,Products!$A$2:$D$13,2,FALSE)</f>
        <v>Monitor</v>
      </c>
      <c r="M1023" t="str">
        <f t="shared" si="47"/>
        <v>2026-06</v>
      </c>
    </row>
    <row r="1024" spans="1:13">
      <c r="A1024">
        <v>1023</v>
      </c>
      <c r="B1024">
        <v>1490</v>
      </c>
      <c r="C1024">
        <v>10</v>
      </c>
      <c r="D1024">
        <v>2</v>
      </c>
      <c r="E1024">
        <v>8</v>
      </c>
      <c r="F1024">
        <f t="shared" si="45"/>
        <v>16</v>
      </c>
      <c r="G1024" t="str">
        <f>VLOOKUP(B1024,Orders!$A$2:$D$1201,4,FALSE)</f>
        <v>Delivered</v>
      </c>
      <c r="H1024">
        <f t="shared" si="46"/>
        <v>16</v>
      </c>
      <c r="I1024" s="12">
        <f>VLOOKUP(B1024,Orders!$A$2:$D$1201,3,FALSE)</f>
        <v>46196</v>
      </c>
      <c r="L1024" t="str">
        <f>VLOOKUP(C1024,Products!$A$2:$D$13,2,FALSE)</f>
        <v>Notebook</v>
      </c>
      <c r="M1024" t="str">
        <f t="shared" si="47"/>
        <v>2026-06</v>
      </c>
    </row>
    <row r="1025" spans="1:13">
      <c r="A1025">
        <v>1024</v>
      </c>
      <c r="B1025">
        <v>1491</v>
      </c>
      <c r="C1025">
        <v>5</v>
      </c>
      <c r="D1025">
        <v>1</v>
      </c>
      <c r="E1025">
        <v>180</v>
      </c>
      <c r="F1025">
        <f t="shared" si="45"/>
        <v>180</v>
      </c>
      <c r="G1025" t="str">
        <f>VLOOKUP(B1025,Orders!$A$2:$D$1201,4,FALSE)</f>
        <v>Delivered</v>
      </c>
      <c r="H1025">
        <f t="shared" si="46"/>
        <v>180</v>
      </c>
      <c r="I1025" s="12">
        <f>VLOOKUP(B1025,Orders!$A$2:$D$1201,3,FALSE)</f>
        <v>46023</v>
      </c>
      <c r="L1025" t="str">
        <f>VLOOKUP(C1025,Products!$A$2:$D$13,2,FALSE)</f>
        <v>Desk</v>
      </c>
      <c r="M1025" t="str">
        <f t="shared" si="47"/>
        <v>2026-01</v>
      </c>
    </row>
    <row r="1026" spans="1:13">
      <c r="A1026">
        <v>1025</v>
      </c>
      <c r="B1026">
        <v>1492</v>
      </c>
      <c r="C1026">
        <v>4</v>
      </c>
      <c r="D1026">
        <v>4</v>
      </c>
      <c r="E1026">
        <v>25</v>
      </c>
      <c r="F1026">
        <f t="shared" si="45"/>
        <v>100</v>
      </c>
      <c r="G1026" t="str">
        <f>VLOOKUP(B1026,Orders!$A$2:$D$1201,4,FALSE)</f>
        <v>Delivered</v>
      </c>
      <c r="H1026">
        <f t="shared" si="46"/>
        <v>100</v>
      </c>
      <c r="I1026" s="12">
        <f>VLOOKUP(B1026,Orders!$A$2:$D$1201,3,FALSE)</f>
        <v>46120</v>
      </c>
      <c r="L1026" t="str">
        <f>VLOOKUP(C1026,Products!$A$2:$D$13,2,FALSE)</f>
        <v>Mouse</v>
      </c>
      <c r="M1026" t="str">
        <f t="shared" si="47"/>
        <v>2026-04</v>
      </c>
    </row>
    <row r="1027" spans="1:13">
      <c r="A1027">
        <v>1026</v>
      </c>
      <c r="B1027">
        <v>1492</v>
      </c>
      <c r="C1027">
        <v>11</v>
      </c>
      <c r="D1027">
        <v>2</v>
      </c>
      <c r="E1027">
        <v>48</v>
      </c>
      <c r="F1027">
        <f t="shared" ref="F1027:F1090" si="48">D1027*E1027</f>
        <v>96</v>
      </c>
      <c r="G1027" t="str">
        <f>VLOOKUP(B1027,Orders!$A$2:$D$1201,4,FALSE)</f>
        <v>Delivered</v>
      </c>
      <c r="H1027">
        <f t="shared" ref="H1027:H1090" si="49">IF(G1027="Cancelled",0,F1027)</f>
        <v>96</v>
      </c>
      <c r="I1027" s="12">
        <f>VLOOKUP(B1027,Orders!$A$2:$D$1201,3,FALSE)</f>
        <v>46120</v>
      </c>
      <c r="L1027" t="str">
        <f>VLOOKUP(C1027,Products!$A$2:$D$13,2,FALSE)</f>
        <v>Backpack</v>
      </c>
      <c r="M1027" t="str">
        <f t="shared" ref="M1027:M1090" si="50">TEXT(I1027,"yyyy-mm")</f>
        <v>2026-04</v>
      </c>
    </row>
    <row r="1028" spans="1:13">
      <c r="A1028">
        <v>1027</v>
      </c>
      <c r="B1028">
        <v>1492</v>
      </c>
      <c r="C1028">
        <v>3</v>
      </c>
      <c r="D1028">
        <v>2</v>
      </c>
      <c r="E1028">
        <v>45</v>
      </c>
      <c r="F1028">
        <f t="shared" si="48"/>
        <v>90</v>
      </c>
      <c r="G1028" t="str">
        <f>VLOOKUP(B1028,Orders!$A$2:$D$1201,4,FALSE)</f>
        <v>Delivered</v>
      </c>
      <c r="H1028">
        <f t="shared" si="49"/>
        <v>90</v>
      </c>
      <c r="I1028" s="12">
        <f>VLOOKUP(B1028,Orders!$A$2:$D$1201,3,FALSE)</f>
        <v>46120</v>
      </c>
      <c r="L1028" t="str">
        <f>VLOOKUP(C1028,Products!$A$2:$D$13,2,FALSE)</f>
        <v>Keyboard</v>
      </c>
      <c r="M1028" t="str">
        <f t="shared" si="50"/>
        <v>2026-04</v>
      </c>
    </row>
    <row r="1029" spans="1:13">
      <c r="A1029">
        <v>1028</v>
      </c>
      <c r="B1029">
        <v>1493</v>
      </c>
      <c r="C1029">
        <v>1</v>
      </c>
      <c r="D1029">
        <v>1</v>
      </c>
      <c r="E1029">
        <v>750</v>
      </c>
      <c r="F1029">
        <f t="shared" si="48"/>
        <v>750</v>
      </c>
      <c r="G1029" t="str">
        <f>VLOOKUP(B1029,Orders!$A$2:$D$1201,4,FALSE)</f>
        <v>Delivered</v>
      </c>
      <c r="H1029">
        <f t="shared" si="49"/>
        <v>750</v>
      </c>
      <c r="I1029" s="12">
        <f>VLOOKUP(B1029,Orders!$A$2:$D$1201,3,FALSE)</f>
        <v>46062</v>
      </c>
      <c r="L1029" t="str">
        <f>VLOOKUP(C1029,Products!$A$2:$D$13,2,FALSE)</f>
        <v>Laptop</v>
      </c>
      <c r="M1029" t="str">
        <f t="shared" si="50"/>
        <v>2026-02</v>
      </c>
    </row>
    <row r="1030" spans="1:13">
      <c r="A1030">
        <v>1029</v>
      </c>
      <c r="B1030">
        <v>1494</v>
      </c>
      <c r="C1030">
        <v>3</v>
      </c>
      <c r="D1030">
        <v>4</v>
      </c>
      <c r="E1030">
        <v>45</v>
      </c>
      <c r="F1030">
        <f t="shared" si="48"/>
        <v>180</v>
      </c>
      <c r="G1030" t="str">
        <f>VLOOKUP(B1030,Orders!$A$2:$D$1201,4,FALSE)</f>
        <v>Pending</v>
      </c>
      <c r="H1030">
        <f t="shared" si="49"/>
        <v>180</v>
      </c>
      <c r="I1030" s="12">
        <f>VLOOKUP(B1030,Orders!$A$2:$D$1201,3,FALSE)</f>
        <v>46134</v>
      </c>
      <c r="L1030" t="str">
        <f>VLOOKUP(C1030,Products!$A$2:$D$13,2,FALSE)</f>
        <v>Keyboard</v>
      </c>
      <c r="M1030" t="str">
        <f t="shared" si="50"/>
        <v>2026-04</v>
      </c>
    </row>
    <row r="1031" spans="1:13">
      <c r="A1031">
        <v>1030</v>
      </c>
      <c r="B1031">
        <v>1495</v>
      </c>
      <c r="C1031">
        <v>3</v>
      </c>
      <c r="D1031">
        <v>4</v>
      </c>
      <c r="E1031">
        <v>45</v>
      </c>
      <c r="F1031">
        <f t="shared" si="48"/>
        <v>180</v>
      </c>
      <c r="G1031" t="str">
        <f>VLOOKUP(B1031,Orders!$A$2:$D$1201,4,FALSE)</f>
        <v>Delivered</v>
      </c>
      <c r="H1031">
        <f t="shared" si="49"/>
        <v>180</v>
      </c>
      <c r="I1031" s="12">
        <f>VLOOKUP(B1031,Orders!$A$2:$D$1201,3,FALSE)</f>
        <v>46201</v>
      </c>
      <c r="L1031" t="str">
        <f>VLOOKUP(C1031,Products!$A$2:$D$13,2,FALSE)</f>
        <v>Keyboard</v>
      </c>
      <c r="M1031" t="str">
        <f t="shared" si="50"/>
        <v>2026-06</v>
      </c>
    </row>
    <row r="1032" spans="1:13">
      <c r="A1032">
        <v>1031</v>
      </c>
      <c r="B1032">
        <v>1495</v>
      </c>
      <c r="C1032">
        <v>8</v>
      </c>
      <c r="D1032">
        <v>4</v>
      </c>
      <c r="E1032">
        <v>55</v>
      </c>
      <c r="F1032">
        <f t="shared" si="48"/>
        <v>220</v>
      </c>
      <c r="G1032" t="str">
        <f>VLOOKUP(B1032,Orders!$A$2:$D$1201,4,FALSE)</f>
        <v>Delivered</v>
      </c>
      <c r="H1032">
        <f t="shared" si="49"/>
        <v>220</v>
      </c>
      <c r="I1032" s="12">
        <f>VLOOKUP(B1032,Orders!$A$2:$D$1201,3,FALSE)</f>
        <v>46201</v>
      </c>
      <c r="L1032" t="str">
        <f>VLOOKUP(C1032,Products!$A$2:$D$13,2,FALSE)</f>
        <v>Webcam</v>
      </c>
      <c r="M1032" t="str">
        <f t="shared" si="50"/>
        <v>2026-06</v>
      </c>
    </row>
    <row r="1033" spans="1:13">
      <c r="A1033">
        <v>1032</v>
      </c>
      <c r="B1033">
        <v>1495</v>
      </c>
      <c r="C1033">
        <v>9</v>
      </c>
      <c r="D1033">
        <v>4</v>
      </c>
      <c r="E1033">
        <v>30</v>
      </c>
      <c r="F1033">
        <f t="shared" si="48"/>
        <v>120</v>
      </c>
      <c r="G1033" t="str">
        <f>VLOOKUP(B1033,Orders!$A$2:$D$1201,4,FALSE)</f>
        <v>Delivered</v>
      </c>
      <c r="H1033">
        <f t="shared" si="49"/>
        <v>120</v>
      </c>
      <c r="I1033" s="12">
        <f>VLOOKUP(B1033,Orders!$A$2:$D$1201,3,FALSE)</f>
        <v>46201</v>
      </c>
      <c r="L1033" t="str">
        <f>VLOOKUP(C1033,Products!$A$2:$D$13,2,FALSE)</f>
        <v>Lamp</v>
      </c>
      <c r="M1033" t="str">
        <f t="shared" si="50"/>
        <v>2026-06</v>
      </c>
    </row>
    <row r="1034" spans="1:13">
      <c r="A1034">
        <v>1033</v>
      </c>
      <c r="B1034">
        <v>1496</v>
      </c>
      <c r="C1034">
        <v>9</v>
      </c>
      <c r="D1034">
        <v>3</v>
      </c>
      <c r="E1034">
        <v>30</v>
      </c>
      <c r="F1034">
        <f t="shared" si="48"/>
        <v>90</v>
      </c>
      <c r="G1034" t="str">
        <f>VLOOKUP(B1034,Orders!$A$2:$D$1201,4,FALSE)</f>
        <v>Delivered</v>
      </c>
      <c r="H1034">
        <f t="shared" si="49"/>
        <v>90</v>
      </c>
      <c r="I1034" s="12">
        <f>VLOOKUP(B1034,Orders!$A$2:$D$1201,3,FALSE)</f>
        <v>46150</v>
      </c>
      <c r="L1034" t="str">
        <f>VLOOKUP(C1034,Products!$A$2:$D$13,2,FALSE)</f>
        <v>Lamp</v>
      </c>
      <c r="M1034" t="str">
        <f t="shared" si="50"/>
        <v>2026-05</v>
      </c>
    </row>
    <row r="1035" spans="1:13">
      <c r="A1035">
        <v>1034</v>
      </c>
      <c r="B1035">
        <v>1496</v>
      </c>
      <c r="C1035">
        <v>5</v>
      </c>
      <c r="D1035">
        <v>1</v>
      </c>
      <c r="E1035">
        <v>180</v>
      </c>
      <c r="F1035">
        <f t="shared" si="48"/>
        <v>180</v>
      </c>
      <c r="G1035" t="str">
        <f>VLOOKUP(B1035,Orders!$A$2:$D$1201,4,FALSE)</f>
        <v>Delivered</v>
      </c>
      <c r="H1035">
        <f t="shared" si="49"/>
        <v>180</v>
      </c>
      <c r="I1035" s="12">
        <f>VLOOKUP(B1035,Orders!$A$2:$D$1201,3,FALSE)</f>
        <v>46150</v>
      </c>
      <c r="L1035" t="str">
        <f>VLOOKUP(C1035,Products!$A$2:$D$13,2,FALSE)</f>
        <v>Desk</v>
      </c>
      <c r="M1035" t="str">
        <f t="shared" si="50"/>
        <v>2026-05</v>
      </c>
    </row>
    <row r="1036" spans="1:13">
      <c r="A1036">
        <v>1035</v>
      </c>
      <c r="B1036">
        <v>1496</v>
      </c>
      <c r="C1036">
        <v>7</v>
      </c>
      <c r="D1036">
        <v>1</v>
      </c>
      <c r="E1036">
        <v>65</v>
      </c>
      <c r="F1036">
        <f t="shared" si="48"/>
        <v>65</v>
      </c>
      <c r="G1036" t="str">
        <f>VLOOKUP(B1036,Orders!$A$2:$D$1201,4,FALSE)</f>
        <v>Delivered</v>
      </c>
      <c r="H1036">
        <f t="shared" si="49"/>
        <v>65</v>
      </c>
      <c r="I1036" s="12">
        <f>VLOOKUP(B1036,Orders!$A$2:$D$1201,3,FALSE)</f>
        <v>46150</v>
      </c>
      <c r="L1036" t="str">
        <f>VLOOKUP(C1036,Products!$A$2:$D$13,2,FALSE)</f>
        <v>Headphones</v>
      </c>
      <c r="M1036" t="str">
        <f t="shared" si="50"/>
        <v>2026-05</v>
      </c>
    </row>
    <row r="1037" spans="1:13">
      <c r="A1037">
        <v>1036</v>
      </c>
      <c r="B1037">
        <v>1497</v>
      </c>
      <c r="C1037">
        <v>8</v>
      </c>
      <c r="D1037">
        <v>1</v>
      </c>
      <c r="E1037">
        <v>55</v>
      </c>
      <c r="F1037">
        <f t="shared" si="48"/>
        <v>55</v>
      </c>
      <c r="G1037" t="str">
        <f>VLOOKUP(B1037,Orders!$A$2:$D$1201,4,FALSE)</f>
        <v>Delivered</v>
      </c>
      <c r="H1037">
        <f t="shared" si="49"/>
        <v>55</v>
      </c>
      <c r="I1037" s="12">
        <f>VLOOKUP(B1037,Orders!$A$2:$D$1201,3,FALSE)</f>
        <v>46199</v>
      </c>
      <c r="L1037" t="str">
        <f>VLOOKUP(C1037,Products!$A$2:$D$13,2,FALSE)</f>
        <v>Webcam</v>
      </c>
      <c r="M1037" t="str">
        <f t="shared" si="50"/>
        <v>2026-06</v>
      </c>
    </row>
    <row r="1038" spans="1:13">
      <c r="A1038">
        <v>1037</v>
      </c>
      <c r="B1038">
        <v>1497</v>
      </c>
      <c r="C1038">
        <v>9</v>
      </c>
      <c r="D1038">
        <v>1</v>
      </c>
      <c r="E1038">
        <v>30</v>
      </c>
      <c r="F1038">
        <f t="shared" si="48"/>
        <v>30</v>
      </c>
      <c r="G1038" t="str">
        <f>VLOOKUP(B1038,Orders!$A$2:$D$1201,4,FALSE)</f>
        <v>Delivered</v>
      </c>
      <c r="H1038">
        <f t="shared" si="49"/>
        <v>30</v>
      </c>
      <c r="I1038" s="12">
        <f>VLOOKUP(B1038,Orders!$A$2:$D$1201,3,FALSE)</f>
        <v>46199</v>
      </c>
      <c r="L1038" t="str">
        <f>VLOOKUP(C1038,Products!$A$2:$D$13,2,FALSE)</f>
        <v>Lamp</v>
      </c>
      <c r="M1038" t="str">
        <f t="shared" si="50"/>
        <v>2026-06</v>
      </c>
    </row>
    <row r="1039" spans="1:13">
      <c r="A1039">
        <v>1038</v>
      </c>
      <c r="B1039">
        <v>1498</v>
      </c>
      <c r="C1039">
        <v>5</v>
      </c>
      <c r="D1039">
        <v>3</v>
      </c>
      <c r="E1039">
        <v>180</v>
      </c>
      <c r="F1039">
        <f t="shared" si="48"/>
        <v>540</v>
      </c>
      <c r="G1039" t="str">
        <f>VLOOKUP(B1039,Orders!$A$2:$D$1201,4,FALSE)</f>
        <v>Delivered</v>
      </c>
      <c r="H1039">
        <f t="shared" si="49"/>
        <v>540</v>
      </c>
      <c r="I1039" s="12">
        <f>VLOOKUP(B1039,Orders!$A$2:$D$1201,3,FALSE)</f>
        <v>46042</v>
      </c>
      <c r="L1039" t="str">
        <f>VLOOKUP(C1039,Products!$A$2:$D$13,2,FALSE)</f>
        <v>Desk</v>
      </c>
      <c r="M1039" t="str">
        <f t="shared" si="50"/>
        <v>2026-01</v>
      </c>
    </row>
    <row r="1040" spans="1:13">
      <c r="A1040">
        <v>1039</v>
      </c>
      <c r="B1040">
        <v>1498</v>
      </c>
      <c r="C1040">
        <v>10</v>
      </c>
      <c r="D1040">
        <v>1</v>
      </c>
      <c r="E1040">
        <v>8</v>
      </c>
      <c r="F1040">
        <f t="shared" si="48"/>
        <v>8</v>
      </c>
      <c r="G1040" t="str">
        <f>VLOOKUP(B1040,Orders!$A$2:$D$1201,4,FALSE)</f>
        <v>Delivered</v>
      </c>
      <c r="H1040">
        <f t="shared" si="49"/>
        <v>8</v>
      </c>
      <c r="I1040" s="12">
        <f>VLOOKUP(B1040,Orders!$A$2:$D$1201,3,FALSE)</f>
        <v>46042</v>
      </c>
      <c r="L1040" t="str">
        <f>VLOOKUP(C1040,Products!$A$2:$D$13,2,FALSE)</f>
        <v>Notebook</v>
      </c>
      <c r="M1040" t="str">
        <f t="shared" si="50"/>
        <v>2026-01</v>
      </c>
    </row>
    <row r="1041" spans="1:13">
      <c r="A1041">
        <v>1040</v>
      </c>
      <c r="B1041">
        <v>1498</v>
      </c>
      <c r="C1041">
        <v>1</v>
      </c>
      <c r="D1041">
        <v>4</v>
      </c>
      <c r="E1041">
        <v>750</v>
      </c>
      <c r="F1041">
        <f t="shared" si="48"/>
        <v>3000</v>
      </c>
      <c r="G1041" t="str">
        <f>VLOOKUP(B1041,Orders!$A$2:$D$1201,4,FALSE)</f>
        <v>Delivered</v>
      </c>
      <c r="H1041">
        <f t="shared" si="49"/>
        <v>3000</v>
      </c>
      <c r="I1041" s="12">
        <f>VLOOKUP(B1041,Orders!$A$2:$D$1201,3,FALSE)</f>
        <v>46042</v>
      </c>
      <c r="L1041" t="str">
        <f>VLOOKUP(C1041,Products!$A$2:$D$13,2,FALSE)</f>
        <v>Laptop</v>
      </c>
      <c r="M1041" t="str">
        <f t="shared" si="50"/>
        <v>2026-01</v>
      </c>
    </row>
    <row r="1042" spans="1:13">
      <c r="A1042">
        <v>1041</v>
      </c>
      <c r="B1042">
        <v>1499</v>
      </c>
      <c r="C1042">
        <v>3</v>
      </c>
      <c r="D1042">
        <v>3</v>
      </c>
      <c r="E1042">
        <v>45</v>
      </c>
      <c r="F1042">
        <f t="shared" si="48"/>
        <v>135</v>
      </c>
      <c r="G1042" t="str">
        <f>VLOOKUP(B1042,Orders!$A$2:$D$1201,4,FALSE)</f>
        <v>Delivered</v>
      </c>
      <c r="H1042">
        <f t="shared" si="49"/>
        <v>135</v>
      </c>
      <c r="I1042" s="12">
        <f>VLOOKUP(B1042,Orders!$A$2:$D$1201,3,FALSE)</f>
        <v>46130</v>
      </c>
      <c r="L1042" t="str">
        <f>VLOOKUP(C1042,Products!$A$2:$D$13,2,FALSE)</f>
        <v>Keyboard</v>
      </c>
      <c r="M1042" t="str">
        <f t="shared" si="50"/>
        <v>2026-04</v>
      </c>
    </row>
    <row r="1043" spans="1:13">
      <c r="A1043">
        <v>1042</v>
      </c>
      <c r="B1043">
        <v>1499</v>
      </c>
      <c r="C1043">
        <v>1</v>
      </c>
      <c r="D1043">
        <v>3</v>
      </c>
      <c r="E1043">
        <v>750</v>
      </c>
      <c r="F1043">
        <f t="shared" si="48"/>
        <v>2250</v>
      </c>
      <c r="G1043" t="str">
        <f>VLOOKUP(B1043,Orders!$A$2:$D$1201,4,FALSE)</f>
        <v>Delivered</v>
      </c>
      <c r="H1043">
        <f t="shared" si="49"/>
        <v>2250</v>
      </c>
      <c r="I1043" s="12">
        <f>VLOOKUP(B1043,Orders!$A$2:$D$1201,3,FALSE)</f>
        <v>46130</v>
      </c>
      <c r="L1043" t="str">
        <f>VLOOKUP(C1043,Products!$A$2:$D$13,2,FALSE)</f>
        <v>Laptop</v>
      </c>
      <c r="M1043" t="str">
        <f t="shared" si="50"/>
        <v>2026-04</v>
      </c>
    </row>
    <row r="1044" spans="1:13">
      <c r="A1044">
        <v>1043</v>
      </c>
      <c r="B1044">
        <v>1500</v>
      </c>
      <c r="C1044">
        <v>8</v>
      </c>
      <c r="D1044">
        <v>2</v>
      </c>
      <c r="E1044">
        <v>55</v>
      </c>
      <c r="F1044">
        <f t="shared" si="48"/>
        <v>110</v>
      </c>
      <c r="G1044" t="str">
        <f>VLOOKUP(B1044,Orders!$A$2:$D$1201,4,FALSE)</f>
        <v>Pending</v>
      </c>
      <c r="H1044">
        <f t="shared" si="49"/>
        <v>110</v>
      </c>
      <c r="I1044" s="12">
        <f>VLOOKUP(B1044,Orders!$A$2:$D$1201,3,FALSE)</f>
        <v>46191</v>
      </c>
      <c r="L1044" t="str">
        <f>VLOOKUP(C1044,Products!$A$2:$D$13,2,FALSE)</f>
        <v>Webcam</v>
      </c>
      <c r="M1044" t="str">
        <f t="shared" si="50"/>
        <v>2026-06</v>
      </c>
    </row>
    <row r="1045" spans="1:13">
      <c r="A1045">
        <v>1044</v>
      </c>
      <c r="B1045">
        <v>1500</v>
      </c>
      <c r="C1045">
        <v>2</v>
      </c>
      <c r="D1045">
        <v>1</v>
      </c>
      <c r="E1045">
        <v>220</v>
      </c>
      <c r="F1045">
        <f t="shared" si="48"/>
        <v>220</v>
      </c>
      <c r="G1045" t="str">
        <f>VLOOKUP(B1045,Orders!$A$2:$D$1201,4,FALSE)</f>
        <v>Pending</v>
      </c>
      <c r="H1045">
        <f t="shared" si="49"/>
        <v>220</v>
      </c>
      <c r="I1045" s="12">
        <f>VLOOKUP(B1045,Orders!$A$2:$D$1201,3,FALSE)</f>
        <v>46191</v>
      </c>
      <c r="L1045" t="str">
        <f>VLOOKUP(C1045,Products!$A$2:$D$13,2,FALSE)</f>
        <v>Monitor</v>
      </c>
      <c r="M1045" t="str">
        <f t="shared" si="50"/>
        <v>2026-06</v>
      </c>
    </row>
    <row r="1046" spans="1:13">
      <c r="A1046">
        <v>1045</v>
      </c>
      <c r="B1046">
        <v>1501</v>
      </c>
      <c r="C1046">
        <v>5</v>
      </c>
      <c r="D1046">
        <v>1</v>
      </c>
      <c r="E1046">
        <v>180</v>
      </c>
      <c r="F1046">
        <f t="shared" si="48"/>
        <v>180</v>
      </c>
      <c r="G1046" t="str">
        <f>VLOOKUP(B1046,Orders!$A$2:$D$1201,4,FALSE)</f>
        <v>Delivered</v>
      </c>
      <c r="H1046">
        <f t="shared" si="49"/>
        <v>180</v>
      </c>
      <c r="I1046" s="12">
        <f>VLOOKUP(B1046,Orders!$A$2:$D$1201,3,FALSE)</f>
        <v>46087</v>
      </c>
      <c r="L1046" t="str">
        <f>VLOOKUP(C1046,Products!$A$2:$D$13,2,FALSE)</f>
        <v>Desk</v>
      </c>
      <c r="M1046" t="str">
        <f t="shared" si="50"/>
        <v>2026-03</v>
      </c>
    </row>
    <row r="1047" spans="1:13">
      <c r="A1047">
        <v>1046</v>
      </c>
      <c r="B1047">
        <v>1501</v>
      </c>
      <c r="C1047">
        <v>1</v>
      </c>
      <c r="D1047">
        <v>2</v>
      </c>
      <c r="E1047">
        <v>750</v>
      </c>
      <c r="F1047">
        <f t="shared" si="48"/>
        <v>1500</v>
      </c>
      <c r="G1047" t="str">
        <f>VLOOKUP(B1047,Orders!$A$2:$D$1201,4,FALSE)</f>
        <v>Delivered</v>
      </c>
      <c r="H1047">
        <f t="shared" si="49"/>
        <v>1500</v>
      </c>
      <c r="I1047" s="12">
        <f>VLOOKUP(B1047,Orders!$A$2:$D$1201,3,FALSE)</f>
        <v>46087</v>
      </c>
      <c r="L1047" t="str">
        <f>VLOOKUP(C1047,Products!$A$2:$D$13,2,FALSE)</f>
        <v>Laptop</v>
      </c>
      <c r="M1047" t="str">
        <f t="shared" si="50"/>
        <v>2026-03</v>
      </c>
    </row>
    <row r="1048" spans="1:13">
      <c r="A1048">
        <v>1047</v>
      </c>
      <c r="B1048">
        <v>1502</v>
      </c>
      <c r="C1048">
        <v>3</v>
      </c>
      <c r="D1048">
        <v>1</v>
      </c>
      <c r="E1048">
        <v>45</v>
      </c>
      <c r="F1048">
        <f t="shared" si="48"/>
        <v>45</v>
      </c>
      <c r="G1048" t="str">
        <f>VLOOKUP(B1048,Orders!$A$2:$D$1201,4,FALSE)</f>
        <v>Delivered</v>
      </c>
      <c r="H1048">
        <f t="shared" si="49"/>
        <v>45</v>
      </c>
      <c r="I1048" s="12">
        <f>VLOOKUP(B1048,Orders!$A$2:$D$1201,3,FALSE)</f>
        <v>46067</v>
      </c>
      <c r="L1048" t="str">
        <f>VLOOKUP(C1048,Products!$A$2:$D$13,2,FALSE)</f>
        <v>Keyboard</v>
      </c>
      <c r="M1048" t="str">
        <f t="shared" si="50"/>
        <v>2026-02</v>
      </c>
    </row>
    <row r="1049" spans="1:13">
      <c r="A1049">
        <v>1048</v>
      </c>
      <c r="B1049">
        <v>1502</v>
      </c>
      <c r="C1049">
        <v>9</v>
      </c>
      <c r="D1049">
        <v>3</v>
      </c>
      <c r="E1049">
        <v>30</v>
      </c>
      <c r="F1049">
        <f t="shared" si="48"/>
        <v>90</v>
      </c>
      <c r="G1049" t="str">
        <f>VLOOKUP(B1049,Orders!$A$2:$D$1201,4,FALSE)</f>
        <v>Delivered</v>
      </c>
      <c r="H1049">
        <f t="shared" si="49"/>
        <v>90</v>
      </c>
      <c r="I1049" s="12">
        <f>VLOOKUP(B1049,Orders!$A$2:$D$1201,3,FALSE)</f>
        <v>46067</v>
      </c>
      <c r="L1049" t="str">
        <f>VLOOKUP(C1049,Products!$A$2:$D$13,2,FALSE)</f>
        <v>Lamp</v>
      </c>
      <c r="M1049" t="str">
        <f t="shared" si="50"/>
        <v>2026-02</v>
      </c>
    </row>
    <row r="1050" spans="1:13">
      <c r="A1050">
        <v>1049</v>
      </c>
      <c r="B1050">
        <v>1503</v>
      </c>
      <c r="C1050">
        <v>4</v>
      </c>
      <c r="D1050">
        <v>4</v>
      </c>
      <c r="E1050">
        <v>25</v>
      </c>
      <c r="F1050">
        <f t="shared" si="48"/>
        <v>100</v>
      </c>
      <c r="G1050" t="str">
        <f>VLOOKUP(B1050,Orders!$A$2:$D$1201,4,FALSE)</f>
        <v>Delivered</v>
      </c>
      <c r="H1050">
        <f t="shared" si="49"/>
        <v>100</v>
      </c>
      <c r="I1050" s="12">
        <f>VLOOKUP(B1050,Orders!$A$2:$D$1201,3,FALSE)</f>
        <v>46149</v>
      </c>
      <c r="L1050" t="str">
        <f>VLOOKUP(C1050,Products!$A$2:$D$13,2,FALSE)</f>
        <v>Mouse</v>
      </c>
      <c r="M1050" t="str">
        <f t="shared" si="50"/>
        <v>2026-05</v>
      </c>
    </row>
    <row r="1051" spans="1:13">
      <c r="A1051">
        <v>1050</v>
      </c>
      <c r="B1051">
        <v>1503</v>
      </c>
      <c r="C1051">
        <v>11</v>
      </c>
      <c r="D1051">
        <v>2</v>
      </c>
      <c r="E1051">
        <v>48</v>
      </c>
      <c r="F1051">
        <f t="shared" si="48"/>
        <v>96</v>
      </c>
      <c r="G1051" t="str">
        <f>VLOOKUP(B1051,Orders!$A$2:$D$1201,4,FALSE)</f>
        <v>Delivered</v>
      </c>
      <c r="H1051">
        <f t="shared" si="49"/>
        <v>96</v>
      </c>
      <c r="I1051" s="12">
        <f>VLOOKUP(B1051,Orders!$A$2:$D$1201,3,FALSE)</f>
        <v>46149</v>
      </c>
      <c r="L1051" t="str">
        <f>VLOOKUP(C1051,Products!$A$2:$D$13,2,FALSE)</f>
        <v>Backpack</v>
      </c>
      <c r="M1051" t="str">
        <f t="shared" si="50"/>
        <v>2026-05</v>
      </c>
    </row>
    <row r="1052" spans="1:13">
      <c r="A1052">
        <v>1051</v>
      </c>
      <c r="B1052">
        <v>1504</v>
      </c>
      <c r="C1052">
        <v>3</v>
      </c>
      <c r="D1052">
        <v>4</v>
      </c>
      <c r="E1052">
        <v>45</v>
      </c>
      <c r="F1052">
        <f t="shared" si="48"/>
        <v>180</v>
      </c>
      <c r="G1052" t="str">
        <f>VLOOKUP(B1052,Orders!$A$2:$D$1201,4,FALSE)</f>
        <v>Delivered</v>
      </c>
      <c r="H1052">
        <f t="shared" si="49"/>
        <v>180</v>
      </c>
      <c r="I1052" s="12">
        <f>VLOOKUP(B1052,Orders!$A$2:$D$1201,3,FALSE)</f>
        <v>46090</v>
      </c>
      <c r="L1052" t="str">
        <f>VLOOKUP(C1052,Products!$A$2:$D$13,2,FALSE)</f>
        <v>Keyboard</v>
      </c>
      <c r="M1052" t="str">
        <f t="shared" si="50"/>
        <v>2026-03</v>
      </c>
    </row>
    <row r="1053" spans="1:13">
      <c r="A1053">
        <v>1052</v>
      </c>
      <c r="B1053">
        <v>1505</v>
      </c>
      <c r="C1053">
        <v>5</v>
      </c>
      <c r="D1053">
        <v>4</v>
      </c>
      <c r="E1053">
        <v>180</v>
      </c>
      <c r="F1053">
        <f t="shared" si="48"/>
        <v>720</v>
      </c>
      <c r="G1053" t="str">
        <f>VLOOKUP(B1053,Orders!$A$2:$D$1201,4,FALSE)</f>
        <v>Delivered</v>
      </c>
      <c r="H1053">
        <f t="shared" si="49"/>
        <v>720</v>
      </c>
      <c r="I1053" s="12">
        <f>VLOOKUP(B1053,Orders!$A$2:$D$1201,3,FALSE)</f>
        <v>46082</v>
      </c>
      <c r="L1053" t="str">
        <f>VLOOKUP(C1053,Products!$A$2:$D$13,2,FALSE)</f>
        <v>Desk</v>
      </c>
      <c r="M1053" t="str">
        <f t="shared" si="50"/>
        <v>2026-03</v>
      </c>
    </row>
    <row r="1054" spans="1:13">
      <c r="A1054">
        <v>1053</v>
      </c>
      <c r="B1054">
        <v>1505</v>
      </c>
      <c r="C1054">
        <v>3</v>
      </c>
      <c r="D1054">
        <v>1</v>
      </c>
      <c r="E1054">
        <v>45</v>
      </c>
      <c r="F1054">
        <f t="shared" si="48"/>
        <v>45</v>
      </c>
      <c r="G1054" t="str">
        <f>VLOOKUP(B1054,Orders!$A$2:$D$1201,4,FALSE)</f>
        <v>Delivered</v>
      </c>
      <c r="H1054">
        <f t="shared" si="49"/>
        <v>45</v>
      </c>
      <c r="I1054" s="12">
        <f>VLOOKUP(B1054,Orders!$A$2:$D$1201,3,FALSE)</f>
        <v>46082</v>
      </c>
      <c r="L1054" t="str">
        <f>VLOOKUP(C1054,Products!$A$2:$D$13,2,FALSE)</f>
        <v>Keyboard</v>
      </c>
      <c r="M1054" t="str">
        <f t="shared" si="50"/>
        <v>2026-03</v>
      </c>
    </row>
    <row r="1055" spans="1:13">
      <c r="A1055">
        <v>1054</v>
      </c>
      <c r="B1055">
        <v>1506</v>
      </c>
      <c r="C1055">
        <v>9</v>
      </c>
      <c r="D1055">
        <v>3</v>
      </c>
      <c r="E1055">
        <v>30</v>
      </c>
      <c r="F1055">
        <f t="shared" si="48"/>
        <v>90</v>
      </c>
      <c r="G1055" t="str">
        <f>VLOOKUP(B1055,Orders!$A$2:$D$1201,4,FALSE)</f>
        <v>Delivered</v>
      </c>
      <c r="H1055">
        <f t="shared" si="49"/>
        <v>90</v>
      </c>
      <c r="I1055" s="12">
        <f>VLOOKUP(B1055,Orders!$A$2:$D$1201,3,FALSE)</f>
        <v>46158</v>
      </c>
      <c r="L1055" t="str">
        <f>VLOOKUP(C1055,Products!$A$2:$D$13,2,FALSE)</f>
        <v>Lamp</v>
      </c>
      <c r="M1055" t="str">
        <f t="shared" si="50"/>
        <v>2026-05</v>
      </c>
    </row>
    <row r="1056" spans="1:13">
      <c r="A1056">
        <v>1055</v>
      </c>
      <c r="B1056">
        <v>1507</v>
      </c>
      <c r="C1056">
        <v>11</v>
      </c>
      <c r="D1056">
        <v>4</v>
      </c>
      <c r="E1056">
        <v>48</v>
      </c>
      <c r="F1056">
        <f t="shared" si="48"/>
        <v>192</v>
      </c>
      <c r="G1056" t="str">
        <f>VLOOKUP(B1056,Orders!$A$2:$D$1201,4,FALSE)</f>
        <v>Delivered</v>
      </c>
      <c r="H1056">
        <f t="shared" si="49"/>
        <v>192</v>
      </c>
      <c r="I1056" s="12">
        <f>VLOOKUP(B1056,Orders!$A$2:$D$1201,3,FALSE)</f>
        <v>46108</v>
      </c>
      <c r="L1056" t="str">
        <f>VLOOKUP(C1056,Products!$A$2:$D$13,2,FALSE)</f>
        <v>Backpack</v>
      </c>
      <c r="M1056" t="str">
        <f t="shared" si="50"/>
        <v>2026-03</v>
      </c>
    </row>
    <row r="1057" spans="1:13">
      <c r="A1057">
        <v>1056</v>
      </c>
      <c r="B1057">
        <v>1507</v>
      </c>
      <c r="C1057">
        <v>10</v>
      </c>
      <c r="D1057">
        <v>4</v>
      </c>
      <c r="E1057">
        <v>8</v>
      </c>
      <c r="F1057">
        <f t="shared" si="48"/>
        <v>32</v>
      </c>
      <c r="G1057" t="str">
        <f>VLOOKUP(B1057,Orders!$A$2:$D$1201,4,FALSE)</f>
        <v>Delivered</v>
      </c>
      <c r="H1057">
        <f t="shared" si="49"/>
        <v>32</v>
      </c>
      <c r="I1057" s="12">
        <f>VLOOKUP(B1057,Orders!$A$2:$D$1201,3,FALSE)</f>
        <v>46108</v>
      </c>
      <c r="L1057" t="str">
        <f>VLOOKUP(C1057,Products!$A$2:$D$13,2,FALSE)</f>
        <v>Notebook</v>
      </c>
      <c r="M1057" t="str">
        <f t="shared" si="50"/>
        <v>2026-03</v>
      </c>
    </row>
    <row r="1058" spans="1:13">
      <c r="A1058">
        <v>1057</v>
      </c>
      <c r="B1058">
        <v>1508</v>
      </c>
      <c r="C1058">
        <v>9</v>
      </c>
      <c r="D1058">
        <v>1</v>
      </c>
      <c r="E1058">
        <v>30</v>
      </c>
      <c r="F1058">
        <f t="shared" si="48"/>
        <v>30</v>
      </c>
      <c r="G1058" t="str">
        <f>VLOOKUP(B1058,Orders!$A$2:$D$1201,4,FALSE)</f>
        <v>Delivered</v>
      </c>
      <c r="H1058">
        <f t="shared" si="49"/>
        <v>30</v>
      </c>
      <c r="I1058" s="12">
        <f>VLOOKUP(B1058,Orders!$A$2:$D$1201,3,FALSE)</f>
        <v>46072</v>
      </c>
      <c r="L1058" t="str">
        <f>VLOOKUP(C1058,Products!$A$2:$D$13,2,FALSE)</f>
        <v>Lamp</v>
      </c>
      <c r="M1058" t="str">
        <f t="shared" si="50"/>
        <v>2026-02</v>
      </c>
    </row>
    <row r="1059" spans="1:13">
      <c r="A1059">
        <v>1058</v>
      </c>
      <c r="B1059">
        <v>1508</v>
      </c>
      <c r="C1059">
        <v>1</v>
      </c>
      <c r="D1059">
        <v>1</v>
      </c>
      <c r="E1059">
        <v>750</v>
      </c>
      <c r="F1059">
        <f t="shared" si="48"/>
        <v>750</v>
      </c>
      <c r="G1059" t="str">
        <f>VLOOKUP(B1059,Orders!$A$2:$D$1201,4,FALSE)</f>
        <v>Delivered</v>
      </c>
      <c r="H1059">
        <f t="shared" si="49"/>
        <v>750</v>
      </c>
      <c r="I1059" s="12">
        <f>VLOOKUP(B1059,Orders!$A$2:$D$1201,3,FALSE)</f>
        <v>46072</v>
      </c>
      <c r="L1059" t="str">
        <f>VLOOKUP(C1059,Products!$A$2:$D$13,2,FALSE)</f>
        <v>Laptop</v>
      </c>
      <c r="M1059" t="str">
        <f t="shared" si="50"/>
        <v>2026-02</v>
      </c>
    </row>
    <row r="1060" spans="1:13">
      <c r="A1060">
        <v>1059</v>
      </c>
      <c r="B1060">
        <v>1509</v>
      </c>
      <c r="C1060">
        <v>4</v>
      </c>
      <c r="D1060">
        <v>1</v>
      </c>
      <c r="E1060">
        <v>25</v>
      </c>
      <c r="F1060">
        <f t="shared" si="48"/>
        <v>25</v>
      </c>
      <c r="G1060" t="str">
        <f>VLOOKUP(B1060,Orders!$A$2:$D$1201,4,FALSE)</f>
        <v>Delivered</v>
      </c>
      <c r="H1060">
        <f t="shared" si="49"/>
        <v>25</v>
      </c>
      <c r="I1060" s="12">
        <f>VLOOKUP(B1060,Orders!$A$2:$D$1201,3,FALSE)</f>
        <v>46112</v>
      </c>
      <c r="L1060" t="str">
        <f>VLOOKUP(C1060,Products!$A$2:$D$13,2,FALSE)</f>
        <v>Mouse</v>
      </c>
      <c r="M1060" t="str">
        <f t="shared" si="50"/>
        <v>2026-03</v>
      </c>
    </row>
    <row r="1061" spans="1:13">
      <c r="A1061">
        <v>1060</v>
      </c>
      <c r="B1061">
        <v>1509</v>
      </c>
      <c r="C1061">
        <v>1</v>
      </c>
      <c r="D1061">
        <v>1</v>
      </c>
      <c r="E1061">
        <v>750</v>
      </c>
      <c r="F1061">
        <f t="shared" si="48"/>
        <v>750</v>
      </c>
      <c r="G1061" t="str">
        <f>VLOOKUP(B1061,Orders!$A$2:$D$1201,4,FALSE)</f>
        <v>Delivered</v>
      </c>
      <c r="H1061">
        <f t="shared" si="49"/>
        <v>750</v>
      </c>
      <c r="I1061" s="12">
        <f>VLOOKUP(B1061,Orders!$A$2:$D$1201,3,FALSE)</f>
        <v>46112</v>
      </c>
      <c r="L1061" t="str">
        <f>VLOOKUP(C1061,Products!$A$2:$D$13,2,FALSE)</f>
        <v>Laptop</v>
      </c>
      <c r="M1061" t="str">
        <f t="shared" si="50"/>
        <v>2026-03</v>
      </c>
    </row>
    <row r="1062" spans="1:13">
      <c r="A1062">
        <v>1061</v>
      </c>
      <c r="B1062">
        <v>1510</v>
      </c>
      <c r="C1062">
        <v>10</v>
      </c>
      <c r="D1062">
        <v>2</v>
      </c>
      <c r="E1062">
        <v>8</v>
      </c>
      <c r="F1062">
        <f t="shared" si="48"/>
        <v>16</v>
      </c>
      <c r="G1062" t="str">
        <f>VLOOKUP(B1062,Orders!$A$2:$D$1201,4,FALSE)</f>
        <v>Delivered</v>
      </c>
      <c r="H1062">
        <f t="shared" si="49"/>
        <v>16</v>
      </c>
      <c r="I1062" s="12">
        <f>VLOOKUP(B1062,Orders!$A$2:$D$1201,3,FALSE)</f>
        <v>46176</v>
      </c>
      <c r="L1062" t="str">
        <f>VLOOKUP(C1062,Products!$A$2:$D$13,2,FALSE)</f>
        <v>Notebook</v>
      </c>
      <c r="M1062" t="str">
        <f t="shared" si="50"/>
        <v>2026-06</v>
      </c>
    </row>
    <row r="1063" spans="1:13">
      <c r="A1063">
        <v>1062</v>
      </c>
      <c r="B1063">
        <v>1511</v>
      </c>
      <c r="C1063">
        <v>8</v>
      </c>
      <c r="D1063">
        <v>1</v>
      </c>
      <c r="E1063">
        <v>55</v>
      </c>
      <c r="F1063">
        <f t="shared" si="48"/>
        <v>55</v>
      </c>
      <c r="G1063" t="str">
        <f>VLOOKUP(B1063,Orders!$A$2:$D$1201,4,FALSE)</f>
        <v>Delivered</v>
      </c>
      <c r="H1063">
        <f t="shared" si="49"/>
        <v>55</v>
      </c>
      <c r="I1063" s="12">
        <f>VLOOKUP(B1063,Orders!$A$2:$D$1201,3,FALSE)</f>
        <v>46051</v>
      </c>
      <c r="L1063" t="str">
        <f>VLOOKUP(C1063,Products!$A$2:$D$13,2,FALSE)</f>
        <v>Webcam</v>
      </c>
      <c r="M1063" t="str">
        <f t="shared" si="50"/>
        <v>2026-01</v>
      </c>
    </row>
    <row r="1064" spans="1:13">
      <c r="A1064">
        <v>1063</v>
      </c>
      <c r="B1064">
        <v>1511</v>
      </c>
      <c r="C1064">
        <v>11</v>
      </c>
      <c r="D1064">
        <v>4</v>
      </c>
      <c r="E1064">
        <v>48</v>
      </c>
      <c r="F1064">
        <f t="shared" si="48"/>
        <v>192</v>
      </c>
      <c r="G1064" t="str">
        <f>VLOOKUP(B1064,Orders!$A$2:$D$1201,4,FALSE)</f>
        <v>Delivered</v>
      </c>
      <c r="H1064">
        <f t="shared" si="49"/>
        <v>192</v>
      </c>
      <c r="I1064" s="12">
        <f>VLOOKUP(B1064,Orders!$A$2:$D$1201,3,FALSE)</f>
        <v>46051</v>
      </c>
      <c r="L1064" t="str">
        <f>VLOOKUP(C1064,Products!$A$2:$D$13,2,FALSE)</f>
        <v>Backpack</v>
      </c>
      <c r="M1064" t="str">
        <f t="shared" si="50"/>
        <v>2026-01</v>
      </c>
    </row>
    <row r="1065" spans="1:13">
      <c r="A1065">
        <v>1064</v>
      </c>
      <c r="B1065">
        <v>1512</v>
      </c>
      <c r="C1065">
        <v>1</v>
      </c>
      <c r="D1065">
        <v>4</v>
      </c>
      <c r="E1065">
        <v>750</v>
      </c>
      <c r="F1065">
        <f t="shared" si="48"/>
        <v>3000</v>
      </c>
      <c r="G1065" t="str">
        <f>VLOOKUP(B1065,Orders!$A$2:$D$1201,4,FALSE)</f>
        <v>Delivered</v>
      </c>
      <c r="H1065">
        <f t="shared" si="49"/>
        <v>3000</v>
      </c>
      <c r="I1065" s="12">
        <f>VLOOKUP(B1065,Orders!$A$2:$D$1201,3,FALSE)</f>
        <v>46105</v>
      </c>
      <c r="L1065" t="str">
        <f>VLOOKUP(C1065,Products!$A$2:$D$13,2,FALSE)</f>
        <v>Laptop</v>
      </c>
      <c r="M1065" t="str">
        <f t="shared" si="50"/>
        <v>2026-03</v>
      </c>
    </row>
    <row r="1066" spans="1:13">
      <c r="A1066">
        <v>1065</v>
      </c>
      <c r="B1066">
        <v>1512</v>
      </c>
      <c r="C1066">
        <v>7</v>
      </c>
      <c r="D1066">
        <v>3</v>
      </c>
      <c r="E1066">
        <v>65</v>
      </c>
      <c r="F1066">
        <f t="shared" si="48"/>
        <v>195</v>
      </c>
      <c r="G1066" t="str">
        <f>VLOOKUP(B1066,Orders!$A$2:$D$1201,4,FALSE)</f>
        <v>Delivered</v>
      </c>
      <c r="H1066">
        <f t="shared" si="49"/>
        <v>195</v>
      </c>
      <c r="I1066" s="12">
        <f>VLOOKUP(B1066,Orders!$A$2:$D$1201,3,FALSE)</f>
        <v>46105</v>
      </c>
      <c r="L1066" t="str">
        <f>VLOOKUP(C1066,Products!$A$2:$D$13,2,FALSE)</f>
        <v>Headphones</v>
      </c>
      <c r="M1066" t="str">
        <f t="shared" si="50"/>
        <v>2026-03</v>
      </c>
    </row>
    <row r="1067" spans="1:13">
      <c r="A1067">
        <v>1066</v>
      </c>
      <c r="B1067">
        <v>1513</v>
      </c>
      <c r="C1067">
        <v>7</v>
      </c>
      <c r="D1067">
        <v>1</v>
      </c>
      <c r="E1067">
        <v>65</v>
      </c>
      <c r="F1067">
        <f t="shared" si="48"/>
        <v>65</v>
      </c>
      <c r="G1067" t="str">
        <f>VLOOKUP(B1067,Orders!$A$2:$D$1201,4,FALSE)</f>
        <v>Delivered</v>
      </c>
      <c r="H1067">
        <f t="shared" si="49"/>
        <v>65</v>
      </c>
      <c r="I1067" s="12">
        <f>VLOOKUP(B1067,Orders!$A$2:$D$1201,3,FALSE)</f>
        <v>46135</v>
      </c>
      <c r="L1067" t="str">
        <f>VLOOKUP(C1067,Products!$A$2:$D$13,2,FALSE)</f>
        <v>Headphones</v>
      </c>
      <c r="M1067" t="str">
        <f t="shared" si="50"/>
        <v>2026-04</v>
      </c>
    </row>
    <row r="1068" spans="1:13">
      <c r="A1068">
        <v>1067</v>
      </c>
      <c r="B1068">
        <v>1513</v>
      </c>
      <c r="C1068">
        <v>3</v>
      </c>
      <c r="D1068">
        <v>2</v>
      </c>
      <c r="E1068">
        <v>45</v>
      </c>
      <c r="F1068">
        <f t="shared" si="48"/>
        <v>90</v>
      </c>
      <c r="G1068" t="str">
        <f>VLOOKUP(B1068,Orders!$A$2:$D$1201,4,FALSE)</f>
        <v>Delivered</v>
      </c>
      <c r="H1068">
        <f t="shared" si="49"/>
        <v>90</v>
      </c>
      <c r="I1068" s="12">
        <f>VLOOKUP(B1068,Orders!$A$2:$D$1201,3,FALSE)</f>
        <v>46135</v>
      </c>
      <c r="L1068" t="str">
        <f>VLOOKUP(C1068,Products!$A$2:$D$13,2,FALSE)</f>
        <v>Keyboard</v>
      </c>
      <c r="M1068" t="str">
        <f t="shared" si="50"/>
        <v>2026-04</v>
      </c>
    </row>
    <row r="1069" spans="1:13">
      <c r="A1069">
        <v>1068</v>
      </c>
      <c r="B1069">
        <v>1513</v>
      </c>
      <c r="C1069">
        <v>8</v>
      </c>
      <c r="D1069">
        <v>4</v>
      </c>
      <c r="E1069">
        <v>55</v>
      </c>
      <c r="F1069">
        <f t="shared" si="48"/>
        <v>220</v>
      </c>
      <c r="G1069" t="str">
        <f>VLOOKUP(B1069,Orders!$A$2:$D$1201,4,FALSE)</f>
        <v>Delivered</v>
      </c>
      <c r="H1069">
        <f t="shared" si="49"/>
        <v>220</v>
      </c>
      <c r="I1069" s="12">
        <f>VLOOKUP(B1069,Orders!$A$2:$D$1201,3,FALSE)</f>
        <v>46135</v>
      </c>
      <c r="L1069" t="str">
        <f>VLOOKUP(C1069,Products!$A$2:$D$13,2,FALSE)</f>
        <v>Webcam</v>
      </c>
      <c r="M1069" t="str">
        <f t="shared" si="50"/>
        <v>2026-04</v>
      </c>
    </row>
    <row r="1070" spans="1:13">
      <c r="A1070">
        <v>1069</v>
      </c>
      <c r="B1070">
        <v>1514</v>
      </c>
      <c r="C1070">
        <v>10</v>
      </c>
      <c r="D1070">
        <v>3</v>
      </c>
      <c r="E1070">
        <v>8</v>
      </c>
      <c r="F1070">
        <f t="shared" si="48"/>
        <v>24</v>
      </c>
      <c r="G1070" t="str">
        <f>VLOOKUP(B1070,Orders!$A$2:$D$1201,4,FALSE)</f>
        <v>Delivered</v>
      </c>
      <c r="H1070">
        <f t="shared" si="49"/>
        <v>24</v>
      </c>
      <c r="I1070" s="12">
        <f>VLOOKUP(B1070,Orders!$A$2:$D$1201,3,FALSE)</f>
        <v>46089</v>
      </c>
      <c r="L1070" t="str">
        <f>VLOOKUP(C1070,Products!$A$2:$D$13,2,FALSE)</f>
        <v>Notebook</v>
      </c>
      <c r="M1070" t="str">
        <f t="shared" si="50"/>
        <v>2026-03</v>
      </c>
    </row>
    <row r="1071" spans="1:13">
      <c r="A1071">
        <v>1070</v>
      </c>
      <c r="B1071">
        <v>1515</v>
      </c>
      <c r="C1071">
        <v>7</v>
      </c>
      <c r="D1071">
        <v>3</v>
      </c>
      <c r="E1071">
        <v>65</v>
      </c>
      <c r="F1071">
        <f t="shared" si="48"/>
        <v>195</v>
      </c>
      <c r="G1071" t="str">
        <f>VLOOKUP(B1071,Orders!$A$2:$D$1201,4,FALSE)</f>
        <v>Delivered</v>
      </c>
      <c r="H1071">
        <f t="shared" si="49"/>
        <v>195</v>
      </c>
      <c r="I1071" s="12">
        <f>VLOOKUP(B1071,Orders!$A$2:$D$1201,3,FALSE)</f>
        <v>46186</v>
      </c>
      <c r="L1071" t="str">
        <f>VLOOKUP(C1071,Products!$A$2:$D$13,2,FALSE)</f>
        <v>Headphones</v>
      </c>
      <c r="M1071" t="str">
        <f t="shared" si="50"/>
        <v>2026-06</v>
      </c>
    </row>
    <row r="1072" spans="1:13">
      <c r="A1072">
        <v>1071</v>
      </c>
      <c r="B1072">
        <v>1515</v>
      </c>
      <c r="C1072">
        <v>5</v>
      </c>
      <c r="D1072">
        <v>4</v>
      </c>
      <c r="E1072">
        <v>180</v>
      </c>
      <c r="F1072">
        <f t="shared" si="48"/>
        <v>720</v>
      </c>
      <c r="G1072" t="str">
        <f>VLOOKUP(B1072,Orders!$A$2:$D$1201,4,FALSE)</f>
        <v>Delivered</v>
      </c>
      <c r="H1072">
        <f t="shared" si="49"/>
        <v>720</v>
      </c>
      <c r="I1072" s="12">
        <f>VLOOKUP(B1072,Orders!$A$2:$D$1201,3,FALSE)</f>
        <v>46186</v>
      </c>
      <c r="L1072" t="str">
        <f>VLOOKUP(C1072,Products!$A$2:$D$13,2,FALSE)</f>
        <v>Desk</v>
      </c>
      <c r="M1072" t="str">
        <f t="shared" si="50"/>
        <v>2026-06</v>
      </c>
    </row>
    <row r="1073" spans="1:13">
      <c r="A1073">
        <v>1072</v>
      </c>
      <c r="B1073">
        <v>1515</v>
      </c>
      <c r="C1073">
        <v>3</v>
      </c>
      <c r="D1073">
        <v>1</v>
      </c>
      <c r="E1073">
        <v>45</v>
      </c>
      <c r="F1073">
        <f t="shared" si="48"/>
        <v>45</v>
      </c>
      <c r="G1073" t="str">
        <f>VLOOKUP(B1073,Orders!$A$2:$D$1201,4,FALSE)</f>
        <v>Delivered</v>
      </c>
      <c r="H1073">
        <f t="shared" si="49"/>
        <v>45</v>
      </c>
      <c r="I1073" s="12">
        <f>VLOOKUP(B1073,Orders!$A$2:$D$1201,3,FALSE)</f>
        <v>46186</v>
      </c>
      <c r="L1073" t="str">
        <f>VLOOKUP(C1073,Products!$A$2:$D$13,2,FALSE)</f>
        <v>Keyboard</v>
      </c>
      <c r="M1073" t="str">
        <f t="shared" si="50"/>
        <v>2026-06</v>
      </c>
    </row>
    <row r="1074" spans="1:13">
      <c r="A1074">
        <v>1073</v>
      </c>
      <c r="B1074">
        <v>1516</v>
      </c>
      <c r="C1074">
        <v>4</v>
      </c>
      <c r="D1074">
        <v>4</v>
      </c>
      <c r="E1074">
        <v>25</v>
      </c>
      <c r="F1074">
        <f t="shared" si="48"/>
        <v>100</v>
      </c>
      <c r="G1074" t="str">
        <f>VLOOKUP(B1074,Orders!$A$2:$D$1201,4,FALSE)</f>
        <v>Delivered</v>
      </c>
      <c r="H1074">
        <f t="shared" si="49"/>
        <v>100</v>
      </c>
      <c r="I1074" s="12">
        <f>VLOOKUP(B1074,Orders!$A$2:$D$1201,3,FALSE)</f>
        <v>46126</v>
      </c>
      <c r="L1074" t="str">
        <f>VLOOKUP(C1074,Products!$A$2:$D$13,2,FALSE)</f>
        <v>Mouse</v>
      </c>
      <c r="M1074" t="str">
        <f t="shared" si="50"/>
        <v>2026-04</v>
      </c>
    </row>
    <row r="1075" spans="1:13">
      <c r="A1075">
        <v>1074</v>
      </c>
      <c r="B1075">
        <v>1516</v>
      </c>
      <c r="C1075">
        <v>1</v>
      </c>
      <c r="D1075">
        <v>1</v>
      </c>
      <c r="E1075">
        <v>750</v>
      </c>
      <c r="F1075">
        <f t="shared" si="48"/>
        <v>750</v>
      </c>
      <c r="G1075" t="str">
        <f>VLOOKUP(B1075,Orders!$A$2:$D$1201,4,FALSE)</f>
        <v>Delivered</v>
      </c>
      <c r="H1075">
        <f t="shared" si="49"/>
        <v>750</v>
      </c>
      <c r="I1075" s="12">
        <f>VLOOKUP(B1075,Orders!$A$2:$D$1201,3,FALSE)</f>
        <v>46126</v>
      </c>
      <c r="L1075" t="str">
        <f>VLOOKUP(C1075,Products!$A$2:$D$13,2,FALSE)</f>
        <v>Laptop</v>
      </c>
      <c r="M1075" t="str">
        <f t="shared" si="50"/>
        <v>2026-04</v>
      </c>
    </row>
    <row r="1076" spans="1:13">
      <c r="A1076">
        <v>1075</v>
      </c>
      <c r="B1076">
        <v>1516</v>
      </c>
      <c r="C1076">
        <v>7</v>
      </c>
      <c r="D1076">
        <v>3</v>
      </c>
      <c r="E1076">
        <v>65</v>
      </c>
      <c r="F1076">
        <f t="shared" si="48"/>
        <v>195</v>
      </c>
      <c r="G1076" t="str">
        <f>VLOOKUP(B1076,Orders!$A$2:$D$1201,4,FALSE)</f>
        <v>Delivered</v>
      </c>
      <c r="H1076">
        <f t="shared" si="49"/>
        <v>195</v>
      </c>
      <c r="I1076" s="12">
        <f>VLOOKUP(B1076,Orders!$A$2:$D$1201,3,FALSE)</f>
        <v>46126</v>
      </c>
      <c r="L1076" t="str">
        <f>VLOOKUP(C1076,Products!$A$2:$D$13,2,FALSE)</f>
        <v>Headphones</v>
      </c>
      <c r="M1076" t="str">
        <f t="shared" si="50"/>
        <v>2026-04</v>
      </c>
    </row>
    <row r="1077" spans="1:13">
      <c r="A1077">
        <v>1076</v>
      </c>
      <c r="B1077">
        <v>1517</v>
      </c>
      <c r="C1077">
        <v>8</v>
      </c>
      <c r="D1077">
        <v>3</v>
      </c>
      <c r="E1077">
        <v>55</v>
      </c>
      <c r="F1077">
        <f t="shared" si="48"/>
        <v>165</v>
      </c>
      <c r="G1077" t="str">
        <f>VLOOKUP(B1077,Orders!$A$2:$D$1201,4,FALSE)</f>
        <v>Delivered</v>
      </c>
      <c r="H1077">
        <f t="shared" si="49"/>
        <v>165</v>
      </c>
      <c r="I1077" s="12">
        <f>VLOOKUP(B1077,Orders!$A$2:$D$1201,3,FALSE)</f>
        <v>46046</v>
      </c>
      <c r="L1077" t="str">
        <f>VLOOKUP(C1077,Products!$A$2:$D$13,2,FALSE)</f>
        <v>Webcam</v>
      </c>
      <c r="M1077" t="str">
        <f t="shared" si="50"/>
        <v>2026-01</v>
      </c>
    </row>
    <row r="1078" spans="1:13">
      <c r="A1078">
        <v>1077</v>
      </c>
      <c r="B1078">
        <v>1518</v>
      </c>
      <c r="C1078">
        <v>11</v>
      </c>
      <c r="D1078">
        <v>3</v>
      </c>
      <c r="E1078">
        <v>48</v>
      </c>
      <c r="F1078">
        <f t="shared" si="48"/>
        <v>144</v>
      </c>
      <c r="G1078" t="str">
        <f>VLOOKUP(B1078,Orders!$A$2:$D$1201,4,FALSE)</f>
        <v>Delivered</v>
      </c>
      <c r="H1078">
        <f t="shared" si="49"/>
        <v>144</v>
      </c>
      <c r="I1078" s="12">
        <f>VLOOKUP(B1078,Orders!$A$2:$D$1201,3,FALSE)</f>
        <v>46192</v>
      </c>
      <c r="L1078" t="str">
        <f>VLOOKUP(C1078,Products!$A$2:$D$13,2,FALSE)</f>
        <v>Backpack</v>
      </c>
      <c r="M1078" t="str">
        <f t="shared" si="50"/>
        <v>2026-06</v>
      </c>
    </row>
    <row r="1079" spans="1:13">
      <c r="A1079">
        <v>1078</v>
      </c>
      <c r="B1079">
        <v>1519</v>
      </c>
      <c r="C1079">
        <v>10</v>
      </c>
      <c r="D1079">
        <v>4</v>
      </c>
      <c r="E1079">
        <v>8</v>
      </c>
      <c r="F1079">
        <f t="shared" si="48"/>
        <v>32</v>
      </c>
      <c r="G1079" t="str">
        <f>VLOOKUP(B1079,Orders!$A$2:$D$1201,4,FALSE)</f>
        <v>Delivered</v>
      </c>
      <c r="H1079">
        <f t="shared" si="49"/>
        <v>32</v>
      </c>
      <c r="I1079" s="12">
        <f>VLOOKUP(B1079,Orders!$A$2:$D$1201,3,FALSE)</f>
        <v>46058</v>
      </c>
      <c r="L1079" t="str">
        <f>VLOOKUP(C1079,Products!$A$2:$D$13,2,FALSE)</f>
        <v>Notebook</v>
      </c>
      <c r="M1079" t="str">
        <f t="shared" si="50"/>
        <v>2026-02</v>
      </c>
    </row>
    <row r="1080" spans="1:13">
      <c r="A1080">
        <v>1079</v>
      </c>
      <c r="B1080">
        <v>1519</v>
      </c>
      <c r="C1080">
        <v>4</v>
      </c>
      <c r="D1080">
        <v>1</v>
      </c>
      <c r="E1080">
        <v>25</v>
      </c>
      <c r="F1080">
        <f t="shared" si="48"/>
        <v>25</v>
      </c>
      <c r="G1080" t="str">
        <f>VLOOKUP(B1080,Orders!$A$2:$D$1201,4,FALSE)</f>
        <v>Delivered</v>
      </c>
      <c r="H1080">
        <f t="shared" si="49"/>
        <v>25</v>
      </c>
      <c r="I1080" s="12">
        <f>VLOOKUP(B1080,Orders!$A$2:$D$1201,3,FALSE)</f>
        <v>46058</v>
      </c>
      <c r="L1080" t="str">
        <f>VLOOKUP(C1080,Products!$A$2:$D$13,2,FALSE)</f>
        <v>Mouse</v>
      </c>
      <c r="M1080" t="str">
        <f t="shared" si="50"/>
        <v>2026-02</v>
      </c>
    </row>
    <row r="1081" spans="1:13">
      <c r="A1081">
        <v>1080</v>
      </c>
      <c r="B1081">
        <v>1519</v>
      </c>
      <c r="C1081">
        <v>8</v>
      </c>
      <c r="D1081">
        <v>3</v>
      </c>
      <c r="E1081">
        <v>55</v>
      </c>
      <c r="F1081">
        <f t="shared" si="48"/>
        <v>165</v>
      </c>
      <c r="G1081" t="str">
        <f>VLOOKUP(B1081,Orders!$A$2:$D$1201,4,FALSE)</f>
        <v>Delivered</v>
      </c>
      <c r="H1081">
        <f t="shared" si="49"/>
        <v>165</v>
      </c>
      <c r="I1081" s="12">
        <f>VLOOKUP(B1081,Orders!$A$2:$D$1201,3,FALSE)</f>
        <v>46058</v>
      </c>
      <c r="L1081" t="str">
        <f>VLOOKUP(C1081,Products!$A$2:$D$13,2,FALSE)</f>
        <v>Webcam</v>
      </c>
      <c r="M1081" t="str">
        <f t="shared" si="50"/>
        <v>2026-02</v>
      </c>
    </row>
    <row r="1082" spans="1:13">
      <c r="A1082">
        <v>1081</v>
      </c>
      <c r="B1082">
        <v>1520</v>
      </c>
      <c r="C1082">
        <v>1</v>
      </c>
      <c r="D1082">
        <v>2</v>
      </c>
      <c r="E1082">
        <v>750</v>
      </c>
      <c r="F1082">
        <f t="shared" si="48"/>
        <v>1500</v>
      </c>
      <c r="G1082" t="str">
        <f>VLOOKUP(B1082,Orders!$A$2:$D$1201,4,FALSE)</f>
        <v>Delivered</v>
      </c>
      <c r="H1082">
        <f t="shared" si="49"/>
        <v>1500</v>
      </c>
      <c r="I1082" s="12">
        <f>VLOOKUP(B1082,Orders!$A$2:$D$1201,3,FALSE)</f>
        <v>46032</v>
      </c>
      <c r="L1082" t="str">
        <f>VLOOKUP(C1082,Products!$A$2:$D$13,2,FALSE)</f>
        <v>Laptop</v>
      </c>
      <c r="M1082" t="str">
        <f t="shared" si="50"/>
        <v>2026-01</v>
      </c>
    </row>
    <row r="1083" spans="1:13">
      <c r="A1083">
        <v>1082</v>
      </c>
      <c r="B1083">
        <v>1520</v>
      </c>
      <c r="C1083">
        <v>7</v>
      </c>
      <c r="D1083">
        <v>4</v>
      </c>
      <c r="E1083">
        <v>65</v>
      </c>
      <c r="F1083">
        <f t="shared" si="48"/>
        <v>260</v>
      </c>
      <c r="G1083" t="str">
        <f>VLOOKUP(B1083,Orders!$A$2:$D$1201,4,FALSE)</f>
        <v>Delivered</v>
      </c>
      <c r="H1083">
        <f t="shared" si="49"/>
        <v>260</v>
      </c>
      <c r="I1083" s="12">
        <f>VLOOKUP(B1083,Orders!$A$2:$D$1201,3,FALSE)</f>
        <v>46032</v>
      </c>
      <c r="L1083" t="str">
        <f>VLOOKUP(C1083,Products!$A$2:$D$13,2,FALSE)</f>
        <v>Headphones</v>
      </c>
      <c r="M1083" t="str">
        <f t="shared" si="50"/>
        <v>2026-01</v>
      </c>
    </row>
    <row r="1084" spans="1:13">
      <c r="A1084">
        <v>1083</v>
      </c>
      <c r="B1084">
        <v>1520</v>
      </c>
      <c r="C1084">
        <v>2</v>
      </c>
      <c r="D1084">
        <v>2</v>
      </c>
      <c r="E1084">
        <v>220</v>
      </c>
      <c r="F1084">
        <f t="shared" si="48"/>
        <v>440</v>
      </c>
      <c r="G1084" t="str">
        <f>VLOOKUP(B1084,Orders!$A$2:$D$1201,4,FALSE)</f>
        <v>Delivered</v>
      </c>
      <c r="H1084">
        <f t="shared" si="49"/>
        <v>440</v>
      </c>
      <c r="I1084" s="12">
        <f>VLOOKUP(B1084,Orders!$A$2:$D$1201,3,FALSE)</f>
        <v>46032</v>
      </c>
      <c r="L1084" t="str">
        <f>VLOOKUP(C1084,Products!$A$2:$D$13,2,FALSE)</f>
        <v>Monitor</v>
      </c>
      <c r="M1084" t="str">
        <f t="shared" si="50"/>
        <v>2026-01</v>
      </c>
    </row>
    <row r="1085" spans="1:13">
      <c r="A1085">
        <v>1084</v>
      </c>
      <c r="B1085">
        <v>1521</v>
      </c>
      <c r="C1085">
        <v>10</v>
      </c>
      <c r="D1085">
        <v>2</v>
      </c>
      <c r="E1085">
        <v>8</v>
      </c>
      <c r="F1085">
        <f t="shared" si="48"/>
        <v>16</v>
      </c>
      <c r="G1085" t="str">
        <f>VLOOKUP(B1085,Orders!$A$2:$D$1201,4,FALSE)</f>
        <v>Delivered</v>
      </c>
      <c r="H1085">
        <f t="shared" si="49"/>
        <v>16</v>
      </c>
      <c r="I1085" s="12">
        <f>VLOOKUP(B1085,Orders!$A$2:$D$1201,3,FALSE)</f>
        <v>46059</v>
      </c>
      <c r="L1085" t="str">
        <f>VLOOKUP(C1085,Products!$A$2:$D$13,2,FALSE)</f>
        <v>Notebook</v>
      </c>
      <c r="M1085" t="str">
        <f t="shared" si="50"/>
        <v>2026-02</v>
      </c>
    </row>
    <row r="1086" spans="1:13">
      <c r="A1086">
        <v>1085</v>
      </c>
      <c r="B1086">
        <v>1521</v>
      </c>
      <c r="C1086">
        <v>1</v>
      </c>
      <c r="D1086">
        <v>2</v>
      </c>
      <c r="E1086">
        <v>750</v>
      </c>
      <c r="F1086">
        <f t="shared" si="48"/>
        <v>1500</v>
      </c>
      <c r="G1086" t="str">
        <f>VLOOKUP(B1086,Orders!$A$2:$D$1201,4,FALSE)</f>
        <v>Delivered</v>
      </c>
      <c r="H1086">
        <f t="shared" si="49"/>
        <v>1500</v>
      </c>
      <c r="I1086" s="12">
        <f>VLOOKUP(B1086,Orders!$A$2:$D$1201,3,FALSE)</f>
        <v>46059</v>
      </c>
      <c r="L1086" t="str">
        <f>VLOOKUP(C1086,Products!$A$2:$D$13,2,FALSE)</f>
        <v>Laptop</v>
      </c>
      <c r="M1086" t="str">
        <f t="shared" si="50"/>
        <v>2026-02</v>
      </c>
    </row>
    <row r="1087" spans="1:13">
      <c r="A1087">
        <v>1086</v>
      </c>
      <c r="B1087">
        <v>1522</v>
      </c>
      <c r="C1087">
        <v>2</v>
      </c>
      <c r="D1087">
        <v>4</v>
      </c>
      <c r="E1087">
        <v>220</v>
      </c>
      <c r="F1087">
        <f t="shared" si="48"/>
        <v>880</v>
      </c>
      <c r="G1087" t="str">
        <f>VLOOKUP(B1087,Orders!$A$2:$D$1201,4,FALSE)</f>
        <v>Delivered</v>
      </c>
      <c r="H1087">
        <f t="shared" si="49"/>
        <v>880</v>
      </c>
      <c r="I1087" s="12">
        <f>VLOOKUP(B1087,Orders!$A$2:$D$1201,3,FALSE)</f>
        <v>46139</v>
      </c>
      <c r="L1087" t="str">
        <f>VLOOKUP(C1087,Products!$A$2:$D$13,2,FALSE)</f>
        <v>Monitor</v>
      </c>
      <c r="M1087" t="str">
        <f t="shared" si="50"/>
        <v>2026-04</v>
      </c>
    </row>
    <row r="1088" spans="1:13">
      <c r="A1088">
        <v>1087</v>
      </c>
      <c r="B1088">
        <v>1523</v>
      </c>
      <c r="C1088">
        <v>2</v>
      </c>
      <c r="D1088">
        <v>2</v>
      </c>
      <c r="E1088">
        <v>220</v>
      </c>
      <c r="F1088">
        <f t="shared" si="48"/>
        <v>440</v>
      </c>
      <c r="G1088" t="str">
        <f>VLOOKUP(B1088,Orders!$A$2:$D$1201,4,FALSE)</f>
        <v>Delivered</v>
      </c>
      <c r="H1088">
        <f t="shared" si="49"/>
        <v>440</v>
      </c>
      <c r="I1088" s="12">
        <f>VLOOKUP(B1088,Orders!$A$2:$D$1201,3,FALSE)</f>
        <v>46132</v>
      </c>
      <c r="L1088" t="str">
        <f>VLOOKUP(C1088,Products!$A$2:$D$13,2,FALSE)</f>
        <v>Monitor</v>
      </c>
      <c r="M1088" t="str">
        <f t="shared" si="50"/>
        <v>2026-04</v>
      </c>
    </row>
    <row r="1089" spans="1:13">
      <c r="A1089">
        <v>1088</v>
      </c>
      <c r="B1089">
        <v>1523</v>
      </c>
      <c r="C1089">
        <v>11</v>
      </c>
      <c r="D1089">
        <v>3</v>
      </c>
      <c r="E1089">
        <v>48</v>
      </c>
      <c r="F1089">
        <f t="shared" si="48"/>
        <v>144</v>
      </c>
      <c r="G1089" t="str">
        <f>VLOOKUP(B1089,Orders!$A$2:$D$1201,4,FALSE)</f>
        <v>Delivered</v>
      </c>
      <c r="H1089">
        <f t="shared" si="49"/>
        <v>144</v>
      </c>
      <c r="I1089" s="12">
        <f>VLOOKUP(B1089,Orders!$A$2:$D$1201,3,FALSE)</f>
        <v>46132</v>
      </c>
      <c r="L1089" t="str">
        <f>VLOOKUP(C1089,Products!$A$2:$D$13,2,FALSE)</f>
        <v>Backpack</v>
      </c>
      <c r="M1089" t="str">
        <f t="shared" si="50"/>
        <v>2026-04</v>
      </c>
    </row>
    <row r="1090" spans="1:13">
      <c r="A1090">
        <v>1089</v>
      </c>
      <c r="B1090">
        <v>1524</v>
      </c>
      <c r="C1090">
        <v>3</v>
      </c>
      <c r="D1090">
        <v>2</v>
      </c>
      <c r="E1090">
        <v>45</v>
      </c>
      <c r="F1090">
        <f t="shared" si="48"/>
        <v>90</v>
      </c>
      <c r="G1090" t="str">
        <f>VLOOKUP(B1090,Orders!$A$2:$D$1201,4,FALSE)</f>
        <v>Delivered</v>
      </c>
      <c r="H1090">
        <f t="shared" si="49"/>
        <v>90</v>
      </c>
      <c r="I1090" s="12">
        <f>VLOOKUP(B1090,Orders!$A$2:$D$1201,3,FALSE)</f>
        <v>46067</v>
      </c>
      <c r="L1090" t="str">
        <f>VLOOKUP(C1090,Products!$A$2:$D$13,2,FALSE)</f>
        <v>Keyboard</v>
      </c>
      <c r="M1090" t="str">
        <f t="shared" si="50"/>
        <v>2026-02</v>
      </c>
    </row>
    <row r="1091" spans="1:13">
      <c r="A1091">
        <v>1090</v>
      </c>
      <c r="B1091">
        <v>1524</v>
      </c>
      <c r="C1091">
        <v>7</v>
      </c>
      <c r="D1091">
        <v>3</v>
      </c>
      <c r="E1091">
        <v>65</v>
      </c>
      <c r="F1091">
        <f t="shared" ref="F1091:F1154" si="51">D1091*E1091</f>
        <v>195</v>
      </c>
      <c r="G1091" t="str">
        <f>VLOOKUP(B1091,Orders!$A$2:$D$1201,4,FALSE)</f>
        <v>Delivered</v>
      </c>
      <c r="H1091">
        <f t="shared" ref="H1091:H1154" si="52">IF(G1091="Cancelled",0,F1091)</f>
        <v>195</v>
      </c>
      <c r="I1091" s="12">
        <f>VLOOKUP(B1091,Orders!$A$2:$D$1201,3,FALSE)</f>
        <v>46067</v>
      </c>
      <c r="L1091" t="str">
        <f>VLOOKUP(C1091,Products!$A$2:$D$13,2,FALSE)</f>
        <v>Headphones</v>
      </c>
      <c r="M1091" t="str">
        <f t="shared" ref="M1091:M1154" si="53">TEXT(I1091,"yyyy-mm")</f>
        <v>2026-02</v>
      </c>
    </row>
    <row r="1092" spans="1:13">
      <c r="A1092">
        <v>1091</v>
      </c>
      <c r="B1092">
        <v>1525</v>
      </c>
      <c r="C1092">
        <v>1</v>
      </c>
      <c r="D1092">
        <v>4</v>
      </c>
      <c r="E1092">
        <v>750</v>
      </c>
      <c r="F1092">
        <f t="shared" si="51"/>
        <v>3000</v>
      </c>
      <c r="G1092" t="str">
        <f>VLOOKUP(B1092,Orders!$A$2:$D$1201,4,FALSE)</f>
        <v>Delivered</v>
      </c>
      <c r="H1092">
        <f t="shared" si="52"/>
        <v>3000</v>
      </c>
      <c r="I1092" s="12">
        <f>VLOOKUP(B1092,Orders!$A$2:$D$1201,3,FALSE)</f>
        <v>46057</v>
      </c>
      <c r="L1092" t="str">
        <f>VLOOKUP(C1092,Products!$A$2:$D$13,2,FALSE)</f>
        <v>Laptop</v>
      </c>
      <c r="M1092" t="str">
        <f t="shared" si="53"/>
        <v>2026-02</v>
      </c>
    </row>
    <row r="1093" spans="1:13">
      <c r="A1093">
        <v>1092</v>
      </c>
      <c r="B1093">
        <v>1526</v>
      </c>
      <c r="C1093">
        <v>12</v>
      </c>
      <c r="D1093">
        <v>2</v>
      </c>
      <c r="E1093">
        <v>22</v>
      </c>
      <c r="F1093">
        <f t="shared" si="51"/>
        <v>44</v>
      </c>
      <c r="G1093" t="str">
        <f>VLOOKUP(B1093,Orders!$A$2:$D$1201,4,FALSE)</f>
        <v>Delivered</v>
      </c>
      <c r="H1093">
        <f t="shared" si="52"/>
        <v>44</v>
      </c>
      <c r="I1093" s="12">
        <f>VLOOKUP(B1093,Orders!$A$2:$D$1201,3,FALSE)</f>
        <v>46189</v>
      </c>
      <c r="L1093" t="str">
        <f>VLOOKUP(C1093,Products!$A$2:$D$13,2,FALSE)</f>
        <v>Storage Box</v>
      </c>
      <c r="M1093" t="str">
        <f t="shared" si="53"/>
        <v>2026-06</v>
      </c>
    </row>
    <row r="1094" spans="1:13">
      <c r="A1094">
        <v>1093</v>
      </c>
      <c r="B1094">
        <v>1526</v>
      </c>
      <c r="C1094">
        <v>8</v>
      </c>
      <c r="D1094">
        <v>2</v>
      </c>
      <c r="E1094">
        <v>55</v>
      </c>
      <c r="F1094">
        <f t="shared" si="51"/>
        <v>110</v>
      </c>
      <c r="G1094" t="str">
        <f>VLOOKUP(B1094,Orders!$A$2:$D$1201,4,FALSE)</f>
        <v>Delivered</v>
      </c>
      <c r="H1094">
        <f t="shared" si="52"/>
        <v>110</v>
      </c>
      <c r="I1094" s="12">
        <f>VLOOKUP(B1094,Orders!$A$2:$D$1201,3,FALSE)</f>
        <v>46189</v>
      </c>
      <c r="L1094" t="str">
        <f>VLOOKUP(C1094,Products!$A$2:$D$13,2,FALSE)</f>
        <v>Webcam</v>
      </c>
      <c r="M1094" t="str">
        <f t="shared" si="53"/>
        <v>2026-06</v>
      </c>
    </row>
    <row r="1095" spans="1:13">
      <c r="A1095">
        <v>1094</v>
      </c>
      <c r="B1095">
        <v>1527</v>
      </c>
      <c r="C1095">
        <v>3</v>
      </c>
      <c r="D1095">
        <v>1</v>
      </c>
      <c r="E1095">
        <v>45</v>
      </c>
      <c r="F1095">
        <f t="shared" si="51"/>
        <v>45</v>
      </c>
      <c r="G1095" t="str">
        <f>VLOOKUP(B1095,Orders!$A$2:$D$1201,4,FALSE)</f>
        <v>Delivered</v>
      </c>
      <c r="H1095">
        <f t="shared" si="52"/>
        <v>45</v>
      </c>
      <c r="I1095" s="12">
        <f>VLOOKUP(B1095,Orders!$A$2:$D$1201,3,FALSE)</f>
        <v>46067</v>
      </c>
      <c r="L1095" t="str">
        <f>VLOOKUP(C1095,Products!$A$2:$D$13,2,FALSE)</f>
        <v>Keyboard</v>
      </c>
      <c r="M1095" t="str">
        <f t="shared" si="53"/>
        <v>2026-02</v>
      </c>
    </row>
    <row r="1096" spans="1:13">
      <c r="A1096">
        <v>1095</v>
      </c>
      <c r="B1096">
        <v>1527</v>
      </c>
      <c r="C1096">
        <v>8</v>
      </c>
      <c r="D1096">
        <v>3</v>
      </c>
      <c r="E1096">
        <v>55</v>
      </c>
      <c r="F1096">
        <f t="shared" si="51"/>
        <v>165</v>
      </c>
      <c r="G1096" t="str">
        <f>VLOOKUP(B1096,Orders!$A$2:$D$1201,4,FALSE)</f>
        <v>Delivered</v>
      </c>
      <c r="H1096">
        <f t="shared" si="52"/>
        <v>165</v>
      </c>
      <c r="I1096" s="12">
        <f>VLOOKUP(B1096,Orders!$A$2:$D$1201,3,FALSE)</f>
        <v>46067</v>
      </c>
      <c r="L1096" t="str">
        <f>VLOOKUP(C1096,Products!$A$2:$D$13,2,FALSE)</f>
        <v>Webcam</v>
      </c>
      <c r="M1096" t="str">
        <f t="shared" si="53"/>
        <v>2026-02</v>
      </c>
    </row>
    <row r="1097" spans="1:13">
      <c r="A1097">
        <v>1096</v>
      </c>
      <c r="B1097">
        <v>1527</v>
      </c>
      <c r="C1097">
        <v>10</v>
      </c>
      <c r="D1097">
        <v>3</v>
      </c>
      <c r="E1097">
        <v>8</v>
      </c>
      <c r="F1097">
        <f t="shared" si="51"/>
        <v>24</v>
      </c>
      <c r="G1097" t="str">
        <f>VLOOKUP(B1097,Orders!$A$2:$D$1201,4,FALSE)</f>
        <v>Delivered</v>
      </c>
      <c r="H1097">
        <f t="shared" si="52"/>
        <v>24</v>
      </c>
      <c r="I1097" s="12">
        <f>VLOOKUP(B1097,Orders!$A$2:$D$1201,3,FALSE)</f>
        <v>46067</v>
      </c>
      <c r="L1097" t="str">
        <f>VLOOKUP(C1097,Products!$A$2:$D$13,2,FALSE)</f>
        <v>Notebook</v>
      </c>
      <c r="M1097" t="str">
        <f t="shared" si="53"/>
        <v>2026-02</v>
      </c>
    </row>
    <row r="1098" spans="1:13">
      <c r="A1098">
        <v>1097</v>
      </c>
      <c r="B1098">
        <v>1528</v>
      </c>
      <c r="C1098">
        <v>4</v>
      </c>
      <c r="D1098">
        <v>3</v>
      </c>
      <c r="E1098">
        <v>25</v>
      </c>
      <c r="F1098">
        <f t="shared" si="51"/>
        <v>75</v>
      </c>
      <c r="G1098" t="str">
        <f>VLOOKUP(B1098,Orders!$A$2:$D$1201,4,FALSE)</f>
        <v>Delivered</v>
      </c>
      <c r="H1098">
        <f t="shared" si="52"/>
        <v>75</v>
      </c>
      <c r="I1098" s="12">
        <f>VLOOKUP(B1098,Orders!$A$2:$D$1201,3,FALSE)</f>
        <v>46047</v>
      </c>
      <c r="L1098" t="str">
        <f>VLOOKUP(C1098,Products!$A$2:$D$13,2,FALSE)</f>
        <v>Mouse</v>
      </c>
      <c r="M1098" t="str">
        <f t="shared" si="53"/>
        <v>2026-01</v>
      </c>
    </row>
    <row r="1099" spans="1:13">
      <c r="A1099">
        <v>1098</v>
      </c>
      <c r="B1099">
        <v>1528</v>
      </c>
      <c r="C1099">
        <v>8</v>
      </c>
      <c r="D1099">
        <v>1</v>
      </c>
      <c r="E1099">
        <v>55</v>
      </c>
      <c r="F1099">
        <f t="shared" si="51"/>
        <v>55</v>
      </c>
      <c r="G1099" t="str">
        <f>VLOOKUP(B1099,Orders!$A$2:$D$1201,4,FALSE)</f>
        <v>Delivered</v>
      </c>
      <c r="H1099">
        <f t="shared" si="52"/>
        <v>55</v>
      </c>
      <c r="I1099" s="12">
        <f>VLOOKUP(B1099,Orders!$A$2:$D$1201,3,FALSE)</f>
        <v>46047</v>
      </c>
      <c r="L1099" t="str">
        <f>VLOOKUP(C1099,Products!$A$2:$D$13,2,FALSE)</f>
        <v>Webcam</v>
      </c>
      <c r="M1099" t="str">
        <f t="shared" si="53"/>
        <v>2026-01</v>
      </c>
    </row>
    <row r="1100" spans="1:13">
      <c r="A1100">
        <v>1099</v>
      </c>
      <c r="B1100">
        <v>1528</v>
      </c>
      <c r="C1100">
        <v>12</v>
      </c>
      <c r="D1100">
        <v>2</v>
      </c>
      <c r="E1100">
        <v>22</v>
      </c>
      <c r="F1100">
        <f t="shared" si="51"/>
        <v>44</v>
      </c>
      <c r="G1100" t="str">
        <f>VLOOKUP(B1100,Orders!$A$2:$D$1201,4,FALSE)</f>
        <v>Delivered</v>
      </c>
      <c r="H1100">
        <f t="shared" si="52"/>
        <v>44</v>
      </c>
      <c r="I1100" s="12">
        <f>VLOOKUP(B1100,Orders!$A$2:$D$1201,3,FALSE)</f>
        <v>46047</v>
      </c>
      <c r="L1100" t="str">
        <f>VLOOKUP(C1100,Products!$A$2:$D$13,2,FALSE)</f>
        <v>Storage Box</v>
      </c>
      <c r="M1100" t="str">
        <f t="shared" si="53"/>
        <v>2026-01</v>
      </c>
    </row>
    <row r="1101" spans="1:13">
      <c r="A1101">
        <v>1100</v>
      </c>
      <c r="B1101">
        <v>1529</v>
      </c>
      <c r="C1101">
        <v>11</v>
      </c>
      <c r="D1101">
        <v>3</v>
      </c>
      <c r="E1101">
        <v>48</v>
      </c>
      <c r="F1101">
        <f t="shared" si="51"/>
        <v>144</v>
      </c>
      <c r="G1101" t="str">
        <f>VLOOKUP(B1101,Orders!$A$2:$D$1201,4,FALSE)</f>
        <v>Delivered</v>
      </c>
      <c r="H1101">
        <f t="shared" si="52"/>
        <v>144</v>
      </c>
      <c r="I1101" s="12">
        <f>VLOOKUP(B1101,Orders!$A$2:$D$1201,3,FALSE)</f>
        <v>46150</v>
      </c>
      <c r="L1101" t="str">
        <f>VLOOKUP(C1101,Products!$A$2:$D$13,2,FALSE)</f>
        <v>Backpack</v>
      </c>
      <c r="M1101" t="str">
        <f t="shared" si="53"/>
        <v>2026-05</v>
      </c>
    </row>
    <row r="1102" spans="1:13">
      <c r="A1102">
        <v>1101</v>
      </c>
      <c r="B1102">
        <v>1530</v>
      </c>
      <c r="C1102">
        <v>3</v>
      </c>
      <c r="D1102">
        <v>4</v>
      </c>
      <c r="E1102">
        <v>45</v>
      </c>
      <c r="F1102">
        <f t="shared" si="51"/>
        <v>180</v>
      </c>
      <c r="G1102" t="str">
        <f>VLOOKUP(B1102,Orders!$A$2:$D$1201,4,FALSE)</f>
        <v>Delivered</v>
      </c>
      <c r="H1102">
        <f t="shared" si="52"/>
        <v>180</v>
      </c>
      <c r="I1102" s="12">
        <f>VLOOKUP(B1102,Orders!$A$2:$D$1201,3,FALSE)</f>
        <v>46034</v>
      </c>
      <c r="L1102" t="str">
        <f>VLOOKUP(C1102,Products!$A$2:$D$13,2,FALSE)</f>
        <v>Keyboard</v>
      </c>
      <c r="M1102" t="str">
        <f t="shared" si="53"/>
        <v>2026-01</v>
      </c>
    </row>
    <row r="1103" spans="1:13">
      <c r="A1103">
        <v>1102</v>
      </c>
      <c r="B1103">
        <v>1530</v>
      </c>
      <c r="C1103">
        <v>12</v>
      </c>
      <c r="D1103">
        <v>1</v>
      </c>
      <c r="E1103">
        <v>22</v>
      </c>
      <c r="F1103">
        <f t="shared" si="51"/>
        <v>22</v>
      </c>
      <c r="G1103" t="str">
        <f>VLOOKUP(B1103,Orders!$A$2:$D$1201,4,FALSE)</f>
        <v>Delivered</v>
      </c>
      <c r="H1103">
        <f t="shared" si="52"/>
        <v>22</v>
      </c>
      <c r="I1103" s="12">
        <f>VLOOKUP(B1103,Orders!$A$2:$D$1201,3,FALSE)</f>
        <v>46034</v>
      </c>
      <c r="L1103" t="str">
        <f>VLOOKUP(C1103,Products!$A$2:$D$13,2,FALSE)</f>
        <v>Storage Box</v>
      </c>
      <c r="M1103" t="str">
        <f t="shared" si="53"/>
        <v>2026-01</v>
      </c>
    </row>
    <row r="1104" spans="1:13">
      <c r="A1104">
        <v>1103</v>
      </c>
      <c r="B1104">
        <v>1530</v>
      </c>
      <c r="C1104">
        <v>1</v>
      </c>
      <c r="D1104">
        <v>1</v>
      </c>
      <c r="E1104">
        <v>750</v>
      </c>
      <c r="F1104">
        <f t="shared" si="51"/>
        <v>750</v>
      </c>
      <c r="G1104" t="str">
        <f>VLOOKUP(B1104,Orders!$A$2:$D$1201,4,FALSE)</f>
        <v>Delivered</v>
      </c>
      <c r="H1104">
        <f t="shared" si="52"/>
        <v>750</v>
      </c>
      <c r="I1104" s="12">
        <f>VLOOKUP(B1104,Orders!$A$2:$D$1201,3,FALSE)</f>
        <v>46034</v>
      </c>
      <c r="L1104" t="str">
        <f>VLOOKUP(C1104,Products!$A$2:$D$13,2,FALSE)</f>
        <v>Laptop</v>
      </c>
      <c r="M1104" t="str">
        <f t="shared" si="53"/>
        <v>2026-01</v>
      </c>
    </row>
    <row r="1105" spans="1:13">
      <c r="A1105">
        <v>1104</v>
      </c>
      <c r="B1105">
        <v>1531</v>
      </c>
      <c r="C1105">
        <v>2</v>
      </c>
      <c r="D1105">
        <v>3</v>
      </c>
      <c r="E1105">
        <v>220</v>
      </c>
      <c r="F1105">
        <f t="shared" si="51"/>
        <v>660</v>
      </c>
      <c r="G1105" t="str">
        <f>VLOOKUP(B1105,Orders!$A$2:$D$1201,4,FALSE)</f>
        <v>Delivered</v>
      </c>
      <c r="H1105">
        <f t="shared" si="52"/>
        <v>660</v>
      </c>
      <c r="I1105" s="12">
        <f>VLOOKUP(B1105,Orders!$A$2:$D$1201,3,FALSE)</f>
        <v>46130</v>
      </c>
      <c r="L1105" t="str">
        <f>VLOOKUP(C1105,Products!$A$2:$D$13,2,FALSE)</f>
        <v>Monitor</v>
      </c>
      <c r="M1105" t="str">
        <f t="shared" si="53"/>
        <v>2026-04</v>
      </c>
    </row>
    <row r="1106" spans="1:13">
      <c r="A1106">
        <v>1105</v>
      </c>
      <c r="B1106">
        <v>1532</v>
      </c>
      <c r="C1106">
        <v>10</v>
      </c>
      <c r="D1106">
        <v>1</v>
      </c>
      <c r="E1106">
        <v>8</v>
      </c>
      <c r="F1106">
        <f t="shared" si="51"/>
        <v>8</v>
      </c>
      <c r="G1106" t="str">
        <f>VLOOKUP(B1106,Orders!$A$2:$D$1201,4,FALSE)</f>
        <v>Cancelled</v>
      </c>
      <c r="H1106">
        <f t="shared" si="52"/>
        <v>0</v>
      </c>
      <c r="I1106" s="12">
        <f>VLOOKUP(B1106,Orders!$A$2:$D$1201,3,FALSE)</f>
        <v>46119</v>
      </c>
      <c r="L1106" t="str">
        <f>VLOOKUP(C1106,Products!$A$2:$D$13,2,FALSE)</f>
        <v>Notebook</v>
      </c>
      <c r="M1106" t="str">
        <f t="shared" si="53"/>
        <v>2026-04</v>
      </c>
    </row>
    <row r="1107" spans="1:13">
      <c r="A1107">
        <v>1106</v>
      </c>
      <c r="B1107">
        <v>1532</v>
      </c>
      <c r="C1107">
        <v>8</v>
      </c>
      <c r="D1107">
        <v>4</v>
      </c>
      <c r="E1107">
        <v>55</v>
      </c>
      <c r="F1107">
        <f t="shared" si="51"/>
        <v>220</v>
      </c>
      <c r="G1107" t="str">
        <f>VLOOKUP(B1107,Orders!$A$2:$D$1201,4,FALSE)</f>
        <v>Cancelled</v>
      </c>
      <c r="H1107">
        <f t="shared" si="52"/>
        <v>0</v>
      </c>
      <c r="I1107" s="12">
        <f>VLOOKUP(B1107,Orders!$A$2:$D$1201,3,FALSE)</f>
        <v>46119</v>
      </c>
      <c r="L1107" t="str">
        <f>VLOOKUP(C1107,Products!$A$2:$D$13,2,FALSE)</f>
        <v>Webcam</v>
      </c>
      <c r="M1107" t="str">
        <f t="shared" si="53"/>
        <v>2026-04</v>
      </c>
    </row>
    <row r="1108" spans="1:13">
      <c r="A1108">
        <v>1107</v>
      </c>
      <c r="B1108">
        <v>1533</v>
      </c>
      <c r="C1108">
        <v>7</v>
      </c>
      <c r="D1108">
        <v>3</v>
      </c>
      <c r="E1108">
        <v>65</v>
      </c>
      <c r="F1108">
        <f t="shared" si="51"/>
        <v>195</v>
      </c>
      <c r="G1108" t="str">
        <f>VLOOKUP(B1108,Orders!$A$2:$D$1201,4,FALSE)</f>
        <v>Delivered</v>
      </c>
      <c r="H1108">
        <f t="shared" si="52"/>
        <v>195</v>
      </c>
      <c r="I1108" s="12">
        <f>VLOOKUP(B1108,Orders!$A$2:$D$1201,3,FALSE)</f>
        <v>46060</v>
      </c>
      <c r="L1108" t="str">
        <f>VLOOKUP(C1108,Products!$A$2:$D$13,2,FALSE)</f>
        <v>Headphones</v>
      </c>
      <c r="M1108" t="str">
        <f t="shared" si="53"/>
        <v>2026-02</v>
      </c>
    </row>
    <row r="1109" spans="1:13">
      <c r="A1109">
        <v>1108</v>
      </c>
      <c r="B1109">
        <v>1534</v>
      </c>
      <c r="C1109">
        <v>10</v>
      </c>
      <c r="D1109">
        <v>2</v>
      </c>
      <c r="E1109">
        <v>8</v>
      </c>
      <c r="F1109">
        <f t="shared" si="51"/>
        <v>16</v>
      </c>
      <c r="G1109" t="str">
        <f>VLOOKUP(B1109,Orders!$A$2:$D$1201,4,FALSE)</f>
        <v>Delivered</v>
      </c>
      <c r="H1109">
        <f t="shared" si="52"/>
        <v>16</v>
      </c>
      <c r="I1109" s="12">
        <f>VLOOKUP(B1109,Orders!$A$2:$D$1201,3,FALSE)</f>
        <v>46074</v>
      </c>
      <c r="L1109" t="str">
        <f>VLOOKUP(C1109,Products!$A$2:$D$13,2,FALSE)</f>
        <v>Notebook</v>
      </c>
      <c r="M1109" t="str">
        <f t="shared" si="53"/>
        <v>2026-02</v>
      </c>
    </row>
    <row r="1110" spans="1:13">
      <c r="A1110">
        <v>1109</v>
      </c>
      <c r="B1110">
        <v>1534</v>
      </c>
      <c r="C1110">
        <v>1</v>
      </c>
      <c r="D1110">
        <v>1</v>
      </c>
      <c r="E1110">
        <v>750</v>
      </c>
      <c r="F1110">
        <f t="shared" si="51"/>
        <v>750</v>
      </c>
      <c r="G1110" t="str">
        <f>VLOOKUP(B1110,Orders!$A$2:$D$1201,4,FALSE)</f>
        <v>Delivered</v>
      </c>
      <c r="H1110">
        <f t="shared" si="52"/>
        <v>750</v>
      </c>
      <c r="I1110" s="12">
        <f>VLOOKUP(B1110,Orders!$A$2:$D$1201,3,FALSE)</f>
        <v>46074</v>
      </c>
      <c r="L1110" t="str">
        <f>VLOOKUP(C1110,Products!$A$2:$D$13,2,FALSE)</f>
        <v>Laptop</v>
      </c>
      <c r="M1110" t="str">
        <f t="shared" si="53"/>
        <v>2026-02</v>
      </c>
    </row>
    <row r="1111" spans="1:13">
      <c r="A1111">
        <v>1110</v>
      </c>
      <c r="B1111">
        <v>1534</v>
      </c>
      <c r="C1111">
        <v>5</v>
      </c>
      <c r="D1111">
        <v>4</v>
      </c>
      <c r="E1111">
        <v>180</v>
      </c>
      <c r="F1111">
        <f t="shared" si="51"/>
        <v>720</v>
      </c>
      <c r="G1111" t="str">
        <f>VLOOKUP(B1111,Orders!$A$2:$D$1201,4,FALSE)</f>
        <v>Delivered</v>
      </c>
      <c r="H1111">
        <f t="shared" si="52"/>
        <v>720</v>
      </c>
      <c r="I1111" s="12">
        <f>VLOOKUP(B1111,Orders!$A$2:$D$1201,3,FALSE)</f>
        <v>46074</v>
      </c>
      <c r="L1111" t="str">
        <f>VLOOKUP(C1111,Products!$A$2:$D$13,2,FALSE)</f>
        <v>Desk</v>
      </c>
      <c r="M1111" t="str">
        <f t="shared" si="53"/>
        <v>2026-02</v>
      </c>
    </row>
    <row r="1112" spans="1:13">
      <c r="A1112">
        <v>1111</v>
      </c>
      <c r="B1112">
        <v>1535</v>
      </c>
      <c r="C1112">
        <v>9</v>
      </c>
      <c r="D1112">
        <v>4</v>
      </c>
      <c r="E1112">
        <v>30</v>
      </c>
      <c r="F1112">
        <f t="shared" si="51"/>
        <v>120</v>
      </c>
      <c r="G1112" t="str">
        <f>VLOOKUP(B1112,Orders!$A$2:$D$1201,4,FALSE)</f>
        <v>Delivered</v>
      </c>
      <c r="H1112">
        <f t="shared" si="52"/>
        <v>120</v>
      </c>
      <c r="I1112" s="12">
        <f>VLOOKUP(B1112,Orders!$A$2:$D$1201,3,FALSE)</f>
        <v>46177</v>
      </c>
      <c r="L1112" t="str">
        <f>VLOOKUP(C1112,Products!$A$2:$D$13,2,FALSE)</f>
        <v>Lamp</v>
      </c>
      <c r="M1112" t="str">
        <f t="shared" si="53"/>
        <v>2026-06</v>
      </c>
    </row>
    <row r="1113" spans="1:13">
      <c r="A1113">
        <v>1112</v>
      </c>
      <c r="B1113">
        <v>1535</v>
      </c>
      <c r="C1113">
        <v>4</v>
      </c>
      <c r="D1113">
        <v>4</v>
      </c>
      <c r="E1113">
        <v>25</v>
      </c>
      <c r="F1113">
        <f t="shared" si="51"/>
        <v>100</v>
      </c>
      <c r="G1113" t="str">
        <f>VLOOKUP(B1113,Orders!$A$2:$D$1201,4,FALSE)</f>
        <v>Delivered</v>
      </c>
      <c r="H1113">
        <f t="shared" si="52"/>
        <v>100</v>
      </c>
      <c r="I1113" s="12">
        <f>VLOOKUP(B1113,Orders!$A$2:$D$1201,3,FALSE)</f>
        <v>46177</v>
      </c>
      <c r="L1113" t="str">
        <f>VLOOKUP(C1113,Products!$A$2:$D$13,2,FALSE)</f>
        <v>Mouse</v>
      </c>
      <c r="M1113" t="str">
        <f t="shared" si="53"/>
        <v>2026-06</v>
      </c>
    </row>
    <row r="1114" spans="1:13">
      <c r="A1114">
        <v>1113</v>
      </c>
      <c r="B1114">
        <v>1535</v>
      </c>
      <c r="C1114">
        <v>2</v>
      </c>
      <c r="D1114">
        <v>2</v>
      </c>
      <c r="E1114">
        <v>220</v>
      </c>
      <c r="F1114">
        <f t="shared" si="51"/>
        <v>440</v>
      </c>
      <c r="G1114" t="str">
        <f>VLOOKUP(B1114,Orders!$A$2:$D$1201,4,FALSE)</f>
        <v>Delivered</v>
      </c>
      <c r="H1114">
        <f t="shared" si="52"/>
        <v>440</v>
      </c>
      <c r="I1114" s="12">
        <f>VLOOKUP(B1114,Orders!$A$2:$D$1201,3,FALSE)</f>
        <v>46177</v>
      </c>
      <c r="L1114" t="str">
        <f>VLOOKUP(C1114,Products!$A$2:$D$13,2,FALSE)</f>
        <v>Monitor</v>
      </c>
      <c r="M1114" t="str">
        <f t="shared" si="53"/>
        <v>2026-06</v>
      </c>
    </row>
    <row r="1115" spans="1:13">
      <c r="A1115">
        <v>1114</v>
      </c>
      <c r="B1115">
        <v>1536</v>
      </c>
      <c r="C1115">
        <v>6</v>
      </c>
      <c r="D1115">
        <v>4</v>
      </c>
      <c r="E1115">
        <v>140</v>
      </c>
      <c r="F1115">
        <f t="shared" si="51"/>
        <v>560</v>
      </c>
      <c r="G1115" t="str">
        <f>VLOOKUP(B1115,Orders!$A$2:$D$1201,4,FALSE)</f>
        <v>Delivered</v>
      </c>
      <c r="H1115">
        <f t="shared" si="52"/>
        <v>560</v>
      </c>
      <c r="I1115" s="12">
        <f>VLOOKUP(B1115,Orders!$A$2:$D$1201,3,FALSE)</f>
        <v>46132</v>
      </c>
      <c r="L1115" t="str">
        <f>VLOOKUP(C1115,Products!$A$2:$D$13,2,FALSE)</f>
        <v>Chair</v>
      </c>
      <c r="M1115" t="str">
        <f t="shared" si="53"/>
        <v>2026-04</v>
      </c>
    </row>
    <row r="1116" spans="1:13">
      <c r="A1116">
        <v>1115</v>
      </c>
      <c r="B1116">
        <v>1537</v>
      </c>
      <c r="C1116">
        <v>1</v>
      </c>
      <c r="D1116">
        <v>4</v>
      </c>
      <c r="E1116">
        <v>750</v>
      </c>
      <c r="F1116">
        <f t="shared" si="51"/>
        <v>3000</v>
      </c>
      <c r="G1116" t="str">
        <f>VLOOKUP(B1116,Orders!$A$2:$D$1201,4,FALSE)</f>
        <v>Cancelled</v>
      </c>
      <c r="H1116">
        <f t="shared" si="52"/>
        <v>0</v>
      </c>
      <c r="I1116" s="12">
        <f>VLOOKUP(B1116,Orders!$A$2:$D$1201,3,FALSE)</f>
        <v>46169</v>
      </c>
      <c r="L1116" t="str">
        <f>VLOOKUP(C1116,Products!$A$2:$D$13,2,FALSE)</f>
        <v>Laptop</v>
      </c>
      <c r="M1116" t="str">
        <f t="shared" si="53"/>
        <v>2026-05</v>
      </c>
    </row>
    <row r="1117" spans="1:13">
      <c r="A1117">
        <v>1116</v>
      </c>
      <c r="B1117">
        <v>1538</v>
      </c>
      <c r="C1117">
        <v>8</v>
      </c>
      <c r="D1117">
        <v>4</v>
      </c>
      <c r="E1117">
        <v>55</v>
      </c>
      <c r="F1117">
        <f t="shared" si="51"/>
        <v>220</v>
      </c>
      <c r="G1117" t="str">
        <f>VLOOKUP(B1117,Orders!$A$2:$D$1201,4,FALSE)</f>
        <v>Delivered</v>
      </c>
      <c r="H1117">
        <f t="shared" si="52"/>
        <v>220</v>
      </c>
      <c r="I1117" s="12">
        <f>VLOOKUP(B1117,Orders!$A$2:$D$1201,3,FALSE)</f>
        <v>46152</v>
      </c>
      <c r="L1117" t="str">
        <f>VLOOKUP(C1117,Products!$A$2:$D$13,2,FALSE)</f>
        <v>Webcam</v>
      </c>
      <c r="M1117" t="str">
        <f t="shared" si="53"/>
        <v>2026-05</v>
      </c>
    </row>
    <row r="1118" spans="1:13">
      <c r="A1118">
        <v>1117</v>
      </c>
      <c r="B1118">
        <v>1538</v>
      </c>
      <c r="C1118">
        <v>2</v>
      </c>
      <c r="D1118">
        <v>4</v>
      </c>
      <c r="E1118">
        <v>220</v>
      </c>
      <c r="F1118">
        <f t="shared" si="51"/>
        <v>880</v>
      </c>
      <c r="G1118" t="str">
        <f>VLOOKUP(B1118,Orders!$A$2:$D$1201,4,FALSE)</f>
        <v>Delivered</v>
      </c>
      <c r="H1118">
        <f t="shared" si="52"/>
        <v>880</v>
      </c>
      <c r="I1118" s="12">
        <f>VLOOKUP(B1118,Orders!$A$2:$D$1201,3,FALSE)</f>
        <v>46152</v>
      </c>
      <c r="L1118" t="str">
        <f>VLOOKUP(C1118,Products!$A$2:$D$13,2,FALSE)</f>
        <v>Monitor</v>
      </c>
      <c r="M1118" t="str">
        <f t="shared" si="53"/>
        <v>2026-05</v>
      </c>
    </row>
    <row r="1119" spans="1:13">
      <c r="A1119">
        <v>1118</v>
      </c>
      <c r="B1119">
        <v>1539</v>
      </c>
      <c r="C1119">
        <v>5</v>
      </c>
      <c r="D1119">
        <v>1</v>
      </c>
      <c r="E1119">
        <v>180</v>
      </c>
      <c r="F1119">
        <f t="shared" si="51"/>
        <v>180</v>
      </c>
      <c r="G1119" t="str">
        <f>VLOOKUP(B1119,Orders!$A$2:$D$1201,4,FALSE)</f>
        <v>Shipped</v>
      </c>
      <c r="H1119">
        <f t="shared" si="52"/>
        <v>180</v>
      </c>
      <c r="I1119" s="12">
        <f>VLOOKUP(B1119,Orders!$A$2:$D$1201,3,FALSE)</f>
        <v>46127</v>
      </c>
      <c r="L1119" t="str">
        <f>VLOOKUP(C1119,Products!$A$2:$D$13,2,FALSE)</f>
        <v>Desk</v>
      </c>
      <c r="M1119" t="str">
        <f t="shared" si="53"/>
        <v>2026-04</v>
      </c>
    </row>
    <row r="1120" spans="1:13">
      <c r="A1120">
        <v>1119</v>
      </c>
      <c r="B1120">
        <v>1539</v>
      </c>
      <c r="C1120">
        <v>4</v>
      </c>
      <c r="D1120">
        <v>1</v>
      </c>
      <c r="E1120">
        <v>25</v>
      </c>
      <c r="F1120">
        <f t="shared" si="51"/>
        <v>25</v>
      </c>
      <c r="G1120" t="str">
        <f>VLOOKUP(B1120,Orders!$A$2:$D$1201,4,FALSE)</f>
        <v>Shipped</v>
      </c>
      <c r="H1120">
        <f t="shared" si="52"/>
        <v>25</v>
      </c>
      <c r="I1120" s="12">
        <f>VLOOKUP(B1120,Orders!$A$2:$D$1201,3,FALSE)</f>
        <v>46127</v>
      </c>
      <c r="L1120" t="str">
        <f>VLOOKUP(C1120,Products!$A$2:$D$13,2,FALSE)</f>
        <v>Mouse</v>
      </c>
      <c r="M1120" t="str">
        <f t="shared" si="53"/>
        <v>2026-04</v>
      </c>
    </row>
    <row r="1121" spans="1:13">
      <c r="A1121">
        <v>1120</v>
      </c>
      <c r="B1121">
        <v>1540</v>
      </c>
      <c r="C1121">
        <v>10</v>
      </c>
      <c r="D1121">
        <v>4</v>
      </c>
      <c r="E1121">
        <v>8</v>
      </c>
      <c r="F1121">
        <f t="shared" si="51"/>
        <v>32</v>
      </c>
      <c r="G1121" t="str">
        <f>VLOOKUP(B1121,Orders!$A$2:$D$1201,4,FALSE)</f>
        <v>Delivered</v>
      </c>
      <c r="H1121">
        <f t="shared" si="52"/>
        <v>32</v>
      </c>
      <c r="I1121" s="12">
        <f>VLOOKUP(B1121,Orders!$A$2:$D$1201,3,FALSE)</f>
        <v>46064</v>
      </c>
      <c r="L1121" t="str">
        <f>VLOOKUP(C1121,Products!$A$2:$D$13,2,FALSE)</f>
        <v>Notebook</v>
      </c>
      <c r="M1121" t="str">
        <f t="shared" si="53"/>
        <v>2026-02</v>
      </c>
    </row>
    <row r="1122" spans="1:13">
      <c r="A1122">
        <v>1121</v>
      </c>
      <c r="B1122">
        <v>1540</v>
      </c>
      <c r="C1122">
        <v>1</v>
      </c>
      <c r="D1122">
        <v>2</v>
      </c>
      <c r="E1122">
        <v>750</v>
      </c>
      <c r="F1122">
        <f t="shared" si="51"/>
        <v>1500</v>
      </c>
      <c r="G1122" t="str">
        <f>VLOOKUP(B1122,Orders!$A$2:$D$1201,4,FALSE)</f>
        <v>Delivered</v>
      </c>
      <c r="H1122">
        <f t="shared" si="52"/>
        <v>1500</v>
      </c>
      <c r="I1122" s="12">
        <f>VLOOKUP(B1122,Orders!$A$2:$D$1201,3,FALSE)</f>
        <v>46064</v>
      </c>
      <c r="L1122" t="str">
        <f>VLOOKUP(C1122,Products!$A$2:$D$13,2,FALSE)</f>
        <v>Laptop</v>
      </c>
      <c r="M1122" t="str">
        <f t="shared" si="53"/>
        <v>2026-02</v>
      </c>
    </row>
    <row r="1123" spans="1:13">
      <c r="A1123">
        <v>1122</v>
      </c>
      <c r="B1123">
        <v>1540</v>
      </c>
      <c r="C1123">
        <v>8</v>
      </c>
      <c r="D1123">
        <v>4</v>
      </c>
      <c r="E1123">
        <v>55</v>
      </c>
      <c r="F1123">
        <f t="shared" si="51"/>
        <v>220</v>
      </c>
      <c r="G1123" t="str">
        <f>VLOOKUP(B1123,Orders!$A$2:$D$1201,4,FALSE)</f>
        <v>Delivered</v>
      </c>
      <c r="H1123">
        <f t="shared" si="52"/>
        <v>220</v>
      </c>
      <c r="I1123" s="12">
        <f>VLOOKUP(B1123,Orders!$A$2:$D$1201,3,FALSE)</f>
        <v>46064</v>
      </c>
      <c r="L1123" t="str">
        <f>VLOOKUP(C1123,Products!$A$2:$D$13,2,FALSE)</f>
        <v>Webcam</v>
      </c>
      <c r="M1123" t="str">
        <f t="shared" si="53"/>
        <v>2026-02</v>
      </c>
    </row>
    <row r="1124" spans="1:13">
      <c r="A1124">
        <v>1123</v>
      </c>
      <c r="B1124">
        <v>1541</v>
      </c>
      <c r="C1124">
        <v>12</v>
      </c>
      <c r="D1124">
        <v>1</v>
      </c>
      <c r="E1124">
        <v>22</v>
      </c>
      <c r="F1124">
        <f t="shared" si="51"/>
        <v>22</v>
      </c>
      <c r="G1124" t="str">
        <f>VLOOKUP(B1124,Orders!$A$2:$D$1201,4,FALSE)</f>
        <v>Delivered</v>
      </c>
      <c r="H1124">
        <f t="shared" si="52"/>
        <v>22</v>
      </c>
      <c r="I1124" s="12">
        <f>VLOOKUP(B1124,Orders!$A$2:$D$1201,3,FALSE)</f>
        <v>46185</v>
      </c>
      <c r="L1124" t="str">
        <f>VLOOKUP(C1124,Products!$A$2:$D$13,2,FALSE)</f>
        <v>Storage Box</v>
      </c>
      <c r="M1124" t="str">
        <f t="shared" si="53"/>
        <v>2026-06</v>
      </c>
    </row>
    <row r="1125" spans="1:13">
      <c r="A1125">
        <v>1124</v>
      </c>
      <c r="B1125">
        <v>1541</v>
      </c>
      <c r="C1125">
        <v>6</v>
      </c>
      <c r="D1125">
        <v>3</v>
      </c>
      <c r="E1125">
        <v>140</v>
      </c>
      <c r="F1125">
        <f t="shared" si="51"/>
        <v>420</v>
      </c>
      <c r="G1125" t="str">
        <f>VLOOKUP(B1125,Orders!$A$2:$D$1201,4,FALSE)</f>
        <v>Delivered</v>
      </c>
      <c r="H1125">
        <f t="shared" si="52"/>
        <v>420</v>
      </c>
      <c r="I1125" s="12">
        <f>VLOOKUP(B1125,Orders!$A$2:$D$1201,3,FALSE)</f>
        <v>46185</v>
      </c>
      <c r="L1125" t="str">
        <f>VLOOKUP(C1125,Products!$A$2:$D$13,2,FALSE)</f>
        <v>Chair</v>
      </c>
      <c r="M1125" t="str">
        <f t="shared" si="53"/>
        <v>2026-06</v>
      </c>
    </row>
    <row r="1126" spans="1:13">
      <c r="A1126">
        <v>1125</v>
      </c>
      <c r="B1126">
        <v>1542</v>
      </c>
      <c r="C1126">
        <v>6</v>
      </c>
      <c r="D1126">
        <v>3</v>
      </c>
      <c r="E1126">
        <v>140</v>
      </c>
      <c r="F1126">
        <f t="shared" si="51"/>
        <v>420</v>
      </c>
      <c r="G1126" t="str">
        <f>VLOOKUP(B1126,Orders!$A$2:$D$1201,4,FALSE)</f>
        <v>Delivered</v>
      </c>
      <c r="H1126">
        <f t="shared" si="52"/>
        <v>420</v>
      </c>
      <c r="I1126" s="12">
        <f>VLOOKUP(B1126,Orders!$A$2:$D$1201,3,FALSE)</f>
        <v>46170</v>
      </c>
      <c r="L1126" t="str">
        <f>VLOOKUP(C1126,Products!$A$2:$D$13,2,FALSE)</f>
        <v>Chair</v>
      </c>
      <c r="M1126" t="str">
        <f t="shared" si="53"/>
        <v>2026-05</v>
      </c>
    </row>
    <row r="1127" spans="1:13">
      <c r="A1127">
        <v>1126</v>
      </c>
      <c r="B1127">
        <v>1542</v>
      </c>
      <c r="C1127">
        <v>1</v>
      </c>
      <c r="D1127">
        <v>1</v>
      </c>
      <c r="E1127">
        <v>750</v>
      </c>
      <c r="F1127">
        <f t="shared" si="51"/>
        <v>750</v>
      </c>
      <c r="G1127" t="str">
        <f>VLOOKUP(B1127,Orders!$A$2:$D$1201,4,FALSE)</f>
        <v>Delivered</v>
      </c>
      <c r="H1127">
        <f t="shared" si="52"/>
        <v>750</v>
      </c>
      <c r="I1127" s="12">
        <f>VLOOKUP(B1127,Orders!$A$2:$D$1201,3,FALSE)</f>
        <v>46170</v>
      </c>
      <c r="L1127" t="str">
        <f>VLOOKUP(C1127,Products!$A$2:$D$13,2,FALSE)</f>
        <v>Laptop</v>
      </c>
      <c r="M1127" t="str">
        <f t="shared" si="53"/>
        <v>2026-05</v>
      </c>
    </row>
    <row r="1128" spans="1:13">
      <c r="A1128">
        <v>1127</v>
      </c>
      <c r="B1128">
        <v>1542</v>
      </c>
      <c r="C1128">
        <v>9</v>
      </c>
      <c r="D1128">
        <v>1</v>
      </c>
      <c r="E1128">
        <v>30</v>
      </c>
      <c r="F1128">
        <f t="shared" si="51"/>
        <v>30</v>
      </c>
      <c r="G1128" t="str">
        <f>VLOOKUP(B1128,Orders!$A$2:$D$1201,4,FALSE)</f>
        <v>Delivered</v>
      </c>
      <c r="H1128">
        <f t="shared" si="52"/>
        <v>30</v>
      </c>
      <c r="I1128" s="12">
        <f>VLOOKUP(B1128,Orders!$A$2:$D$1201,3,FALSE)</f>
        <v>46170</v>
      </c>
      <c r="L1128" t="str">
        <f>VLOOKUP(C1128,Products!$A$2:$D$13,2,FALSE)</f>
        <v>Lamp</v>
      </c>
      <c r="M1128" t="str">
        <f t="shared" si="53"/>
        <v>2026-05</v>
      </c>
    </row>
    <row r="1129" spans="1:13">
      <c r="A1129">
        <v>1128</v>
      </c>
      <c r="B1129">
        <v>1543</v>
      </c>
      <c r="C1129">
        <v>12</v>
      </c>
      <c r="D1129">
        <v>3</v>
      </c>
      <c r="E1129">
        <v>22</v>
      </c>
      <c r="F1129">
        <f t="shared" si="51"/>
        <v>66</v>
      </c>
      <c r="G1129" t="str">
        <f>VLOOKUP(B1129,Orders!$A$2:$D$1201,4,FALSE)</f>
        <v>Delivered</v>
      </c>
      <c r="H1129">
        <f t="shared" si="52"/>
        <v>66</v>
      </c>
      <c r="I1129" s="12">
        <f>VLOOKUP(B1129,Orders!$A$2:$D$1201,3,FALSE)</f>
        <v>46067</v>
      </c>
      <c r="L1129" t="str">
        <f>VLOOKUP(C1129,Products!$A$2:$D$13,2,FALSE)</f>
        <v>Storage Box</v>
      </c>
      <c r="M1129" t="str">
        <f t="shared" si="53"/>
        <v>2026-02</v>
      </c>
    </row>
    <row r="1130" spans="1:13">
      <c r="A1130">
        <v>1129</v>
      </c>
      <c r="B1130">
        <v>1543</v>
      </c>
      <c r="C1130">
        <v>4</v>
      </c>
      <c r="D1130">
        <v>2</v>
      </c>
      <c r="E1130">
        <v>25</v>
      </c>
      <c r="F1130">
        <f t="shared" si="51"/>
        <v>50</v>
      </c>
      <c r="G1130" t="str">
        <f>VLOOKUP(B1130,Orders!$A$2:$D$1201,4,FALSE)</f>
        <v>Delivered</v>
      </c>
      <c r="H1130">
        <f t="shared" si="52"/>
        <v>50</v>
      </c>
      <c r="I1130" s="12">
        <f>VLOOKUP(B1130,Orders!$A$2:$D$1201,3,FALSE)</f>
        <v>46067</v>
      </c>
      <c r="L1130" t="str">
        <f>VLOOKUP(C1130,Products!$A$2:$D$13,2,FALSE)</f>
        <v>Mouse</v>
      </c>
      <c r="M1130" t="str">
        <f t="shared" si="53"/>
        <v>2026-02</v>
      </c>
    </row>
    <row r="1131" spans="1:13">
      <c r="A1131">
        <v>1130</v>
      </c>
      <c r="B1131">
        <v>1543</v>
      </c>
      <c r="C1131">
        <v>3</v>
      </c>
      <c r="D1131">
        <v>1</v>
      </c>
      <c r="E1131">
        <v>45</v>
      </c>
      <c r="F1131">
        <f t="shared" si="51"/>
        <v>45</v>
      </c>
      <c r="G1131" t="str">
        <f>VLOOKUP(B1131,Orders!$A$2:$D$1201,4,FALSE)</f>
        <v>Delivered</v>
      </c>
      <c r="H1131">
        <f t="shared" si="52"/>
        <v>45</v>
      </c>
      <c r="I1131" s="12">
        <f>VLOOKUP(B1131,Orders!$A$2:$D$1201,3,FALSE)</f>
        <v>46067</v>
      </c>
      <c r="L1131" t="str">
        <f>VLOOKUP(C1131,Products!$A$2:$D$13,2,FALSE)</f>
        <v>Keyboard</v>
      </c>
      <c r="M1131" t="str">
        <f t="shared" si="53"/>
        <v>2026-02</v>
      </c>
    </row>
    <row r="1132" spans="1:13">
      <c r="A1132">
        <v>1131</v>
      </c>
      <c r="B1132">
        <v>1544</v>
      </c>
      <c r="C1132">
        <v>6</v>
      </c>
      <c r="D1132">
        <v>4</v>
      </c>
      <c r="E1132">
        <v>140</v>
      </c>
      <c r="F1132">
        <f t="shared" si="51"/>
        <v>560</v>
      </c>
      <c r="G1132" t="str">
        <f>VLOOKUP(B1132,Orders!$A$2:$D$1201,4,FALSE)</f>
        <v>Delivered</v>
      </c>
      <c r="H1132">
        <f t="shared" si="52"/>
        <v>560</v>
      </c>
      <c r="I1132" s="12">
        <f>VLOOKUP(B1132,Orders!$A$2:$D$1201,3,FALSE)</f>
        <v>46076</v>
      </c>
      <c r="L1132" t="str">
        <f>VLOOKUP(C1132,Products!$A$2:$D$13,2,FALSE)</f>
        <v>Chair</v>
      </c>
      <c r="M1132" t="str">
        <f t="shared" si="53"/>
        <v>2026-02</v>
      </c>
    </row>
    <row r="1133" spans="1:13">
      <c r="A1133">
        <v>1132</v>
      </c>
      <c r="B1133">
        <v>1544</v>
      </c>
      <c r="C1133">
        <v>5</v>
      </c>
      <c r="D1133">
        <v>3</v>
      </c>
      <c r="E1133">
        <v>180</v>
      </c>
      <c r="F1133">
        <f t="shared" si="51"/>
        <v>540</v>
      </c>
      <c r="G1133" t="str">
        <f>VLOOKUP(B1133,Orders!$A$2:$D$1201,4,FALSE)</f>
        <v>Delivered</v>
      </c>
      <c r="H1133">
        <f t="shared" si="52"/>
        <v>540</v>
      </c>
      <c r="I1133" s="12">
        <f>VLOOKUP(B1133,Orders!$A$2:$D$1201,3,FALSE)</f>
        <v>46076</v>
      </c>
      <c r="L1133" t="str">
        <f>VLOOKUP(C1133,Products!$A$2:$D$13,2,FALSE)</f>
        <v>Desk</v>
      </c>
      <c r="M1133" t="str">
        <f t="shared" si="53"/>
        <v>2026-02</v>
      </c>
    </row>
    <row r="1134" spans="1:13">
      <c r="A1134">
        <v>1133</v>
      </c>
      <c r="B1134">
        <v>1545</v>
      </c>
      <c r="C1134">
        <v>9</v>
      </c>
      <c r="D1134">
        <v>3</v>
      </c>
      <c r="E1134">
        <v>30</v>
      </c>
      <c r="F1134">
        <f t="shared" si="51"/>
        <v>90</v>
      </c>
      <c r="G1134" t="str">
        <f>VLOOKUP(B1134,Orders!$A$2:$D$1201,4,FALSE)</f>
        <v>Delivered</v>
      </c>
      <c r="H1134">
        <f t="shared" si="52"/>
        <v>90</v>
      </c>
      <c r="I1134" s="12">
        <f>VLOOKUP(B1134,Orders!$A$2:$D$1201,3,FALSE)</f>
        <v>46157</v>
      </c>
      <c r="L1134" t="str">
        <f>VLOOKUP(C1134,Products!$A$2:$D$13,2,FALSE)</f>
        <v>Lamp</v>
      </c>
      <c r="M1134" t="str">
        <f t="shared" si="53"/>
        <v>2026-05</v>
      </c>
    </row>
    <row r="1135" spans="1:13">
      <c r="A1135">
        <v>1134</v>
      </c>
      <c r="B1135">
        <v>1545</v>
      </c>
      <c r="C1135">
        <v>11</v>
      </c>
      <c r="D1135">
        <v>4</v>
      </c>
      <c r="E1135">
        <v>48</v>
      </c>
      <c r="F1135">
        <f t="shared" si="51"/>
        <v>192</v>
      </c>
      <c r="G1135" t="str">
        <f>VLOOKUP(B1135,Orders!$A$2:$D$1201,4,FALSE)</f>
        <v>Delivered</v>
      </c>
      <c r="H1135">
        <f t="shared" si="52"/>
        <v>192</v>
      </c>
      <c r="I1135" s="12">
        <f>VLOOKUP(B1135,Orders!$A$2:$D$1201,3,FALSE)</f>
        <v>46157</v>
      </c>
      <c r="L1135" t="str">
        <f>VLOOKUP(C1135,Products!$A$2:$D$13,2,FALSE)</f>
        <v>Backpack</v>
      </c>
      <c r="M1135" t="str">
        <f t="shared" si="53"/>
        <v>2026-05</v>
      </c>
    </row>
    <row r="1136" spans="1:13">
      <c r="A1136">
        <v>1135</v>
      </c>
      <c r="B1136">
        <v>1545</v>
      </c>
      <c r="C1136">
        <v>12</v>
      </c>
      <c r="D1136">
        <v>3</v>
      </c>
      <c r="E1136">
        <v>22</v>
      </c>
      <c r="F1136">
        <f t="shared" si="51"/>
        <v>66</v>
      </c>
      <c r="G1136" t="str">
        <f>VLOOKUP(B1136,Orders!$A$2:$D$1201,4,FALSE)</f>
        <v>Delivered</v>
      </c>
      <c r="H1136">
        <f t="shared" si="52"/>
        <v>66</v>
      </c>
      <c r="I1136" s="12">
        <f>VLOOKUP(B1136,Orders!$A$2:$D$1201,3,FALSE)</f>
        <v>46157</v>
      </c>
      <c r="L1136" t="str">
        <f>VLOOKUP(C1136,Products!$A$2:$D$13,2,FALSE)</f>
        <v>Storage Box</v>
      </c>
      <c r="M1136" t="str">
        <f t="shared" si="53"/>
        <v>2026-05</v>
      </c>
    </row>
    <row r="1137" spans="1:13">
      <c r="A1137">
        <v>1136</v>
      </c>
      <c r="B1137">
        <v>1546</v>
      </c>
      <c r="C1137">
        <v>2</v>
      </c>
      <c r="D1137">
        <v>4</v>
      </c>
      <c r="E1137">
        <v>220</v>
      </c>
      <c r="F1137">
        <f t="shared" si="51"/>
        <v>880</v>
      </c>
      <c r="G1137" t="str">
        <f>VLOOKUP(B1137,Orders!$A$2:$D$1201,4,FALSE)</f>
        <v>Cancelled</v>
      </c>
      <c r="H1137">
        <f t="shared" si="52"/>
        <v>0</v>
      </c>
      <c r="I1137" s="12">
        <f>VLOOKUP(B1137,Orders!$A$2:$D$1201,3,FALSE)</f>
        <v>46071</v>
      </c>
      <c r="L1137" t="str">
        <f>VLOOKUP(C1137,Products!$A$2:$D$13,2,FALSE)</f>
        <v>Monitor</v>
      </c>
      <c r="M1137" t="str">
        <f t="shared" si="53"/>
        <v>2026-02</v>
      </c>
    </row>
    <row r="1138" spans="1:13">
      <c r="A1138">
        <v>1137</v>
      </c>
      <c r="B1138">
        <v>1547</v>
      </c>
      <c r="C1138">
        <v>3</v>
      </c>
      <c r="D1138">
        <v>3</v>
      </c>
      <c r="E1138">
        <v>45</v>
      </c>
      <c r="F1138">
        <f t="shared" si="51"/>
        <v>135</v>
      </c>
      <c r="G1138" t="str">
        <f>VLOOKUP(B1138,Orders!$A$2:$D$1201,4,FALSE)</f>
        <v>Delivered</v>
      </c>
      <c r="H1138">
        <f t="shared" si="52"/>
        <v>135</v>
      </c>
      <c r="I1138" s="12">
        <f>VLOOKUP(B1138,Orders!$A$2:$D$1201,3,FALSE)</f>
        <v>46068</v>
      </c>
      <c r="L1138" t="str">
        <f>VLOOKUP(C1138,Products!$A$2:$D$13,2,FALSE)</f>
        <v>Keyboard</v>
      </c>
      <c r="M1138" t="str">
        <f t="shared" si="53"/>
        <v>2026-02</v>
      </c>
    </row>
    <row r="1139" spans="1:13">
      <c r="A1139">
        <v>1138</v>
      </c>
      <c r="B1139">
        <v>1548</v>
      </c>
      <c r="C1139">
        <v>7</v>
      </c>
      <c r="D1139">
        <v>2</v>
      </c>
      <c r="E1139">
        <v>65</v>
      </c>
      <c r="F1139">
        <f t="shared" si="51"/>
        <v>130</v>
      </c>
      <c r="G1139" t="str">
        <f>VLOOKUP(B1139,Orders!$A$2:$D$1201,4,FALSE)</f>
        <v>Shipped</v>
      </c>
      <c r="H1139">
        <f t="shared" si="52"/>
        <v>130</v>
      </c>
      <c r="I1139" s="12">
        <f>VLOOKUP(B1139,Orders!$A$2:$D$1201,3,FALSE)</f>
        <v>46156</v>
      </c>
      <c r="L1139" t="str">
        <f>VLOOKUP(C1139,Products!$A$2:$D$13,2,FALSE)</f>
        <v>Headphones</v>
      </c>
      <c r="M1139" t="str">
        <f t="shared" si="53"/>
        <v>2026-05</v>
      </c>
    </row>
    <row r="1140" spans="1:13">
      <c r="A1140">
        <v>1139</v>
      </c>
      <c r="B1140">
        <v>1548</v>
      </c>
      <c r="C1140">
        <v>11</v>
      </c>
      <c r="D1140">
        <v>4</v>
      </c>
      <c r="E1140">
        <v>48</v>
      </c>
      <c r="F1140">
        <f t="shared" si="51"/>
        <v>192</v>
      </c>
      <c r="G1140" t="str">
        <f>VLOOKUP(B1140,Orders!$A$2:$D$1201,4,FALSE)</f>
        <v>Shipped</v>
      </c>
      <c r="H1140">
        <f t="shared" si="52"/>
        <v>192</v>
      </c>
      <c r="I1140" s="12">
        <f>VLOOKUP(B1140,Orders!$A$2:$D$1201,3,FALSE)</f>
        <v>46156</v>
      </c>
      <c r="L1140" t="str">
        <f>VLOOKUP(C1140,Products!$A$2:$D$13,2,FALSE)</f>
        <v>Backpack</v>
      </c>
      <c r="M1140" t="str">
        <f t="shared" si="53"/>
        <v>2026-05</v>
      </c>
    </row>
    <row r="1141" spans="1:13">
      <c r="A1141">
        <v>1140</v>
      </c>
      <c r="B1141">
        <v>1549</v>
      </c>
      <c r="C1141">
        <v>1</v>
      </c>
      <c r="D1141">
        <v>2</v>
      </c>
      <c r="E1141">
        <v>750</v>
      </c>
      <c r="F1141">
        <f t="shared" si="51"/>
        <v>1500</v>
      </c>
      <c r="G1141" t="str">
        <f>VLOOKUP(B1141,Orders!$A$2:$D$1201,4,FALSE)</f>
        <v>Delivered</v>
      </c>
      <c r="H1141">
        <f t="shared" si="52"/>
        <v>1500</v>
      </c>
      <c r="I1141" s="12">
        <f>VLOOKUP(B1141,Orders!$A$2:$D$1201,3,FALSE)</f>
        <v>46188</v>
      </c>
      <c r="L1141" t="str">
        <f>VLOOKUP(C1141,Products!$A$2:$D$13,2,FALSE)</f>
        <v>Laptop</v>
      </c>
      <c r="M1141" t="str">
        <f t="shared" si="53"/>
        <v>2026-06</v>
      </c>
    </row>
    <row r="1142" spans="1:13">
      <c r="A1142">
        <v>1141</v>
      </c>
      <c r="B1142">
        <v>1550</v>
      </c>
      <c r="C1142">
        <v>10</v>
      </c>
      <c r="D1142">
        <v>4</v>
      </c>
      <c r="E1142">
        <v>8</v>
      </c>
      <c r="F1142">
        <f t="shared" si="51"/>
        <v>32</v>
      </c>
      <c r="G1142" t="str">
        <f>VLOOKUP(B1142,Orders!$A$2:$D$1201,4,FALSE)</f>
        <v>Delivered</v>
      </c>
      <c r="H1142">
        <f t="shared" si="52"/>
        <v>32</v>
      </c>
      <c r="I1142" s="12">
        <f>VLOOKUP(B1142,Orders!$A$2:$D$1201,3,FALSE)</f>
        <v>46110</v>
      </c>
      <c r="L1142" t="str">
        <f>VLOOKUP(C1142,Products!$A$2:$D$13,2,FALSE)</f>
        <v>Notebook</v>
      </c>
      <c r="M1142" t="str">
        <f t="shared" si="53"/>
        <v>2026-03</v>
      </c>
    </row>
    <row r="1143" spans="1:13">
      <c r="A1143">
        <v>1142</v>
      </c>
      <c r="B1143">
        <v>1550</v>
      </c>
      <c r="C1143">
        <v>11</v>
      </c>
      <c r="D1143">
        <v>4</v>
      </c>
      <c r="E1143">
        <v>48</v>
      </c>
      <c r="F1143">
        <f t="shared" si="51"/>
        <v>192</v>
      </c>
      <c r="G1143" t="str">
        <f>VLOOKUP(B1143,Orders!$A$2:$D$1201,4,FALSE)</f>
        <v>Delivered</v>
      </c>
      <c r="H1143">
        <f t="shared" si="52"/>
        <v>192</v>
      </c>
      <c r="I1143" s="12">
        <f>VLOOKUP(B1143,Orders!$A$2:$D$1201,3,FALSE)</f>
        <v>46110</v>
      </c>
      <c r="L1143" t="str">
        <f>VLOOKUP(C1143,Products!$A$2:$D$13,2,FALSE)</f>
        <v>Backpack</v>
      </c>
      <c r="M1143" t="str">
        <f t="shared" si="53"/>
        <v>2026-03</v>
      </c>
    </row>
    <row r="1144" spans="1:13">
      <c r="A1144">
        <v>1143</v>
      </c>
      <c r="B1144">
        <v>1551</v>
      </c>
      <c r="C1144">
        <v>1</v>
      </c>
      <c r="D1144">
        <v>3</v>
      </c>
      <c r="E1144">
        <v>750</v>
      </c>
      <c r="F1144">
        <f t="shared" si="51"/>
        <v>2250</v>
      </c>
      <c r="G1144" t="str">
        <f>VLOOKUP(B1144,Orders!$A$2:$D$1201,4,FALSE)</f>
        <v>Delivered</v>
      </c>
      <c r="H1144">
        <f t="shared" si="52"/>
        <v>2250</v>
      </c>
      <c r="I1144" s="12">
        <f>VLOOKUP(B1144,Orders!$A$2:$D$1201,3,FALSE)</f>
        <v>46089</v>
      </c>
      <c r="L1144" t="str">
        <f>VLOOKUP(C1144,Products!$A$2:$D$13,2,FALSE)</f>
        <v>Laptop</v>
      </c>
      <c r="M1144" t="str">
        <f t="shared" si="53"/>
        <v>2026-03</v>
      </c>
    </row>
    <row r="1145" spans="1:13">
      <c r="A1145">
        <v>1144</v>
      </c>
      <c r="B1145">
        <v>1551</v>
      </c>
      <c r="C1145">
        <v>3</v>
      </c>
      <c r="D1145">
        <v>3</v>
      </c>
      <c r="E1145">
        <v>45</v>
      </c>
      <c r="F1145">
        <f t="shared" si="51"/>
        <v>135</v>
      </c>
      <c r="G1145" t="str">
        <f>VLOOKUP(B1145,Orders!$A$2:$D$1201,4,FALSE)</f>
        <v>Delivered</v>
      </c>
      <c r="H1145">
        <f t="shared" si="52"/>
        <v>135</v>
      </c>
      <c r="I1145" s="12">
        <f>VLOOKUP(B1145,Orders!$A$2:$D$1201,3,FALSE)</f>
        <v>46089</v>
      </c>
      <c r="L1145" t="str">
        <f>VLOOKUP(C1145,Products!$A$2:$D$13,2,FALSE)</f>
        <v>Keyboard</v>
      </c>
      <c r="M1145" t="str">
        <f t="shared" si="53"/>
        <v>2026-03</v>
      </c>
    </row>
    <row r="1146" spans="1:13">
      <c r="A1146">
        <v>1145</v>
      </c>
      <c r="B1146">
        <v>1552</v>
      </c>
      <c r="C1146">
        <v>12</v>
      </c>
      <c r="D1146">
        <v>2</v>
      </c>
      <c r="E1146">
        <v>22</v>
      </c>
      <c r="F1146">
        <f t="shared" si="51"/>
        <v>44</v>
      </c>
      <c r="G1146" t="str">
        <f>VLOOKUP(B1146,Orders!$A$2:$D$1201,4,FALSE)</f>
        <v>Delivered</v>
      </c>
      <c r="H1146">
        <f t="shared" si="52"/>
        <v>44</v>
      </c>
      <c r="I1146" s="12">
        <f>VLOOKUP(B1146,Orders!$A$2:$D$1201,3,FALSE)</f>
        <v>46160</v>
      </c>
      <c r="L1146" t="str">
        <f>VLOOKUP(C1146,Products!$A$2:$D$13,2,FALSE)</f>
        <v>Storage Box</v>
      </c>
      <c r="M1146" t="str">
        <f t="shared" si="53"/>
        <v>2026-05</v>
      </c>
    </row>
    <row r="1147" spans="1:13">
      <c r="A1147">
        <v>1146</v>
      </c>
      <c r="B1147">
        <v>1552</v>
      </c>
      <c r="C1147">
        <v>11</v>
      </c>
      <c r="D1147">
        <v>2</v>
      </c>
      <c r="E1147">
        <v>48</v>
      </c>
      <c r="F1147">
        <f t="shared" si="51"/>
        <v>96</v>
      </c>
      <c r="G1147" t="str">
        <f>VLOOKUP(B1147,Orders!$A$2:$D$1201,4,FALSE)</f>
        <v>Delivered</v>
      </c>
      <c r="H1147">
        <f t="shared" si="52"/>
        <v>96</v>
      </c>
      <c r="I1147" s="12">
        <f>VLOOKUP(B1147,Orders!$A$2:$D$1201,3,FALSE)</f>
        <v>46160</v>
      </c>
      <c r="L1147" t="str">
        <f>VLOOKUP(C1147,Products!$A$2:$D$13,2,FALSE)</f>
        <v>Backpack</v>
      </c>
      <c r="M1147" t="str">
        <f t="shared" si="53"/>
        <v>2026-05</v>
      </c>
    </row>
    <row r="1148" spans="1:13">
      <c r="A1148">
        <v>1147</v>
      </c>
      <c r="B1148">
        <v>1552</v>
      </c>
      <c r="C1148">
        <v>3</v>
      </c>
      <c r="D1148">
        <v>1</v>
      </c>
      <c r="E1148">
        <v>45</v>
      </c>
      <c r="F1148">
        <f t="shared" si="51"/>
        <v>45</v>
      </c>
      <c r="G1148" t="str">
        <f>VLOOKUP(B1148,Orders!$A$2:$D$1201,4,FALSE)</f>
        <v>Delivered</v>
      </c>
      <c r="H1148">
        <f t="shared" si="52"/>
        <v>45</v>
      </c>
      <c r="I1148" s="12">
        <f>VLOOKUP(B1148,Orders!$A$2:$D$1201,3,FALSE)</f>
        <v>46160</v>
      </c>
      <c r="L1148" t="str">
        <f>VLOOKUP(C1148,Products!$A$2:$D$13,2,FALSE)</f>
        <v>Keyboard</v>
      </c>
      <c r="M1148" t="str">
        <f t="shared" si="53"/>
        <v>2026-05</v>
      </c>
    </row>
    <row r="1149" spans="1:13">
      <c r="A1149">
        <v>1148</v>
      </c>
      <c r="B1149">
        <v>1553</v>
      </c>
      <c r="C1149">
        <v>1</v>
      </c>
      <c r="D1149">
        <v>3</v>
      </c>
      <c r="E1149">
        <v>750</v>
      </c>
      <c r="F1149">
        <f t="shared" si="51"/>
        <v>2250</v>
      </c>
      <c r="G1149" t="str">
        <f>VLOOKUP(B1149,Orders!$A$2:$D$1201,4,FALSE)</f>
        <v>Delivered</v>
      </c>
      <c r="H1149">
        <f t="shared" si="52"/>
        <v>2250</v>
      </c>
      <c r="I1149" s="12">
        <f>VLOOKUP(B1149,Orders!$A$2:$D$1201,3,FALSE)</f>
        <v>46117</v>
      </c>
      <c r="L1149" t="str">
        <f>VLOOKUP(C1149,Products!$A$2:$D$13,2,FALSE)</f>
        <v>Laptop</v>
      </c>
      <c r="M1149" t="str">
        <f t="shared" si="53"/>
        <v>2026-04</v>
      </c>
    </row>
    <row r="1150" spans="1:13">
      <c r="A1150">
        <v>1149</v>
      </c>
      <c r="B1150">
        <v>1553</v>
      </c>
      <c r="C1150">
        <v>11</v>
      </c>
      <c r="D1150">
        <v>2</v>
      </c>
      <c r="E1150">
        <v>48</v>
      </c>
      <c r="F1150">
        <f t="shared" si="51"/>
        <v>96</v>
      </c>
      <c r="G1150" t="str">
        <f>VLOOKUP(B1150,Orders!$A$2:$D$1201,4,FALSE)</f>
        <v>Delivered</v>
      </c>
      <c r="H1150">
        <f t="shared" si="52"/>
        <v>96</v>
      </c>
      <c r="I1150" s="12">
        <f>VLOOKUP(B1150,Orders!$A$2:$D$1201,3,FALSE)</f>
        <v>46117</v>
      </c>
      <c r="L1150" t="str">
        <f>VLOOKUP(C1150,Products!$A$2:$D$13,2,FALSE)</f>
        <v>Backpack</v>
      </c>
      <c r="M1150" t="str">
        <f t="shared" si="53"/>
        <v>2026-04</v>
      </c>
    </row>
    <row r="1151" spans="1:13">
      <c r="A1151">
        <v>1150</v>
      </c>
      <c r="B1151">
        <v>1553</v>
      </c>
      <c r="C1151">
        <v>6</v>
      </c>
      <c r="D1151">
        <v>3</v>
      </c>
      <c r="E1151">
        <v>140</v>
      </c>
      <c r="F1151">
        <f t="shared" si="51"/>
        <v>420</v>
      </c>
      <c r="G1151" t="str">
        <f>VLOOKUP(B1151,Orders!$A$2:$D$1201,4,FALSE)</f>
        <v>Delivered</v>
      </c>
      <c r="H1151">
        <f t="shared" si="52"/>
        <v>420</v>
      </c>
      <c r="I1151" s="12">
        <f>VLOOKUP(B1151,Orders!$A$2:$D$1201,3,FALSE)</f>
        <v>46117</v>
      </c>
      <c r="L1151" t="str">
        <f>VLOOKUP(C1151,Products!$A$2:$D$13,2,FALSE)</f>
        <v>Chair</v>
      </c>
      <c r="M1151" t="str">
        <f t="shared" si="53"/>
        <v>2026-04</v>
      </c>
    </row>
    <row r="1152" spans="1:13">
      <c r="A1152">
        <v>1151</v>
      </c>
      <c r="B1152">
        <v>1554</v>
      </c>
      <c r="C1152">
        <v>8</v>
      </c>
      <c r="D1152">
        <v>3</v>
      </c>
      <c r="E1152">
        <v>55</v>
      </c>
      <c r="F1152">
        <f t="shared" si="51"/>
        <v>165</v>
      </c>
      <c r="G1152" t="str">
        <f>VLOOKUP(B1152,Orders!$A$2:$D$1201,4,FALSE)</f>
        <v>Delivered</v>
      </c>
      <c r="H1152">
        <f t="shared" si="52"/>
        <v>165</v>
      </c>
      <c r="I1152" s="12">
        <f>VLOOKUP(B1152,Orders!$A$2:$D$1201,3,FALSE)</f>
        <v>46029</v>
      </c>
      <c r="L1152" t="str">
        <f>VLOOKUP(C1152,Products!$A$2:$D$13,2,FALSE)</f>
        <v>Webcam</v>
      </c>
      <c r="M1152" t="str">
        <f t="shared" si="53"/>
        <v>2026-01</v>
      </c>
    </row>
    <row r="1153" spans="1:13">
      <c r="A1153">
        <v>1152</v>
      </c>
      <c r="B1153">
        <v>1555</v>
      </c>
      <c r="C1153">
        <v>5</v>
      </c>
      <c r="D1153">
        <v>2</v>
      </c>
      <c r="E1153">
        <v>180</v>
      </c>
      <c r="F1153">
        <f t="shared" si="51"/>
        <v>360</v>
      </c>
      <c r="G1153" t="str">
        <f>VLOOKUP(B1153,Orders!$A$2:$D$1201,4,FALSE)</f>
        <v>Delivered</v>
      </c>
      <c r="H1153">
        <f t="shared" si="52"/>
        <v>360</v>
      </c>
      <c r="I1153" s="12">
        <f>VLOOKUP(B1153,Orders!$A$2:$D$1201,3,FALSE)</f>
        <v>46107</v>
      </c>
      <c r="L1153" t="str">
        <f>VLOOKUP(C1153,Products!$A$2:$D$13,2,FALSE)</f>
        <v>Desk</v>
      </c>
      <c r="M1153" t="str">
        <f t="shared" si="53"/>
        <v>2026-03</v>
      </c>
    </row>
    <row r="1154" spans="1:13">
      <c r="A1154">
        <v>1153</v>
      </c>
      <c r="B1154">
        <v>1555</v>
      </c>
      <c r="C1154">
        <v>10</v>
      </c>
      <c r="D1154">
        <v>4</v>
      </c>
      <c r="E1154">
        <v>8</v>
      </c>
      <c r="F1154">
        <f t="shared" si="51"/>
        <v>32</v>
      </c>
      <c r="G1154" t="str">
        <f>VLOOKUP(B1154,Orders!$A$2:$D$1201,4,FALSE)</f>
        <v>Delivered</v>
      </c>
      <c r="H1154">
        <f t="shared" si="52"/>
        <v>32</v>
      </c>
      <c r="I1154" s="12">
        <f>VLOOKUP(B1154,Orders!$A$2:$D$1201,3,FALSE)</f>
        <v>46107</v>
      </c>
      <c r="L1154" t="str">
        <f>VLOOKUP(C1154,Products!$A$2:$D$13,2,FALSE)</f>
        <v>Notebook</v>
      </c>
      <c r="M1154" t="str">
        <f t="shared" si="53"/>
        <v>2026-03</v>
      </c>
    </row>
    <row r="1155" spans="1:13">
      <c r="A1155">
        <v>1154</v>
      </c>
      <c r="B1155">
        <v>1556</v>
      </c>
      <c r="C1155">
        <v>1</v>
      </c>
      <c r="D1155">
        <v>2</v>
      </c>
      <c r="E1155">
        <v>750</v>
      </c>
      <c r="F1155">
        <f t="shared" ref="F1155:F1218" si="54">D1155*E1155</f>
        <v>1500</v>
      </c>
      <c r="G1155" t="str">
        <f>VLOOKUP(B1155,Orders!$A$2:$D$1201,4,FALSE)</f>
        <v>Delivered</v>
      </c>
      <c r="H1155">
        <f t="shared" ref="H1155:H1218" si="55">IF(G1155="Cancelled",0,F1155)</f>
        <v>1500</v>
      </c>
      <c r="I1155" s="12">
        <f>VLOOKUP(B1155,Orders!$A$2:$D$1201,3,FALSE)</f>
        <v>46058</v>
      </c>
      <c r="L1155" t="str">
        <f>VLOOKUP(C1155,Products!$A$2:$D$13,2,FALSE)</f>
        <v>Laptop</v>
      </c>
      <c r="M1155" t="str">
        <f t="shared" ref="M1155:M1218" si="56">TEXT(I1155,"yyyy-mm")</f>
        <v>2026-02</v>
      </c>
    </row>
    <row r="1156" spans="1:13">
      <c r="A1156">
        <v>1155</v>
      </c>
      <c r="B1156">
        <v>1556</v>
      </c>
      <c r="C1156">
        <v>7</v>
      </c>
      <c r="D1156">
        <v>4</v>
      </c>
      <c r="E1156">
        <v>65</v>
      </c>
      <c r="F1156">
        <f t="shared" si="54"/>
        <v>260</v>
      </c>
      <c r="G1156" t="str">
        <f>VLOOKUP(B1156,Orders!$A$2:$D$1201,4,FALSE)</f>
        <v>Delivered</v>
      </c>
      <c r="H1156">
        <f t="shared" si="55"/>
        <v>260</v>
      </c>
      <c r="I1156" s="12">
        <f>VLOOKUP(B1156,Orders!$A$2:$D$1201,3,FALSE)</f>
        <v>46058</v>
      </c>
      <c r="L1156" t="str">
        <f>VLOOKUP(C1156,Products!$A$2:$D$13,2,FALSE)</f>
        <v>Headphones</v>
      </c>
      <c r="M1156" t="str">
        <f t="shared" si="56"/>
        <v>2026-02</v>
      </c>
    </row>
    <row r="1157" spans="1:13">
      <c r="A1157">
        <v>1156</v>
      </c>
      <c r="B1157">
        <v>1557</v>
      </c>
      <c r="C1157">
        <v>1</v>
      </c>
      <c r="D1157">
        <v>1</v>
      </c>
      <c r="E1157">
        <v>750</v>
      </c>
      <c r="F1157">
        <f t="shared" si="54"/>
        <v>750</v>
      </c>
      <c r="G1157" t="str">
        <f>VLOOKUP(B1157,Orders!$A$2:$D$1201,4,FALSE)</f>
        <v>Delivered</v>
      </c>
      <c r="H1157">
        <f t="shared" si="55"/>
        <v>750</v>
      </c>
      <c r="I1157" s="12">
        <f>VLOOKUP(B1157,Orders!$A$2:$D$1201,3,FALSE)</f>
        <v>46172</v>
      </c>
      <c r="L1157" t="str">
        <f>VLOOKUP(C1157,Products!$A$2:$D$13,2,FALSE)</f>
        <v>Laptop</v>
      </c>
      <c r="M1157" t="str">
        <f t="shared" si="56"/>
        <v>2026-05</v>
      </c>
    </row>
    <row r="1158" spans="1:13">
      <c r="A1158">
        <v>1157</v>
      </c>
      <c r="B1158">
        <v>1558</v>
      </c>
      <c r="C1158">
        <v>10</v>
      </c>
      <c r="D1158">
        <v>1</v>
      </c>
      <c r="E1158">
        <v>8</v>
      </c>
      <c r="F1158">
        <f t="shared" si="54"/>
        <v>8</v>
      </c>
      <c r="G1158" t="str">
        <f>VLOOKUP(B1158,Orders!$A$2:$D$1201,4,FALSE)</f>
        <v>Delivered</v>
      </c>
      <c r="H1158">
        <f t="shared" si="55"/>
        <v>8</v>
      </c>
      <c r="I1158" s="12">
        <f>VLOOKUP(B1158,Orders!$A$2:$D$1201,3,FALSE)</f>
        <v>46154</v>
      </c>
      <c r="L1158" t="str">
        <f>VLOOKUP(C1158,Products!$A$2:$D$13,2,FALSE)</f>
        <v>Notebook</v>
      </c>
      <c r="M1158" t="str">
        <f t="shared" si="56"/>
        <v>2026-05</v>
      </c>
    </row>
    <row r="1159" spans="1:13">
      <c r="A1159">
        <v>1158</v>
      </c>
      <c r="B1159">
        <v>1558</v>
      </c>
      <c r="C1159">
        <v>12</v>
      </c>
      <c r="D1159">
        <v>3</v>
      </c>
      <c r="E1159">
        <v>22</v>
      </c>
      <c r="F1159">
        <f t="shared" si="54"/>
        <v>66</v>
      </c>
      <c r="G1159" t="str">
        <f>VLOOKUP(B1159,Orders!$A$2:$D$1201,4,FALSE)</f>
        <v>Delivered</v>
      </c>
      <c r="H1159">
        <f t="shared" si="55"/>
        <v>66</v>
      </c>
      <c r="I1159" s="12">
        <f>VLOOKUP(B1159,Orders!$A$2:$D$1201,3,FALSE)</f>
        <v>46154</v>
      </c>
      <c r="L1159" t="str">
        <f>VLOOKUP(C1159,Products!$A$2:$D$13,2,FALSE)</f>
        <v>Storage Box</v>
      </c>
      <c r="M1159" t="str">
        <f t="shared" si="56"/>
        <v>2026-05</v>
      </c>
    </row>
    <row r="1160" spans="1:13">
      <c r="A1160">
        <v>1159</v>
      </c>
      <c r="B1160">
        <v>1559</v>
      </c>
      <c r="C1160">
        <v>5</v>
      </c>
      <c r="D1160">
        <v>1</v>
      </c>
      <c r="E1160">
        <v>180</v>
      </c>
      <c r="F1160">
        <f t="shared" si="54"/>
        <v>180</v>
      </c>
      <c r="G1160" t="str">
        <f>VLOOKUP(B1160,Orders!$A$2:$D$1201,4,FALSE)</f>
        <v>Delivered</v>
      </c>
      <c r="H1160">
        <f t="shared" si="55"/>
        <v>180</v>
      </c>
      <c r="I1160" s="12">
        <f>VLOOKUP(B1160,Orders!$A$2:$D$1201,3,FALSE)</f>
        <v>46118</v>
      </c>
      <c r="L1160" t="str">
        <f>VLOOKUP(C1160,Products!$A$2:$D$13,2,FALSE)</f>
        <v>Desk</v>
      </c>
      <c r="M1160" t="str">
        <f t="shared" si="56"/>
        <v>2026-04</v>
      </c>
    </row>
    <row r="1161" spans="1:13">
      <c r="A1161">
        <v>1160</v>
      </c>
      <c r="B1161">
        <v>1559</v>
      </c>
      <c r="C1161">
        <v>8</v>
      </c>
      <c r="D1161">
        <v>2</v>
      </c>
      <c r="E1161">
        <v>55</v>
      </c>
      <c r="F1161">
        <f t="shared" si="54"/>
        <v>110</v>
      </c>
      <c r="G1161" t="str">
        <f>VLOOKUP(B1161,Orders!$A$2:$D$1201,4,FALSE)</f>
        <v>Delivered</v>
      </c>
      <c r="H1161">
        <f t="shared" si="55"/>
        <v>110</v>
      </c>
      <c r="I1161" s="12">
        <f>VLOOKUP(B1161,Orders!$A$2:$D$1201,3,FALSE)</f>
        <v>46118</v>
      </c>
      <c r="L1161" t="str">
        <f>VLOOKUP(C1161,Products!$A$2:$D$13,2,FALSE)</f>
        <v>Webcam</v>
      </c>
      <c r="M1161" t="str">
        <f t="shared" si="56"/>
        <v>2026-04</v>
      </c>
    </row>
    <row r="1162" spans="1:13">
      <c r="A1162">
        <v>1161</v>
      </c>
      <c r="B1162">
        <v>1560</v>
      </c>
      <c r="C1162">
        <v>7</v>
      </c>
      <c r="D1162">
        <v>1</v>
      </c>
      <c r="E1162">
        <v>65</v>
      </c>
      <c r="F1162">
        <f t="shared" si="54"/>
        <v>65</v>
      </c>
      <c r="G1162" t="str">
        <f>VLOOKUP(B1162,Orders!$A$2:$D$1201,4,FALSE)</f>
        <v>Delivered</v>
      </c>
      <c r="H1162">
        <f t="shared" si="55"/>
        <v>65</v>
      </c>
      <c r="I1162" s="12">
        <f>VLOOKUP(B1162,Orders!$A$2:$D$1201,3,FALSE)</f>
        <v>46096</v>
      </c>
      <c r="L1162" t="str">
        <f>VLOOKUP(C1162,Products!$A$2:$D$13,2,FALSE)</f>
        <v>Headphones</v>
      </c>
      <c r="M1162" t="str">
        <f t="shared" si="56"/>
        <v>2026-03</v>
      </c>
    </row>
    <row r="1163" spans="1:13">
      <c r="A1163">
        <v>1162</v>
      </c>
      <c r="B1163">
        <v>1560</v>
      </c>
      <c r="C1163">
        <v>3</v>
      </c>
      <c r="D1163">
        <v>2</v>
      </c>
      <c r="E1163">
        <v>45</v>
      </c>
      <c r="F1163">
        <f t="shared" si="54"/>
        <v>90</v>
      </c>
      <c r="G1163" t="str">
        <f>VLOOKUP(B1163,Orders!$A$2:$D$1201,4,FALSE)</f>
        <v>Delivered</v>
      </c>
      <c r="H1163">
        <f t="shared" si="55"/>
        <v>90</v>
      </c>
      <c r="I1163" s="12">
        <f>VLOOKUP(B1163,Orders!$A$2:$D$1201,3,FALSE)</f>
        <v>46096</v>
      </c>
      <c r="L1163" t="str">
        <f>VLOOKUP(C1163,Products!$A$2:$D$13,2,FALSE)</f>
        <v>Keyboard</v>
      </c>
      <c r="M1163" t="str">
        <f t="shared" si="56"/>
        <v>2026-03</v>
      </c>
    </row>
    <row r="1164" spans="1:13">
      <c r="A1164">
        <v>1163</v>
      </c>
      <c r="B1164">
        <v>1560</v>
      </c>
      <c r="C1164">
        <v>10</v>
      </c>
      <c r="D1164">
        <v>2</v>
      </c>
      <c r="E1164">
        <v>8</v>
      </c>
      <c r="F1164">
        <f t="shared" si="54"/>
        <v>16</v>
      </c>
      <c r="G1164" t="str">
        <f>VLOOKUP(B1164,Orders!$A$2:$D$1201,4,FALSE)</f>
        <v>Delivered</v>
      </c>
      <c r="H1164">
        <f t="shared" si="55"/>
        <v>16</v>
      </c>
      <c r="I1164" s="12">
        <f>VLOOKUP(B1164,Orders!$A$2:$D$1201,3,FALSE)</f>
        <v>46096</v>
      </c>
      <c r="L1164" t="str">
        <f>VLOOKUP(C1164,Products!$A$2:$D$13,2,FALSE)</f>
        <v>Notebook</v>
      </c>
      <c r="M1164" t="str">
        <f t="shared" si="56"/>
        <v>2026-03</v>
      </c>
    </row>
    <row r="1165" spans="1:13">
      <c r="A1165">
        <v>1164</v>
      </c>
      <c r="B1165">
        <v>1561</v>
      </c>
      <c r="C1165">
        <v>1</v>
      </c>
      <c r="D1165">
        <v>4</v>
      </c>
      <c r="E1165">
        <v>750</v>
      </c>
      <c r="F1165">
        <f t="shared" si="54"/>
        <v>3000</v>
      </c>
      <c r="G1165" t="str">
        <f>VLOOKUP(B1165,Orders!$A$2:$D$1201,4,FALSE)</f>
        <v>Shipped</v>
      </c>
      <c r="H1165">
        <f t="shared" si="55"/>
        <v>3000</v>
      </c>
      <c r="I1165" s="12">
        <f>VLOOKUP(B1165,Orders!$A$2:$D$1201,3,FALSE)</f>
        <v>46039</v>
      </c>
      <c r="L1165" t="str">
        <f>VLOOKUP(C1165,Products!$A$2:$D$13,2,FALSE)</f>
        <v>Laptop</v>
      </c>
      <c r="M1165" t="str">
        <f t="shared" si="56"/>
        <v>2026-01</v>
      </c>
    </row>
    <row r="1166" spans="1:13">
      <c r="A1166">
        <v>1165</v>
      </c>
      <c r="B1166">
        <v>1562</v>
      </c>
      <c r="C1166">
        <v>10</v>
      </c>
      <c r="D1166">
        <v>2</v>
      </c>
      <c r="E1166">
        <v>8</v>
      </c>
      <c r="F1166">
        <f t="shared" si="54"/>
        <v>16</v>
      </c>
      <c r="G1166" t="str">
        <f>VLOOKUP(B1166,Orders!$A$2:$D$1201,4,FALSE)</f>
        <v>Delivered</v>
      </c>
      <c r="H1166">
        <f t="shared" si="55"/>
        <v>16</v>
      </c>
      <c r="I1166" s="12">
        <f>VLOOKUP(B1166,Orders!$A$2:$D$1201,3,FALSE)</f>
        <v>46129</v>
      </c>
      <c r="L1166" t="str">
        <f>VLOOKUP(C1166,Products!$A$2:$D$13,2,FALSE)</f>
        <v>Notebook</v>
      </c>
      <c r="M1166" t="str">
        <f t="shared" si="56"/>
        <v>2026-04</v>
      </c>
    </row>
    <row r="1167" spans="1:13">
      <c r="A1167">
        <v>1166</v>
      </c>
      <c r="B1167">
        <v>1562</v>
      </c>
      <c r="C1167">
        <v>3</v>
      </c>
      <c r="D1167">
        <v>4</v>
      </c>
      <c r="E1167">
        <v>45</v>
      </c>
      <c r="F1167">
        <f t="shared" si="54"/>
        <v>180</v>
      </c>
      <c r="G1167" t="str">
        <f>VLOOKUP(B1167,Orders!$A$2:$D$1201,4,FALSE)</f>
        <v>Delivered</v>
      </c>
      <c r="H1167">
        <f t="shared" si="55"/>
        <v>180</v>
      </c>
      <c r="I1167" s="12">
        <f>VLOOKUP(B1167,Orders!$A$2:$D$1201,3,FALSE)</f>
        <v>46129</v>
      </c>
      <c r="L1167" t="str">
        <f>VLOOKUP(C1167,Products!$A$2:$D$13,2,FALSE)</f>
        <v>Keyboard</v>
      </c>
      <c r="M1167" t="str">
        <f t="shared" si="56"/>
        <v>2026-04</v>
      </c>
    </row>
    <row r="1168" spans="1:13">
      <c r="A1168">
        <v>1167</v>
      </c>
      <c r="B1168">
        <v>1562</v>
      </c>
      <c r="C1168">
        <v>4</v>
      </c>
      <c r="D1168">
        <v>3</v>
      </c>
      <c r="E1168">
        <v>25</v>
      </c>
      <c r="F1168">
        <f t="shared" si="54"/>
        <v>75</v>
      </c>
      <c r="G1168" t="str">
        <f>VLOOKUP(B1168,Orders!$A$2:$D$1201,4,FALSE)</f>
        <v>Delivered</v>
      </c>
      <c r="H1168">
        <f t="shared" si="55"/>
        <v>75</v>
      </c>
      <c r="I1168" s="12">
        <f>VLOOKUP(B1168,Orders!$A$2:$D$1201,3,FALSE)</f>
        <v>46129</v>
      </c>
      <c r="L1168" t="str">
        <f>VLOOKUP(C1168,Products!$A$2:$D$13,2,FALSE)</f>
        <v>Mouse</v>
      </c>
      <c r="M1168" t="str">
        <f t="shared" si="56"/>
        <v>2026-04</v>
      </c>
    </row>
    <row r="1169" spans="1:13">
      <c r="A1169">
        <v>1168</v>
      </c>
      <c r="B1169">
        <v>1563</v>
      </c>
      <c r="C1169">
        <v>1</v>
      </c>
      <c r="D1169">
        <v>1</v>
      </c>
      <c r="E1169">
        <v>750</v>
      </c>
      <c r="F1169">
        <f t="shared" si="54"/>
        <v>750</v>
      </c>
      <c r="G1169" t="str">
        <f>VLOOKUP(B1169,Orders!$A$2:$D$1201,4,FALSE)</f>
        <v>Delivered</v>
      </c>
      <c r="H1169">
        <f t="shared" si="55"/>
        <v>750</v>
      </c>
      <c r="I1169" s="12">
        <f>VLOOKUP(B1169,Orders!$A$2:$D$1201,3,FALSE)</f>
        <v>46100</v>
      </c>
      <c r="L1169" t="str">
        <f>VLOOKUP(C1169,Products!$A$2:$D$13,2,FALSE)</f>
        <v>Laptop</v>
      </c>
      <c r="M1169" t="str">
        <f t="shared" si="56"/>
        <v>2026-03</v>
      </c>
    </row>
    <row r="1170" spans="1:13">
      <c r="A1170">
        <v>1169</v>
      </c>
      <c r="B1170">
        <v>1564</v>
      </c>
      <c r="C1170">
        <v>3</v>
      </c>
      <c r="D1170">
        <v>2</v>
      </c>
      <c r="E1170">
        <v>45</v>
      </c>
      <c r="F1170">
        <f t="shared" si="54"/>
        <v>90</v>
      </c>
      <c r="G1170" t="str">
        <f>VLOOKUP(B1170,Orders!$A$2:$D$1201,4,FALSE)</f>
        <v>Delivered</v>
      </c>
      <c r="H1170">
        <f t="shared" si="55"/>
        <v>90</v>
      </c>
      <c r="I1170" s="12">
        <f>VLOOKUP(B1170,Orders!$A$2:$D$1201,3,FALSE)</f>
        <v>46143</v>
      </c>
      <c r="L1170" t="str">
        <f>VLOOKUP(C1170,Products!$A$2:$D$13,2,FALSE)</f>
        <v>Keyboard</v>
      </c>
      <c r="M1170" t="str">
        <f t="shared" si="56"/>
        <v>2026-05</v>
      </c>
    </row>
    <row r="1171" spans="1:13">
      <c r="A1171">
        <v>1170</v>
      </c>
      <c r="B1171">
        <v>1564</v>
      </c>
      <c r="C1171">
        <v>8</v>
      </c>
      <c r="D1171">
        <v>1</v>
      </c>
      <c r="E1171">
        <v>55</v>
      </c>
      <c r="F1171">
        <f t="shared" si="54"/>
        <v>55</v>
      </c>
      <c r="G1171" t="str">
        <f>VLOOKUP(B1171,Orders!$A$2:$D$1201,4,FALSE)</f>
        <v>Delivered</v>
      </c>
      <c r="H1171">
        <f t="shared" si="55"/>
        <v>55</v>
      </c>
      <c r="I1171" s="12">
        <f>VLOOKUP(B1171,Orders!$A$2:$D$1201,3,FALSE)</f>
        <v>46143</v>
      </c>
      <c r="L1171" t="str">
        <f>VLOOKUP(C1171,Products!$A$2:$D$13,2,FALSE)</f>
        <v>Webcam</v>
      </c>
      <c r="M1171" t="str">
        <f t="shared" si="56"/>
        <v>2026-05</v>
      </c>
    </row>
    <row r="1172" spans="1:13">
      <c r="A1172">
        <v>1171</v>
      </c>
      <c r="B1172">
        <v>1565</v>
      </c>
      <c r="C1172">
        <v>10</v>
      </c>
      <c r="D1172">
        <v>3</v>
      </c>
      <c r="E1172">
        <v>8</v>
      </c>
      <c r="F1172">
        <f t="shared" si="54"/>
        <v>24</v>
      </c>
      <c r="G1172" t="str">
        <f>VLOOKUP(B1172,Orders!$A$2:$D$1201,4,FALSE)</f>
        <v>Delivered</v>
      </c>
      <c r="H1172">
        <f t="shared" si="55"/>
        <v>24</v>
      </c>
      <c r="I1172" s="12">
        <f>VLOOKUP(B1172,Orders!$A$2:$D$1201,3,FALSE)</f>
        <v>46176</v>
      </c>
      <c r="L1172" t="str">
        <f>VLOOKUP(C1172,Products!$A$2:$D$13,2,FALSE)</f>
        <v>Notebook</v>
      </c>
      <c r="M1172" t="str">
        <f t="shared" si="56"/>
        <v>2026-06</v>
      </c>
    </row>
    <row r="1173" spans="1:13">
      <c r="A1173">
        <v>1172</v>
      </c>
      <c r="B1173">
        <v>1565</v>
      </c>
      <c r="C1173">
        <v>7</v>
      </c>
      <c r="D1173">
        <v>4</v>
      </c>
      <c r="E1173">
        <v>65</v>
      </c>
      <c r="F1173">
        <f t="shared" si="54"/>
        <v>260</v>
      </c>
      <c r="G1173" t="str">
        <f>VLOOKUP(B1173,Orders!$A$2:$D$1201,4,FALSE)</f>
        <v>Delivered</v>
      </c>
      <c r="H1173">
        <f t="shared" si="55"/>
        <v>260</v>
      </c>
      <c r="I1173" s="12">
        <f>VLOOKUP(B1173,Orders!$A$2:$D$1201,3,FALSE)</f>
        <v>46176</v>
      </c>
      <c r="L1173" t="str">
        <f>VLOOKUP(C1173,Products!$A$2:$D$13,2,FALSE)</f>
        <v>Headphones</v>
      </c>
      <c r="M1173" t="str">
        <f t="shared" si="56"/>
        <v>2026-06</v>
      </c>
    </row>
    <row r="1174" spans="1:13">
      <c r="A1174">
        <v>1173</v>
      </c>
      <c r="B1174">
        <v>1566</v>
      </c>
      <c r="C1174">
        <v>10</v>
      </c>
      <c r="D1174">
        <v>1</v>
      </c>
      <c r="E1174">
        <v>8</v>
      </c>
      <c r="F1174">
        <f t="shared" si="54"/>
        <v>8</v>
      </c>
      <c r="G1174" t="str">
        <f>VLOOKUP(B1174,Orders!$A$2:$D$1201,4,FALSE)</f>
        <v>Delivered</v>
      </c>
      <c r="H1174">
        <f t="shared" si="55"/>
        <v>8</v>
      </c>
      <c r="I1174" s="12">
        <f>VLOOKUP(B1174,Orders!$A$2:$D$1201,3,FALSE)</f>
        <v>46170</v>
      </c>
      <c r="L1174" t="str">
        <f>VLOOKUP(C1174,Products!$A$2:$D$13,2,FALSE)</f>
        <v>Notebook</v>
      </c>
      <c r="M1174" t="str">
        <f t="shared" si="56"/>
        <v>2026-05</v>
      </c>
    </row>
    <row r="1175" spans="1:13">
      <c r="A1175">
        <v>1174</v>
      </c>
      <c r="B1175">
        <v>1567</v>
      </c>
      <c r="C1175">
        <v>11</v>
      </c>
      <c r="D1175">
        <v>1</v>
      </c>
      <c r="E1175">
        <v>48</v>
      </c>
      <c r="F1175">
        <f t="shared" si="54"/>
        <v>48</v>
      </c>
      <c r="G1175" t="str">
        <f>VLOOKUP(B1175,Orders!$A$2:$D$1201,4,FALSE)</f>
        <v>Delivered</v>
      </c>
      <c r="H1175">
        <f t="shared" si="55"/>
        <v>48</v>
      </c>
      <c r="I1175" s="12">
        <f>VLOOKUP(B1175,Orders!$A$2:$D$1201,3,FALSE)</f>
        <v>46064</v>
      </c>
      <c r="L1175" t="str">
        <f>VLOOKUP(C1175,Products!$A$2:$D$13,2,FALSE)</f>
        <v>Backpack</v>
      </c>
      <c r="M1175" t="str">
        <f t="shared" si="56"/>
        <v>2026-02</v>
      </c>
    </row>
    <row r="1176" spans="1:13">
      <c r="A1176">
        <v>1175</v>
      </c>
      <c r="B1176">
        <v>1567</v>
      </c>
      <c r="C1176">
        <v>6</v>
      </c>
      <c r="D1176">
        <v>3</v>
      </c>
      <c r="E1176">
        <v>140</v>
      </c>
      <c r="F1176">
        <f t="shared" si="54"/>
        <v>420</v>
      </c>
      <c r="G1176" t="str">
        <f>VLOOKUP(B1176,Orders!$A$2:$D$1201,4,FALSE)</f>
        <v>Delivered</v>
      </c>
      <c r="H1176">
        <f t="shared" si="55"/>
        <v>420</v>
      </c>
      <c r="I1176" s="12">
        <f>VLOOKUP(B1176,Orders!$A$2:$D$1201,3,FALSE)</f>
        <v>46064</v>
      </c>
      <c r="L1176" t="str">
        <f>VLOOKUP(C1176,Products!$A$2:$D$13,2,FALSE)</f>
        <v>Chair</v>
      </c>
      <c r="M1176" t="str">
        <f t="shared" si="56"/>
        <v>2026-02</v>
      </c>
    </row>
    <row r="1177" spans="1:13">
      <c r="A1177">
        <v>1176</v>
      </c>
      <c r="B1177">
        <v>1568</v>
      </c>
      <c r="C1177">
        <v>3</v>
      </c>
      <c r="D1177">
        <v>3</v>
      </c>
      <c r="E1177">
        <v>45</v>
      </c>
      <c r="F1177">
        <f t="shared" si="54"/>
        <v>135</v>
      </c>
      <c r="G1177" t="str">
        <f>VLOOKUP(B1177,Orders!$A$2:$D$1201,4,FALSE)</f>
        <v>Delivered</v>
      </c>
      <c r="H1177">
        <f t="shared" si="55"/>
        <v>135</v>
      </c>
      <c r="I1177" s="12">
        <f>VLOOKUP(B1177,Orders!$A$2:$D$1201,3,FALSE)</f>
        <v>46183</v>
      </c>
      <c r="L1177" t="str">
        <f>VLOOKUP(C1177,Products!$A$2:$D$13,2,FALSE)</f>
        <v>Keyboard</v>
      </c>
      <c r="M1177" t="str">
        <f t="shared" si="56"/>
        <v>2026-06</v>
      </c>
    </row>
    <row r="1178" spans="1:13">
      <c r="A1178">
        <v>1177</v>
      </c>
      <c r="B1178">
        <v>1568</v>
      </c>
      <c r="C1178">
        <v>9</v>
      </c>
      <c r="D1178">
        <v>3</v>
      </c>
      <c r="E1178">
        <v>30</v>
      </c>
      <c r="F1178">
        <f t="shared" si="54"/>
        <v>90</v>
      </c>
      <c r="G1178" t="str">
        <f>VLOOKUP(B1178,Orders!$A$2:$D$1201,4,FALSE)</f>
        <v>Delivered</v>
      </c>
      <c r="H1178">
        <f t="shared" si="55"/>
        <v>90</v>
      </c>
      <c r="I1178" s="12">
        <f>VLOOKUP(B1178,Orders!$A$2:$D$1201,3,FALSE)</f>
        <v>46183</v>
      </c>
      <c r="L1178" t="str">
        <f>VLOOKUP(C1178,Products!$A$2:$D$13,2,FALSE)</f>
        <v>Lamp</v>
      </c>
      <c r="M1178" t="str">
        <f t="shared" si="56"/>
        <v>2026-06</v>
      </c>
    </row>
    <row r="1179" spans="1:13">
      <c r="A1179">
        <v>1178</v>
      </c>
      <c r="B1179">
        <v>1568</v>
      </c>
      <c r="C1179">
        <v>6</v>
      </c>
      <c r="D1179">
        <v>3</v>
      </c>
      <c r="E1179">
        <v>140</v>
      </c>
      <c r="F1179">
        <f t="shared" si="54"/>
        <v>420</v>
      </c>
      <c r="G1179" t="str">
        <f>VLOOKUP(B1179,Orders!$A$2:$D$1201,4,FALSE)</f>
        <v>Delivered</v>
      </c>
      <c r="H1179">
        <f t="shared" si="55"/>
        <v>420</v>
      </c>
      <c r="I1179" s="12">
        <f>VLOOKUP(B1179,Orders!$A$2:$D$1201,3,FALSE)</f>
        <v>46183</v>
      </c>
      <c r="L1179" t="str">
        <f>VLOOKUP(C1179,Products!$A$2:$D$13,2,FALSE)</f>
        <v>Chair</v>
      </c>
      <c r="M1179" t="str">
        <f t="shared" si="56"/>
        <v>2026-06</v>
      </c>
    </row>
    <row r="1180" spans="1:13">
      <c r="A1180">
        <v>1179</v>
      </c>
      <c r="B1180">
        <v>1569</v>
      </c>
      <c r="C1180">
        <v>9</v>
      </c>
      <c r="D1180">
        <v>3</v>
      </c>
      <c r="E1180">
        <v>30</v>
      </c>
      <c r="F1180">
        <f t="shared" si="54"/>
        <v>90</v>
      </c>
      <c r="G1180" t="str">
        <f>VLOOKUP(B1180,Orders!$A$2:$D$1201,4,FALSE)</f>
        <v>Delivered</v>
      </c>
      <c r="H1180">
        <f t="shared" si="55"/>
        <v>90</v>
      </c>
      <c r="I1180" s="12">
        <f>VLOOKUP(B1180,Orders!$A$2:$D$1201,3,FALSE)</f>
        <v>46113</v>
      </c>
      <c r="L1180" t="str">
        <f>VLOOKUP(C1180,Products!$A$2:$D$13,2,FALSE)</f>
        <v>Lamp</v>
      </c>
      <c r="M1180" t="str">
        <f t="shared" si="56"/>
        <v>2026-04</v>
      </c>
    </row>
    <row r="1181" spans="1:13">
      <c r="A1181">
        <v>1180</v>
      </c>
      <c r="B1181">
        <v>1570</v>
      </c>
      <c r="C1181">
        <v>4</v>
      </c>
      <c r="D1181">
        <v>1</v>
      </c>
      <c r="E1181">
        <v>25</v>
      </c>
      <c r="F1181">
        <f t="shared" si="54"/>
        <v>25</v>
      </c>
      <c r="G1181" t="str">
        <f>VLOOKUP(B1181,Orders!$A$2:$D$1201,4,FALSE)</f>
        <v>Delivered</v>
      </c>
      <c r="H1181">
        <f t="shared" si="55"/>
        <v>25</v>
      </c>
      <c r="I1181" s="12">
        <f>VLOOKUP(B1181,Orders!$A$2:$D$1201,3,FALSE)</f>
        <v>46049</v>
      </c>
      <c r="L1181" t="str">
        <f>VLOOKUP(C1181,Products!$A$2:$D$13,2,FALSE)</f>
        <v>Mouse</v>
      </c>
      <c r="M1181" t="str">
        <f t="shared" si="56"/>
        <v>2026-01</v>
      </c>
    </row>
    <row r="1182" spans="1:13">
      <c r="A1182">
        <v>1181</v>
      </c>
      <c r="B1182">
        <v>1571</v>
      </c>
      <c r="C1182">
        <v>6</v>
      </c>
      <c r="D1182">
        <v>3</v>
      </c>
      <c r="E1182">
        <v>140</v>
      </c>
      <c r="F1182">
        <f t="shared" si="54"/>
        <v>420</v>
      </c>
      <c r="G1182" t="str">
        <f>VLOOKUP(B1182,Orders!$A$2:$D$1201,4,FALSE)</f>
        <v>Delivered</v>
      </c>
      <c r="H1182">
        <f t="shared" si="55"/>
        <v>420</v>
      </c>
      <c r="I1182" s="12">
        <f>VLOOKUP(B1182,Orders!$A$2:$D$1201,3,FALSE)</f>
        <v>46027</v>
      </c>
      <c r="L1182" t="str">
        <f>VLOOKUP(C1182,Products!$A$2:$D$13,2,FALSE)</f>
        <v>Chair</v>
      </c>
      <c r="M1182" t="str">
        <f t="shared" si="56"/>
        <v>2026-01</v>
      </c>
    </row>
    <row r="1183" spans="1:13">
      <c r="A1183">
        <v>1182</v>
      </c>
      <c r="B1183">
        <v>1571</v>
      </c>
      <c r="C1183">
        <v>3</v>
      </c>
      <c r="D1183">
        <v>2</v>
      </c>
      <c r="E1183">
        <v>45</v>
      </c>
      <c r="F1183">
        <f t="shared" si="54"/>
        <v>90</v>
      </c>
      <c r="G1183" t="str">
        <f>VLOOKUP(B1183,Orders!$A$2:$D$1201,4,FALSE)</f>
        <v>Delivered</v>
      </c>
      <c r="H1183">
        <f t="shared" si="55"/>
        <v>90</v>
      </c>
      <c r="I1183" s="12">
        <f>VLOOKUP(B1183,Orders!$A$2:$D$1201,3,FALSE)</f>
        <v>46027</v>
      </c>
      <c r="L1183" t="str">
        <f>VLOOKUP(C1183,Products!$A$2:$D$13,2,FALSE)</f>
        <v>Keyboard</v>
      </c>
      <c r="M1183" t="str">
        <f t="shared" si="56"/>
        <v>2026-01</v>
      </c>
    </row>
    <row r="1184" spans="1:13">
      <c r="A1184">
        <v>1183</v>
      </c>
      <c r="B1184">
        <v>1571</v>
      </c>
      <c r="C1184">
        <v>8</v>
      </c>
      <c r="D1184">
        <v>3</v>
      </c>
      <c r="E1184">
        <v>55</v>
      </c>
      <c r="F1184">
        <f t="shared" si="54"/>
        <v>165</v>
      </c>
      <c r="G1184" t="str">
        <f>VLOOKUP(B1184,Orders!$A$2:$D$1201,4,FALSE)</f>
        <v>Delivered</v>
      </c>
      <c r="H1184">
        <f t="shared" si="55"/>
        <v>165</v>
      </c>
      <c r="I1184" s="12">
        <f>VLOOKUP(B1184,Orders!$A$2:$D$1201,3,FALSE)</f>
        <v>46027</v>
      </c>
      <c r="L1184" t="str">
        <f>VLOOKUP(C1184,Products!$A$2:$D$13,2,FALSE)</f>
        <v>Webcam</v>
      </c>
      <c r="M1184" t="str">
        <f t="shared" si="56"/>
        <v>2026-01</v>
      </c>
    </row>
    <row r="1185" spans="1:13">
      <c r="A1185">
        <v>1184</v>
      </c>
      <c r="B1185">
        <v>1572</v>
      </c>
      <c r="C1185">
        <v>4</v>
      </c>
      <c r="D1185">
        <v>2</v>
      </c>
      <c r="E1185">
        <v>25</v>
      </c>
      <c r="F1185">
        <f t="shared" si="54"/>
        <v>50</v>
      </c>
      <c r="G1185" t="str">
        <f>VLOOKUP(B1185,Orders!$A$2:$D$1201,4,FALSE)</f>
        <v>Delivered</v>
      </c>
      <c r="H1185">
        <f t="shared" si="55"/>
        <v>50</v>
      </c>
      <c r="I1185" s="12">
        <f>VLOOKUP(B1185,Orders!$A$2:$D$1201,3,FALSE)</f>
        <v>46059</v>
      </c>
      <c r="L1185" t="str">
        <f>VLOOKUP(C1185,Products!$A$2:$D$13,2,FALSE)</f>
        <v>Mouse</v>
      </c>
      <c r="M1185" t="str">
        <f t="shared" si="56"/>
        <v>2026-02</v>
      </c>
    </row>
    <row r="1186" spans="1:13">
      <c r="A1186">
        <v>1185</v>
      </c>
      <c r="B1186">
        <v>1573</v>
      </c>
      <c r="C1186">
        <v>1</v>
      </c>
      <c r="D1186">
        <v>1</v>
      </c>
      <c r="E1186">
        <v>750</v>
      </c>
      <c r="F1186">
        <f t="shared" si="54"/>
        <v>750</v>
      </c>
      <c r="G1186" t="str">
        <f>VLOOKUP(B1186,Orders!$A$2:$D$1201,4,FALSE)</f>
        <v>Delivered</v>
      </c>
      <c r="H1186">
        <f t="shared" si="55"/>
        <v>750</v>
      </c>
      <c r="I1186" s="12">
        <f>VLOOKUP(B1186,Orders!$A$2:$D$1201,3,FALSE)</f>
        <v>46042</v>
      </c>
      <c r="L1186" t="str">
        <f>VLOOKUP(C1186,Products!$A$2:$D$13,2,FALSE)</f>
        <v>Laptop</v>
      </c>
      <c r="M1186" t="str">
        <f t="shared" si="56"/>
        <v>2026-01</v>
      </c>
    </row>
    <row r="1187" spans="1:13">
      <c r="A1187">
        <v>1186</v>
      </c>
      <c r="B1187">
        <v>1573</v>
      </c>
      <c r="C1187">
        <v>4</v>
      </c>
      <c r="D1187">
        <v>1</v>
      </c>
      <c r="E1187">
        <v>25</v>
      </c>
      <c r="F1187">
        <f t="shared" si="54"/>
        <v>25</v>
      </c>
      <c r="G1187" t="str">
        <f>VLOOKUP(B1187,Orders!$A$2:$D$1201,4,FALSE)</f>
        <v>Delivered</v>
      </c>
      <c r="H1187">
        <f t="shared" si="55"/>
        <v>25</v>
      </c>
      <c r="I1187" s="12">
        <f>VLOOKUP(B1187,Orders!$A$2:$D$1201,3,FALSE)</f>
        <v>46042</v>
      </c>
      <c r="L1187" t="str">
        <f>VLOOKUP(C1187,Products!$A$2:$D$13,2,FALSE)</f>
        <v>Mouse</v>
      </c>
      <c r="M1187" t="str">
        <f t="shared" si="56"/>
        <v>2026-01</v>
      </c>
    </row>
    <row r="1188" spans="1:13">
      <c r="A1188">
        <v>1187</v>
      </c>
      <c r="B1188">
        <v>1574</v>
      </c>
      <c r="C1188">
        <v>1</v>
      </c>
      <c r="D1188">
        <v>2</v>
      </c>
      <c r="E1188">
        <v>750</v>
      </c>
      <c r="F1188">
        <f t="shared" si="54"/>
        <v>1500</v>
      </c>
      <c r="G1188" t="str">
        <f>VLOOKUP(B1188,Orders!$A$2:$D$1201,4,FALSE)</f>
        <v>Delivered</v>
      </c>
      <c r="H1188">
        <f t="shared" si="55"/>
        <v>1500</v>
      </c>
      <c r="I1188" s="12">
        <f>VLOOKUP(B1188,Orders!$A$2:$D$1201,3,FALSE)</f>
        <v>46087</v>
      </c>
      <c r="L1188" t="str">
        <f>VLOOKUP(C1188,Products!$A$2:$D$13,2,FALSE)</f>
        <v>Laptop</v>
      </c>
      <c r="M1188" t="str">
        <f t="shared" si="56"/>
        <v>2026-03</v>
      </c>
    </row>
    <row r="1189" spans="1:13">
      <c r="A1189">
        <v>1188</v>
      </c>
      <c r="B1189">
        <v>1574</v>
      </c>
      <c r="C1189">
        <v>2</v>
      </c>
      <c r="D1189">
        <v>2</v>
      </c>
      <c r="E1189">
        <v>220</v>
      </c>
      <c r="F1189">
        <f t="shared" si="54"/>
        <v>440</v>
      </c>
      <c r="G1189" t="str">
        <f>VLOOKUP(B1189,Orders!$A$2:$D$1201,4,FALSE)</f>
        <v>Delivered</v>
      </c>
      <c r="H1189">
        <f t="shared" si="55"/>
        <v>440</v>
      </c>
      <c r="I1189" s="12">
        <f>VLOOKUP(B1189,Orders!$A$2:$D$1201,3,FALSE)</f>
        <v>46087</v>
      </c>
      <c r="L1189" t="str">
        <f>VLOOKUP(C1189,Products!$A$2:$D$13,2,FALSE)</f>
        <v>Monitor</v>
      </c>
      <c r="M1189" t="str">
        <f t="shared" si="56"/>
        <v>2026-03</v>
      </c>
    </row>
    <row r="1190" spans="1:13">
      <c r="A1190">
        <v>1189</v>
      </c>
      <c r="B1190">
        <v>1574</v>
      </c>
      <c r="C1190">
        <v>11</v>
      </c>
      <c r="D1190">
        <v>2</v>
      </c>
      <c r="E1190">
        <v>48</v>
      </c>
      <c r="F1190">
        <f t="shared" si="54"/>
        <v>96</v>
      </c>
      <c r="G1190" t="str">
        <f>VLOOKUP(B1190,Orders!$A$2:$D$1201,4,FALSE)</f>
        <v>Delivered</v>
      </c>
      <c r="H1190">
        <f t="shared" si="55"/>
        <v>96</v>
      </c>
      <c r="I1190" s="12">
        <f>VLOOKUP(B1190,Orders!$A$2:$D$1201,3,FALSE)</f>
        <v>46087</v>
      </c>
      <c r="L1190" t="str">
        <f>VLOOKUP(C1190,Products!$A$2:$D$13,2,FALSE)</f>
        <v>Backpack</v>
      </c>
      <c r="M1190" t="str">
        <f t="shared" si="56"/>
        <v>2026-03</v>
      </c>
    </row>
    <row r="1191" spans="1:13">
      <c r="A1191">
        <v>1190</v>
      </c>
      <c r="B1191">
        <v>1575</v>
      </c>
      <c r="C1191">
        <v>3</v>
      </c>
      <c r="D1191">
        <v>2</v>
      </c>
      <c r="E1191">
        <v>45</v>
      </c>
      <c r="F1191">
        <f t="shared" si="54"/>
        <v>90</v>
      </c>
      <c r="G1191" t="str">
        <f>VLOOKUP(B1191,Orders!$A$2:$D$1201,4,FALSE)</f>
        <v>Shipped</v>
      </c>
      <c r="H1191">
        <f t="shared" si="55"/>
        <v>90</v>
      </c>
      <c r="I1191" s="12">
        <f>VLOOKUP(B1191,Orders!$A$2:$D$1201,3,FALSE)</f>
        <v>46094</v>
      </c>
      <c r="L1191" t="str">
        <f>VLOOKUP(C1191,Products!$A$2:$D$13,2,FALSE)</f>
        <v>Keyboard</v>
      </c>
      <c r="M1191" t="str">
        <f t="shared" si="56"/>
        <v>2026-03</v>
      </c>
    </row>
    <row r="1192" spans="1:13">
      <c r="A1192">
        <v>1191</v>
      </c>
      <c r="B1192">
        <v>1575</v>
      </c>
      <c r="C1192">
        <v>9</v>
      </c>
      <c r="D1192">
        <v>1</v>
      </c>
      <c r="E1192">
        <v>30</v>
      </c>
      <c r="F1192">
        <f t="shared" si="54"/>
        <v>30</v>
      </c>
      <c r="G1192" t="str">
        <f>VLOOKUP(B1192,Orders!$A$2:$D$1201,4,FALSE)</f>
        <v>Shipped</v>
      </c>
      <c r="H1192">
        <f t="shared" si="55"/>
        <v>30</v>
      </c>
      <c r="I1192" s="12">
        <f>VLOOKUP(B1192,Orders!$A$2:$D$1201,3,FALSE)</f>
        <v>46094</v>
      </c>
      <c r="L1192" t="str">
        <f>VLOOKUP(C1192,Products!$A$2:$D$13,2,FALSE)</f>
        <v>Lamp</v>
      </c>
      <c r="M1192" t="str">
        <f t="shared" si="56"/>
        <v>2026-03</v>
      </c>
    </row>
    <row r="1193" spans="1:13">
      <c r="A1193">
        <v>1192</v>
      </c>
      <c r="B1193">
        <v>1576</v>
      </c>
      <c r="C1193">
        <v>3</v>
      </c>
      <c r="D1193">
        <v>1</v>
      </c>
      <c r="E1193">
        <v>45</v>
      </c>
      <c r="F1193">
        <f t="shared" si="54"/>
        <v>45</v>
      </c>
      <c r="G1193" t="str">
        <f>VLOOKUP(B1193,Orders!$A$2:$D$1201,4,FALSE)</f>
        <v>Delivered</v>
      </c>
      <c r="H1193">
        <f t="shared" si="55"/>
        <v>45</v>
      </c>
      <c r="I1193" s="12">
        <f>VLOOKUP(B1193,Orders!$A$2:$D$1201,3,FALSE)</f>
        <v>46026</v>
      </c>
      <c r="L1193" t="str">
        <f>VLOOKUP(C1193,Products!$A$2:$D$13,2,FALSE)</f>
        <v>Keyboard</v>
      </c>
      <c r="M1193" t="str">
        <f t="shared" si="56"/>
        <v>2026-01</v>
      </c>
    </row>
    <row r="1194" spans="1:13">
      <c r="A1194">
        <v>1193</v>
      </c>
      <c r="B1194">
        <v>1576</v>
      </c>
      <c r="C1194">
        <v>9</v>
      </c>
      <c r="D1194">
        <v>1</v>
      </c>
      <c r="E1194">
        <v>30</v>
      </c>
      <c r="F1194">
        <f t="shared" si="54"/>
        <v>30</v>
      </c>
      <c r="G1194" t="str">
        <f>VLOOKUP(B1194,Orders!$A$2:$D$1201,4,FALSE)</f>
        <v>Delivered</v>
      </c>
      <c r="H1194">
        <f t="shared" si="55"/>
        <v>30</v>
      </c>
      <c r="I1194" s="12">
        <f>VLOOKUP(B1194,Orders!$A$2:$D$1201,3,FALSE)</f>
        <v>46026</v>
      </c>
      <c r="L1194" t="str">
        <f>VLOOKUP(C1194,Products!$A$2:$D$13,2,FALSE)</f>
        <v>Lamp</v>
      </c>
      <c r="M1194" t="str">
        <f t="shared" si="56"/>
        <v>2026-01</v>
      </c>
    </row>
    <row r="1195" spans="1:13">
      <c r="A1195">
        <v>1194</v>
      </c>
      <c r="B1195">
        <v>1577</v>
      </c>
      <c r="C1195">
        <v>11</v>
      </c>
      <c r="D1195">
        <v>2</v>
      </c>
      <c r="E1195">
        <v>48</v>
      </c>
      <c r="F1195">
        <f t="shared" si="54"/>
        <v>96</v>
      </c>
      <c r="G1195" t="str">
        <f>VLOOKUP(B1195,Orders!$A$2:$D$1201,4,FALSE)</f>
        <v>Delivered</v>
      </c>
      <c r="H1195">
        <f t="shared" si="55"/>
        <v>96</v>
      </c>
      <c r="I1195" s="12">
        <f>VLOOKUP(B1195,Orders!$A$2:$D$1201,3,FALSE)</f>
        <v>46116</v>
      </c>
      <c r="L1195" t="str">
        <f>VLOOKUP(C1195,Products!$A$2:$D$13,2,FALSE)</f>
        <v>Backpack</v>
      </c>
      <c r="M1195" t="str">
        <f t="shared" si="56"/>
        <v>2026-04</v>
      </c>
    </row>
    <row r="1196" spans="1:13">
      <c r="A1196">
        <v>1195</v>
      </c>
      <c r="B1196">
        <v>1577</v>
      </c>
      <c r="C1196">
        <v>2</v>
      </c>
      <c r="D1196">
        <v>3</v>
      </c>
      <c r="E1196">
        <v>220</v>
      </c>
      <c r="F1196">
        <f t="shared" si="54"/>
        <v>660</v>
      </c>
      <c r="G1196" t="str">
        <f>VLOOKUP(B1196,Orders!$A$2:$D$1201,4,FALSE)</f>
        <v>Delivered</v>
      </c>
      <c r="H1196">
        <f t="shared" si="55"/>
        <v>660</v>
      </c>
      <c r="I1196" s="12">
        <f>VLOOKUP(B1196,Orders!$A$2:$D$1201,3,FALSE)</f>
        <v>46116</v>
      </c>
      <c r="L1196" t="str">
        <f>VLOOKUP(C1196,Products!$A$2:$D$13,2,FALSE)</f>
        <v>Monitor</v>
      </c>
      <c r="M1196" t="str">
        <f t="shared" si="56"/>
        <v>2026-04</v>
      </c>
    </row>
    <row r="1197" spans="1:13">
      <c r="A1197">
        <v>1196</v>
      </c>
      <c r="B1197">
        <v>1578</v>
      </c>
      <c r="C1197">
        <v>8</v>
      </c>
      <c r="D1197">
        <v>1</v>
      </c>
      <c r="E1197">
        <v>55</v>
      </c>
      <c r="F1197">
        <f t="shared" si="54"/>
        <v>55</v>
      </c>
      <c r="G1197" t="str">
        <f>VLOOKUP(B1197,Orders!$A$2:$D$1201,4,FALSE)</f>
        <v>Delivered</v>
      </c>
      <c r="H1197">
        <f t="shared" si="55"/>
        <v>55</v>
      </c>
      <c r="I1197" s="12">
        <f>VLOOKUP(B1197,Orders!$A$2:$D$1201,3,FALSE)</f>
        <v>46051</v>
      </c>
      <c r="L1197" t="str">
        <f>VLOOKUP(C1197,Products!$A$2:$D$13,2,FALSE)</f>
        <v>Webcam</v>
      </c>
      <c r="M1197" t="str">
        <f t="shared" si="56"/>
        <v>2026-01</v>
      </c>
    </row>
    <row r="1198" spans="1:13">
      <c r="A1198">
        <v>1197</v>
      </c>
      <c r="B1198">
        <v>1579</v>
      </c>
      <c r="C1198">
        <v>8</v>
      </c>
      <c r="D1198">
        <v>4</v>
      </c>
      <c r="E1198">
        <v>55</v>
      </c>
      <c r="F1198">
        <f t="shared" si="54"/>
        <v>220</v>
      </c>
      <c r="G1198" t="str">
        <f>VLOOKUP(B1198,Orders!$A$2:$D$1201,4,FALSE)</f>
        <v>Delivered</v>
      </c>
      <c r="H1198">
        <f t="shared" si="55"/>
        <v>220</v>
      </c>
      <c r="I1198" s="12">
        <f>VLOOKUP(B1198,Orders!$A$2:$D$1201,3,FALSE)</f>
        <v>46165</v>
      </c>
      <c r="L1198" t="str">
        <f>VLOOKUP(C1198,Products!$A$2:$D$13,2,FALSE)</f>
        <v>Webcam</v>
      </c>
      <c r="M1198" t="str">
        <f t="shared" si="56"/>
        <v>2026-05</v>
      </c>
    </row>
    <row r="1199" spans="1:13">
      <c r="A1199">
        <v>1198</v>
      </c>
      <c r="B1199">
        <v>1579</v>
      </c>
      <c r="C1199">
        <v>2</v>
      </c>
      <c r="D1199">
        <v>3</v>
      </c>
      <c r="E1199">
        <v>220</v>
      </c>
      <c r="F1199">
        <f t="shared" si="54"/>
        <v>660</v>
      </c>
      <c r="G1199" t="str">
        <f>VLOOKUP(B1199,Orders!$A$2:$D$1201,4,FALSE)</f>
        <v>Delivered</v>
      </c>
      <c r="H1199">
        <f t="shared" si="55"/>
        <v>660</v>
      </c>
      <c r="I1199" s="12">
        <f>VLOOKUP(B1199,Orders!$A$2:$D$1201,3,FALSE)</f>
        <v>46165</v>
      </c>
      <c r="L1199" t="str">
        <f>VLOOKUP(C1199,Products!$A$2:$D$13,2,FALSE)</f>
        <v>Monitor</v>
      </c>
      <c r="M1199" t="str">
        <f t="shared" si="56"/>
        <v>2026-05</v>
      </c>
    </row>
    <row r="1200" spans="1:13">
      <c r="A1200">
        <v>1199</v>
      </c>
      <c r="B1200">
        <v>1580</v>
      </c>
      <c r="C1200">
        <v>4</v>
      </c>
      <c r="D1200">
        <v>4</v>
      </c>
      <c r="E1200">
        <v>25</v>
      </c>
      <c r="F1200">
        <f t="shared" si="54"/>
        <v>100</v>
      </c>
      <c r="G1200" t="str">
        <f>VLOOKUP(B1200,Orders!$A$2:$D$1201,4,FALSE)</f>
        <v>Delivered</v>
      </c>
      <c r="H1200">
        <f t="shared" si="55"/>
        <v>100</v>
      </c>
      <c r="I1200" s="12">
        <f>VLOOKUP(B1200,Orders!$A$2:$D$1201,3,FALSE)</f>
        <v>46080</v>
      </c>
      <c r="L1200" t="str">
        <f>VLOOKUP(C1200,Products!$A$2:$D$13,2,FALSE)</f>
        <v>Mouse</v>
      </c>
      <c r="M1200" t="str">
        <f t="shared" si="56"/>
        <v>2026-02</v>
      </c>
    </row>
    <row r="1201" spans="1:13">
      <c r="A1201">
        <v>1200</v>
      </c>
      <c r="B1201">
        <v>1580</v>
      </c>
      <c r="C1201">
        <v>2</v>
      </c>
      <c r="D1201">
        <v>3</v>
      </c>
      <c r="E1201">
        <v>220</v>
      </c>
      <c r="F1201">
        <f t="shared" si="54"/>
        <v>660</v>
      </c>
      <c r="G1201" t="str">
        <f>VLOOKUP(B1201,Orders!$A$2:$D$1201,4,FALSE)</f>
        <v>Delivered</v>
      </c>
      <c r="H1201">
        <f t="shared" si="55"/>
        <v>660</v>
      </c>
      <c r="I1201" s="12">
        <f>VLOOKUP(B1201,Orders!$A$2:$D$1201,3,FALSE)</f>
        <v>46080</v>
      </c>
      <c r="L1201" t="str">
        <f>VLOOKUP(C1201,Products!$A$2:$D$13,2,FALSE)</f>
        <v>Monitor</v>
      </c>
      <c r="M1201" t="str">
        <f t="shared" si="56"/>
        <v>2026-02</v>
      </c>
    </row>
    <row r="1202" spans="1:13">
      <c r="A1202">
        <v>1201</v>
      </c>
      <c r="B1202">
        <v>1581</v>
      </c>
      <c r="C1202">
        <v>3</v>
      </c>
      <c r="D1202">
        <v>4</v>
      </c>
      <c r="E1202">
        <v>45</v>
      </c>
      <c r="F1202">
        <f t="shared" si="54"/>
        <v>180</v>
      </c>
      <c r="G1202" t="str">
        <f>VLOOKUP(B1202,Orders!$A$2:$D$1201,4,FALSE)</f>
        <v>Delivered</v>
      </c>
      <c r="H1202">
        <f t="shared" si="55"/>
        <v>180</v>
      </c>
      <c r="I1202" s="12">
        <f>VLOOKUP(B1202,Orders!$A$2:$D$1201,3,FALSE)</f>
        <v>46124</v>
      </c>
      <c r="L1202" t="str">
        <f>VLOOKUP(C1202,Products!$A$2:$D$13,2,FALSE)</f>
        <v>Keyboard</v>
      </c>
      <c r="M1202" t="str">
        <f t="shared" si="56"/>
        <v>2026-04</v>
      </c>
    </row>
    <row r="1203" spans="1:13">
      <c r="A1203">
        <v>1202</v>
      </c>
      <c r="B1203">
        <v>1582</v>
      </c>
      <c r="C1203">
        <v>4</v>
      </c>
      <c r="D1203">
        <v>4</v>
      </c>
      <c r="E1203">
        <v>25</v>
      </c>
      <c r="F1203">
        <f t="shared" si="54"/>
        <v>100</v>
      </c>
      <c r="G1203" t="str">
        <f>VLOOKUP(B1203,Orders!$A$2:$D$1201,4,FALSE)</f>
        <v>Delivered</v>
      </c>
      <c r="H1203">
        <f t="shared" si="55"/>
        <v>100</v>
      </c>
      <c r="I1203" s="12">
        <f>VLOOKUP(B1203,Orders!$A$2:$D$1201,3,FALSE)</f>
        <v>46039</v>
      </c>
      <c r="L1203" t="str">
        <f>VLOOKUP(C1203,Products!$A$2:$D$13,2,FALSE)</f>
        <v>Mouse</v>
      </c>
      <c r="M1203" t="str">
        <f t="shared" si="56"/>
        <v>2026-01</v>
      </c>
    </row>
    <row r="1204" spans="1:13">
      <c r="A1204">
        <v>1203</v>
      </c>
      <c r="B1204">
        <v>1582</v>
      </c>
      <c r="C1204">
        <v>10</v>
      </c>
      <c r="D1204">
        <v>1</v>
      </c>
      <c r="E1204">
        <v>8</v>
      </c>
      <c r="F1204">
        <f t="shared" si="54"/>
        <v>8</v>
      </c>
      <c r="G1204" t="str">
        <f>VLOOKUP(B1204,Orders!$A$2:$D$1201,4,FALSE)</f>
        <v>Delivered</v>
      </c>
      <c r="H1204">
        <f t="shared" si="55"/>
        <v>8</v>
      </c>
      <c r="I1204" s="12">
        <f>VLOOKUP(B1204,Orders!$A$2:$D$1201,3,FALSE)</f>
        <v>46039</v>
      </c>
      <c r="L1204" t="str">
        <f>VLOOKUP(C1204,Products!$A$2:$D$13,2,FALSE)</f>
        <v>Notebook</v>
      </c>
      <c r="M1204" t="str">
        <f t="shared" si="56"/>
        <v>2026-01</v>
      </c>
    </row>
    <row r="1205" spans="1:13">
      <c r="A1205">
        <v>1204</v>
      </c>
      <c r="B1205">
        <v>1583</v>
      </c>
      <c r="C1205">
        <v>8</v>
      </c>
      <c r="D1205">
        <v>4</v>
      </c>
      <c r="E1205">
        <v>55</v>
      </c>
      <c r="F1205">
        <f t="shared" si="54"/>
        <v>220</v>
      </c>
      <c r="G1205" t="str">
        <f>VLOOKUP(B1205,Orders!$A$2:$D$1201,4,FALSE)</f>
        <v>Delivered</v>
      </c>
      <c r="H1205">
        <f t="shared" si="55"/>
        <v>220</v>
      </c>
      <c r="I1205" s="12">
        <f>VLOOKUP(B1205,Orders!$A$2:$D$1201,3,FALSE)</f>
        <v>46171</v>
      </c>
      <c r="L1205" t="str">
        <f>VLOOKUP(C1205,Products!$A$2:$D$13,2,FALSE)</f>
        <v>Webcam</v>
      </c>
      <c r="M1205" t="str">
        <f t="shared" si="56"/>
        <v>2026-05</v>
      </c>
    </row>
    <row r="1206" spans="1:13">
      <c r="A1206">
        <v>1205</v>
      </c>
      <c r="B1206">
        <v>1583</v>
      </c>
      <c r="C1206">
        <v>11</v>
      </c>
      <c r="D1206">
        <v>4</v>
      </c>
      <c r="E1206">
        <v>48</v>
      </c>
      <c r="F1206">
        <f t="shared" si="54"/>
        <v>192</v>
      </c>
      <c r="G1206" t="str">
        <f>VLOOKUP(B1206,Orders!$A$2:$D$1201,4,FALSE)</f>
        <v>Delivered</v>
      </c>
      <c r="H1206">
        <f t="shared" si="55"/>
        <v>192</v>
      </c>
      <c r="I1206" s="12">
        <f>VLOOKUP(B1206,Orders!$A$2:$D$1201,3,FALSE)</f>
        <v>46171</v>
      </c>
      <c r="L1206" t="str">
        <f>VLOOKUP(C1206,Products!$A$2:$D$13,2,FALSE)</f>
        <v>Backpack</v>
      </c>
      <c r="M1206" t="str">
        <f t="shared" si="56"/>
        <v>2026-05</v>
      </c>
    </row>
    <row r="1207" spans="1:13">
      <c r="A1207">
        <v>1206</v>
      </c>
      <c r="B1207">
        <v>1584</v>
      </c>
      <c r="C1207">
        <v>3</v>
      </c>
      <c r="D1207">
        <v>1</v>
      </c>
      <c r="E1207">
        <v>45</v>
      </c>
      <c r="F1207">
        <f t="shared" si="54"/>
        <v>45</v>
      </c>
      <c r="G1207" t="str">
        <f>VLOOKUP(B1207,Orders!$A$2:$D$1201,4,FALSE)</f>
        <v>Delivered</v>
      </c>
      <c r="H1207">
        <f t="shared" si="55"/>
        <v>45</v>
      </c>
      <c r="I1207" s="12">
        <f>VLOOKUP(B1207,Orders!$A$2:$D$1201,3,FALSE)</f>
        <v>46087</v>
      </c>
      <c r="L1207" t="str">
        <f>VLOOKUP(C1207,Products!$A$2:$D$13,2,FALSE)</f>
        <v>Keyboard</v>
      </c>
      <c r="M1207" t="str">
        <f t="shared" si="56"/>
        <v>2026-03</v>
      </c>
    </row>
    <row r="1208" spans="1:13">
      <c r="A1208">
        <v>1207</v>
      </c>
      <c r="B1208">
        <v>1584</v>
      </c>
      <c r="C1208">
        <v>1</v>
      </c>
      <c r="D1208">
        <v>1</v>
      </c>
      <c r="E1208">
        <v>750</v>
      </c>
      <c r="F1208">
        <f t="shared" si="54"/>
        <v>750</v>
      </c>
      <c r="G1208" t="str">
        <f>VLOOKUP(B1208,Orders!$A$2:$D$1201,4,FALSE)</f>
        <v>Delivered</v>
      </c>
      <c r="H1208">
        <f t="shared" si="55"/>
        <v>750</v>
      </c>
      <c r="I1208" s="12">
        <f>VLOOKUP(B1208,Orders!$A$2:$D$1201,3,FALSE)</f>
        <v>46087</v>
      </c>
      <c r="L1208" t="str">
        <f>VLOOKUP(C1208,Products!$A$2:$D$13,2,FALSE)</f>
        <v>Laptop</v>
      </c>
      <c r="M1208" t="str">
        <f t="shared" si="56"/>
        <v>2026-03</v>
      </c>
    </row>
    <row r="1209" spans="1:13">
      <c r="A1209">
        <v>1208</v>
      </c>
      <c r="B1209">
        <v>1584</v>
      </c>
      <c r="C1209">
        <v>2</v>
      </c>
      <c r="D1209">
        <v>4</v>
      </c>
      <c r="E1209">
        <v>220</v>
      </c>
      <c r="F1209">
        <f t="shared" si="54"/>
        <v>880</v>
      </c>
      <c r="G1209" t="str">
        <f>VLOOKUP(B1209,Orders!$A$2:$D$1201,4,FALSE)</f>
        <v>Delivered</v>
      </c>
      <c r="H1209">
        <f t="shared" si="55"/>
        <v>880</v>
      </c>
      <c r="I1209" s="12">
        <f>VLOOKUP(B1209,Orders!$A$2:$D$1201,3,FALSE)</f>
        <v>46087</v>
      </c>
      <c r="L1209" t="str">
        <f>VLOOKUP(C1209,Products!$A$2:$D$13,2,FALSE)</f>
        <v>Monitor</v>
      </c>
      <c r="M1209" t="str">
        <f t="shared" si="56"/>
        <v>2026-03</v>
      </c>
    </row>
    <row r="1210" spans="1:13">
      <c r="A1210">
        <v>1209</v>
      </c>
      <c r="B1210">
        <v>1585</v>
      </c>
      <c r="C1210">
        <v>11</v>
      </c>
      <c r="D1210">
        <v>4</v>
      </c>
      <c r="E1210">
        <v>48</v>
      </c>
      <c r="F1210">
        <f t="shared" si="54"/>
        <v>192</v>
      </c>
      <c r="G1210" t="str">
        <f>VLOOKUP(B1210,Orders!$A$2:$D$1201,4,FALSE)</f>
        <v>Delivered</v>
      </c>
      <c r="H1210">
        <f t="shared" si="55"/>
        <v>192</v>
      </c>
      <c r="I1210" s="12">
        <f>VLOOKUP(B1210,Orders!$A$2:$D$1201,3,FALSE)</f>
        <v>46106</v>
      </c>
      <c r="L1210" t="str">
        <f>VLOOKUP(C1210,Products!$A$2:$D$13,2,FALSE)</f>
        <v>Backpack</v>
      </c>
      <c r="M1210" t="str">
        <f t="shared" si="56"/>
        <v>2026-03</v>
      </c>
    </row>
    <row r="1211" spans="1:13">
      <c r="A1211">
        <v>1210</v>
      </c>
      <c r="B1211">
        <v>1586</v>
      </c>
      <c r="C1211">
        <v>9</v>
      </c>
      <c r="D1211">
        <v>4</v>
      </c>
      <c r="E1211">
        <v>30</v>
      </c>
      <c r="F1211">
        <f t="shared" si="54"/>
        <v>120</v>
      </c>
      <c r="G1211" t="str">
        <f>VLOOKUP(B1211,Orders!$A$2:$D$1201,4,FALSE)</f>
        <v>Delivered</v>
      </c>
      <c r="H1211">
        <f t="shared" si="55"/>
        <v>120</v>
      </c>
      <c r="I1211" s="12">
        <f>VLOOKUP(B1211,Orders!$A$2:$D$1201,3,FALSE)</f>
        <v>46152</v>
      </c>
      <c r="L1211" t="str">
        <f>VLOOKUP(C1211,Products!$A$2:$D$13,2,FALSE)</f>
        <v>Lamp</v>
      </c>
      <c r="M1211" t="str">
        <f t="shared" si="56"/>
        <v>2026-05</v>
      </c>
    </row>
    <row r="1212" spans="1:13">
      <c r="A1212">
        <v>1211</v>
      </c>
      <c r="B1212">
        <v>1586</v>
      </c>
      <c r="C1212">
        <v>1</v>
      </c>
      <c r="D1212">
        <v>1</v>
      </c>
      <c r="E1212">
        <v>750</v>
      </c>
      <c r="F1212">
        <f t="shared" si="54"/>
        <v>750</v>
      </c>
      <c r="G1212" t="str">
        <f>VLOOKUP(B1212,Orders!$A$2:$D$1201,4,FALSE)</f>
        <v>Delivered</v>
      </c>
      <c r="H1212">
        <f t="shared" si="55"/>
        <v>750</v>
      </c>
      <c r="I1212" s="12">
        <f>VLOOKUP(B1212,Orders!$A$2:$D$1201,3,FALSE)</f>
        <v>46152</v>
      </c>
      <c r="L1212" t="str">
        <f>VLOOKUP(C1212,Products!$A$2:$D$13,2,FALSE)</f>
        <v>Laptop</v>
      </c>
      <c r="M1212" t="str">
        <f t="shared" si="56"/>
        <v>2026-05</v>
      </c>
    </row>
    <row r="1213" spans="1:13">
      <c r="A1213">
        <v>1212</v>
      </c>
      <c r="B1213">
        <v>1586</v>
      </c>
      <c r="C1213">
        <v>11</v>
      </c>
      <c r="D1213">
        <v>4</v>
      </c>
      <c r="E1213">
        <v>48</v>
      </c>
      <c r="F1213">
        <f t="shared" si="54"/>
        <v>192</v>
      </c>
      <c r="G1213" t="str">
        <f>VLOOKUP(B1213,Orders!$A$2:$D$1201,4,FALSE)</f>
        <v>Delivered</v>
      </c>
      <c r="H1213">
        <f t="shared" si="55"/>
        <v>192</v>
      </c>
      <c r="I1213" s="12">
        <f>VLOOKUP(B1213,Orders!$A$2:$D$1201,3,FALSE)</f>
        <v>46152</v>
      </c>
      <c r="L1213" t="str">
        <f>VLOOKUP(C1213,Products!$A$2:$D$13,2,FALSE)</f>
        <v>Backpack</v>
      </c>
      <c r="M1213" t="str">
        <f t="shared" si="56"/>
        <v>2026-05</v>
      </c>
    </row>
    <row r="1214" spans="1:13">
      <c r="A1214">
        <v>1213</v>
      </c>
      <c r="B1214">
        <v>1587</v>
      </c>
      <c r="C1214">
        <v>3</v>
      </c>
      <c r="D1214">
        <v>2</v>
      </c>
      <c r="E1214">
        <v>45</v>
      </c>
      <c r="F1214">
        <f t="shared" si="54"/>
        <v>90</v>
      </c>
      <c r="G1214" t="str">
        <f>VLOOKUP(B1214,Orders!$A$2:$D$1201,4,FALSE)</f>
        <v>Delivered</v>
      </c>
      <c r="H1214">
        <f t="shared" si="55"/>
        <v>90</v>
      </c>
      <c r="I1214" s="12">
        <f>VLOOKUP(B1214,Orders!$A$2:$D$1201,3,FALSE)</f>
        <v>46031</v>
      </c>
      <c r="L1214" t="str">
        <f>VLOOKUP(C1214,Products!$A$2:$D$13,2,FALSE)</f>
        <v>Keyboard</v>
      </c>
      <c r="M1214" t="str">
        <f t="shared" si="56"/>
        <v>2026-01</v>
      </c>
    </row>
    <row r="1215" spans="1:13">
      <c r="A1215">
        <v>1214</v>
      </c>
      <c r="B1215">
        <v>1587</v>
      </c>
      <c r="C1215">
        <v>8</v>
      </c>
      <c r="D1215">
        <v>3</v>
      </c>
      <c r="E1215">
        <v>55</v>
      </c>
      <c r="F1215">
        <f t="shared" si="54"/>
        <v>165</v>
      </c>
      <c r="G1215" t="str">
        <f>VLOOKUP(B1215,Orders!$A$2:$D$1201,4,FALSE)</f>
        <v>Delivered</v>
      </c>
      <c r="H1215">
        <f t="shared" si="55"/>
        <v>165</v>
      </c>
      <c r="I1215" s="12">
        <f>VLOOKUP(B1215,Orders!$A$2:$D$1201,3,FALSE)</f>
        <v>46031</v>
      </c>
      <c r="L1215" t="str">
        <f>VLOOKUP(C1215,Products!$A$2:$D$13,2,FALSE)</f>
        <v>Webcam</v>
      </c>
      <c r="M1215" t="str">
        <f t="shared" si="56"/>
        <v>2026-01</v>
      </c>
    </row>
    <row r="1216" spans="1:13">
      <c r="A1216">
        <v>1215</v>
      </c>
      <c r="B1216">
        <v>1587</v>
      </c>
      <c r="C1216">
        <v>7</v>
      </c>
      <c r="D1216">
        <v>4</v>
      </c>
      <c r="E1216">
        <v>65</v>
      </c>
      <c r="F1216">
        <f t="shared" si="54"/>
        <v>260</v>
      </c>
      <c r="G1216" t="str">
        <f>VLOOKUP(B1216,Orders!$A$2:$D$1201,4,FALSE)</f>
        <v>Delivered</v>
      </c>
      <c r="H1216">
        <f t="shared" si="55"/>
        <v>260</v>
      </c>
      <c r="I1216" s="12">
        <f>VLOOKUP(B1216,Orders!$A$2:$D$1201,3,FALSE)</f>
        <v>46031</v>
      </c>
      <c r="L1216" t="str">
        <f>VLOOKUP(C1216,Products!$A$2:$D$13,2,FALSE)</f>
        <v>Headphones</v>
      </c>
      <c r="M1216" t="str">
        <f t="shared" si="56"/>
        <v>2026-01</v>
      </c>
    </row>
    <row r="1217" spans="1:13">
      <c r="A1217">
        <v>1216</v>
      </c>
      <c r="B1217">
        <v>1588</v>
      </c>
      <c r="C1217">
        <v>8</v>
      </c>
      <c r="D1217">
        <v>2</v>
      </c>
      <c r="E1217">
        <v>55</v>
      </c>
      <c r="F1217">
        <f t="shared" si="54"/>
        <v>110</v>
      </c>
      <c r="G1217" t="str">
        <f>VLOOKUP(B1217,Orders!$A$2:$D$1201,4,FALSE)</f>
        <v>Delivered</v>
      </c>
      <c r="H1217">
        <f t="shared" si="55"/>
        <v>110</v>
      </c>
      <c r="I1217" s="12">
        <f>VLOOKUP(B1217,Orders!$A$2:$D$1201,3,FALSE)</f>
        <v>46164</v>
      </c>
      <c r="L1217" t="str">
        <f>VLOOKUP(C1217,Products!$A$2:$D$13,2,FALSE)</f>
        <v>Webcam</v>
      </c>
      <c r="M1217" t="str">
        <f t="shared" si="56"/>
        <v>2026-05</v>
      </c>
    </row>
    <row r="1218" spans="1:13">
      <c r="A1218">
        <v>1217</v>
      </c>
      <c r="B1218">
        <v>1588</v>
      </c>
      <c r="C1218">
        <v>9</v>
      </c>
      <c r="D1218">
        <v>1</v>
      </c>
      <c r="E1218">
        <v>30</v>
      </c>
      <c r="F1218">
        <f t="shared" si="54"/>
        <v>30</v>
      </c>
      <c r="G1218" t="str">
        <f>VLOOKUP(B1218,Orders!$A$2:$D$1201,4,FALSE)</f>
        <v>Delivered</v>
      </c>
      <c r="H1218">
        <f t="shared" si="55"/>
        <v>30</v>
      </c>
      <c r="I1218" s="12">
        <f>VLOOKUP(B1218,Orders!$A$2:$D$1201,3,FALSE)</f>
        <v>46164</v>
      </c>
      <c r="L1218" t="str">
        <f>VLOOKUP(C1218,Products!$A$2:$D$13,2,FALSE)</f>
        <v>Lamp</v>
      </c>
      <c r="M1218" t="str">
        <f t="shared" si="56"/>
        <v>2026-05</v>
      </c>
    </row>
    <row r="1219" spans="1:13">
      <c r="A1219">
        <v>1218</v>
      </c>
      <c r="B1219">
        <v>1589</v>
      </c>
      <c r="C1219">
        <v>1</v>
      </c>
      <c r="D1219">
        <v>1</v>
      </c>
      <c r="E1219">
        <v>750</v>
      </c>
      <c r="F1219">
        <f t="shared" ref="F1219:F1282" si="57">D1219*E1219</f>
        <v>750</v>
      </c>
      <c r="G1219" t="str">
        <f>VLOOKUP(B1219,Orders!$A$2:$D$1201,4,FALSE)</f>
        <v>Delivered</v>
      </c>
      <c r="H1219">
        <f t="shared" ref="H1219:H1282" si="58">IF(G1219="Cancelled",0,F1219)</f>
        <v>750</v>
      </c>
      <c r="I1219" s="12">
        <f>VLOOKUP(B1219,Orders!$A$2:$D$1201,3,FALSE)</f>
        <v>46196</v>
      </c>
      <c r="L1219" t="str">
        <f>VLOOKUP(C1219,Products!$A$2:$D$13,2,FALSE)</f>
        <v>Laptop</v>
      </c>
      <c r="M1219" t="str">
        <f t="shared" ref="M1219:M1282" si="59">TEXT(I1219,"yyyy-mm")</f>
        <v>2026-06</v>
      </c>
    </row>
    <row r="1220" spans="1:13">
      <c r="A1220">
        <v>1219</v>
      </c>
      <c r="B1220">
        <v>1589</v>
      </c>
      <c r="C1220">
        <v>12</v>
      </c>
      <c r="D1220">
        <v>2</v>
      </c>
      <c r="E1220">
        <v>22</v>
      </c>
      <c r="F1220">
        <f t="shared" si="57"/>
        <v>44</v>
      </c>
      <c r="G1220" t="str">
        <f>VLOOKUP(B1220,Orders!$A$2:$D$1201,4,FALSE)</f>
        <v>Delivered</v>
      </c>
      <c r="H1220">
        <f t="shared" si="58"/>
        <v>44</v>
      </c>
      <c r="I1220" s="12">
        <f>VLOOKUP(B1220,Orders!$A$2:$D$1201,3,FALSE)</f>
        <v>46196</v>
      </c>
      <c r="L1220" t="str">
        <f>VLOOKUP(C1220,Products!$A$2:$D$13,2,FALSE)</f>
        <v>Storage Box</v>
      </c>
      <c r="M1220" t="str">
        <f t="shared" si="59"/>
        <v>2026-06</v>
      </c>
    </row>
    <row r="1221" spans="1:13">
      <c r="A1221">
        <v>1220</v>
      </c>
      <c r="B1221">
        <v>1590</v>
      </c>
      <c r="C1221">
        <v>6</v>
      </c>
      <c r="D1221">
        <v>4</v>
      </c>
      <c r="E1221">
        <v>140</v>
      </c>
      <c r="F1221">
        <f t="shared" si="57"/>
        <v>560</v>
      </c>
      <c r="G1221" t="str">
        <f>VLOOKUP(B1221,Orders!$A$2:$D$1201,4,FALSE)</f>
        <v>Delivered</v>
      </c>
      <c r="H1221">
        <f t="shared" si="58"/>
        <v>560</v>
      </c>
      <c r="I1221" s="12">
        <f>VLOOKUP(B1221,Orders!$A$2:$D$1201,3,FALSE)</f>
        <v>46183</v>
      </c>
      <c r="L1221" t="str">
        <f>VLOOKUP(C1221,Products!$A$2:$D$13,2,FALSE)</f>
        <v>Chair</v>
      </c>
      <c r="M1221" t="str">
        <f t="shared" si="59"/>
        <v>2026-06</v>
      </c>
    </row>
    <row r="1222" spans="1:13">
      <c r="A1222">
        <v>1221</v>
      </c>
      <c r="B1222">
        <v>1590</v>
      </c>
      <c r="C1222">
        <v>12</v>
      </c>
      <c r="D1222">
        <v>3</v>
      </c>
      <c r="E1222">
        <v>22</v>
      </c>
      <c r="F1222">
        <f t="shared" si="57"/>
        <v>66</v>
      </c>
      <c r="G1222" t="str">
        <f>VLOOKUP(B1222,Orders!$A$2:$D$1201,4,FALSE)</f>
        <v>Delivered</v>
      </c>
      <c r="H1222">
        <f t="shared" si="58"/>
        <v>66</v>
      </c>
      <c r="I1222" s="12">
        <f>VLOOKUP(B1222,Orders!$A$2:$D$1201,3,FALSE)</f>
        <v>46183</v>
      </c>
      <c r="L1222" t="str">
        <f>VLOOKUP(C1222,Products!$A$2:$D$13,2,FALSE)</f>
        <v>Storage Box</v>
      </c>
      <c r="M1222" t="str">
        <f t="shared" si="59"/>
        <v>2026-06</v>
      </c>
    </row>
    <row r="1223" spans="1:13">
      <c r="A1223">
        <v>1222</v>
      </c>
      <c r="B1223">
        <v>1591</v>
      </c>
      <c r="C1223">
        <v>2</v>
      </c>
      <c r="D1223">
        <v>2</v>
      </c>
      <c r="E1223">
        <v>220</v>
      </c>
      <c r="F1223">
        <f t="shared" si="57"/>
        <v>440</v>
      </c>
      <c r="G1223" t="str">
        <f>VLOOKUP(B1223,Orders!$A$2:$D$1201,4,FALSE)</f>
        <v>Delivered</v>
      </c>
      <c r="H1223">
        <f t="shared" si="58"/>
        <v>440</v>
      </c>
      <c r="I1223" s="12">
        <f>VLOOKUP(B1223,Orders!$A$2:$D$1201,3,FALSE)</f>
        <v>46174</v>
      </c>
      <c r="L1223" t="str">
        <f>VLOOKUP(C1223,Products!$A$2:$D$13,2,FALSE)</f>
        <v>Monitor</v>
      </c>
      <c r="M1223" t="str">
        <f t="shared" si="59"/>
        <v>2026-06</v>
      </c>
    </row>
    <row r="1224" spans="1:13">
      <c r="A1224">
        <v>1223</v>
      </c>
      <c r="B1224">
        <v>1591</v>
      </c>
      <c r="C1224">
        <v>6</v>
      </c>
      <c r="D1224">
        <v>1</v>
      </c>
      <c r="E1224">
        <v>140</v>
      </c>
      <c r="F1224">
        <f t="shared" si="57"/>
        <v>140</v>
      </c>
      <c r="G1224" t="str">
        <f>VLOOKUP(B1224,Orders!$A$2:$D$1201,4,FALSE)</f>
        <v>Delivered</v>
      </c>
      <c r="H1224">
        <f t="shared" si="58"/>
        <v>140</v>
      </c>
      <c r="I1224" s="12">
        <f>VLOOKUP(B1224,Orders!$A$2:$D$1201,3,FALSE)</f>
        <v>46174</v>
      </c>
      <c r="L1224" t="str">
        <f>VLOOKUP(C1224,Products!$A$2:$D$13,2,FALSE)</f>
        <v>Chair</v>
      </c>
      <c r="M1224" t="str">
        <f t="shared" si="59"/>
        <v>2026-06</v>
      </c>
    </row>
    <row r="1225" spans="1:13">
      <c r="A1225">
        <v>1224</v>
      </c>
      <c r="B1225">
        <v>1592</v>
      </c>
      <c r="C1225">
        <v>1</v>
      </c>
      <c r="D1225">
        <v>1</v>
      </c>
      <c r="E1225">
        <v>750</v>
      </c>
      <c r="F1225">
        <f t="shared" si="57"/>
        <v>750</v>
      </c>
      <c r="G1225" t="str">
        <f>VLOOKUP(B1225,Orders!$A$2:$D$1201,4,FALSE)</f>
        <v>Delivered</v>
      </c>
      <c r="H1225">
        <f t="shared" si="58"/>
        <v>750</v>
      </c>
      <c r="I1225" s="12">
        <f>VLOOKUP(B1225,Orders!$A$2:$D$1201,3,FALSE)</f>
        <v>46168</v>
      </c>
      <c r="L1225" t="str">
        <f>VLOOKUP(C1225,Products!$A$2:$D$13,2,FALSE)</f>
        <v>Laptop</v>
      </c>
      <c r="M1225" t="str">
        <f t="shared" si="59"/>
        <v>2026-05</v>
      </c>
    </row>
    <row r="1226" spans="1:13">
      <c r="A1226">
        <v>1225</v>
      </c>
      <c r="B1226">
        <v>1592</v>
      </c>
      <c r="C1226">
        <v>8</v>
      </c>
      <c r="D1226">
        <v>3</v>
      </c>
      <c r="E1226">
        <v>55</v>
      </c>
      <c r="F1226">
        <f t="shared" si="57"/>
        <v>165</v>
      </c>
      <c r="G1226" t="str">
        <f>VLOOKUP(B1226,Orders!$A$2:$D$1201,4,FALSE)</f>
        <v>Delivered</v>
      </c>
      <c r="H1226">
        <f t="shared" si="58"/>
        <v>165</v>
      </c>
      <c r="I1226" s="12">
        <f>VLOOKUP(B1226,Orders!$A$2:$D$1201,3,FALSE)</f>
        <v>46168</v>
      </c>
      <c r="L1226" t="str">
        <f>VLOOKUP(C1226,Products!$A$2:$D$13,2,FALSE)</f>
        <v>Webcam</v>
      </c>
      <c r="M1226" t="str">
        <f t="shared" si="59"/>
        <v>2026-05</v>
      </c>
    </row>
    <row r="1227" spans="1:13">
      <c r="A1227">
        <v>1226</v>
      </c>
      <c r="B1227">
        <v>1593</v>
      </c>
      <c r="C1227">
        <v>8</v>
      </c>
      <c r="D1227">
        <v>3</v>
      </c>
      <c r="E1227">
        <v>55</v>
      </c>
      <c r="F1227">
        <f t="shared" si="57"/>
        <v>165</v>
      </c>
      <c r="G1227" t="str">
        <f>VLOOKUP(B1227,Orders!$A$2:$D$1201,4,FALSE)</f>
        <v>Delivered</v>
      </c>
      <c r="H1227">
        <f t="shared" si="58"/>
        <v>165</v>
      </c>
      <c r="I1227" s="12">
        <f>VLOOKUP(B1227,Orders!$A$2:$D$1201,3,FALSE)</f>
        <v>46048</v>
      </c>
      <c r="L1227" t="str">
        <f>VLOOKUP(C1227,Products!$A$2:$D$13,2,FALSE)</f>
        <v>Webcam</v>
      </c>
      <c r="M1227" t="str">
        <f t="shared" si="59"/>
        <v>2026-01</v>
      </c>
    </row>
    <row r="1228" spans="1:13">
      <c r="A1228">
        <v>1227</v>
      </c>
      <c r="B1228">
        <v>1593</v>
      </c>
      <c r="C1228">
        <v>9</v>
      </c>
      <c r="D1228">
        <v>2</v>
      </c>
      <c r="E1228">
        <v>30</v>
      </c>
      <c r="F1228">
        <f t="shared" si="57"/>
        <v>60</v>
      </c>
      <c r="G1228" t="str">
        <f>VLOOKUP(B1228,Orders!$A$2:$D$1201,4,FALSE)</f>
        <v>Delivered</v>
      </c>
      <c r="H1228">
        <f t="shared" si="58"/>
        <v>60</v>
      </c>
      <c r="I1228" s="12">
        <f>VLOOKUP(B1228,Orders!$A$2:$D$1201,3,FALSE)</f>
        <v>46048</v>
      </c>
      <c r="L1228" t="str">
        <f>VLOOKUP(C1228,Products!$A$2:$D$13,2,FALSE)</f>
        <v>Lamp</v>
      </c>
      <c r="M1228" t="str">
        <f t="shared" si="59"/>
        <v>2026-01</v>
      </c>
    </row>
    <row r="1229" spans="1:13">
      <c r="A1229">
        <v>1228</v>
      </c>
      <c r="B1229">
        <v>1594</v>
      </c>
      <c r="C1229">
        <v>4</v>
      </c>
      <c r="D1229">
        <v>1</v>
      </c>
      <c r="E1229">
        <v>25</v>
      </c>
      <c r="F1229">
        <f t="shared" si="57"/>
        <v>25</v>
      </c>
      <c r="G1229" t="str">
        <f>VLOOKUP(B1229,Orders!$A$2:$D$1201,4,FALSE)</f>
        <v>Delivered</v>
      </c>
      <c r="H1229">
        <f t="shared" si="58"/>
        <v>25</v>
      </c>
      <c r="I1229" s="12">
        <f>VLOOKUP(B1229,Orders!$A$2:$D$1201,3,FALSE)</f>
        <v>46185</v>
      </c>
      <c r="L1229" t="str">
        <f>VLOOKUP(C1229,Products!$A$2:$D$13,2,FALSE)</f>
        <v>Mouse</v>
      </c>
      <c r="M1229" t="str">
        <f t="shared" si="59"/>
        <v>2026-06</v>
      </c>
    </row>
    <row r="1230" spans="1:13">
      <c r="A1230">
        <v>1229</v>
      </c>
      <c r="B1230">
        <v>1594</v>
      </c>
      <c r="C1230">
        <v>5</v>
      </c>
      <c r="D1230">
        <v>3</v>
      </c>
      <c r="E1230">
        <v>180</v>
      </c>
      <c r="F1230">
        <f t="shared" si="57"/>
        <v>540</v>
      </c>
      <c r="G1230" t="str">
        <f>VLOOKUP(B1230,Orders!$A$2:$D$1201,4,FALSE)</f>
        <v>Delivered</v>
      </c>
      <c r="H1230">
        <f t="shared" si="58"/>
        <v>540</v>
      </c>
      <c r="I1230" s="12">
        <f>VLOOKUP(B1230,Orders!$A$2:$D$1201,3,FALSE)</f>
        <v>46185</v>
      </c>
      <c r="L1230" t="str">
        <f>VLOOKUP(C1230,Products!$A$2:$D$13,2,FALSE)</f>
        <v>Desk</v>
      </c>
      <c r="M1230" t="str">
        <f t="shared" si="59"/>
        <v>2026-06</v>
      </c>
    </row>
    <row r="1231" spans="1:13">
      <c r="A1231">
        <v>1230</v>
      </c>
      <c r="B1231">
        <v>1594</v>
      </c>
      <c r="C1231">
        <v>11</v>
      </c>
      <c r="D1231">
        <v>4</v>
      </c>
      <c r="E1231">
        <v>48</v>
      </c>
      <c r="F1231">
        <f t="shared" si="57"/>
        <v>192</v>
      </c>
      <c r="G1231" t="str">
        <f>VLOOKUP(B1231,Orders!$A$2:$D$1201,4,FALSE)</f>
        <v>Delivered</v>
      </c>
      <c r="H1231">
        <f t="shared" si="58"/>
        <v>192</v>
      </c>
      <c r="I1231" s="12">
        <f>VLOOKUP(B1231,Orders!$A$2:$D$1201,3,FALSE)</f>
        <v>46185</v>
      </c>
      <c r="L1231" t="str">
        <f>VLOOKUP(C1231,Products!$A$2:$D$13,2,FALSE)</f>
        <v>Backpack</v>
      </c>
      <c r="M1231" t="str">
        <f t="shared" si="59"/>
        <v>2026-06</v>
      </c>
    </row>
    <row r="1232" spans="1:13">
      <c r="A1232">
        <v>1231</v>
      </c>
      <c r="B1232">
        <v>1595</v>
      </c>
      <c r="C1232">
        <v>2</v>
      </c>
      <c r="D1232">
        <v>4</v>
      </c>
      <c r="E1232">
        <v>220</v>
      </c>
      <c r="F1232">
        <f t="shared" si="57"/>
        <v>880</v>
      </c>
      <c r="G1232" t="str">
        <f>VLOOKUP(B1232,Orders!$A$2:$D$1201,4,FALSE)</f>
        <v>Delivered</v>
      </c>
      <c r="H1232">
        <f t="shared" si="58"/>
        <v>880</v>
      </c>
      <c r="I1232" s="12">
        <f>VLOOKUP(B1232,Orders!$A$2:$D$1201,3,FALSE)</f>
        <v>46171</v>
      </c>
      <c r="L1232" t="str">
        <f>VLOOKUP(C1232,Products!$A$2:$D$13,2,FALSE)</f>
        <v>Monitor</v>
      </c>
      <c r="M1232" t="str">
        <f t="shared" si="59"/>
        <v>2026-05</v>
      </c>
    </row>
    <row r="1233" spans="1:13">
      <c r="A1233">
        <v>1232</v>
      </c>
      <c r="B1233">
        <v>1595</v>
      </c>
      <c r="C1233">
        <v>10</v>
      </c>
      <c r="D1233">
        <v>4</v>
      </c>
      <c r="E1233">
        <v>8</v>
      </c>
      <c r="F1233">
        <f t="shared" si="57"/>
        <v>32</v>
      </c>
      <c r="G1233" t="str">
        <f>VLOOKUP(B1233,Orders!$A$2:$D$1201,4,FALSE)</f>
        <v>Delivered</v>
      </c>
      <c r="H1233">
        <f t="shared" si="58"/>
        <v>32</v>
      </c>
      <c r="I1233" s="12">
        <f>VLOOKUP(B1233,Orders!$A$2:$D$1201,3,FALSE)</f>
        <v>46171</v>
      </c>
      <c r="L1233" t="str">
        <f>VLOOKUP(C1233,Products!$A$2:$D$13,2,FALSE)</f>
        <v>Notebook</v>
      </c>
      <c r="M1233" t="str">
        <f t="shared" si="59"/>
        <v>2026-05</v>
      </c>
    </row>
    <row r="1234" spans="1:13">
      <c r="A1234">
        <v>1233</v>
      </c>
      <c r="B1234">
        <v>1596</v>
      </c>
      <c r="C1234">
        <v>9</v>
      </c>
      <c r="D1234">
        <v>4</v>
      </c>
      <c r="E1234">
        <v>30</v>
      </c>
      <c r="F1234">
        <f t="shared" si="57"/>
        <v>120</v>
      </c>
      <c r="G1234" t="str">
        <f>VLOOKUP(B1234,Orders!$A$2:$D$1201,4,FALSE)</f>
        <v>Delivered</v>
      </c>
      <c r="H1234">
        <f t="shared" si="58"/>
        <v>120</v>
      </c>
      <c r="I1234" s="12">
        <f>VLOOKUP(B1234,Orders!$A$2:$D$1201,3,FALSE)</f>
        <v>46152</v>
      </c>
      <c r="L1234" t="str">
        <f>VLOOKUP(C1234,Products!$A$2:$D$13,2,FALSE)</f>
        <v>Lamp</v>
      </c>
      <c r="M1234" t="str">
        <f t="shared" si="59"/>
        <v>2026-05</v>
      </c>
    </row>
    <row r="1235" spans="1:13">
      <c r="A1235">
        <v>1234</v>
      </c>
      <c r="B1235">
        <v>1596</v>
      </c>
      <c r="C1235">
        <v>6</v>
      </c>
      <c r="D1235">
        <v>4</v>
      </c>
      <c r="E1235">
        <v>140</v>
      </c>
      <c r="F1235">
        <f t="shared" si="57"/>
        <v>560</v>
      </c>
      <c r="G1235" t="str">
        <f>VLOOKUP(B1235,Orders!$A$2:$D$1201,4,FALSE)</f>
        <v>Delivered</v>
      </c>
      <c r="H1235">
        <f t="shared" si="58"/>
        <v>560</v>
      </c>
      <c r="I1235" s="12">
        <f>VLOOKUP(B1235,Orders!$A$2:$D$1201,3,FALSE)</f>
        <v>46152</v>
      </c>
      <c r="L1235" t="str">
        <f>VLOOKUP(C1235,Products!$A$2:$D$13,2,FALSE)</f>
        <v>Chair</v>
      </c>
      <c r="M1235" t="str">
        <f t="shared" si="59"/>
        <v>2026-05</v>
      </c>
    </row>
    <row r="1236" spans="1:13">
      <c r="A1236">
        <v>1235</v>
      </c>
      <c r="B1236">
        <v>1596</v>
      </c>
      <c r="C1236">
        <v>4</v>
      </c>
      <c r="D1236">
        <v>3</v>
      </c>
      <c r="E1236">
        <v>25</v>
      </c>
      <c r="F1236">
        <f t="shared" si="57"/>
        <v>75</v>
      </c>
      <c r="G1236" t="str">
        <f>VLOOKUP(B1236,Orders!$A$2:$D$1201,4,FALSE)</f>
        <v>Delivered</v>
      </c>
      <c r="H1236">
        <f t="shared" si="58"/>
        <v>75</v>
      </c>
      <c r="I1236" s="12">
        <f>VLOOKUP(B1236,Orders!$A$2:$D$1201,3,FALSE)</f>
        <v>46152</v>
      </c>
      <c r="L1236" t="str">
        <f>VLOOKUP(C1236,Products!$A$2:$D$13,2,FALSE)</f>
        <v>Mouse</v>
      </c>
      <c r="M1236" t="str">
        <f t="shared" si="59"/>
        <v>2026-05</v>
      </c>
    </row>
    <row r="1237" spans="1:13">
      <c r="A1237">
        <v>1236</v>
      </c>
      <c r="B1237">
        <v>1597</v>
      </c>
      <c r="C1237">
        <v>10</v>
      </c>
      <c r="D1237">
        <v>4</v>
      </c>
      <c r="E1237">
        <v>8</v>
      </c>
      <c r="F1237">
        <f t="shared" si="57"/>
        <v>32</v>
      </c>
      <c r="G1237" t="str">
        <f>VLOOKUP(B1237,Orders!$A$2:$D$1201,4,FALSE)</f>
        <v>Delivered</v>
      </c>
      <c r="H1237">
        <f t="shared" si="58"/>
        <v>32</v>
      </c>
      <c r="I1237" s="12">
        <f>VLOOKUP(B1237,Orders!$A$2:$D$1201,3,FALSE)</f>
        <v>46027</v>
      </c>
      <c r="L1237" t="str">
        <f>VLOOKUP(C1237,Products!$A$2:$D$13,2,FALSE)</f>
        <v>Notebook</v>
      </c>
      <c r="M1237" t="str">
        <f t="shared" si="59"/>
        <v>2026-01</v>
      </c>
    </row>
    <row r="1238" spans="1:13">
      <c r="A1238">
        <v>1237</v>
      </c>
      <c r="B1238">
        <v>1598</v>
      </c>
      <c r="C1238">
        <v>7</v>
      </c>
      <c r="D1238">
        <v>2</v>
      </c>
      <c r="E1238">
        <v>65</v>
      </c>
      <c r="F1238">
        <f t="shared" si="57"/>
        <v>130</v>
      </c>
      <c r="G1238" t="str">
        <f>VLOOKUP(B1238,Orders!$A$2:$D$1201,4,FALSE)</f>
        <v>Shipped</v>
      </c>
      <c r="H1238">
        <f t="shared" si="58"/>
        <v>130</v>
      </c>
      <c r="I1238" s="12">
        <f>VLOOKUP(B1238,Orders!$A$2:$D$1201,3,FALSE)</f>
        <v>46091</v>
      </c>
      <c r="L1238" t="str">
        <f>VLOOKUP(C1238,Products!$A$2:$D$13,2,FALSE)</f>
        <v>Headphones</v>
      </c>
      <c r="M1238" t="str">
        <f t="shared" si="59"/>
        <v>2026-03</v>
      </c>
    </row>
    <row r="1239" spans="1:13">
      <c r="A1239">
        <v>1238</v>
      </c>
      <c r="B1239">
        <v>1598</v>
      </c>
      <c r="C1239">
        <v>10</v>
      </c>
      <c r="D1239">
        <v>3</v>
      </c>
      <c r="E1239">
        <v>8</v>
      </c>
      <c r="F1239">
        <f t="shared" si="57"/>
        <v>24</v>
      </c>
      <c r="G1239" t="str">
        <f>VLOOKUP(B1239,Orders!$A$2:$D$1201,4,FALSE)</f>
        <v>Shipped</v>
      </c>
      <c r="H1239">
        <f t="shared" si="58"/>
        <v>24</v>
      </c>
      <c r="I1239" s="12">
        <f>VLOOKUP(B1239,Orders!$A$2:$D$1201,3,FALSE)</f>
        <v>46091</v>
      </c>
      <c r="L1239" t="str">
        <f>VLOOKUP(C1239,Products!$A$2:$D$13,2,FALSE)</f>
        <v>Notebook</v>
      </c>
      <c r="M1239" t="str">
        <f t="shared" si="59"/>
        <v>2026-03</v>
      </c>
    </row>
    <row r="1240" spans="1:13">
      <c r="A1240">
        <v>1239</v>
      </c>
      <c r="B1240">
        <v>1598</v>
      </c>
      <c r="C1240">
        <v>1</v>
      </c>
      <c r="D1240">
        <v>4</v>
      </c>
      <c r="E1240">
        <v>750</v>
      </c>
      <c r="F1240">
        <f t="shared" si="57"/>
        <v>3000</v>
      </c>
      <c r="G1240" t="str">
        <f>VLOOKUP(B1240,Orders!$A$2:$D$1201,4,FALSE)</f>
        <v>Shipped</v>
      </c>
      <c r="H1240">
        <f t="shared" si="58"/>
        <v>3000</v>
      </c>
      <c r="I1240" s="12">
        <f>VLOOKUP(B1240,Orders!$A$2:$D$1201,3,FALSE)</f>
        <v>46091</v>
      </c>
      <c r="L1240" t="str">
        <f>VLOOKUP(C1240,Products!$A$2:$D$13,2,FALSE)</f>
        <v>Laptop</v>
      </c>
      <c r="M1240" t="str">
        <f t="shared" si="59"/>
        <v>2026-03</v>
      </c>
    </row>
    <row r="1241" spans="1:13">
      <c r="A1241">
        <v>1240</v>
      </c>
      <c r="B1241">
        <v>1599</v>
      </c>
      <c r="C1241">
        <v>6</v>
      </c>
      <c r="D1241">
        <v>2</v>
      </c>
      <c r="E1241">
        <v>140</v>
      </c>
      <c r="F1241">
        <f t="shared" si="57"/>
        <v>280</v>
      </c>
      <c r="G1241" t="str">
        <f>VLOOKUP(B1241,Orders!$A$2:$D$1201,4,FALSE)</f>
        <v>Delivered</v>
      </c>
      <c r="H1241">
        <f t="shared" si="58"/>
        <v>280</v>
      </c>
      <c r="I1241" s="12">
        <f>VLOOKUP(B1241,Orders!$A$2:$D$1201,3,FALSE)</f>
        <v>46198</v>
      </c>
      <c r="L1241" t="str">
        <f>VLOOKUP(C1241,Products!$A$2:$D$13,2,FALSE)</f>
        <v>Chair</v>
      </c>
      <c r="M1241" t="str">
        <f t="shared" si="59"/>
        <v>2026-06</v>
      </c>
    </row>
    <row r="1242" spans="1:13">
      <c r="A1242">
        <v>1241</v>
      </c>
      <c r="B1242">
        <v>1599</v>
      </c>
      <c r="C1242">
        <v>2</v>
      </c>
      <c r="D1242">
        <v>4</v>
      </c>
      <c r="E1242">
        <v>220</v>
      </c>
      <c r="F1242">
        <f t="shared" si="57"/>
        <v>880</v>
      </c>
      <c r="G1242" t="str">
        <f>VLOOKUP(B1242,Orders!$A$2:$D$1201,4,FALSE)</f>
        <v>Delivered</v>
      </c>
      <c r="H1242">
        <f t="shared" si="58"/>
        <v>880</v>
      </c>
      <c r="I1242" s="12">
        <f>VLOOKUP(B1242,Orders!$A$2:$D$1201,3,FALSE)</f>
        <v>46198</v>
      </c>
      <c r="L1242" t="str">
        <f>VLOOKUP(C1242,Products!$A$2:$D$13,2,FALSE)</f>
        <v>Monitor</v>
      </c>
      <c r="M1242" t="str">
        <f t="shared" si="59"/>
        <v>2026-06</v>
      </c>
    </row>
    <row r="1243" spans="1:13">
      <c r="A1243">
        <v>1242</v>
      </c>
      <c r="B1243">
        <v>1600</v>
      </c>
      <c r="C1243">
        <v>3</v>
      </c>
      <c r="D1243">
        <v>2</v>
      </c>
      <c r="E1243">
        <v>45</v>
      </c>
      <c r="F1243">
        <f t="shared" si="57"/>
        <v>90</v>
      </c>
      <c r="G1243" t="str">
        <f>VLOOKUP(B1243,Orders!$A$2:$D$1201,4,FALSE)</f>
        <v>Delivered</v>
      </c>
      <c r="H1243">
        <f t="shared" si="58"/>
        <v>90</v>
      </c>
      <c r="I1243" s="12">
        <f>VLOOKUP(B1243,Orders!$A$2:$D$1201,3,FALSE)</f>
        <v>46176</v>
      </c>
      <c r="L1243" t="str">
        <f>VLOOKUP(C1243,Products!$A$2:$D$13,2,FALSE)</f>
        <v>Keyboard</v>
      </c>
      <c r="M1243" t="str">
        <f t="shared" si="59"/>
        <v>2026-06</v>
      </c>
    </row>
    <row r="1244" spans="1:13">
      <c r="A1244">
        <v>1243</v>
      </c>
      <c r="B1244">
        <v>1601</v>
      </c>
      <c r="C1244">
        <v>1</v>
      </c>
      <c r="D1244">
        <v>3</v>
      </c>
      <c r="E1244">
        <v>750</v>
      </c>
      <c r="F1244">
        <f t="shared" si="57"/>
        <v>2250</v>
      </c>
      <c r="G1244" t="str">
        <f>VLOOKUP(B1244,Orders!$A$2:$D$1201,4,FALSE)</f>
        <v>Pending</v>
      </c>
      <c r="H1244">
        <f t="shared" si="58"/>
        <v>2250</v>
      </c>
      <c r="I1244" s="12">
        <f>VLOOKUP(B1244,Orders!$A$2:$D$1201,3,FALSE)</f>
        <v>46166</v>
      </c>
      <c r="L1244" t="str">
        <f>VLOOKUP(C1244,Products!$A$2:$D$13,2,FALSE)</f>
        <v>Laptop</v>
      </c>
      <c r="M1244" t="str">
        <f t="shared" si="59"/>
        <v>2026-05</v>
      </c>
    </row>
    <row r="1245" spans="1:13">
      <c r="A1245">
        <v>1244</v>
      </c>
      <c r="B1245">
        <v>1601</v>
      </c>
      <c r="C1245">
        <v>4</v>
      </c>
      <c r="D1245">
        <v>2</v>
      </c>
      <c r="E1245">
        <v>25</v>
      </c>
      <c r="F1245">
        <f t="shared" si="57"/>
        <v>50</v>
      </c>
      <c r="G1245" t="str">
        <f>VLOOKUP(B1245,Orders!$A$2:$D$1201,4,FALSE)</f>
        <v>Pending</v>
      </c>
      <c r="H1245">
        <f t="shared" si="58"/>
        <v>50</v>
      </c>
      <c r="I1245" s="12">
        <f>VLOOKUP(B1245,Orders!$A$2:$D$1201,3,FALSE)</f>
        <v>46166</v>
      </c>
      <c r="L1245" t="str">
        <f>VLOOKUP(C1245,Products!$A$2:$D$13,2,FALSE)</f>
        <v>Mouse</v>
      </c>
      <c r="M1245" t="str">
        <f t="shared" si="59"/>
        <v>2026-05</v>
      </c>
    </row>
    <row r="1246" spans="1:13">
      <c r="A1246">
        <v>1245</v>
      </c>
      <c r="B1246">
        <v>1601</v>
      </c>
      <c r="C1246">
        <v>3</v>
      </c>
      <c r="D1246">
        <v>1</v>
      </c>
      <c r="E1246">
        <v>45</v>
      </c>
      <c r="F1246">
        <f t="shared" si="57"/>
        <v>45</v>
      </c>
      <c r="G1246" t="str">
        <f>VLOOKUP(B1246,Orders!$A$2:$D$1201,4,FALSE)</f>
        <v>Pending</v>
      </c>
      <c r="H1246">
        <f t="shared" si="58"/>
        <v>45</v>
      </c>
      <c r="I1246" s="12">
        <f>VLOOKUP(B1246,Orders!$A$2:$D$1201,3,FALSE)</f>
        <v>46166</v>
      </c>
      <c r="L1246" t="str">
        <f>VLOOKUP(C1246,Products!$A$2:$D$13,2,FALSE)</f>
        <v>Keyboard</v>
      </c>
      <c r="M1246" t="str">
        <f t="shared" si="59"/>
        <v>2026-05</v>
      </c>
    </row>
    <row r="1247" spans="1:13">
      <c r="A1247">
        <v>1246</v>
      </c>
      <c r="B1247">
        <v>1602</v>
      </c>
      <c r="C1247">
        <v>1</v>
      </c>
      <c r="D1247">
        <v>1</v>
      </c>
      <c r="E1247">
        <v>750</v>
      </c>
      <c r="F1247">
        <f t="shared" si="57"/>
        <v>750</v>
      </c>
      <c r="G1247" t="str">
        <f>VLOOKUP(B1247,Orders!$A$2:$D$1201,4,FALSE)</f>
        <v>Delivered</v>
      </c>
      <c r="H1247">
        <f t="shared" si="58"/>
        <v>750</v>
      </c>
      <c r="I1247" s="12">
        <f>VLOOKUP(B1247,Orders!$A$2:$D$1201,3,FALSE)</f>
        <v>46094</v>
      </c>
      <c r="L1247" t="str">
        <f>VLOOKUP(C1247,Products!$A$2:$D$13,2,FALSE)</f>
        <v>Laptop</v>
      </c>
      <c r="M1247" t="str">
        <f t="shared" si="59"/>
        <v>2026-03</v>
      </c>
    </row>
    <row r="1248" spans="1:13">
      <c r="A1248">
        <v>1247</v>
      </c>
      <c r="B1248">
        <v>1602</v>
      </c>
      <c r="C1248">
        <v>8</v>
      </c>
      <c r="D1248">
        <v>1</v>
      </c>
      <c r="E1248">
        <v>55</v>
      </c>
      <c r="F1248">
        <f t="shared" si="57"/>
        <v>55</v>
      </c>
      <c r="G1248" t="str">
        <f>VLOOKUP(B1248,Orders!$A$2:$D$1201,4,FALSE)</f>
        <v>Delivered</v>
      </c>
      <c r="H1248">
        <f t="shared" si="58"/>
        <v>55</v>
      </c>
      <c r="I1248" s="12">
        <f>VLOOKUP(B1248,Orders!$A$2:$D$1201,3,FALSE)</f>
        <v>46094</v>
      </c>
      <c r="L1248" t="str">
        <f>VLOOKUP(C1248,Products!$A$2:$D$13,2,FALSE)</f>
        <v>Webcam</v>
      </c>
      <c r="M1248" t="str">
        <f t="shared" si="59"/>
        <v>2026-03</v>
      </c>
    </row>
    <row r="1249" spans="1:13">
      <c r="A1249">
        <v>1248</v>
      </c>
      <c r="B1249">
        <v>1602</v>
      </c>
      <c r="C1249">
        <v>12</v>
      </c>
      <c r="D1249">
        <v>3</v>
      </c>
      <c r="E1249">
        <v>22</v>
      </c>
      <c r="F1249">
        <f t="shared" si="57"/>
        <v>66</v>
      </c>
      <c r="G1249" t="str">
        <f>VLOOKUP(B1249,Orders!$A$2:$D$1201,4,FALSE)</f>
        <v>Delivered</v>
      </c>
      <c r="H1249">
        <f t="shared" si="58"/>
        <v>66</v>
      </c>
      <c r="I1249" s="12">
        <f>VLOOKUP(B1249,Orders!$A$2:$D$1201,3,FALSE)</f>
        <v>46094</v>
      </c>
      <c r="L1249" t="str">
        <f>VLOOKUP(C1249,Products!$A$2:$D$13,2,FALSE)</f>
        <v>Storage Box</v>
      </c>
      <c r="M1249" t="str">
        <f t="shared" si="59"/>
        <v>2026-03</v>
      </c>
    </row>
    <row r="1250" spans="1:13">
      <c r="A1250">
        <v>1249</v>
      </c>
      <c r="B1250">
        <v>1603</v>
      </c>
      <c r="C1250">
        <v>12</v>
      </c>
      <c r="D1250">
        <v>2</v>
      </c>
      <c r="E1250">
        <v>22</v>
      </c>
      <c r="F1250">
        <f t="shared" si="57"/>
        <v>44</v>
      </c>
      <c r="G1250" t="str">
        <f>VLOOKUP(B1250,Orders!$A$2:$D$1201,4,FALSE)</f>
        <v>Delivered</v>
      </c>
      <c r="H1250">
        <f t="shared" si="58"/>
        <v>44</v>
      </c>
      <c r="I1250" s="12">
        <f>VLOOKUP(B1250,Orders!$A$2:$D$1201,3,FALSE)</f>
        <v>46116</v>
      </c>
      <c r="L1250" t="str">
        <f>VLOOKUP(C1250,Products!$A$2:$D$13,2,FALSE)</f>
        <v>Storage Box</v>
      </c>
      <c r="M1250" t="str">
        <f t="shared" si="59"/>
        <v>2026-04</v>
      </c>
    </row>
    <row r="1251" spans="1:13">
      <c r="A1251">
        <v>1250</v>
      </c>
      <c r="B1251">
        <v>1603</v>
      </c>
      <c r="C1251">
        <v>3</v>
      </c>
      <c r="D1251">
        <v>1</v>
      </c>
      <c r="E1251">
        <v>45</v>
      </c>
      <c r="F1251">
        <f t="shared" si="57"/>
        <v>45</v>
      </c>
      <c r="G1251" t="str">
        <f>VLOOKUP(B1251,Orders!$A$2:$D$1201,4,FALSE)</f>
        <v>Delivered</v>
      </c>
      <c r="H1251">
        <f t="shared" si="58"/>
        <v>45</v>
      </c>
      <c r="I1251" s="12">
        <f>VLOOKUP(B1251,Orders!$A$2:$D$1201,3,FALSE)</f>
        <v>46116</v>
      </c>
      <c r="L1251" t="str">
        <f>VLOOKUP(C1251,Products!$A$2:$D$13,2,FALSE)</f>
        <v>Keyboard</v>
      </c>
      <c r="M1251" t="str">
        <f t="shared" si="59"/>
        <v>2026-04</v>
      </c>
    </row>
    <row r="1252" spans="1:13">
      <c r="A1252">
        <v>1251</v>
      </c>
      <c r="B1252">
        <v>1604</v>
      </c>
      <c r="C1252">
        <v>8</v>
      </c>
      <c r="D1252">
        <v>2</v>
      </c>
      <c r="E1252">
        <v>55</v>
      </c>
      <c r="F1252">
        <f t="shared" si="57"/>
        <v>110</v>
      </c>
      <c r="G1252" t="str">
        <f>VLOOKUP(B1252,Orders!$A$2:$D$1201,4,FALSE)</f>
        <v>Shipped</v>
      </c>
      <c r="H1252">
        <f t="shared" si="58"/>
        <v>110</v>
      </c>
      <c r="I1252" s="12">
        <f>VLOOKUP(B1252,Orders!$A$2:$D$1201,3,FALSE)</f>
        <v>46171</v>
      </c>
      <c r="L1252" t="str">
        <f>VLOOKUP(C1252,Products!$A$2:$D$13,2,FALSE)</f>
        <v>Webcam</v>
      </c>
      <c r="M1252" t="str">
        <f t="shared" si="59"/>
        <v>2026-05</v>
      </c>
    </row>
    <row r="1253" spans="1:13">
      <c r="A1253">
        <v>1252</v>
      </c>
      <c r="B1253">
        <v>1604</v>
      </c>
      <c r="C1253">
        <v>2</v>
      </c>
      <c r="D1253">
        <v>1</v>
      </c>
      <c r="E1253">
        <v>220</v>
      </c>
      <c r="F1253">
        <f t="shared" si="57"/>
        <v>220</v>
      </c>
      <c r="G1253" t="str">
        <f>VLOOKUP(B1253,Orders!$A$2:$D$1201,4,FALSE)</f>
        <v>Shipped</v>
      </c>
      <c r="H1253">
        <f t="shared" si="58"/>
        <v>220</v>
      </c>
      <c r="I1253" s="12">
        <f>VLOOKUP(B1253,Orders!$A$2:$D$1201,3,FALSE)</f>
        <v>46171</v>
      </c>
      <c r="L1253" t="str">
        <f>VLOOKUP(C1253,Products!$A$2:$D$13,2,FALSE)</f>
        <v>Monitor</v>
      </c>
      <c r="M1253" t="str">
        <f t="shared" si="59"/>
        <v>2026-05</v>
      </c>
    </row>
    <row r="1254" spans="1:13">
      <c r="A1254">
        <v>1253</v>
      </c>
      <c r="B1254">
        <v>1605</v>
      </c>
      <c r="C1254">
        <v>12</v>
      </c>
      <c r="D1254">
        <v>2</v>
      </c>
      <c r="E1254">
        <v>22</v>
      </c>
      <c r="F1254">
        <f t="shared" si="57"/>
        <v>44</v>
      </c>
      <c r="G1254" t="str">
        <f>VLOOKUP(B1254,Orders!$A$2:$D$1201,4,FALSE)</f>
        <v>Delivered</v>
      </c>
      <c r="H1254">
        <f t="shared" si="58"/>
        <v>44</v>
      </c>
      <c r="I1254" s="12">
        <f>VLOOKUP(B1254,Orders!$A$2:$D$1201,3,FALSE)</f>
        <v>46107</v>
      </c>
      <c r="L1254" t="str">
        <f>VLOOKUP(C1254,Products!$A$2:$D$13,2,FALSE)</f>
        <v>Storage Box</v>
      </c>
      <c r="M1254" t="str">
        <f t="shared" si="59"/>
        <v>2026-03</v>
      </c>
    </row>
    <row r="1255" spans="1:13">
      <c r="A1255">
        <v>1254</v>
      </c>
      <c r="B1255">
        <v>1605</v>
      </c>
      <c r="C1255">
        <v>4</v>
      </c>
      <c r="D1255">
        <v>2</v>
      </c>
      <c r="E1255">
        <v>25</v>
      </c>
      <c r="F1255">
        <f t="shared" si="57"/>
        <v>50</v>
      </c>
      <c r="G1255" t="str">
        <f>VLOOKUP(B1255,Orders!$A$2:$D$1201,4,FALSE)</f>
        <v>Delivered</v>
      </c>
      <c r="H1255">
        <f t="shared" si="58"/>
        <v>50</v>
      </c>
      <c r="I1255" s="12">
        <f>VLOOKUP(B1255,Orders!$A$2:$D$1201,3,FALSE)</f>
        <v>46107</v>
      </c>
      <c r="L1255" t="str">
        <f>VLOOKUP(C1255,Products!$A$2:$D$13,2,FALSE)</f>
        <v>Mouse</v>
      </c>
      <c r="M1255" t="str">
        <f t="shared" si="59"/>
        <v>2026-03</v>
      </c>
    </row>
    <row r="1256" spans="1:13">
      <c r="A1256">
        <v>1255</v>
      </c>
      <c r="B1256">
        <v>1605</v>
      </c>
      <c r="C1256">
        <v>7</v>
      </c>
      <c r="D1256">
        <v>1</v>
      </c>
      <c r="E1256">
        <v>65</v>
      </c>
      <c r="F1256">
        <f t="shared" si="57"/>
        <v>65</v>
      </c>
      <c r="G1256" t="str">
        <f>VLOOKUP(B1256,Orders!$A$2:$D$1201,4,FALSE)</f>
        <v>Delivered</v>
      </c>
      <c r="H1256">
        <f t="shared" si="58"/>
        <v>65</v>
      </c>
      <c r="I1256" s="12">
        <f>VLOOKUP(B1256,Orders!$A$2:$D$1201,3,FALSE)</f>
        <v>46107</v>
      </c>
      <c r="L1256" t="str">
        <f>VLOOKUP(C1256,Products!$A$2:$D$13,2,FALSE)</f>
        <v>Headphones</v>
      </c>
      <c r="M1256" t="str">
        <f t="shared" si="59"/>
        <v>2026-03</v>
      </c>
    </row>
    <row r="1257" spans="1:13">
      <c r="A1257">
        <v>1256</v>
      </c>
      <c r="B1257">
        <v>1606</v>
      </c>
      <c r="C1257">
        <v>12</v>
      </c>
      <c r="D1257">
        <v>3</v>
      </c>
      <c r="E1257">
        <v>22</v>
      </c>
      <c r="F1257">
        <f t="shared" si="57"/>
        <v>66</v>
      </c>
      <c r="G1257" t="str">
        <f>VLOOKUP(B1257,Orders!$A$2:$D$1201,4,FALSE)</f>
        <v>Delivered</v>
      </c>
      <c r="H1257">
        <f t="shared" si="58"/>
        <v>66</v>
      </c>
      <c r="I1257" s="12">
        <f>VLOOKUP(B1257,Orders!$A$2:$D$1201,3,FALSE)</f>
        <v>46173</v>
      </c>
      <c r="L1257" t="str">
        <f>VLOOKUP(C1257,Products!$A$2:$D$13,2,FALSE)</f>
        <v>Storage Box</v>
      </c>
      <c r="M1257" t="str">
        <f t="shared" si="59"/>
        <v>2026-05</v>
      </c>
    </row>
    <row r="1258" spans="1:13">
      <c r="A1258">
        <v>1257</v>
      </c>
      <c r="B1258">
        <v>1606</v>
      </c>
      <c r="C1258">
        <v>2</v>
      </c>
      <c r="D1258">
        <v>4</v>
      </c>
      <c r="E1258">
        <v>220</v>
      </c>
      <c r="F1258">
        <f t="shared" si="57"/>
        <v>880</v>
      </c>
      <c r="G1258" t="str">
        <f>VLOOKUP(B1258,Orders!$A$2:$D$1201,4,FALSE)</f>
        <v>Delivered</v>
      </c>
      <c r="H1258">
        <f t="shared" si="58"/>
        <v>880</v>
      </c>
      <c r="I1258" s="12">
        <f>VLOOKUP(B1258,Orders!$A$2:$D$1201,3,FALSE)</f>
        <v>46173</v>
      </c>
      <c r="L1258" t="str">
        <f>VLOOKUP(C1258,Products!$A$2:$D$13,2,FALSE)</f>
        <v>Monitor</v>
      </c>
      <c r="M1258" t="str">
        <f t="shared" si="59"/>
        <v>2026-05</v>
      </c>
    </row>
    <row r="1259" spans="1:13">
      <c r="A1259">
        <v>1258</v>
      </c>
      <c r="B1259">
        <v>1607</v>
      </c>
      <c r="C1259">
        <v>1</v>
      </c>
      <c r="D1259">
        <v>1</v>
      </c>
      <c r="E1259">
        <v>750</v>
      </c>
      <c r="F1259">
        <f t="shared" si="57"/>
        <v>750</v>
      </c>
      <c r="G1259" t="str">
        <f>VLOOKUP(B1259,Orders!$A$2:$D$1201,4,FALSE)</f>
        <v>Delivered</v>
      </c>
      <c r="H1259">
        <f t="shared" si="58"/>
        <v>750</v>
      </c>
      <c r="I1259" s="12">
        <f>VLOOKUP(B1259,Orders!$A$2:$D$1201,3,FALSE)</f>
        <v>46115</v>
      </c>
      <c r="L1259" t="str">
        <f>VLOOKUP(C1259,Products!$A$2:$D$13,2,FALSE)</f>
        <v>Laptop</v>
      </c>
      <c r="M1259" t="str">
        <f t="shared" si="59"/>
        <v>2026-04</v>
      </c>
    </row>
    <row r="1260" spans="1:13">
      <c r="A1260">
        <v>1259</v>
      </c>
      <c r="B1260">
        <v>1607</v>
      </c>
      <c r="C1260">
        <v>11</v>
      </c>
      <c r="D1260">
        <v>1</v>
      </c>
      <c r="E1260">
        <v>48</v>
      </c>
      <c r="F1260">
        <f t="shared" si="57"/>
        <v>48</v>
      </c>
      <c r="G1260" t="str">
        <f>VLOOKUP(B1260,Orders!$A$2:$D$1201,4,FALSE)</f>
        <v>Delivered</v>
      </c>
      <c r="H1260">
        <f t="shared" si="58"/>
        <v>48</v>
      </c>
      <c r="I1260" s="12">
        <f>VLOOKUP(B1260,Orders!$A$2:$D$1201,3,FALSE)</f>
        <v>46115</v>
      </c>
      <c r="L1260" t="str">
        <f>VLOOKUP(C1260,Products!$A$2:$D$13,2,FALSE)</f>
        <v>Backpack</v>
      </c>
      <c r="M1260" t="str">
        <f t="shared" si="59"/>
        <v>2026-04</v>
      </c>
    </row>
    <row r="1261" spans="1:13">
      <c r="A1261">
        <v>1260</v>
      </c>
      <c r="B1261">
        <v>1608</v>
      </c>
      <c r="C1261">
        <v>2</v>
      </c>
      <c r="D1261">
        <v>4</v>
      </c>
      <c r="E1261">
        <v>220</v>
      </c>
      <c r="F1261">
        <f t="shared" si="57"/>
        <v>880</v>
      </c>
      <c r="G1261" t="str">
        <f>VLOOKUP(B1261,Orders!$A$2:$D$1201,4,FALSE)</f>
        <v>Delivered</v>
      </c>
      <c r="H1261">
        <f t="shared" si="58"/>
        <v>880</v>
      </c>
      <c r="I1261" s="12">
        <f>VLOOKUP(B1261,Orders!$A$2:$D$1201,3,FALSE)</f>
        <v>46121</v>
      </c>
      <c r="L1261" t="str">
        <f>VLOOKUP(C1261,Products!$A$2:$D$13,2,FALSE)</f>
        <v>Monitor</v>
      </c>
      <c r="M1261" t="str">
        <f t="shared" si="59"/>
        <v>2026-04</v>
      </c>
    </row>
    <row r="1262" spans="1:13">
      <c r="A1262">
        <v>1261</v>
      </c>
      <c r="B1262">
        <v>1608</v>
      </c>
      <c r="C1262">
        <v>9</v>
      </c>
      <c r="D1262">
        <v>4</v>
      </c>
      <c r="E1262">
        <v>30</v>
      </c>
      <c r="F1262">
        <f t="shared" si="57"/>
        <v>120</v>
      </c>
      <c r="G1262" t="str">
        <f>VLOOKUP(B1262,Orders!$A$2:$D$1201,4,FALSE)</f>
        <v>Delivered</v>
      </c>
      <c r="H1262">
        <f t="shared" si="58"/>
        <v>120</v>
      </c>
      <c r="I1262" s="12">
        <f>VLOOKUP(B1262,Orders!$A$2:$D$1201,3,FALSE)</f>
        <v>46121</v>
      </c>
      <c r="L1262" t="str">
        <f>VLOOKUP(C1262,Products!$A$2:$D$13,2,FALSE)</f>
        <v>Lamp</v>
      </c>
      <c r="M1262" t="str">
        <f t="shared" si="59"/>
        <v>2026-04</v>
      </c>
    </row>
    <row r="1263" spans="1:13">
      <c r="A1263">
        <v>1262</v>
      </c>
      <c r="B1263">
        <v>1608</v>
      </c>
      <c r="C1263">
        <v>4</v>
      </c>
      <c r="D1263">
        <v>1</v>
      </c>
      <c r="E1263">
        <v>25</v>
      </c>
      <c r="F1263">
        <f t="shared" si="57"/>
        <v>25</v>
      </c>
      <c r="G1263" t="str">
        <f>VLOOKUP(B1263,Orders!$A$2:$D$1201,4,FALSE)</f>
        <v>Delivered</v>
      </c>
      <c r="H1263">
        <f t="shared" si="58"/>
        <v>25</v>
      </c>
      <c r="I1263" s="12">
        <f>VLOOKUP(B1263,Orders!$A$2:$D$1201,3,FALSE)</f>
        <v>46121</v>
      </c>
      <c r="L1263" t="str">
        <f>VLOOKUP(C1263,Products!$A$2:$D$13,2,FALSE)</f>
        <v>Mouse</v>
      </c>
      <c r="M1263" t="str">
        <f t="shared" si="59"/>
        <v>2026-04</v>
      </c>
    </row>
    <row r="1264" spans="1:13">
      <c r="A1264">
        <v>1263</v>
      </c>
      <c r="B1264">
        <v>1609</v>
      </c>
      <c r="C1264">
        <v>4</v>
      </c>
      <c r="D1264">
        <v>4</v>
      </c>
      <c r="E1264">
        <v>25</v>
      </c>
      <c r="F1264">
        <f t="shared" si="57"/>
        <v>100</v>
      </c>
      <c r="G1264" t="str">
        <f>VLOOKUP(B1264,Orders!$A$2:$D$1201,4,FALSE)</f>
        <v>Delivered</v>
      </c>
      <c r="H1264">
        <f t="shared" si="58"/>
        <v>100</v>
      </c>
      <c r="I1264" s="12">
        <f>VLOOKUP(B1264,Orders!$A$2:$D$1201,3,FALSE)</f>
        <v>46100</v>
      </c>
      <c r="L1264" t="str">
        <f>VLOOKUP(C1264,Products!$A$2:$D$13,2,FALSE)</f>
        <v>Mouse</v>
      </c>
      <c r="M1264" t="str">
        <f t="shared" si="59"/>
        <v>2026-03</v>
      </c>
    </row>
    <row r="1265" spans="1:13">
      <c r="A1265">
        <v>1264</v>
      </c>
      <c r="B1265">
        <v>1609</v>
      </c>
      <c r="C1265">
        <v>3</v>
      </c>
      <c r="D1265">
        <v>3</v>
      </c>
      <c r="E1265">
        <v>45</v>
      </c>
      <c r="F1265">
        <f t="shared" si="57"/>
        <v>135</v>
      </c>
      <c r="G1265" t="str">
        <f>VLOOKUP(B1265,Orders!$A$2:$D$1201,4,FALSE)</f>
        <v>Delivered</v>
      </c>
      <c r="H1265">
        <f t="shared" si="58"/>
        <v>135</v>
      </c>
      <c r="I1265" s="12">
        <f>VLOOKUP(B1265,Orders!$A$2:$D$1201,3,FALSE)</f>
        <v>46100</v>
      </c>
      <c r="L1265" t="str">
        <f>VLOOKUP(C1265,Products!$A$2:$D$13,2,FALSE)</f>
        <v>Keyboard</v>
      </c>
      <c r="M1265" t="str">
        <f t="shared" si="59"/>
        <v>2026-03</v>
      </c>
    </row>
    <row r="1266" spans="1:13">
      <c r="A1266">
        <v>1265</v>
      </c>
      <c r="B1266">
        <v>1610</v>
      </c>
      <c r="C1266">
        <v>12</v>
      </c>
      <c r="D1266">
        <v>3</v>
      </c>
      <c r="E1266">
        <v>22</v>
      </c>
      <c r="F1266">
        <f t="shared" si="57"/>
        <v>66</v>
      </c>
      <c r="G1266" t="str">
        <f>VLOOKUP(B1266,Orders!$A$2:$D$1201,4,FALSE)</f>
        <v>Cancelled</v>
      </c>
      <c r="H1266">
        <f t="shared" si="58"/>
        <v>0</v>
      </c>
      <c r="I1266" s="12">
        <f>VLOOKUP(B1266,Orders!$A$2:$D$1201,3,FALSE)</f>
        <v>46093</v>
      </c>
      <c r="L1266" t="str">
        <f>VLOOKUP(C1266,Products!$A$2:$D$13,2,FALSE)</f>
        <v>Storage Box</v>
      </c>
      <c r="M1266" t="str">
        <f t="shared" si="59"/>
        <v>2026-03</v>
      </c>
    </row>
    <row r="1267" spans="1:13">
      <c r="A1267">
        <v>1266</v>
      </c>
      <c r="B1267">
        <v>1610</v>
      </c>
      <c r="C1267">
        <v>7</v>
      </c>
      <c r="D1267">
        <v>4</v>
      </c>
      <c r="E1267">
        <v>65</v>
      </c>
      <c r="F1267">
        <f t="shared" si="57"/>
        <v>260</v>
      </c>
      <c r="G1267" t="str">
        <f>VLOOKUP(B1267,Orders!$A$2:$D$1201,4,FALSE)</f>
        <v>Cancelled</v>
      </c>
      <c r="H1267">
        <f t="shared" si="58"/>
        <v>0</v>
      </c>
      <c r="I1267" s="12">
        <f>VLOOKUP(B1267,Orders!$A$2:$D$1201,3,FALSE)</f>
        <v>46093</v>
      </c>
      <c r="L1267" t="str">
        <f>VLOOKUP(C1267,Products!$A$2:$D$13,2,FALSE)</f>
        <v>Headphones</v>
      </c>
      <c r="M1267" t="str">
        <f t="shared" si="59"/>
        <v>2026-03</v>
      </c>
    </row>
    <row r="1268" spans="1:13">
      <c r="A1268">
        <v>1267</v>
      </c>
      <c r="B1268">
        <v>1611</v>
      </c>
      <c r="C1268">
        <v>2</v>
      </c>
      <c r="D1268">
        <v>3</v>
      </c>
      <c r="E1268">
        <v>220</v>
      </c>
      <c r="F1268">
        <f t="shared" si="57"/>
        <v>660</v>
      </c>
      <c r="G1268" t="str">
        <f>VLOOKUP(B1268,Orders!$A$2:$D$1201,4,FALSE)</f>
        <v>Delivered</v>
      </c>
      <c r="H1268">
        <f t="shared" si="58"/>
        <v>660</v>
      </c>
      <c r="I1268" s="12">
        <f>VLOOKUP(B1268,Orders!$A$2:$D$1201,3,FALSE)</f>
        <v>46048</v>
      </c>
      <c r="L1268" t="str">
        <f>VLOOKUP(C1268,Products!$A$2:$D$13,2,FALSE)</f>
        <v>Monitor</v>
      </c>
      <c r="M1268" t="str">
        <f t="shared" si="59"/>
        <v>2026-01</v>
      </c>
    </row>
    <row r="1269" spans="1:13">
      <c r="A1269">
        <v>1268</v>
      </c>
      <c r="B1269">
        <v>1611</v>
      </c>
      <c r="C1269">
        <v>6</v>
      </c>
      <c r="D1269">
        <v>4</v>
      </c>
      <c r="E1269">
        <v>140</v>
      </c>
      <c r="F1269">
        <f t="shared" si="57"/>
        <v>560</v>
      </c>
      <c r="G1269" t="str">
        <f>VLOOKUP(B1269,Orders!$A$2:$D$1201,4,FALSE)</f>
        <v>Delivered</v>
      </c>
      <c r="H1269">
        <f t="shared" si="58"/>
        <v>560</v>
      </c>
      <c r="I1269" s="12">
        <f>VLOOKUP(B1269,Orders!$A$2:$D$1201,3,FALSE)</f>
        <v>46048</v>
      </c>
      <c r="L1269" t="str">
        <f>VLOOKUP(C1269,Products!$A$2:$D$13,2,FALSE)</f>
        <v>Chair</v>
      </c>
      <c r="M1269" t="str">
        <f t="shared" si="59"/>
        <v>2026-01</v>
      </c>
    </row>
    <row r="1270" spans="1:13">
      <c r="A1270">
        <v>1269</v>
      </c>
      <c r="B1270">
        <v>1611</v>
      </c>
      <c r="C1270">
        <v>7</v>
      </c>
      <c r="D1270">
        <v>1</v>
      </c>
      <c r="E1270">
        <v>65</v>
      </c>
      <c r="F1270">
        <f t="shared" si="57"/>
        <v>65</v>
      </c>
      <c r="G1270" t="str">
        <f>VLOOKUP(B1270,Orders!$A$2:$D$1201,4,FALSE)</f>
        <v>Delivered</v>
      </c>
      <c r="H1270">
        <f t="shared" si="58"/>
        <v>65</v>
      </c>
      <c r="I1270" s="12">
        <f>VLOOKUP(B1270,Orders!$A$2:$D$1201,3,FALSE)</f>
        <v>46048</v>
      </c>
      <c r="L1270" t="str">
        <f>VLOOKUP(C1270,Products!$A$2:$D$13,2,FALSE)</f>
        <v>Headphones</v>
      </c>
      <c r="M1270" t="str">
        <f t="shared" si="59"/>
        <v>2026-01</v>
      </c>
    </row>
    <row r="1271" spans="1:13">
      <c r="A1271">
        <v>1270</v>
      </c>
      <c r="B1271">
        <v>1612</v>
      </c>
      <c r="C1271">
        <v>11</v>
      </c>
      <c r="D1271">
        <v>3</v>
      </c>
      <c r="E1271">
        <v>48</v>
      </c>
      <c r="F1271">
        <f t="shared" si="57"/>
        <v>144</v>
      </c>
      <c r="G1271" t="str">
        <f>VLOOKUP(B1271,Orders!$A$2:$D$1201,4,FALSE)</f>
        <v>Delivered</v>
      </c>
      <c r="H1271">
        <f t="shared" si="58"/>
        <v>144</v>
      </c>
      <c r="I1271" s="12">
        <f>VLOOKUP(B1271,Orders!$A$2:$D$1201,3,FALSE)</f>
        <v>46187</v>
      </c>
      <c r="L1271" t="str">
        <f>VLOOKUP(C1271,Products!$A$2:$D$13,2,FALSE)</f>
        <v>Backpack</v>
      </c>
      <c r="M1271" t="str">
        <f t="shared" si="59"/>
        <v>2026-06</v>
      </c>
    </row>
    <row r="1272" spans="1:13">
      <c r="A1272">
        <v>1271</v>
      </c>
      <c r="B1272">
        <v>1613</v>
      </c>
      <c r="C1272">
        <v>8</v>
      </c>
      <c r="D1272">
        <v>2</v>
      </c>
      <c r="E1272">
        <v>55</v>
      </c>
      <c r="F1272">
        <f t="shared" si="57"/>
        <v>110</v>
      </c>
      <c r="G1272" t="str">
        <f>VLOOKUP(B1272,Orders!$A$2:$D$1201,4,FALSE)</f>
        <v>Delivered</v>
      </c>
      <c r="H1272">
        <f t="shared" si="58"/>
        <v>110</v>
      </c>
      <c r="I1272" s="12">
        <f>VLOOKUP(B1272,Orders!$A$2:$D$1201,3,FALSE)</f>
        <v>46189</v>
      </c>
      <c r="L1272" t="str">
        <f>VLOOKUP(C1272,Products!$A$2:$D$13,2,FALSE)</f>
        <v>Webcam</v>
      </c>
      <c r="M1272" t="str">
        <f t="shared" si="59"/>
        <v>2026-06</v>
      </c>
    </row>
    <row r="1273" spans="1:13">
      <c r="A1273">
        <v>1272</v>
      </c>
      <c r="B1273">
        <v>1613</v>
      </c>
      <c r="C1273">
        <v>12</v>
      </c>
      <c r="D1273">
        <v>3</v>
      </c>
      <c r="E1273">
        <v>22</v>
      </c>
      <c r="F1273">
        <f t="shared" si="57"/>
        <v>66</v>
      </c>
      <c r="G1273" t="str">
        <f>VLOOKUP(B1273,Orders!$A$2:$D$1201,4,FALSE)</f>
        <v>Delivered</v>
      </c>
      <c r="H1273">
        <f t="shared" si="58"/>
        <v>66</v>
      </c>
      <c r="I1273" s="12">
        <f>VLOOKUP(B1273,Orders!$A$2:$D$1201,3,FALSE)</f>
        <v>46189</v>
      </c>
      <c r="L1273" t="str">
        <f>VLOOKUP(C1273,Products!$A$2:$D$13,2,FALSE)</f>
        <v>Storage Box</v>
      </c>
      <c r="M1273" t="str">
        <f t="shared" si="59"/>
        <v>2026-06</v>
      </c>
    </row>
    <row r="1274" spans="1:13">
      <c r="A1274">
        <v>1273</v>
      </c>
      <c r="B1274">
        <v>1614</v>
      </c>
      <c r="C1274">
        <v>7</v>
      </c>
      <c r="D1274">
        <v>4</v>
      </c>
      <c r="E1274">
        <v>65</v>
      </c>
      <c r="F1274">
        <f t="shared" si="57"/>
        <v>260</v>
      </c>
      <c r="G1274" t="str">
        <f>VLOOKUP(B1274,Orders!$A$2:$D$1201,4,FALSE)</f>
        <v>Delivered</v>
      </c>
      <c r="H1274">
        <f t="shared" si="58"/>
        <v>260</v>
      </c>
      <c r="I1274" s="12">
        <f>VLOOKUP(B1274,Orders!$A$2:$D$1201,3,FALSE)</f>
        <v>46073</v>
      </c>
      <c r="L1274" t="str">
        <f>VLOOKUP(C1274,Products!$A$2:$D$13,2,FALSE)</f>
        <v>Headphones</v>
      </c>
      <c r="M1274" t="str">
        <f t="shared" si="59"/>
        <v>2026-02</v>
      </c>
    </row>
    <row r="1275" spans="1:13">
      <c r="A1275">
        <v>1274</v>
      </c>
      <c r="B1275">
        <v>1615</v>
      </c>
      <c r="C1275">
        <v>8</v>
      </c>
      <c r="D1275">
        <v>2</v>
      </c>
      <c r="E1275">
        <v>55</v>
      </c>
      <c r="F1275">
        <f t="shared" si="57"/>
        <v>110</v>
      </c>
      <c r="G1275" t="str">
        <f>VLOOKUP(B1275,Orders!$A$2:$D$1201,4,FALSE)</f>
        <v>Delivered</v>
      </c>
      <c r="H1275">
        <f t="shared" si="58"/>
        <v>110</v>
      </c>
      <c r="I1275" s="12">
        <f>VLOOKUP(B1275,Orders!$A$2:$D$1201,3,FALSE)</f>
        <v>46165</v>
      </c>
      <c r="L1275" t="str">
        <f>VLOOKUP(C1275,Products!$A$2:$D$13,2,FALSE)</f>
        <v>Webcam</v>
      </c>
      <c r="M1275" t="str">
        <f t="shared" si="59"/>
        <v>2026-05</v>
      </c>
    </row>
    <row r="1276" spans="1:13">
      <c r="A1276">
        <v>1275</v>
      </c>
      <c r="B1276">
        <v>1616</v>
      </c>
      <c r="C1276">
        <v>6</v>
      </c>
      <c r="D1276">
        <v>2</v>
      </c>
      <c r="E1276">
        <v>140</v>
      </c>
      <c r="F1276">
        <f t="shared" si="57"/>
        <v>280</v>
      </c>
      <c r="G1276" t="str">
        <f>VLOOKUP(B1276,Orders!$A$2:$D$1201,4,FALSE)</f>
        <v>Delivered</v>
      </c>
      <c r="H1276">
        <f t="shared" si="58"/>
        <v>280</v>
      </c>
      <c r="I1276" s="12">
        <f>VLOOKUP(B1276,Orders!$A$2:$D$1201,3,FALSE)</f>
        <v>46132</v>
      </c>
      <c r="L1276" t="str">
        <f>VLOOKUP(C1276,Products!$A$2:$D$13,2,FALSE)</f>
        <v>Chair</v>
      </c>
      <c r="M1276" t="str">
        <f t="shared" si="59"/>
        <v>2026-04</v>
      </c>
    </row>
    <row r="1277" spans="1:13">
      <c r="A1277">
        <v>1276</v>
      </c>
      <c r="B1277">
        <v>1617</v>
      </c>
      <c r="C1277">
        <v>4</v>
      </c>
      <c r="D1277">
        <v>2</v>
      </c>
      <c r="E1277">
        <v>25</v>
      </c>
      <c r="F1277">
        <f t="shared" si="57"/>
        <v>50</v>
      </c>
      <c r="G1277" t="str">
        <f>VLOOKUP(B1277,Orders!$A$2:$D$1201,4,FALSE)</f>
        <v>Delivered</v>
      </c>
      <c r="H1277">
        <f t="shared" si="58"/>
        <v>50</v>
      </c>
      <c r="I1277" s="12">
        <f>VLOOKUP(B1277,Orders!$A$2:$D$1201,3,FALSE)</f>
        <v>46139</v>
      </c>
      <c r="L1277" t="str">
        <f>VLOOKUP(C1277,Products!$A$2:$D$13,2,FALSE)</f>
        <v>Mouse</v>
      </c>
      <c r="M1277" t="str">
        <f t="shared" si="59"/>
        <v>2026-04</v>
      </c>
    </row>
    <row r="1278" spans="1:13">
      <c r="A1278">
        <v>1277</v>
      </c>
      <c r="B1278">
        <v>1618</v>
      </c>
      <c r="C1278">
        <v>10</v>
      </c>
      <c r="D1278">
        <v>2</v>
      </c>
      <c r="E1278">
        <v>8</v>
      </c>
      <c r="F1278">
        <f t="shared" si="57"/>
        <v>16</v>
      </c>
      <c r="G1278" t="str">
        <f>VLOOKUP(B1278,Orders!$A$2:$D$1201,4,FALSE)</f>
        <v>Delivered</v>
      </c>
      <c r="H1278">
        <f t="shared" si="58"/>
        <v>16</v>
      </c>
      <c r="I1278" s="12">
        <f>VLOOKUP(B1278,Orders!$A$2:$D$1201,3,FALSE)</f>
        <v>46149</v>
      </c>
      <c r="L1278" t="str">
        <f>VLOOKUP(C1278,Products!$A$2:$D$13,2,FALSE)</f>
        <v>Notebook</v>
      </c>
      <c r="M1278" t="str">
        <f t="shared" si="59"/>
        <v>2026-05</v>
      </c>
    </row>
    <row r="1279" spans="1:13">
      <c r="A1279">
        <v>1278</v>
      </c>
      <c r="B1279">
        <v>1619</v>
      </c>
      <c r="C1279">
        <v>5</v>
      </c>
      <c r="D1279">
        <v>3</v>
      </c>
      <c r="E1279">
        <v>180</v>
      </c>
      <c r="F1279">
        <f t="shared" si="57"/>
        <v>540</v>
      </c>
      <c r="G1279" t="str">
        <f>VLOOKUP(B1279,Orders!$A$2:$D$1201,4,FALSE)</f>
        <v>Delivered</v>
      </c>
      <c r="H1279">
        <f t="shared" si="58"/>
        <v>540</v>
      </c>
      <c r="I1279" s="12">
        <f>VLOOKUP(B1279,Orders!$A$2:$D$1201,3,FALSE)</f>
        <v>46069</v>
      </c>
      <c r="L1279" t="str">
        <f>VLOOKUP(C1279,Products!$A$2:$D$13,2,FALSE)</f>
        <v>Desk</v>
      </c>
      <c r="M1279" t="str">
        <f t="shared" si="59"/>
        <v>2026-02</v>
      </c>
    </row>
    <row r="1280" spans="1:13">
      <c r="A1280">
        <v>1279</v>
      </c>
      <c r="B1280">
        <v>1620</v>
      </c>
      <c r="C1280">
        <v>8</v>
      </c>
      <c r="D1280">
        <v>2</v>
      </c>
      <c r="E1280">
        <v>55</v>
      </c>
      <c r="F1280">
        <f t="shared" si="57"/>
        <v>110</v>
      </c>
      <c r="G1280" t="str">
        <f>VLOOKUP(B1280,Orders!$A$2:$D$1201,4,FALSE)</f>
        <v>Delivered</v>
      </c>
      <c r="H1280">
        <f t="shared" si="58"/>
        <v>110</v>
      </c>
      <c r="I1280" s="12">
        <f>VLOOKUP(B1280,Orders!$A$2:$D$1201,3,FALSE)</f>
        <v>46198</v>
      </c>
      <c r="L1280" t="str">
        <f>VLOOKUP(C1280,Products!$A$2:$D$13,2,FALSE)</f>
        <v>Webcam</v>
      </c>
      <c r="M1280" t="str">
        <f t="shared" si="59"/>
        <v>2026-06</v>
      </c>
    </row>
    <row r="1281" spans="1:13">
      <c r="A1281">
        <v>1280</v>
      </c>
      <c r="B1281">
        <v>1621</v>
      </c>
      <c r="C1281">
        <v>2</v>
      </c>
      <c r="D1281">
        <v>1</v>
      </c>
      <c r="E1281">
        <v>220</v>
      </c>
      <c r="F1281">
        <f t="shared" si="57"/>
        <v>220</v>
      </c>
      <c r="G1281" t="str">
        <f>VLOOKUP(B1281,Orders!$A$2:$D$1201,4,FALSE)</f>
        <v>Delivered</v>
      </c>
      <c r="H1281">
        <f t="shared" si="58"/>
        <v>220</v>
      </c>
      <c r="I1281" s="12">
        <f>VLOOKUP(B1281,Orders!$A$2:$D$1201,3,FALSE)</f>
        <v>46121</v>
      </c>
      <c r="L1281" t="str">
        <f>VLOOKUP(C1281,Products!$A$2:$D$13,2,FALSE)</f>
        <v>Monitor</v>
      </c>
      <c r="M1281" t="str">
        <f t="shared" si="59"/>
        <v>2026-04</v>
      </c>
    </row>
    <row r="1282" spans="1:13">
      <c r="A1282">
        <v>1281</v>
      </c>
      <c r="B1282">
        <v>1622</v>
      </c>
      <c r="C1282">
        <v>5</v>
      </c>
      <c r="D1282">
        <v>4</v>
      </c>
      <c r="E1282">
        <v>180</v>
      </c>
      <c r="F1282">
        <f t="shared" si="57"/>
        <v>720</v>
      </c>
      <c r="G1282" t="str">
        <f>VLOOKUP(B1282,Orders!$A$2:$D$1201,4,FALSE)</f>
        <v>Shipped</v>
      </c>
      <c r="H1282">
        <f t="shared" si="58"/>
        <v>720</v>
      </c>
      <c r="I1282" s="12">
        <f>VLOOKUP(B1282,Orders!$A$2:$D$1201,3,FALSE)</f>
        <v>46178</v>
      </c>
      <c r="L1282" t="str">
        <f>VLOOKUP(C1282,Products!$A$2:$D$13,2,FALSE)</f>
        <v>Desk</v>
      </c>
      <c r="M1282" t="str">
        <f t="shared" si="59"/>
        <v>2026-06</v>
      </c>
    </row>
    <row r="1283" spans="1:13">
      <c r="A1283">
        <v>1282</v>
      </c>
      <c r="B1283">
        <v>1623</v>
      </c>
      <c r="C1283">
        <v>10</v>
      </c>
      <c r="D1283">
        <v>2</v>
      </c>
      <c r="E1283">
        <v>8</v>
      </c>
      <c r="F1283">
        <f t="shared" ref="F1283:F1346" si="60">D1283*E1283</f>
        <v>16</v>
      </c>
      <c r="G1283" t="str">
        <f>VLOOKUP(B1283,Orders!$A$2:$D$1201,4,FALSE)</f>
        <v>Delivered</v>
      </c>
      <c r="H1283">
        <f t="shared" ref="H1283:H1346" si="61">IF(G1283="Cancelled",0,F1283)</f>
        <v>16</v>
      </c>
      <c r="I1283" s="12">
        <f>VLOOKUP(B1283,Orders!$A$2:$D$1201,3,FALSE)</f>
        <v>46194</v>
      </c>
      <c r="L1283" t="str">
        <f>VLOOKUP(C1283,Products!$A$2:$D$13,2,FALSE)</f>
        <v>Notebook</v>
      </c>
      <c r="M1283" t="str">
        <f t="shared" ref="M1283:M1346" si="62">TEXT(I1283,"yyyy-mm")</f>
        <v>2026-06</v>
      </c>
    </row>
    <row r="1284" spans="1:13">
      <c r="A1284">
        <v>1283</v>
      </c>
      <c r="B1284">
        <v>1624</v>
      </c>
      <c r="C1284">
        <v>3</v>
      </c>
      <c r="D1284">
        <v>1</v>
      </c>
      <c r="E1284">
        <v>45</v>
      </c>
      <c r="F1284">
        <f t="shared" si="60"/>
        <v>45</v>
      </c>
      <c r="G1284" t="str">
        <f>VLOOKUP(B1284,Orders!$A$2:$D$1201,4,FALSE)</f>
        <v>Delivered</v>
      </c>
      <c r="H1284">
        <f t="shared" si="61"/>
        <v>45</v>
      </c>
      <c r="I1284" s="12">
        <f>VLOOKUP(B1284,Orders!$A$2:$D$1201,3,FALSE)</f>
        <v>46056</v>
      </c>
      <c r="L1284" t="str">
        <f>VLOOKUP(C1284,Products!$A$2:$D$13,2,FALSE)</f>
        <v>Keyboard</v>
      </c>
      <c r="M1284" t="str">
        <f t="shared" si="62"/>
        <v>2026-02</v>
      </c>
    </row>
    <row r="1285" spans="1:13">
      <c r="A1285">
        <v>1284</v>
      </c>
      <c r="B1285">
        <v>1624</v>
      </c>
      <c r="C1285">
        <v>5</v>
      </c>
      <c r="D1285">
        <v>3</v>
      </c>
      <c r="E1285">
        <v>180</v>
      </c>
      <c r="F1285">
        <f t="shared" si="60"/>
        <v>540</v>
      </c>
      <c r="G1285" t="str">
        <f>VLOOKUP(B1285,Orders!$A$2:$D$1201,4,FALSE)</f>
        <v>Delivered</v>
      </c>
      <c r="H1285">
        <f t="shared" si="61"/>
        <v>540</v>
      </c>
      <c r="I1285" s="12">
        <f>VLOOKUP(B1285,Orders!$A$2:$D$1201,3,FALSE)</f>
        <v>46056</v>
      </c>
      <c r="L1285" t="str">
        <f>VLOOKUP(C1285,Products!$A$2:$D$13,2,FALSE)</f>
        <v>Desk</v>
      </c>
      <c r="M1285" t="str">
        <f t="shared" si="62"/>
        <v>2026-02</v>
      </c>
    </row>
    <row r="1286" spans="1:13">
      <c r="A1286">
        <v>1285</v>
      </c>
      <c r="B1286">
        <v>1625</v>
      </c>
      <c r="C1286">
        <v>10</v>
      </c>
      <c r="D1286">
        <v>3</v>
      </c>
      <c r="E1286">
        <v>8</v>
      </c>
      <c r="F1286">
        <f t="shared" si="60"/>
        <v>24</v>
      </c>
      <c r="G1286" t="str">
        <f>VLOOKUP(B1286,Orders!$A$2:$D$1201,4,FALSE)</f>
        <v>Shipped</v>
      </c>
      <c r="H1286">
        <f t="shared" si="61"/>
        <v>24</v>
      </c>
      <c r="I1286" s="12">
        <f>VLOOKUP(B1286,Orders!$A$2:$D$1201,3,FALSE)</f>
        <v>46115</v>
      </c>
      <c r="L1286" t="str">
        <f>VLOOKUP(C1286,Products!$A$2:$D$13,2,FALSE)</f>
        <v>Notebook</v>
      </c>
      <c r="M1286" t="str">
        <f t="shared" si="62"/>
        <v>2026-04</v>
      </c>
    </row>
    <row r="1287" spans="1:13">
      <c r="A1287">
        <v>1286</v>
      </c>
      <c r="B1287">
        <v>1625</v>
      </c>
      <c r="C1287">
        <v>5</v>
      </c>
      <c r="D1287">
        <v>4</v>
      </c>
      <c r="E1287">
        <v>180</v>
      </c>
      <c r="F1287">
        <f t="shared" si="60"/>
        <v>720</v>
      </c>
      <c r="G1287" t="str">
        <f>VLOOKUP(B1287,Orders!$A$2:$D$1201,4,FALSE)</f>
        <v>Shipped</v>
      </c>
      <c r="H1287">
        <f t="shared" si="61"/>
        <v>720</v>
      </c>
      <c r="I1287" s="12">
        <f>VLOOKUP(B1287,Orders!$A$2:$D$1201,3,FALSE)</f>
        <v>46115</v>
      </c>
      <c r="L1287" t="str">
        <f>VLOOKUP(C1287,Products!$A$2:$D$13,2,FALSE)</f>
        <v>Desk</v>
      </c>
      <c r="M1287" t="str">
        <f t="shared" si="62"/>
        <v>2026-04</v>
      </c>
    </row>
    <row r="1288" spans="1:13">
      <c r="A1288">
        <v>1287</v>
      </c>
      <c r="B1288">
        <v>1626</v>
      </c>
      <c r="C1288">
        <v>11</v>
      </c>
      <c r="D1288">
        <v>1</v>
      </c>
      <c r="E1288">
        <v>48</v>
      </c>
      <c r="F1288">
        <f t="shared" si="60"/>
        <v>48</v>
      </c>
      <c r="G1288" t="str">
        <f>VLOOKUP(B1288,Orders!$A$2:$D$1201,4,FALSE)</f>
        <v>Delivered</v>
      </c>
      <c r="H1288">
        <f t="shared" si="61"/>
        <v>48</v>
      </c>
      <c r="I1288" s="12">
        <f>VLOOKUP(B1288,Orders!$A$2:$D$1201,3,FALSE)</f>
        <v>46148</v>
      </c>
      <c r="L1288" t="str">
        <f>VLOOKUP(C1288,Products!$A$2:$D$13,2,FALSE)</f>
        <v>Backpack</v>
      </c>
      <c r="M1288" t="str">
        <f t="shared" si="62"/>
        <v>2026-05</v>
      </c>
    </row>
    <row r="1289" spans="1:13">
      <c r="A1289">
        <v>1288</v>
      </c>
      <c r="B1289">
        <v>1626</v>
      </c>
      <c r="C1289">
        <v>12</v>
      </c>
      <c r="D1289">
        <v>2</v>
      </c>
      <c r="E1289">
        <v>22</v>
      </c>
      <c r="F1289">
        <f t="shared" si="60"/>
        <v>44</v>
      </c>
      <c r="G1289" t="str">
        <f>VLOOKUP(B1289,Orders!$A$2:$D$1201,4,FALSE)</f>
        <v>Delivered</v>
      </c>
      <c r="H1289">
        <f t="shared" si="61"/>
        <v>44</v>
      </c>
      <c r="I1289" s="12">
        <f>VLOOKUP(B1289,Orders!$A$2:$D$1201,3,FALSE)</f>
        <v>46148</v>
      </c>
      <c r="L1289" t="str">
        <f>VLOOKUP(C1289,Products!$A$2:$D$13,2,FALSE)</f>
        <v>Storage Box</v>
      </c>
      <c r="M1289" t="str">
        <f t="shared" si="62"/>
        <v>2026-05</v>
      </c>
    </row>
    <row r="1290" spans="1:13">
      <c r="A1290">
        <v>1289</v>
      </c>
      <c r="B1290">
        <v>1626</v>
      </c>
      <c r="C1290">
        <v>8</v>
      </c>
      <c r="D1290">
        <v>2</v>
      </c>
      <c r="E1290">
        <v>55</v>
      </c>
      <c r="F1290">
        <f t="shared" si="60"/>
        <v>110</v>
      </c>
      <c r="G1290" t="str">
        <f>VLOOKUP(B1290,Orders!$A$2:$D$1201,4,FALSE)</f>
        <v>Delivered</v>
      </c>
      <c r="H1290">
        <f t="shared" si="61"/>
        <v>110</v>
      </c>
      <c r="I1290" s="12">
        <f>VLOOKUP(B1290,Orders!$A$2:$D$1201,3,FALSE)</f>
        <v>46148</v>
      </c>
      <c r="L1290" t="str">
        <f>VLOOKUP(C1290,Products!$A$2:$D$13,2,FALSE)</f>
        <v>Webcam</v>
      </c>
      <c r="M1290" t="str">
        <f t="shared" si="62"/>
        <v>2026-05</v>
      </c>
    </row>
    <row r="1291" spans="1:13">
      <c r="A1291">
        <v>1290</v>
      </c>
      <c r="B1291">
        <v>1627</v>
      </c>
      <c r="C1291">
        <v>1</v>
      </c>
      <c r="D1291">
        <v>3</v>
      </c>
      <c r="E1291">
        <v>750</v>
      </c>
      <c r="F1291">
        <f t="shared" si="60"/>
        <v>2250</v>
      </c>
      <c r="G1291" t="str">
        <f>VLOOKUP(B1291,Orders!$A$2:$D$1201,4,FALSE)</f>
        <v>Delivered</v>
      </c>
      <c r="H1291">
        <f t="shared" si="61"/>
        <v>2250</v>
      </c>
      <c r="I1291" s="12">
        <f>VLOOKUP(B1291,Orders!$A$2:$D$1201,3,FALSE)</f>
        <v>46203</v>
      </c>
      <c r="L1291" t="str">
        <f>VLOOKUP(C1291,Products!$A$2:$D$13,2,FALSE)</f>
        <v>Laptop</v>
      </c>
      <c r="M1291" t="str">
        <f t="shared" si="62"/>
        <v>2026-06</v>
      </c>
    </row>
    <row r="1292" spans="1:13">
      <c r="A1292">
        <v>1291</v>
      </c>
      <c r="B1292">
        <v>1627</v>
      </c>
      <c r="C1292">
        <v>8</v>
      </c>
      <c r="D1292">
        <v>4</v>
      </c>
      <c r="E1292">
        <v>55</v>
      </c>
      <c r="F1292">
        <f t="shared" si="60"/>
        <v>220</v>
      </c>
      <c r="G1292" t="str">
        <f>VLOOKUP(B1292,Orders!$A$2:$D$1201,4,FALSE)</f>
        <v>Delivered</v>
      </c>
      <c r="H1292">
        <f t="shared" si="61"/>
        <v>220</v>
      </c>
      <c r="I1292" s="12">
        <f>VLOOKUP(B1292,Orders!$A$2:$D$1201,3,FALSE)</f>
        <v>46203</v>
      </c>
      <c r="L1292" t="str">
        <f>VLOOKUP(C1292,Products!$A$2:$D$13,2,FALSE)</f>
        <v>Webcam</v>
      </c>
      <c r="M1292" t="str">
        <f t="shared" si="62"/>
        <v>2026-06</v>
      </c>
    </row>
    <row r="1293" spans="1:13">
      <c r="A1293">
        <v>1292</v>
      </c>
      <c r="B1293">
        <v>1628</v>
      </c>
      <c r="C1293">
        <v>3</v>
      </c>
      <c r="D1293">
        <v>3</v>
      </c>
      <c r="E1293">
        <v>45</v>
      </c>
      <c r="F1293">
        <f t="shared" si="60"/>
        <v>135</v>
      </c>
      <c r="G1293" t="str">
        <f>VLOOKUP(B1293,Orders!$A$2:$D$1201,4,FALSE)</f>
        <v>Delivered</v>
      </c>
      <c r="H1293">
        <f t="shared" si="61"/>
        <v>135</v>
      </c>
      <c r="I1293" s="12">
        <f>VLOOKUP(B1293,Orders!$A$2:$D$1201,3,FALSE)</f>
        <v>46054</v>
      </c>
      <c r="L1293" t="str">
        <f>VLOOKUP(C1293,Products!$A$2:$D$13,2,FALSE)</f>
        <v>Keyboard</v>
      </c>
      <c r="M1293" t="str">
        <f t="shared" si="62"/>
        <v>2026-02</v>
      </c>
    </row>
    <row r="1294" spans="1:13">
      <c r="A1294">
        <v>1293</v>
      </c>
      <c r="B1294">
        <v>1628</v>
      </c>
      <c r="C1294">
        <v>12</v>
      </c>
      <c r="D1294">
        <v>2</v>
      </c>
      <c r="E1294">
        <v>22</v>
      </c>
      <c r="F1294">
        <f t="shared" si="60"/>
        <v>44</v>
      </c>
      <c r="G1294" t="str">
        <f>VLOOKUP(B1294,Orders!$A$2:$D$1201,4,FALSE)</f>
        <v>Delivered</v>
      </c>
      <c r="H1294">
        <f t="shared" si="61"/>
        <v>44</v>
      </c>
      <c r="I1294" s="12">
        <f>VLOOKUP(B1294,Orders!$A$2:$D$1201,3,FALSE)</f>
        <v>46054</v>
      </c>
      <c r="L1294" t="str">
        <f>VLOOKUP(C1294,Products!$A$2:$D$13,2,FALSE)</f>
        <v>Storage Box</v>
      </c>
      <c r="M1294" t="str">
        <f t="shared" si="62"/>
        <v>2026-02</v>
      </c>
    </row>
    <row r="1295" spans="1:13">
      <c r="A1295">
        <v>1294</v>
      </c>
      <c r="B1295">
        <v>1629</v>
      </c>
      <c r="C1295">
        <v>8</v>
      </c>
      <c r="D1295">
        <v>1</v>
      </c>
      <c r="E1295">
        <v>55</v>
      </c>
      <c r="F1295">
        <f t="shared" si="60"/>
        <v>55</v>
      </c>
      <c r="G1295" t="str">
        <f>VLOOKUP(B1295,Orders!$A$2:$D$1201,4,FALSE)</f>
        <v>Delivered</v>
      </c>
      <c r="H1295">
        <f t="shared" si="61"/>
        <v>55</v>
      </c>
      <c r="I1295" s="12">
        <f>VLOOKUP(B1295,Orders!$A$2:$D$1201,3,FALSE)</f>
        <v>46069</v>
      </c>
      <c r="L1295" t="str">
        <f>VLOOKUP(C1295,Products!$A$2:$D$13,2,FALSE)</f>
        <v>Webcam</v>
      </c>
      <c r="M1295" t="str">
        <f t="shared" si="62"/>
        <v>2026-02</v>
      </c>
    </row>
    <row r="1296" spans="1:13">
      <c r="A1296">
        <v>1295</v>
      </c>
      <c r="B1296">
        <v>1630</v>
      </c>
      <c r="C1296">
        <v>3</v>
      </c>
      <c r="D1296">
        <v>1</v>
      </c>
      <c r="E1296">
        <v>45</v>
      </c>
      <c r="F1296">
        <f t="shared" si="60"/>
        <v>45</v>
      </c>
      <c r="G1296" t="str">
        <f>VLOOKUP(B1296,Orders!$A$2:$D$1201,4,FALSE)</f>
        <v>Delivered</v>
      </c>
      <c r="H1296">
        <f t="shared" si="61"/>
        <v>45</v>
      </c>
      <c r="I1296" s="12">
        <f>VLOOKUP(B1296,Orders!$A$2:$D$1201,3,FALSE)</f>
        <v>46054</v>
      </c>
      <c r="L1296" t="str">
        <f>VLOOKUP(C1296,Products!$A$2:$D$13,2,FALSE)</f>
        <v>Keyboard</v>
      </c>
      <c r="M1296" t="str">
        <f t="shared" si="62"/>
        <v>2026-02</v>
      </c>
    </row>
    <row r="1297" spans="1:13">
      <c r="A1297">
        <v>1296</v>
      </c>
      <c r="B1297">
        <v>1630</v>
      </c>
      <c r="C1297">
        <v>1</v>
      </c>
      <c r="D1297">
        <v>4</v>
      </c>
      <c r="E1297">
        <v>750</v>
      </c>
      <c r="F1297">
        <f t="shared" si="60"/>
        <v>3000</v>
      </c>
      <c r="G1297" t="str">
        <f>VLOOKUP(B1297,Orders!$A$2:$D$1201,4,FALSE)</f>
        <v>Delivered</v>
      </c>
      <c r="H1297">
        <f t="shared" si="61"/>
        <v>3000</v>
      </c>
      <c r="I1297" s="12">
        <f>VLOOKUP(B1297,Orders!$A$2:$D$1201,3,FALSE)</f>
        <v>46054</v>
      </c>
      <c r="L1297" t="str">
        <f>VLOOKUP(C1297,Products!$A$2:$D$13,2,FALSE)</f>
        <v>Laptop</v>
      </c>
      <c r="M1297" t="str">
        <f t="shared" si="62"/>
        <v>2026-02</v>
      </c>
    </row>
    <row r="1298" spans="1:13">
      <c r="A1298">
        <v>1297</v>
      </c>
      <c r="B1298">
        <v>1631</v>
      </c>
      <c r="C1298">
        <v>11</v>
      </c>
      <c r="D1298">
        <v>4</v>
      </c>
      <c r="E1298">
        <v>48</v>
      </c>
      <c r="F1298">
        <f t="shared" si="60"/>
        <v>192</v>
      </c>
      <c r="G1298" t="str">
        <f>VLOOKUP(B1298,Orders!$A$2:$D$1201,4,FALSE)</f>
        <v>Delivered</v>
      </c>
      <c r="H1298">
        <f t="shared" si="61"/>
        <v>192</v>
      </c>
      <c r="I1298" s="12">
        <f>VLOOKUP(B1298,Orders!$A$2:$D$1201,3,FALSE)</f>
        <v>46175</v>
      </c>
      <c r="L1298" t="str">
        <f>VLOOKUP(C1298,Products!$A$2:$D$13,2,FALSE)</f>
        <v>Backpack</v>
      </c>
      <c r="M1298" t="str">
        <f t="shared" si="62"/>
        <v>2026-06</v>
      </c>
    </row>
    <row r="1299" spans="1:13">
      <c r="A1299">
        <v>1298</v>
      </c>
      <c r="B1299">
        <v>1632</v>
      </c>
      <c r="C1299">
        <v>5</v>
      </c>
      <c r="D1299">
        <v>1</v>
      </c>
      <c r="E1299">
        <v>180</v>
      </c>
      <c r="F1299">
        <f t="shared" si="60"/>
        <v>180</v>
      </c>
      <c r="G1299" t="str">
        <f>VLOOKUP(B1299,Orders!$A$2:$D$1201,4,FALSE)</f>
        <v>Delivered</v>
      </c>
      <c r="H1299">
        <f t="shared" si="61"/>
        <v>180</v>
      </c>
      <c r="I1299" s="12">
        <f>VLOOKUP(B1299,Orders!$A$2:$D$1201,3,FALSE)</f>
        <v>46056</v>
      </c>
      <c r="L1299" t="str">
        <f>VLOOKUP(C1299,Products!$A$2:$D$13,2,FALSE)</f>
        <v>Desk</v>
      </c>
      <c r="M1299" t="str">
        <f t="shared" si="62"/>
        <v>2026-02</v>
      </c>
    </row>
    <row r="1300" spans="1:13">
      <c r="A1300">
        <v>1299</v>
      </c>
      <c r="B1300">
        <v>1632</v>
      </c>
      <c r="C1300">
        <v>6</v>
      </c>
      <c r="D1300">
        <v>4</v>
      </c>
      <c r="E1300">
        <v>140</v>
      </c>
      <c r="F1300">
        <f t="shared" si="60"/>
        <v>560</v>
      </c>
      <c r="G1300" t="str">
        <f>VLOOKUP(B1300,Orders!$A$2:$D$1201,4,FALSE)</f>
        <v>Delivered</v>
      </c>
      <c r="H1300">
        <f t="shared" si="61"/>
        <v>560</v>
      </c>
      <c r="I1300" s="12">
        <f>VLOOKUP(B1300,Orders!$A$2:$D$1201,3,FALSE)</f>
        <v>46056</v>
      </c>
      <c r="L1300" t="str">
        <f>VLOOKUP(C1300,Products!$A$2:$D$13,2,FALSE)</f>
        <v>Chair</v>
      </c>
      <c r="M1300" t="str">
        <f t="shared" si="62"/>
        <v>2026-02</v>
      </c>
    </row>
    <row r="1301" spans="1:13">
      <c r="A1301">
        <v>1300</v>
      </c>
      <c r="B1301">
        <v>1632</v>
      </c>
      <c r="C1301">
        <v>1</v>
      </c>
      <c r="D1301">
        <v>1</v>
      </c>
      <c r="E1301">
        <v>750</v>
      </c>
      <c r="F1301">
        <f t="shared" si="60"/>
        <v>750</v>
      </c>
      <c r="G1301" t="str">
        <f>VLOOKUP(B1301,Orders!$A$2:$D$1201,4,FALSE)</f>
        <v>Delivered</v>
      </c>
      <c r="H1301">
        <f t="shared" si="61"/>
        <v>750</v>
      </c>
      <c r="I1301" s="12">
        <f>VLOOKUP(B1301,Orders!$A$2:$D$1201,3,FALSE)</f>
        <v>46056</v>
      </c>
      <c r="L1301" t="str">
        <f>VLOOKUP(C1301,Products!$A$2:$D$13,2,FALSE)</f>
        <v>Laptop</v>
      </c>
      <c r="M1301" t="str">
        <f t="shared" si="62"/>
        <v>2026-02</v>
      </c>
    </row>
    <row r="1302" spans="1:13">
      <c r="A1302">
        <v>1301</v>
      </c>
      <c r="B1302">
        <v>1633</v>
      </c>
      <c r="C1302">
        <v>7</v>
      </c>
      <c r="D1302">
        <v>4</v>
      </c>
      <c r="E1302">
        <v>65</v>
      </c>
      <c r="F1302">
        <f t="shared" si="60"/>
        <v>260</v>
      </c>
      <c r="G1302" t="str">
        <f>VLOOKUP(B1302,Orders!$A$2:$D$1201,4,FALSE)</f>
        <v>Delivered</v>
      </c>
      <c r="H1302">
        <f t="shared" si="61"/>
        <v>260</v>
      </c>
      <c r="I1302" s="12">
        <f>VLOOKUP(B1302,Orders!$A$2:$D$1201,3,FALSE)</f>
        <v>46045</v>
      </c>
      <c r="L1302" t="str">
        <f>VLOOKUP(C1302,Products!$A$2:$D$13,2,FALSE)</f>
        <v>Headphones</v>
      </c>
      <c r="M1302" t="str">
        <f t="shared" si="62"/>
        <v>2026-01</v>
      </c>
    </row>
    <row r="1303" spans="1:13">
      <c r="A1303">
        <v>1302</v>
      </c>
      <c r="B1303">
        <v>1634</v>
      </c>
      <c r="C1303">
        <v>5</v>
      </c>
      <c r="D1303">
        <v>2</v>
      </c>
      <c r="E1303">
        <v>180</v>
      </c>
      <c r="F1303">
        <f t="shared" si="60"/>
        <v>360</v>
      </c>
      <c r="G1303" t="str">
        <f>VLOOKUP(B1303,Orders!$A$2:$D$1201,4,FALSE)</f>
        <v>Delivered</v>
      </c>
      <c r="H1303">
        <f t="shared" si="61"/>
        <v>360</v>
      </c>
      <c r="I1303" s="12">
        <f>VLOOKUP(B1303,Orders!$A$2:$D$1201,3,FALSE)</f>
        <v>46099</v>
      </c>
      <c r="L1303" t="str">
        <f>VLOOKUP(C1303,Products!$A$2:$D$13,2,FALSE)</f>
        <v>Desk</v>
      </c>
      <c r="M1303" t="str">
        <f t="shared" si="62"/>
        <v>2026-03</v>
      </c>
    </row>
    <row r="1304" spans="1:13">
      <c r="A1304">
        <v>1303</v>
      </c>
      <c r="B1304">
        <v>1634</v>
      </c>
      <c r="C1304">
        <v>11</v>
      </c>
      <c r="D1304">
        <v>3</v>
      </c>
      <c r="E1304">
        <v>48</v>
      </c>
      <c r="F1304">
        <f t="shared" si="60"/>
        <v>144</v>
      </c>
      <c r="G1304" t="str">
        <f>VLOOKUP(B1304,Orders!$A$2:$D$1201,4,FALSE)</f>
        <v>Delivered</v>
      </c>
      <c r="H1304">
        <f t="shared" si="61"/>
        <v>144</v>
      </c>
      <c r="I1304" s="12">
        <f>VLOOKUP(B1304,Orders!$A$2:$D$1201,3,FALSE)</f>
        <v>46099</v>
      </c>
      <c r="L1304" t="str">
        <f>VLOOKUP(C1304,Products!$A$2:$D$13,2,FALSE)</f>
        <v>Backpack</v>
      </c>
      <c r="M1304" t="str">
        <f t="shared" si="62"/>
        <v>2026-03</v>
      </c>
    </row>
    <row r="1305" spans="1:13">
      <c r="A1305">
        <v>1304</v>
      </c>
      <c r="B1305">
        <v>1634</v>
      </c>
      <c r="C1305">
        <v>10</v>
      </c>
      <c r="D1305">
        <v>1</v>
      </c>
      <c r="E1305">
        <v>8</v>
      </c>
      <c r="F1305">
        <f t="shared" si="60"/>
        <v>8</v>
      </c>
      <c r="G1305" t="str">
        <f>VLOOKUP(B1305,Orders!$A$2:$D$1201,4,FALSE)</f>
        <v>Delivered</v>
      </c>
      <c r="H1305">
        <f t="shared" si="61"/>
        <v>8</v>
      </c>
      <c r="I1305" s="12">
        <f>VLOOKUP(B1305,Orders!$A$2:$D$1201,3,FALSE)</f>
        <v>46099</v>
      </c>
      <c r="L1305" t="str">
        <f>VLOOKUP(C1305,Products!$A$2:$D$13,2,FALSE)</f>
        <v>Notebook</v>
      </c>
      <c r="M1305" t="str">
        <f t="shared" si="62"/>
        <v>2026-03</v>
      </c>
    </row>
    <row r="1306" spans="1:13">
      <c r="A1306">
        <v>1305</v>
      </c>
      <c r="B1306">
        <v>1635</v>
      </c>
      <c r="C1306">
        <v>7</v>
      </c>
      <c r="D1306">
        <v>3</v>
      </c>
      <c r="E1306">
        <v>65</v>
      </c>
      <c r="F1306">
        <f t="shared" si="60"/>
        <v>195</v>
      </c>
      <c r="G1306" t="str">
        <f>VLOOKUP(B1306,Orders!$A$2:$D$1201,4,FALSE)</f>
        <v>Delivered</v>
      </c>
      <c r="H1306">
        <f t="shared" si="61"/>
        <v>195</v>
      </c>
      <c r="I1306" s="12">
        <f>VLOOKUP(B1306,Orders!$A$2:$D$1201,3,FALSE)</f>
        <v>46144</v>
      </c>
      <c r="L1306" t="str">
        <f>VLOOKUP(C1306,Products!$A$2:$D$13,2,FALSE)</f>
        <v>Headphones</v>
      </c>
      <c r="M1306" t="str">
        <f t="shared" si="62"/>
        <v>2026-05</v>
      </c>
    </row>
    <row r="1307" spans="1:13">
      <c r="A1307">
        <v>1306</v>
      </c>
      <c r="B1307">
        <v>1636</v>
      </c>
      <c r="C1307">
        <v>4</v>
      </c>
      <c r="D1307">
        <v>4</v>
      </c>
      <c r="E1307">
        <v>25</v>
      </c>
      <c r="F1307">
        <f t="shared" si="60"/>
        <v>100</v>
      </c>
      <c r="G1307" t="str">
        <f>VLOOKUP(B1307,Orders!$A$2:$D$1201,4,FALSE)</f>
        <v>Delivered</v>
      </c>
      <c r="H1307">
        <f t="shared" si="61"/>
        <v>100</v>
      </c>
      <c r="I1307" s="12">
        <f>VLOOKUP(B1307,Orders!$A$2:$D$1201,3,FALSE)</f>
        <v>46154</v>
      </c>
      <c r="L1307" t="str">
        <f>VLOOKUP(C1307,Products!$A$2:$D$13,2,FALSE)</f>
        <v>Mouse</v>
      </c>
      <c r="M1307" t="str">
        <f t="shared" si="62"/>
        <v>2026-05</v>
      </c>
    </row>
    <row r="1308" spans="1:13">
      <c r="A1308">
        <v>1307</v>
      </c>
      <c r="B1308">
        <v>1636</v>
      </c>
      <c r="C1308">
        <v>11</v>
      </c>
      <c r="D1308">
        <v>1</v>
      </c>
      <c r="E1308">
        <v>48</v>
      </c>
      <c r="F1308">
        <f t="shared" si="60"/>
        <v>48</v>
      </c>
      <c r="G1308" t="str">
        <f>VLOOKUP(B1308,Orders!$A$2:$D$1201,4,FALSE)</f>
        <v>Delivered</v>
      </c>
      <c r="H1308">
        <f t="shared" si="61"/>
        <v>48</v>
      </c>
      <c r="I1308" s="12">
        <f>VLOOKUP(B1308,Orders!$A$2:$D$1201,3,FALSE)</f>
        <v>46154</v>
      </c>
      <c r="L1308" t="str">
        <f>VLOOKUP(C1308,Products!$A$2:$D$13,2,FALSE)</f>
        <v>Backpack</v>
      </c>
      <c r="M1308" t="str">
        <f t="shared" si="62"/>
        <v>2026-05</v>
      </c>
    </row>
    <row r="1309" spans="1:13">
      <c r="A1309">
        <v>1308</v>
      </c>
      <c r="B1309">
        <v>1636</v>
      </c>
      <c r="C1309">
        <v>3</v>
      </c>
      <c r="D1309">
        <v>3</v>
      </c>
      <c r="E1309">
        <v>45</v>
      </c>
      <c r="F1309">
        <f t="shared" si="60"/>
        <v>135</v>
      </c>
      <c r="G1309" t="str">
        <f>VLOOKUP(B1309,Orders!$A$2:$D$1201,4,FALSE)</f>
        <v>Delivered</v>
      </c>
      <c r="H1309">
        <f t="shared" si="61"/>
        <v>135</v>
      </c>
      <c r="I1309" s="12">
        <f>VLOOKUP(B1309,Orders!$A$2:$D$1201,3,FALSE)</f>
        <v>46154</v>
      </c>
      <c r="L1309" t="str">
        <f>VLOOKUP(C1309,Products!$A$2:$D$13,2,FALSE)</f>
        <v>Keyboard</v>
      </c>
      <c r="M1309" t="str">
        <f t="shared" si="62"/>
        <v>2026-05</v>
      </c>
    </row>
    <row r="1310" spans="1:13">
      <c r="A1310">
        <v>1309</v>
      </c>
      <c r="B1310">
        <v>1637</v>
      </c>
      <c r="C1310">
        <v>9</v>
      </c>
      <c r="D1310">
        <v>4</v>
      </c>
      <c r="E1310">
        <v>30</v>
      </c>
      <c r="F1310">
        <f t="shared" si="60"/>
        <v>120</v>
      </c>
      <c r="G1310" t="str">
        <f>VLOOKUP(B1310,Orders!$A$2:$D$1201,4,FALSE)</f>
        <v>Pending</v>
      </c>
      <c r="H1310">
        <f t="shared" si="61"/>
        <v>120</v>
      </c>
      <c r="I1310" s="12">
        <f>VLOOKUP(B1310,Orders!$A$2:$D$1201,3,FALSE)</f>
        <v>46061</v>
      </c>
      <c r="L1310" t="str">
        <f>VLOOKUP(C1310,Products!$A$2:$D$13,2,FALSE)</f>
        <v>Lamp</v>
      </c>
      <c r="M1310" t="str">
        <f t="shared" si="62"/>
        <v>2026-02</v>
      </c>
    </row>
    <row r="1311" spans="1:13">
      <c r="A1311">
        <v>1310</v>
      </c>
      <c r="B1311">
        <v>1638</v>
      </c>
      <c r="C1311">
        <v>9</v>
      </c>
      <c r="D1311">
        <v>1</v>
      </c>
      <c r="E1311">
        <v>30</v>
      </c>
      <c r="F1311">
        <f t="shared" si="60"/>
        <v>30</v>
      </c>
      <c r="G1311" t="str">
        <f>VLOOKUP(B1311,Orders!$A$2:$D$1201,4,FALSE)</f>
        <v>Delivered</v>
      </c>
      <c r="H1311">
        <f t="shared" si="61"/>
        <v>30</v>
      </c>
      <c r="I1311" s="12">
        <f>VLOOKUP(B1311,Orders!$A$2:$D$1201,3,FALSE)</f>
        <v>46168</v>
      </c>
      <c r="L1311" t="str">
        <f>VLOOKUP(C1311,Products!$A$2:$D$13,2,FALSE)</f>
        <v>Lamp</v>
      </c>
      <c r="M1311" t="str">
        <f t="shared" si="62"/>
        <v>2026-05</v>
      </c>
    </row>
    <row r="1312" spans="1:13">
      <c r="A1312">
        <v>1311</v>
      </c>
      <c r="B1312">
        <v>1639</v>
      </c>
      <c r="C1312">
        <v>10</v>
      </c>
      <c r="D1312">
        <v>1</v>
      </c>
      <c r="E1312">
        <v>8</v>
      </c>
      <c r="F1312">
        <f t="shared" si="60"/>
        <v>8</v>
      </c>
      <c r="G1312" t="str">
        <f>VLOOKUP(B1312,Orders!$A$2:$D$1201,4,FALSE)</f>
        <v>Delivered</v>
      </c>
      <c r="H1312">
        <f t="shared" si="61"/>
        <v>8</v>
      </c>
      <c r="I1312" s="12">
        <f>VLOOKUP(B1312,Orders!$A$2:$D$1201,3,FALSE)</f>
        <v>46168</v>
      </c>
      <c r="L1312" t="str">
        <f>VLOOKUP(C1312,Products!$A$2:$D$13,2,FALSE)</f>
        <v>Notebook</v>
      </c>
      <c r="M1312" t="str">
        <f t="shared" si="62"/>
        <v>2026-05</v>
      </c>
    </row>
    <row r="1313" spans="1:13">
      <c r="A1313">
        <v>1312</v>
      </c>
      <c r="B1313">
        <v>1639</v>
      </c>
      <c r="C1313">
        <v>2</v>
      </c>
      <c r="D1313">
        <v>1</v>
      </c>
      <c r="E1313">
        <v>220</v>
      </c>
      <c r="F1313">
        <f t="shared" si="60"/>
        <v>220</v>
      </c>
      <c r="G1313" t="str">
        <f>VLOOKUP(B1313,Orders!$A$2:$D$1201,4,FALSE)</f>
        <v>Delivered</v>
      </c>
      <c r="H1313">
        <f t="shared" si="61"/>
        <v>220</v>
      </c>
      <c r="I1313" s="12">
        <f>VLOOKUP(B1313,Orders!$A$2:$D$1201,3,FALSE)</f>
        <v>46168</v>
      </c>
      <c r="L1313" t="str">
        <f>VLOOKUP(C1313,Products!$A$2:$D$13,2,FALSE)</f>
        <v>Monitor</v>
      </c>
      <c r="M1313" t="str">
        <f t="shared" si="62"/>
        <v>2026-05</v>
      </c>
    </row>
    <row r="1314" spans="1:13">
      <c r="A1314">
        <v>1313</v>
      </c>
      <c r="B1314">
        <v>1640</v>
      </c>
      <c r="C1314">
        <v>10</v>
      </c>
      <c r="D1314">
        <v>4</v>
      </c>
      <c r="E1314">
        <v>8</v>
      </c>
      <c r="F1314">
        <f t="shared" si="60"/>
        <v>32</v>
      </c>
      <c r="G1314" t="str">
        <f>VLOOKUP(B1314,Orders!$A$2:$D$1201,4,FALSE)</f>
        <v>Delivered</v>
      </c>
      <c r="H1314">
        <f t="shared" si="61"/>
        <v>32</v>
      </c>
      <c r="I1314" s="12">
        <f>VLOOKUP(B1314,Orders!$A$2:$D$1201,3,FALSE)</f>
        <v>46034</v>
      </c>
      <c r="L1314" t="str">
        <f>VLOOKUP(C1314,Products!$A$2:$D$13,2,FALSE)</f>
        <v>Notebook</v>
      </c>
      <c r="M1314" t="str">
        <f t="shared" si="62"/>
        <v>2026-01</v>
      </c>
    </row>
    <row r="1315" spans="1:13">
      <c r="A1315">
        <v>1314</v>
      </c>
      <c r="B1315">
        <v>1640</v>
      </c>
      <c r="C1315">
        <v>8</v>
      </c>
      <c r="D1315">
        <v>3</v>
      </c>
      <c r="E1315">
        <v>55</v>
      </c>
      <c r="F1315">
        <f t="shared" si="60"/>
        <v>165</v>
      </c>
      <c r="G1315" t="str">
        <f>VLOOKUP(B1315,Orders!$A$2:$D$1201,4,FALSE)</f>
        <v>Delivered</v>
      </c>
      <c r="H1315">
        <f t="shared" si="61"/>
        <v>165</v>
      </c>
      <c r="I1315" s="12">
        <f>VLOOKUP(B1315,Orders!$A$2:$D$1201,3,FALSE)</f>
        <v>46034</v>
      </c>
      <c r="L1315" t="str">
        <f>VLOOKUP(C1315,Products!$A$2:$D$13,2,FALSE)</f>
        <v>Webcam</v>
      </c>
      <c r="M1315" t="str">
        <f t="shared" si="62"/>
        <v>2026-01</v>
      </c>
    </row>
    <row r="1316" spans="1:13">
      <c r="A1316">
        <v>1315</v>
      </c>
      <c r="B1316">
        <v>1641</v>
      </c>
      <c r="C1316">
        <v>2</v>
      </c>
      <c r="D1316">
        <v>1</v>
      </c>
      <c r="E1316">
        <v>220</v>
      </c>
      <c r="F1316">
        <f t="shared" si="60"/>
        <v>220</v>
      </c>
      <c r="G1316" t="str">
        <f>VLOOKUP(B1316,Orders!$A$2:$D$1201,4,FALSE)</f>
        <v>Delivered</v>
      </c>
      <c r="H1316">
        <f t="shared" si="61"/>
        <v>220</v>
      </c>
      <c r="I1316" s="12">
        <f>VLOOKUP(B1316,Orders!$A$2:$D$1201,3,FALSE)</f>
        <v>46070</v>
      </c>
      <c r="L1316" t="str">
        <f>VLOOKUP(C1316,Products!$A$2:$D$13,2,FALSE)</f>
        <v>Monitor</v>
      </c>
      <c r="M1316" t="str">
        <f t="shared" si="62"/>
        <v>2026-02</v>
      </c>
    </row>
    <row r="1317" spans="1:13">
      <c r="A1317">
        <v>1316</v>
      </c>
      <c r="B1317">
        <v>1641</v>
      </c>
      <c r="C1317">
        <v>7</v>
      </c>
      <c r="D1317">
        <v>1</v>
      </c>
      <c r="E1317">
        <v>65</v>
      </c>
      <c r="F1317">
        <f t="shared" si="60"/>
        <v>65</v>
      </c>
      <c r="G1317" t="str">
        <f>VLOOKUP(B1317,Orders!$A$2:$D$1201,4,FALSE)</f>
        <v>Delivered</v>
      </c>
      <c r="H1317">
        <f t="shared" si="61"/>
        <v>65</v>
      </c>
      <c r="I1317" s="12">
        <f>VLOOKUP(B1317,Orders!$A$2:$D$1201,3,FALSE)</f>
        <v>46070</v>
      </c>
      <c r="L1317" t="str">
        <f>VLOOKUP(C1317,Products!$A$2:$D$13,2,FALSE)</f>
        <v>Headphones</v>
      </c>
      <c r="M1317" t="str">
        <f t="shared" si="62"/>
        <v>2026-02</v>
      </c>
    </row>
    <row r="1318" spans="1:13">
      <c r="A1318">
        <v>1317</v>
      </c>
      <c r="B1318">
        <v>1641</v>
      </c>
      <c r="C1318">
        <v>9</v>
      </c>
      <c r="D1318">
        <v>4</v>
      </c>
      <c r="E1318">
        <v>30</v>
      </c>
      <c r="F1318">
        <f t="shared" si="60"/>
        <v>120</v>
      </c>
      <c r="G1318" t="str">
        <f>VLOOKUP(B1318,Orders!$A$2:$D$1201,4,FALSE)</f>
        <v>Delivered</v>
      </c>
      <c r="H1318">
        <f t="shared" si="61"/>
        <v>120</v>
      </c>
      <c r="I1318" s="12">
        <f>VLOOKUP(B1318,Orders!$A$2:$D$1201,3,FALSE)</f>
        <v>46070</v>
      </c>
      <c r="L1318" t="str">
        <f>VLOOKUP(C1318,Products!$A$2:$D$13,2,FALSE)</f>
        <v>Lamp</v>
      </c>
      <c r="M1318" t="str">
        <f t="shared" si="62"/>
        <v>2026-02</v>
      </c>
    </row>
    <row r="1319" spans="1:13">
      <c r="A1319">
        <v>1318</v>
      </c>
      <c r="B1319">
        <v>1642</v>
      </c>
      <c r="C1319">
        <v>10</v>
      </c>
      <c r="D1319">
        <v>3</v>
      </c>
      <c r="E1319">
        <v>8</v>
      </c>
      <c r="F1319">
        <f t="shared" si="60"/>
        <v>24</v>
      </c>
      <c r="G1319" t="str">
        <f>VLOOKUP(B1319,Orders!$A$2:$D$1201,4,FALSE)</f>
        <v>Cancelled</v>
      </c>
      <c r="H1319">
        <f t="shared" si="61"/>
        <v>0</v>
      </c>
      <c r="I1319" s="12">
        <f>VLOOKUP(B1319,Orders!$A$2:$D$1201,3,FALSE)</f>
        <v>46126</v>
      </c>
      <c r="L1319" t="str">
        <f>VLOOKUP(C1319,Products!$A$2:$D$13,2,FALSE)</f>
        <v>Notebook</v>
      </c>
      <c r="M1319" t="str">
        <f t="shared" si="62"/>
        <v>2026-04</v>
      </c>
    </row>
    <row r="1320" spans="1:13">
      <c r="A1320">
        <v>1319</v>
      </c>
      <c r="B1320">
        <v>1642</v>
      </c>
      <c r="C1320">
        <v>12</v>
      </c>
      <c r="D1320">
        <v>4</v>
      </c>
      <c r="E1320">
        <v>22</v>
      </c>
      <c r="F1320">
        <f t="shared" si="60"/>
        <v>88</v>
      </c>
      <c r="G1320" t="str">
        <f>VLOOKUP(B1320,Orders!$A$2:$D$1201,4,FALSE)</f>
        <v>Cancelled</v>
      </c>
      <c r="H1320">
        <f t="shared" si="61"/>
        <v>0</v>
      </c>
      <c r="I1320" s="12">
        <f>VLOOKUP(B1320,Orders!$A$2:$D$1201,3,FALSE)</f>
        <v>46126</v>
      </c>
      <c r="L1320" t="str">
        <f>VLOOKUP(C1320,Products!$A$2:$D$13,2,FALSE)</f>
        <v>Storage Box</v>
      </c>
      <c r="M1320" t="str">
        <f t="shared" si="62"/>
        <v>2026-04</v>
      </c>
    </row>
    <row r="1321" spans="1:13">
      <c r="A1321">
        <v>1320</v>
      </c>
      <c r="B1321">
        <v>1643</v>
      </c>
      <c r="C1321">
        <v>4</v>
      </c>
      <c r="D1321">
        <v>1</v>
      </c>
      <c r="E1321">
        <v>25</v>
      </c>
      <c r="F1321">
        <f t="shared" si="60"/>
        <v>25</v>
      </c>
      <c r="G1321" t="str">
        <f>VLOOKUP(B1321,Orders!$A$2:$D$1201,4,FALSE)</f>
        <v>Delivered</v>
      </c>
      <c r="H1321">
        <f t="shared" si="61"/>
        <v>25</v>
      </c>
      <c r="I1321" s="12">
        <f>VLOOKUP(B1321,Orders!$A$2:$D$1201,3,FALSE)</f>
        <v>46100</v>
      </c>
      <c r="L1321" t="str">
        <f>VLOOKUP(C1321,Products!$A$2:$D$13,2,FALSE)</f>
        <v>Mouse</v>
      </c>
      <c r="M1321" t="str">
        <f t="shared" si="62"/>
        <v>2026-03</v>
      </c>
    </row>
    <row r="1322" spans="1:13">
      <c r="A1322">
        <v>1321</v>
      </c>
      <c r="B1322">
        <v>1644</v>
      </c>
      <c r="C1322">
        <v>4</v>
      </c>
      <c r="D1322">
        <v>2</v>
      </c>
      <c r="E1322">
        <v>25</v>
      </c>
      <c r="F1322">
        <f t="shared" si="60"/>
        <v>50</v>
      </c>
      <c r="G1322" t="str">
        <f>VLOOKUP(B1322,Orders!$A$2:$D$1201,4,FALSE)</f>
        <v>Delivered</v>
      </c>
      <c r="H1322">
        <f t="shared" si="61"/>
        <v>50</v>
      </c>
      <c r="I1322" s="12">
        <f>VLOOKUP(B1322,Orders!$A$2:$D$1201,3,FALSE)</f>
        <v>46076</v>
      </c>
      <c r="L1322" t="str">
        <f>VLOOKUP(C1322,Products!$A$2:$D$13,2,FALSE)</f>
        <v>Mouse</v>
      </c>
      <c r="M1322" t="str">
        <f t="shared" si="62"/>
        <v>2026-02</v>
      </c>
    </row>
    <row r="1323" spans="1:13">
      <c r="A1323">
        <v>1322</v>
      </c>
      <c r="B1323">
        <v>1644</v>
      </c>
      <c r="C1323">
        <v>7</v>
      </c>
      <c r="D1323">
        <v>1</v>
      </c>
      <c r="E1323">
        <v>65</v>
      </c>
      <c r="F1323">
        <f t="shared" si="60"/>
        <v>65</v>
      </c>
      <c r="G1323" t="str">
        <f>VLOOKUP(B1323,Orders!$A$2:$D$1201,4,FALSE)</f>
        <v>Delivered</v>
      </c>
      <c r="H1323">
        <f t="shared" si="61"/>
        <v>65</v>
      </c>
      <c r="I1323" s="12">
        <f>VLOOKUP(B1323,Orders!$A$2:$D$1201,3,FALSE)</f>
        <v>46076</v>
      </c>
      <c r="L1323" t="str">
        <f>VLOOKUP(C1323,Products!$A$2:$D$13,2,FALSE)</f>
        <v>Headphones</v>
      </c>
      <c r="M1323" t="str">
        <f t="shared" si="62"/>
        <v>2026-02</v>
      </c>
    </row>
    <row r="1324" spans="1:13">
      <c r="A1324">
        <v>1323</v>
      </c>
      <c r="B1324">
        <v>1644</v>
      </c>
      <c r="C1324">
        <v>9</v>
      </c>
      <c r="D1324">
        <v>3</v>
      </c>
      <c r="E1324">
        <v>30</v>
      </c>
      <c r="F1324">
        <f t="shared" si="60"/>
        <v>90</v>
      </c>
      <c r="G1324" t="str">
        <f>VLOOKUP(B1324,Orders!$A$2:$D$1201,4,FALSE)</f>
        <v>Delivered</v>
      </c>
      <c r="H1324">
        <f t="shared" si="61"/>
        <v>90</v>
      </c>
      <c r="I1324" s="12">
        <f>VLOOKUP(B1324,Orders!$A$2:$D$1201,3,FALSE)</f>
        <v>46076</v>
      </c>
      <c r="L1324" t="str">
        <f>VLOOKUP(C1324,Products!$A$2:$D$13,2,FALSE)</f>
        <v>Lamp</v>
      </c>
      <c r="M1324" t="str">
        <f t="shared" si="62"/>
        <v>2026-02</v>
      </c>
    </row>
    <row r="1325" spans="1:13">
      <c r="A1325">
        <v>1324</v>
      </c>
      <c r="B1325">
        <v>1645</v>
      </c>
      <c r="C1325">
        <v>8</v>
      </c>
      <c r="D1325">
        <v>4</v>
      </c>
      <c r="E1325">
        <v>55</v>
      </c>
      <c r="F1325">
        <f t="shared" si="60"/>
        <v>220</v>
      </c>
      <c r="G1325" t="str">
        <f>VLOOKUP(B1325,Orders!$A$2:$D$1201,4,FALSE)</f>
        <v>Cancelled</v>
      </c>
      <c r="H1325">
        <f t="shared" si="61"/>
        <v>0</v>
      </c>
      <c r="I1325" s="12">
        <f>VLOOKUP(B1325,Orders!$A$2:$D$1201,3,FALSE)</f>
        <v>46065</v>
      </c>
      <c r="L1325" t="str">
        <f>VLOOKUP(C1325,Products!$A$2:$D$13,2,FALSE)</f>
        <v>Webcam</v>
      </c>
      <c r="M1325" t="str">
        <f t="shared" si="62"/>
        <v>2026-02</v>
      </c>
    </row>
    <row r="1326" spans="1:13">
      <c r="A1326">
        <v>1325</v>
      </c>
      <c r="B1326">
        <v>1645</v>
      </c>
      <c r="C1326">
        <v>1</v>
      </c>
      <c r="D1326">
        <v>2</v>
      </c>
      <c r="E1326">
        <v>750</v>
      </c>
      <c r="F1326">
        <f t="shared" si="60"/>
        <v>1500</v>
      </c>
      <c r="G1326" t="str">
        <f>VLOOKUP(B1326,Orders!$A$2:$D$1201,4,FALSE)</f>
        <v>Cancelled</v>
      </c>
      <c r="H1326">
        <f t="shared" si="61"/>
        <v>0</v>
      </c>
      <c r="I1326" s="12">
        <f>VLOOKUP(B1326,Orders!$A$2:$D$1201,3,FALSE)</f>
        <v>46065</v>
      </c>
      <c r="L1326" t="str">
        <f>VLOOKUP(C1326,Products!$A$2:$D$13,2,FALSE)</f>
        <v>Laptop</v>
      </c>
      <c r="M1326" t="str">
        <f t="shared" si="62"/>
        <v>2026-02</v>
      </c>
    </row>
    <row r="1327" spans="1:13">
      <c r="A1327">
        <v>1326</v>
      </c>
      <c r="B1327">
        <v>1646</v>
      </c>
      <c r="C1327">
        <v>6</v>
      </c>
      <c r="D1327">
        <v>1</v>
      </c>
      <c r="E1327">
        <v>140</v>
      </c>
      <c r="F1327">
        <f t="shared" si="60"/>
        <v>140</v>
      </c>
      <c r="G1327" t="str">
        <f>VLOOKUP(B1327,Orders!$A$2:$D$1201,4,FALSE)</f>
        <v>Delivered</v>
      </c>
      <c r="H1327">
        <f t="shared" si="61"/>
        <v>140</v>
      </c>
      <c r="I1327" s="12">
        <f>VLOOKUP(B1327,Orders!$A$2:$D$1201,3,FALSE)</f>
        <v>46074</v>
      </c>
      <c r="L1327" t="str">
        <f>VLOOKUP(C1327,Products!$A$2:$D$13,2,FALSE)</f>
        <v>Chair</v>
      </c>
      <c r="M1327" t="str">
        <f t="shared" si="62"/>
        <v>2026-02</v>
      </c>
    </row>
    <row r="1328" spans="1:13">
      <c r="A1328">
        <v>1327</v>
      </c>
      <c r="B1328">
        <v>1647</v>
      </c>
      <c r="C1328">
        <v>1</v>
      </c>
      <c r="D1328">
        <v>4</v>
      </c>
      <c r="E1328">
        <v>750</v>
      </c>
      <c r="F1328">
        <f t="shared" si="60"/>
        <v>3000</v>
      </c>
      <c r="G1328" t="str">
        <f>VLOOKUP(B1328,Orders!$A$2:$D$1201,4,FALSE)</f>
        <v>Delivered</v>
      </c>
      <c r="H1328">
        <f t="shared" si="61"/>
        <v>3000</v>
      </c>
      <c r="I1328" s="12">
        <f>VLOOKUP(B1328,Orders!$A$2:$D$1201,3,FALSE)</f>
        <v>46149</v>
      </c>
      <c r="L1328" t="str">
        <f>VLOOKUP(C1328,Products!$A$2:$D$13,2,FALSE)</f>
        <v>Laptop</v>
      </c>
      <c r="M1328" t="str">
        <f t="shared" si="62"/>
        <v>2026-05</v>
      </c>
    </row>
    <row r="1329" spans="1:13">
      <c r="A1329">
        <v>1328</v>
      </c>
      <c r="B1329">
        <v>1647</v>
      </c>
      <c r="C1329">
        <v>8</v>
      </c>
      <c r="D1329">
        <v>4</v>
      </c>
      <c r="E1329">
        <v>55</v>
      </c>
      <c r="F1329">
        <f t="shared" si="60"/>
        <v>220</v>
      </c>
      <c r="G1329" t="str">
        <f>VLOOKUP(B1329,Orders!$A$2:$D$1201,4,FALSE)</f>
        <v>Delivered</v>
      </c>
      <c r="H1329">
        <f t="shared" si="61"/>
        <v>220</v>
      </c>
      <c r="I1329" s="12">
        <f>VLOOKUP(B1329,Orders!$A$2:$D$1201,3,FALSE)</f>
        <v>46149</v>
      </c>
      <c r="L1329" t="str">
        <f>VLOOKUP(C1329,Products!$A$2:$D$13,2,FALSE)</f>
        <v>Webcam</v>
      </c>
      <c r="M1329" t="str">
        <f t="shared" si="62"/>
        <v>2026-05</v>
      </c>
    </row>
    <row r="1330" spans="1:13">
      <c r="A1330">
        <v>1329</v>
      </c>
      <c r="B1330">
        <v>1648</v>
      </c>
      <c r="C1330">
        <v>7</v>
      </c>
      <c r="D1330">
        <v>3</v>
      </c>
      <c r="E1330">
        <v>65</v>
      </c>
      <c r="F1330">
        <f t="shared" si="60"/>
        <v>195</v>
      </c>
      <c r="G1330" t="str">
        <f>VLOOKUP(B1330,Orders!$A$2:$D$1201,4,FALSE)</f>
        <v>Delivered</v>
      </c>
      <c r="H1330">
        <f t="shared" si="61"/>
        <v>195</v>
      </c>
      <c r="I1330" s="12">
        <f>VLOOKUP(B1330,Orders!$A$2:$D$1201,3,FALSE)</f>
        <v>46082</v>
      </c>
      <c r="L1330" t="str">
        <f>VLOOKUP(C1330,Products!$A$2:$D$13,2,FALSE)</f>
        <v>Headphones</v>
      </c>
      <c r="M1330" t="str">
        <f t="shared" si="62"/>
        <v>2026-03</v>
      </c>
    </row>
    <row r="1331" spans="1:13">
      <c r="A1331">
        <v>1330</v>
      </c>
      <c r="B1331">
        <v>1649</v>
      </c>
      <c r="C1331">
        <v>12</v>
      </c>
      <c r="D1331">
        <v>1</v>
      </c>
      <c r="E1331">
        <v>22</v>
      </c>
      <c r="F1331">
        <f t="shared" si="60"/>
        <v>22</v>
      </c>
      <c r="G1331" t="str">
        <f>VLOOKUP(B1331,Orders!$A$2:$D$1201,4,FALSE)</f>
        <v>Delivered</v>
      </c>
      <c r="H1331">
        <f t="shared" si="61"/>
        <v>22</v>
      </c>
      <c r="I1331" s="12">
        <f>VLOOKUP(B1331,Orders!$A$2:$D$1201,3,FALSE)</f>
        <v>46052</v>
      </c>
      <c r="L1331" t="str">
        <f>VLOOKUP(C1331,Products!$A$2:$D$13,2,FALSE)</f>
        <v>Storage Box</v>
      </c>
      <c r="M1331" t="str">
        <f t="shared" si="62"/>
        <v>2026-01</v>
      </c>
    </row>
    <row r="1332" spans="1:13">
      <c r="A1332">
        <v>1331</v>
      </c>
      <c r="B1332">
        <v>1649</v>
      </c>
      <c r="C1332">
        <v>7</v>
      </c>
      <c r="D1332">
        <v>2</v>
      </c>
      <c r="E1332">
        <v>65</v>
      </c>
      <c r="F1332">
        <f t="shared" si="60"/>
        <v>130</v>
      </c>
      <c r="G1332" t="str">
        <f>VLOOKUP(B1332,Orders!$A$2:$D$1201,4,FALSE)</f>
        <v>Delivered</v>
      </c>
      <c r="H1332">
        <f t="shared" si="61"/>
        <v>130</v>
      </c>
      <c r="I1332" s="12">
        <f>VLOOKUP(B1332,Orders!$A$2:$D$1201,3,FALSE)</f>
        <v>46052</v>
      </c>
      <c r="L1332" t="str">
        <f>VLOOKUP(C1332,Products!$A$2:$D$13,2,FALSE)</f>
        <v>Headphones</v>
      </c>
      <c r="M1332" t="str">
        <f t="shared" si="62"/>
        <v>2026-01</v>
      </c>
    </row>
    <row r="1333" spans="1:13">
      <c r="A1333">
        <v>1332</v>
      </c>
      <c r="B1333">
        <v>1650</v>
      </c>
      <c r="C1333">
        <v>12</v>
      </c>
      <c r="D1333">
        <v>2</v>
      </c>
      <c r="E1333">
        <v>22</v>
      </c>
      <c r="F1333">
        <f t="shared" si="60"/>
        <v>44</v>
      </c>
      <c r="G1333" t="str">
        <f>VLOOKUP(B1333,Orders!$A$2:$D$1201,4,FALSE)</f>
        <v>Delivered</v>
      </c>
      <c r="H1333">
        <f t="shared" si="61"/>
        <v>44</v>
      </c>
      <c r="I1333" s="12">
        <f>VLOOKUP(B1333,Orders!$A$2:$D$1201,3,FALSE)</f>
        <v>46152</v>
      </c>
      <c r="L1333" t="str">
        <f>VLOOKUP(C1333,Products!$A$2:$D$13,2,FALSE)</f>
        <v>Storage Box</v>
      </c>
      <c r="M1333" t="str">
        <f t="shared" si="62"/>
        <v>2026-05</v>
      </c>
    </row>
    <row r="1334" spans="1:13">
      <c r="A1334">
        <v>1333</v>
      </c>
      <c r="B1334">
        <v>1650</v>
      </c>
      <c r="C1334">
        <v>11</v>
      </c>
      <c r="D1334">
        <v>3</v>
      </c>
      <c r="E1334">
        <v>48</v>
      </c>
      <c r="F1334">
        <f t="shared" si="60"/>
        <v>144</v>
      </c>
      <c r="G1334" t="str">
        <f>VLOOKUP(B1334,Orders!$A$2:$D$1201,4,FALSE)</f>
        <v>Delivered</v>
      </c>
      <c r="H1334">
        <f t="shared" si="61"/>
        <v>144</v>
      </c>
      <c r="I1334" s="12">
        <f>VLOOKUP(B1334,Orders!$A$2:$D$1201,3,FALSE)</f>
        <v>46152</v>
      </c>
      <c r="L1334" t="str">
        <f>VLOOKUP(C1334,Products!$A$2:$D$13,2,FALSE)</f>
        <v>Backpack</v>
      </c>
      <c r="M1334" t="str">
        <f t="shared" si="62"/>
        <v>2026-05</v>
      </c>
    </row>
    <row r="1335" spans="1:13">
      <c r="A1335">
        <v>1334</v>
      </c>
      <c r="B1335">
        <v>1650</v>
      </c>
      <c r="C1335">
        <v>8</v>
      </c>
      <c r="D1335">
        <v>4</v>
      </c>
      <c r="E1335">
        <v>55</v>
      </c>
      <c r="F1335">
        <f t="shared" si="60"/>
        <v>220</v>
      </c>
      <c r="G1335" t="str">
        <f>VLOOKUP(B1335,Orders!$A$2:$D$1201,4,FALSE)</f>
        <v>Delivered</v>
      </c>
      <c r="H1335">
        <f t="shared" si="61"/>
        <v>220</v>
      </c>
      <c r="I1335" s="12">
        <f>VLOOKUP(B1335,Orders!$A$2:$D$1201,3,FALSE)</f>
        <v>46152</v>
      </c>
      <c r="L1335" t="str">
        <f>VLOOKUP(C1335,Products!$A$2:$D$13,2,FALSE)</f>
        <v>Webcam</v>
      </c>
      <c r="M1335" t="str">
        <f t="shared" si="62"/>
        <v>2026-05</v>
      </c>
    </row>
    <row r="1336" spans="1:13">
      <c r="A1336">
        <v>1335</v>
      </c>
      <c r="B1336">
        <v>1651</v>
      </c>
      <c r="C1336">
        <v>4</v>
      </c>
      <c r="D1336">
        <v>4</v>
      </c>
      <c r="E1336">
        <v>25</v>
      </c>
      <c r="F1336">
        <f t="shared" si="60"/>
        <v>100</v>
      </c>
      <c r="G1336" t="str">
        <f>VLOOKUP(B1336,Orders!$A$2:$D$1201,4,FALSE)</f>
        <v>Delivered</v>
      </c>
      <c r="H1336">
        <f t="shared" si="61"/>
        <v>100</v>
      </c>
      <c r="I1336" s="12">
        <f>VLOOKUP(B1336,Orders!$A$2:$D$1201,3,FALSE)</f>
        <v>46115</v>
      </c>
      <c r="L1336" t="str">
        <f>VLOOKUP(C1336,Products!$A$2:$D$13,2,FALSE)</f>
        <v>Mouse</v>
      </c>
      <c r="M1336" t="str">
        <f t="shared" si="62"/>
        <v>2026-04</v>
      </c>
    </row>
    <row r="1337" spans="1:13">
      <c r="A1337">
        <v>1336</v>
      </c>
      <c r="B1337">
        <v>1651</v>
      </c>
      <c r="C1337">
        <v>5</v>
      </c>
      <c r="D1337">
        <v>2</v>
      </c>
      <c r="E1337">
        <v>180</v>
      </c>
      <c r="F1337">
        <f t="shared" si="60"/>
        <v>360</v>
      </c>
      <c r="G1337" t="str">
        <f>VLOOKUP(B1337,Orders!$A$2:$D$1201,4,FALSE)</f>
        <v>Delivered</v>
      </c>
      <c r="H1337">
        <f t="shared" si="61"/>
        <v>360</v>
      </c>
      <c r="I1337" s="12">
        <f>VLOOKUP(B1337,Orders!$A$2:$D$1201,3,FALSE)</f>
        <v>46115</v>
      </c>
      <c r="L1337" t="str">
        <f>VLOOKUP(C1337,Products!$A$2:$D$13,2,FALSE)</f>
        <v>Desk</v>
      </c>
      <c r="M1337" t="str">
        <f t="shared" si="62"/>
        <v>2026-04</v>
      </c>
    </row>
    <row r="1338" spans="1:13">
      <c r="A1338">
        <v>1337</v>
      </c>
      <c r="B1338">
        <v>1651</v>
      </c>
      <c r="C1338">
        <v>2</v>
      </c>
      <c r="D1338">
        <v>2</v>
      </c>
      <c r="E1338">
        <v>220</v>
      </c>
      <c r="F1338">
        <f t="shared" si="60"/>
        <v>440</v>
      </c>
      <c r="G1338" t="str">
        <f>VLOOKUP(B1338,Orders!$A$2:$D$1201,4,FALSE)</f>
        <v>Delivered</v>
      </c>
      <c r="H1338">
        <f t="shared" si="61"/>
        <v>440</v>
      </c>
      <c r="I1338" s="12">
        <f>VLOOKUP(B1338,Orders!$A$2:$D$1201,3,FALSE)</f>
        <v>46115</v>
      </c>
      <c r="L1338" t="str">
        <f>VLOOKUP(C1338,Products!$A$2:$D$13,2,FALSE)</f>
        <v>Monitor</v>
      </c>
      <c r="M1338" t="str">
        <f t="shared" si="62"/>
        <v>2026-04</v>
      </c>
    </row>
    <row r="1339" spans="1:13">
      <c r="A1339">
        <v>1338</v>
      </c>
      <c r="B1339">
        <v>1652</v>
      </c>
      <c r="C1339">
        <v>1</v>
      </c>
      <c r="D1339">
        <v>3</v>
      </c>
      <c r="E1339">
        <v>750</v>
      </c>
      <c r="F1339">
        <f t="shared" si="60"/>
        <v>2250</v>
      </c>
      <c r="G1339" t="str">
        <f>VLOOKUP(B1339,Orders!$A$2:$D$1201,4,FALSE)</f>
        <v>Delivered</v>
      </c>
      <c r="H1339">
        <f t="shared" si="61"/>
        <v>2250</v>
      </c>
      <c r="I1339" s="12">
        <f>VLOOKUP(B1339,Orders!$A$2:$D$1201,3,FALSE)</f>
        <v>46149</v>
      </c>
      <c r="L1339" t="str">
        <f>VLOOKUP(C1339,Products!$A$2:$D$13,2,FALSE)</f>
        <v>Laptop</v>
      </c>
      <c r="M1339" t="str">
        <f t="shared" si="62"/>
        <v>2026-05</v>
      </c>
    </row>
    <row r="1340" spans="1:13">
      <c r="A1340">
        <v>1339</v>
      </c>
      <c r="B1340">
        <v>1652</v>
      </c>
      <c r="C1340">
        <v>12</v>
      </c>
      <c r="D1340">
        <v>3</v>
      </c>
      <c r="E1340">
        <v>22</v>
      </c>
      <c r="F1340">
        <f t="shared" si="60"/>
        <v>66</v>
      </c>
      <c r="G1340" t="str">
        <f>VLOOKUP(B1340,Orders!$A$2:$D$1201,4,FALSE)</f>
        <v>Delivered</v>
      </c>
      <c r="H1340">
        <f t="shared" si="61"/>
        <v>66</v>
      </c>
      <c r="I1340" s="12">
        <f>VLOOKUP(B1340,Orders!$A$2:$D$1201,3,FALSE)</f>
        <v>46149</v>
      </c>
      <c r="L1340" t="str">
        <f>VLOOKUP(C1340,Products!$A$2:$D$13,2,FALSE)</f>
        <v>Storage Box</v>
      </c>
      <c r="M1340" t="str">
        <f t="shared" si="62"/>
        <v>2026-05</v>
      </c>
    </row>
    <row r="1341" spans="1:13">
      <c r="A1341">
        <v>1340</v>
      </c>
      <c r="B1341">
        <v>1652</v>
      </c>
      <c r="C1341">
        <v>6</v>
      </c>
      <c r="D1341">
        <v>2</v>
      </c>
      <c r="E1341">
        <v>140</v>
      </c>
      <c r="F1341">
        <f t="shared" si="60"/>
        <v>280</v>
      </c>
      <c r="G1341" t="str">
        <f>VLOOKUP(B1341,Orders!$A$2:$D$1201,4,FALSE)</f>
        <v>Delivered</v>
      </c>
      <c r="H1341">
        <f t="shared" si="61"/>
        <v>280</v>
      </c>
      <c r="I1341" s="12">
        <f>VLOOKUP(B1341,Orders!$A$2:$D$1201,3,FALSE)</f>
        <v>46149</v>
      </c>
      <c r="L1341" t="str">
        <f>VLOOKUP(C1341,Products!$A$2:$D$13,2,FALSE)</f>
        <v>Chair</v>
      </c>
      <c r="M1341" t="str">
        <f t="shared" si="62"/>
        <v>2026-05</v>
      </c>
    </row>
    <row r="1342" spans="1:13">
      <c r="A1342">
        <v>1341</v>
      </c>
      <c r="B1342">
        <v>1653</v>
      </c>
      <c r="C1342">
        <v>9</v>
      </c>
      <c r="D1342">
        <v>2</v>
      </c>
      <c r="E1342">
        <v>30</v>
      </c>
      <c r="F1342">
        <f t="shared" si="60"/>
        <v>60</v>
      </c>
      <c r="G1342" t="str">
        <f>VLOOKUP(B1342,Orders!$A$2:$D$1201,4,FALSE)</f>
        <v>Delivered</v>
      </c>
      <c r="H1342">
        <f t="shared" si="61"/>
        <v>60</v>
      </c>
      <c r="I1342" s="12">
        <f>VLOOKUP(B1342,Orders!$A$2:$D$1201,3,FALSE)</f>
        <v>46109</v>
      </c>
      <c r="L1342" t="str">
        <f>VLOOKUP(C1342,Products!$A$2:$D$13,2,FALSE)</f>
        <v>Lamp</v>
      </c>
      <c r="M1342" t="str">
        <f t="shared" si="62"/>
        <v>2026-03</v>
      </c>
    </row>
    <row r="1343" spans="1:13">
      <c r="A1343">
        <v>1342</v>
      </c>
      <c r="B1343">
        <v>1654</v>
      </c>
      <c r="C1343">
        <v>9</v>
      </c>
      <c r="D1343">
        <v>1</v>
      </c>
      <c r="E1343">
        <v>30</v>
      </c>
      <c r="F1343">
        <f t="shared" si="60"/>
        <v>30</v>
      </c>
      <c r="G1343" t="str">
        <f>VLOOKUP(B1343,Orders!$A$2:$D$1201,4,FALSE)</f>
        <v>Delivered</v>
      </c>
      <c r="H1343">
        <f t="shared" si="61"/>
        <v>30</v>
      </c>
      <c r="I1343" s="12">
        <f>VLOOKUP(B1343,Orders!$A$2:$D$1201,3,FALSE)</f>
        <v>46165</v>
      </c>
      <c r="L1343" t="str">
        <f>VLOOKUP(C1343,Products!$A$2:$D$13,2,FALSE)</f>
        <v>Lamp</v>
      </c>
      <c r="M1343" t="str">
        <f t="shared" si="62"/>
        <v>2026-05</v>
      </c>
    </row>
    <row r="1344" spans="1:13">
      <c r="A1344">
        <v>1343</v>
      </c>
      <c r="B1344">
        <v>1654</v>
      </c>
      <c r="C1344">
        <v>10</v>
      </c>
      <c r="D1344">
        <v>4</v>
      </c>
      <c r="E1344">
        <v>8</v>
      </c>
      <c r="F1344">
        <f t="shared" si="60"/>
        <v>32</v>
      </c>
      <c r="G1344" t="str">
        <f>VLOOKUP(B1344,Orders!$A$2:$D$1201,4,FALSE)</f>
        <v>Delivered</v>
      </c>
      <c r="H1344">
        <f t="shared" si="61"/>
        <v>32</v>
      </c>
      <c r="I1344" s="12">
        <f>VLOOKUP(B1344,Orders!$A$2:$D$1201,3,FALSE)</f>
        <v>46165</v>
      </c>
      <c r="L1344" t="str">
        <f>VLOOKUP(C1344,Products!$A$2:$D$13,2,FALSE)</f>
        <v>Notebook</v>
      </c>
      <c r="M1344" t="str">
        <f t="shared" si="62"/>
        <v>2026-05</v>
      </c>
    </row>
    <row r="1345" spans="1:13">
      <c r="A1345">
        <v>1344</v>
      </c>
      <c r="B1345">
        <v>1654</v>
      </c>
      <c r="C1345">
        <v>2</v>
      </c>
      <c r="D1345">
        <v>4</v>
      </c>
      <c r="E1345">
        <v>220</v>
      </c>
      <c r="F1345">
        <f t="shared" si="60"/>
        <v>880</v>
      </c>
      <c r="G1345" t="str">
        <f>VLOOKUP(B1345,Orders!$A$2:$D$1201,4,FALSE)</f>
        <v>Delivered</v>
      </c>
      <c r="H1345">
        <f t="shared" si="61"/>
        <v>880</v>
      </c>
      <c r="I1345" s="12">
        <f>VLOOKUP(B1345,Orders!$A$2:$D$1201,3,FALSE)</f>
        <v>46165</v>
      </c>
      <c r="L1345" t="str">
        <f>VLOOKUP(C1345,Products!$A$2:$D$13,2,FALSE)</f>
        <v>Monitor</v>
      </c>
      <c r="M1345" t="str">
        <f t="shared" si="62"/>
        <v>2026-05</v>
      </c>
    </row>
    <row r="1346" spans="1:13">
      <c r="A1346">
        <v>1345</v>
      </c>
      <c r="B1346">
        <v>1655</v>
      </c>
      <c r="C1346">
        <v>1</v>
      </c>
      <c r="D1346">
        <v>2</v>
      </c>
      <c r="E1346">
        <v>750</v>
      </c>
      <c r="F1346">
        <f t="shared" si="60"/>
        <v>1500</v>
      </c>
      <c r="G1346" t="str">
        <f>VLOOKUP(B1346,Orders!$A$2:$D$1201,4,FALSE)</f>
        <v>Delivered</v>
      </c>
      <c r="H1346">
        <f t="shared" si="61"/>
        <v>1500</v>
      </c>
      <c r="I1346" s="12">
        <f>VLOOKUP(B1346,Orders!$A$2:$D$1201,3,FALSE)</f>
        <v>46179</v>
      </c>
      <c r="L1346" t="str">
        <f>VLOOKUP(C1346,Products!$A$2:$D$13,2,FALSE)</f>
        <v>Laptop</v>
      </c>
      <c r="M1346" t="str">
        <f t="shared" si="62"/>
        <v>2026-06</v>
      </c>
    </row>
    <row r="1347" spans="1:13">
      <c r="A1347">
        <v>1346</v>
      </c>
      <c r="B1347">
        <v>1655</v>
      </c>
      <c r="C1347">
        <v>9</v>
      </c>
      <c r="D1347">
        <v>1</v>
      </c>
      <c r="E1347">
        <v>30</v>
      </c>
      <c r="F1347">
        <f t="shared" ref="F1347:F1410" si="63">D1347*E1347</f>
        <v>30</v>
      </c>
      <c r="G1347" t="str">
        <f>VLOOKUP(B1347,Orders!$A$2:$D$1201,4,FALSE)</f>
        <v>Delivered</v>
      </c>
      <c r="H1347">
        <f t="shared" ref="H1347:H1410" si="64">IF(G1347="Cancelled",0,F1347)</f>
        <v>30</v>
      </c>
      <c r="I1347" s="12">
        <f>VLOOKUP(B1347,Orders!$A$2:$D$1201,3,FALSE)</f>
        <v>46179</v>
      </c>
      <c r="L1347" t="str">
        <f>VLOOKUP(C1347,Products!$A$2:$D$13,2,FALSE)</f>
        <v>Lamp</v>
      </c>
      <c r="M1347" t="str">
        <f t="shared" ref="M1347:M1410" si="65">TEXT(I1347,"yyyy-mm")</f>
        <v>2026-06</v>
      </c>
    </row>
    <row r="1348" spans="1:13">
      <c r="A1348">
        <v>1347</v>
      </c>
      <c r="B1348">
        <v>1655</v>
      </c>
      <c r="C1348">
        <v>2</v>
      </c>
      <c r="D1348">
        <v>2</v>
      </c>
      <c r="E1348">
        <v>220</v>
      </c>
      <c r="F1348">
        <f t="shared" si="63"/>
        <v>440</v>
      </c>
      <c r="G1348" t="str">
        <f>VLOOKUP(B1348,Orders!$A$2:$D$1201,4,FALSE)</f>
        <v>Delivered</v>
      </c>
      <c r="H1348">
        <f t="shared" si="64"/>
        <v>440</v>
      </c>
      <c r="I1348" s="12">
        <f>VLOOKUP(B1348,Orders!$A$2:$D$1201,3,FALSE)</f>
        <v>46179</v>
      </c>
      <c r="L1348" t="str">
        <f>VLOOKUP(C1348,Products!$A$2:$D$13,2,FALSE)</f>
        <v>Monitor</v>
      </c>
      <c r="M1348" t="str">
        <f t="shared" si="65"/>
        <v>2026-06</v>
      </c>
    </row>
    <row r="1349" spans="1:13">
      <c r="A1349">
        <v>1348</v>
      </c>
      <c r="B1349">
        <v>1656</v>
      </c>
      <c r="C1349">
        <v>11</v>
      </c>
      <c r="D1349">
        <v>3</v>
      </c>
      <c r="E1349">
        <v>48</v>
      </c>
      <c r="F1349">
        <f t="shared" si="63"/>
        <v>144</v>
      </c>
      <c r="G1349" t="str">
        <f>VLOOKUP(B1349,Orders!$A$2:$D$1201,4,FALSE)</f>
        <v>Delivered</v>
      </c>
      <c r="H1349">
        <f t="shared" si="64"/>
        <v>144</v>
      </c>
      <c r="I1349" s="12">
        <f>VLOOKUP(B1349,Orders!$A$2:$D$1201,3,FALSE)</f>
        <v>46152</v>
      </c>
      <c r="L1349" t="str">
        <f>VLOOKUP(C1349,Products!$A$2:$D$13,2,FALSE)</f>
        <v>Backpack</v>
      </c>
      <c r="M1349" t="str">
        <f t="shared" si="65"/>
        <v>2026-05</v>
      </c>
    </row>
    <row r="1350" spans="1:13">
      <c r="A1350">
        <v>1349</v>
      </c>
      <c r="B1350">
        <v>1657</v>
      </c>
      <c r="C1350">
        <v>8</v>
      </c>
      <c r="D1350">
        <v>3</v>
      </c>
      <c r="E1350">
        <v>55</v>
      </c>
      <c r="F1350">
        <f t="shared" si="63"/>
        <v>165</v>
      </c>
      <c r="G1350" t="str">
        <f>VLOOKUP(B1350,Orders!$A$2:$D$1201,4,FALSE)</f>
        <v>Delivered</v>
      </c>
      <c r="H1350">
        <f t="shared" si="64"/>
        <v>165</v>
      </c>
      <c r="I1350" s="12">
        <f>VLOOKUP(B1350,Orders!$A$2:$D$1201,3,FALSE)</f>
        <v>46129</v>
      </c>
      <c r="L1350" t="str">
        <f>VLOOKUP(C1350,Products!$A$2:$D$13,2,FALSE)</f>
        <v>Webcam</v>
      </c>
      <c r="M1350" t="str">
        <f t="shared" si="65"/>
        <v>2026-04</v>
      </c>
    </row>
    <row r="1351" spans="1:13">
      <c r="A1351">
        <v>1350</v>
      </c>
      <c r="B1351">
        <v>1658</v>
      </c>
      <c r="C1351">
        <v>9</v>
      </c>
      <c r="D1351">
        <v>4</v>
      </c>
      <c r="E1351">
        <v>30</v>
      </c>
      <c r="F1351">
        <f t="shared" si="63"/>
        <v>120</v>
      </c>
      <c r="G1351" t="str">
        <f>VLOOKUP(B1351,Orders!$A$2:$D$1201,4,FALSE)</f>
        <v>Delivered</v>
      </c>
      <c r="H1351">
        <f t="shared" si="64"/>
        <v>120</v>
      </c>
      <c r="I1351" s="12">
        <f>VLOOKUP(B1351,Orders!$A$2:$D$1201,3,FALSE)</f>
        <v>46129</v>
      </c>
      <c r="L1351" t="str">
        <f>VLOOKUP(C1351,Products!$A$2:$D$13,2,FALSE)</f>
        <v>Lamp</v>
      </c>
      <c r="M1351" t="str">
        <f t="shared" si="65"/>
        <v>2026-04</v>
      </c>
    </row>
    <row r="1352" spans="1:13">
      <c r="A1352">
        <v>1351</v>
      </c>
      <c r="B1352">
        <v>1659</v>
      </c>
      <c r="C1352">
        <v>6</v>
      </c>
      <c r="D1352">
        <v>2</v>
      </c>
      <c r="E1352">
        <v>140</v>
      </c>
      <c r="F1352">
        <f t="shared" si="63"/>
        <v>280</v>
      </c>
      <c r="G1352" t="str">
        <f>VLOOKUP(B1352,Orders!$A$2:$D$1201,4,FALSE)</f>
        <v>Shipped</v>
      </c>
      <c r="H1352">
        <f t="shared" si="64"/>
        <v>280</v>
      </c>
      <c r="I1352" s="12">
        <f>VLOOKUP(B1352,Orders!$A$2:$D$1201,3,FALSE)</f>
        <v>46140</v>
      </c>
      <c r="L1352" t="str">
        <f>VLOOKUP(C1352,Products!$A$2:$D$13,2,FALSE)</f>
        <v>Chair</v>
      </c>
      <c r="M1352" t="str">
        <f t="shared" si="65"/>
        <v>2026-04</v>
      </c>
    </row>
    <row r="1353" spans="1:13">
      <c r="A1353">
        <v>1352</v>
      </c>
      <c r="B1353">
        <v>1659</v>
      </c>
      <c r="C1353">
        <v>1</v>
      </c>
      <c r="D1353">
        <v>1</v>
      </c>
      <c r="E1353">
        <v>750</v>
      </c>
      <c r="F1353">
        <f t="shared" si="63"/>
        <v>750</v>
      </c>
      <c r="G1353" t="str">
        <f>VLOOKUP(B1353,Orders!$A$2:$D$1201,4,FALSE)</f>
        <v>Shipped</v>
      </c>
      <c r="H1353">
        <f t="shared" si="64"/>
        <v>750</v>
      </c>
      <c r="I1353" s="12">
        <f>VLOOKUP(B1353,Orders!$A$2:$D$1201,3,FALSE)</f>
        <v>46140</v>
      </c>
      <c r="L1353" t="str">
        <f>VLOOKUP(C1353,Products!$A$2:$D$13,2,FALSE)</f>
        <v>Laptop</v>
      </c>
      <c r="M1353" t="str">
        <f t="shared" si="65"/>
        <v>2026-04</v>
      </c>
    </row>
    <row r="1354" spans="1:13">
      <c r="A1354">
        <v>1353</v>
      </c>
      <c r="B1354">
        <v>1659</v>
      </c>
      <c r="C1354">
        <v>8</v>
      </c>
      <c r="D1354">
        <v>1</v>
      </c>
      <c r="E1354">
        <v>55</v>
      </c>
      <c r="F1354">
        <f t="shared" si="63"/>
        <v>55</v>
      </c>
      <c r="G1354" t="str">
        <f>VLOOKUP(B1354,Orders!$A$2:$D$1201,4,FALSE)</f>
        <v>Shipped</v>
      </c>
      <c r="H1354">
        <f t="shared" si="64"/>
        <v>55</v>
      </c>
      <c r="I1354" s="12">
        <f>VLOOKUP(B1354,Orders!$A$2:$D$1201,3,FALSE)</f>
        <v>46140</v>
      </c>
      <c r="L1354" t="str">
        <f>VLOOKUP(C1354,Products!$A$2:$D$13,2,FALSE)</f>
        <v>Webcam</v>
      </c>
      <c r="M1354" t="str">
        <f t="shared" si="65"/>
        <v>2026-04</v>
      </c>
    </row>
    <row r="1355" spans="1:13">
      <c r="A1355">
        <v>1354</v>
      </c>
      <c r="B1355">
        <v>1660</v>
      </c>
      <c r="C1355">
        <v>1</v>
      </c>
      <c r="D1355">
        <v>1</v>
      </c>
      <c r="E1355">
        <v>750</v>
      </c>
      <c r="F1355">
        <f t="shared" si="63"/>
        <v>750</v>
      </c>
      <c r="G1355" t="str">
        <f>VLOOKUP(B1355,Orders!$A$2:$D$1201,4,FALSE)</f>
        <v>Pending</v>
      </c>
      <c r="H1355">
        <f t="shared" si="64"/>
        <v>750</v>
      </c>
      <c r="I1355" s="12">
        <f>VLOOKUP(B1355,Orders!$A$2:$D$1201,3,FALSE)</f>
        <v>46125</v>
      </c>
      <c r="L1355" t="str">
        <f>VLOOKUP(C1355,Products!$A$2:$D$13,2,FALSE)</f>
        <v>Laptop</v>
      </c>
      <c r="M1355" t="str">
        <f t="shared" si="65"/>
        <v>2026-04</v>
      </c>
    </row>
    <row r="1356" spans="1:13">
      <c r="A1356">
        <v>1355</v>
      </c>
      <c r="B1356">
        <v>1660</v>
      </c>
      <c r="C1356">
        <v>7</v>
      </c>
      <c r="D1356">
        <v>2</v>
      </c>
      <c r="E1356">
        <v>65</v>
      </c>
      <c r="F1356">
        <f t="shared" si="63"/>
        <v>130</v>
      </c>
      <c r="G1356" t="str">
        <f>VLOOKUP(B1356,Orders!$A$2:$D$1201,4,FALSE)</f>
        <v>Pending</v>
      </c>
      <c r="H1356">
        <f t="shared" si="64"/>
        <v>130</v>
      </c>
      <c r="I1356" s="12">
        <f>VLOOKUP(B1356,Orders!$A$2:$D$1201,3,FALSE)</f>
        <v>46125</v>
      </c>
      <c r="L1356" t="str">
        <f>VLOOKUP(C1356,Products!$A$2:$D$13,2,FALSE)</f>
        <v>Headphones</v>
      </c>
      <c r="M1356" t="str">
        <f t="shared" si="65"/>
        <v>2026-04</v>
      </c>
    </row>
    <row r="1357" spans="1:13">
      <c r="A1357">
        <v>1356</v>
      </c>
      <c r="B1357">
        <v>1661</v>
      </c>
      <c r="C1357">
        <v>7</v>
      </c>
      <c r="D1357">
        <v>3</v>
      </c>
      <c r="E1357">
        <v>65</v>
      </c>
      <c r="F1357">
        <f t="shared" si="63"/>
        <v>195</v>
      </c>
      <c r="G1357" t="str">
        <f>VLOOKUP(B1357,Orders!$A$2:$D$1201,4,FALSE)</f>
        <v>Pending</v>
      </c>
      <c r="H1357">
        <f t="shared" si="64"/>
        <v>195</v>
      </c>
      <c r="I1357" s="12">
        <f>VLOOKUP(B1357,Orders!$A$2:$D$1201,3,FALSE)</f>
        <v>46037</v>
      </c>
      <c r="L1357" t="str">
        <f>VLOOKUP(C1357,Products!$A$2:$D$13,2,FALSE)</f>
        <v>Headphones</v>
      </c>
      <c r="M1357" t="str">
        <f t="shared" si="65"/>
        <v>2026-01</v>
      </c>
    </row>
    <row r="1358" spans="1:13">
      <c r="A1358">
        <v>1357</v>
      </c>
      <c r="B1358">
        <v>1661</v>
      </c>
      <c r="C1358">
        <v>12</v>
      </c>
      <c r="D1358">
        <v>3</v>
      </c>
      <c r="E1358">
        <v>22</v>
      </c>
      <c r="F1358">
        <f t="shared" si="63"/>
        <v>66</v>
      </c>
      <c r="G1358" t="str">
        <f>VLOOKUP(B1358,Orders!$A$2:$D$1201,4,FALSE)</f>
        <v>Pending</v>
      </c>
      <c r="H1358">
        <f t="shared" si="64"/>
        <v>66</v>
      </c>
      <c r="I1358" s="12">
        <f>VLOOKUP(B1358,Orders!$A$2:$D$1201,3,FALSE)</f>
        <v>46037</v>
      </c>
      <c r="L1358" t="str">
        <f>VLOOKUP(C1358,Products!$A$2:$D$13,2,FALSE)</f>
        <v>Storage Box</v>
      </c>
      <c r="M1358" t="str">
        <f t="shared" si="65"/>
        <v>2026-01</v>
      </c>
    </row>
    <row r="1359" spans="1:13">
      <c r="A1359">
        <v>1358</v>
      </c>
      <c r="B1359">
        <v>1662</v>
      </c>
      <c r="C1359">
        <v>3</v>
      </c>
      <c r="D1359">
        <v>2</v>
      </c>
      <c r="E1359">
        <v>45</v>
      </c>
      <c r="F1359">
        <f t="shared" si="63"/>
        <v>90</v>
      </c>
      <c r="G1359" t="str">
        <f>VLOOKUP(B1359,Orders!$A$2:$D$1201,4,FALSE)</f>
        <v>Delivered</v>
      </c>
      <c r="H1359">
        <f t="shared" si="64"/>
        <v>90</v>
      </c>
      <c r="I1359" s="12">
        <f>VLOOKUP(B1359,Orders!$A$2:$D$1201,3,FALSE)</f>
        <v>46025</v>
      </c>
      <c r="L1359" t="str">
        <f>VLOOKUP(C1359,Products!$A$2:$D$13,2,FALSE)</f>
        <v>Keyboard</v>
      </c>
      <c r="M1359" t="str">
        <f t="shared" si="65"/>
        <v>2026-01</v>
      </c>
    </row>
    <row r="1360" spans="1:13">
      <c r="A1360">
        <v>1359</v>
      </c>
      <c r="B1360">
        <v>1662</v>
      </c>
      <c r="C1360">
        <v>7</v>
      </c>
      <c r="D1360">
        <v>4</v>
      </c>
      <c r="E1360">
        <v>65</v>
      </c>
      <c r="F1360">
        <f t="shared" si="63"/>
        <v>260</v>
      </c>
      <c r="G1360" t="str">
        <f>VLOOKUP(B1360,Orders!$A$2:$D$1201,4,FALSE)</f>
        <v>Delivered</v>
      </c>
      <c r="H1360">
        <f t="shared" si="64"/>
        <v>260</v>
      </c>
      <c r="I1360" s="12">
        <f>VLOOKUP(B1360,Orders!$A$2:$D$1201,3,FALSE)</f>
        <v>46025</v>
      </c>
      <c r="L1360" t="str">
        <f>VLOOKUP(C1360,Products!$A$2:$D$13,2,FALSE)</f>
        <v>Headphones</v>
      </c>
      <c r="M1360" t="str">
        <f t="shared" si="65"/>
        <v>2026-01</v>
      </c>
    </row>
    <row r="1361" spans="1:13">
      <c r="A1361">
        <v>1360</v>
      </c>
      <c r="B1361">
        <v>1662</v>
      </c>
      <c r="C1361">
        <v>8</v>
      </c>
      <c r="D1361">
        <v>3</v>
      </c>
      <c r="E1361">
        <v>55</v>
      </c>
      <c r="F1361">
        <f t="shared" si="63"/>
        <v>165</v>
      </c>
      <c r="G1361" t="str">
        <f>VLOOKUP(B1361,Orders!$A$2:$D$1201,4,FALSE)</f>
        <v>Delivered</v>
      </c>
      <c r="H1361">
        <f t="shared" si="64"/>
        <v>165</v>
      </c>
      <c r="I1361" s="12">
        <f>VLOOKUP(B1361,Orders!$A$2:$D$1201,3,FALSE)</f>
        <v>46025</v>
      </c>
      <c r="L1361" t="str">
        <f>VLOOKUP(C1361,Products!$A$2:$D$13,2,FALSE)</f>
        <v>Webcam</v>
      </c>
      <c r="M1361" t="str">
        <f t="shared" si="65"/>
        <v>2026-01</v>
      </c>
    </row>
    <row r="1362" spans="1:13">
      <c r="A1362">
        <v>1361</v>
      </c>
      <c r="B1362">
        <v>1663</v>
      </c>
      <c r="C1362">
        <v>7</v>
      </c>
      <c r="D1362">
        <v>3</v>
      </c>
      <c r="E1362">
        <v>65</v>
      </c>
      <c r="F1362">
        <f t="shared" si="63"/>
        <v>195</v>
      </c>
      <c r="G1362" t="str">
        <f>VLOOKUP(B1362,Orders!$A$2:$D$1201,4,FALSE)</f>
        <v>Delivered</v>
      </c>
      <c r="H1362">
        <f t="shared" si="64"/>
        <v>195</v>
      </c>
      <c r="I1362" s="12">
        <f>VLOOKUP(B1362,Orders!$A$2:$D$1201,3,FALSE)</f>
        <v>46100</v>
      </c>
      <c r="L1362" t="str">
        <f>VLOOKUP(C1362,Products!$A$2:$D$13,2,FALSE)</f>
        <v>Headphones</v>
      </c>
      <c r="M1362" t="str">
        <f t="shared" si="65"/>
        <v>2026-03</v>
      </c>
    </row>
    <row r="1363" spans="1:13">
      <c r="A1363">
        <v>1362</v>
      </c>
      <c r="B1363">
        <v>1663</v>
      </c>
      <c r="C1363">
        <v>3</v>
      </c>
      <c r="D1363">
        <v>2</v>
      </c>
      <c r="E1363">
        <v>45</v>
      </c>
      <c r="F1363">
        <f t="shared" si="63"/>
        <v>90</v>
      </c>
      <c r="G1363" t="str">
        <f>VLOOKUP(B1363,Orders!$A$2:$D$1201,4,FALSE)</f>
        <v>Delivered</v>
      </c>
      <c r="H1363">
        <f t="shared" si="64"/>
        <v>90</v>
      </c>
      <c r="I1363" s="12">
        <f>VLOOKUP(B1363,Orders!$A$2:$D$1201,3,FALSE)</f>
        <v>46100</v>
      </c>
      <c r="L1363" t="str">
        <f>VLOOKUP(C1363,Products!$A$2:$D$13,2,FALSE)</f>
        <v>Keyboard</v>
      </c>
      <c r="M1363" t="str">
        <f t="shared" si="65"/>
        <v>2026-03</v>
      </c>
    </row>
    <row r="1364" spans="1:13">
      <c r="A1364">
        <v>1363</v>
      </c>
      <c r="B1364">
        <v>1664</v>
      </c>
      <c r="C1364">
        <v>5</v>
      </c>
      <c r="D1364">
        <v>4</v>
      </c>
      <c r="E1364">
        <v>180</v>
      </c>
      <c r="F1364">
        <f t="shared" si="63"/>
        <v>720</v>
      </c>
      <c r="G1364" t="str">
        <f>VLOOKUP(B1364,Orders!$A$2:$D$1201,4,FALSE)</f>
        <v>Delivered</v>
      </c>
      <c r="H1364">
        <f t="shared" si="64"/>
        <v>720</v>
      </c>
      <c r="I1364" s="12">
        <f>VLOOKUP(B1364,Orders!$A$2:$D$1201,3,FALSE)</f>
        <v>46063</v>
      </c>
      <c r="L1364" t="str">
        <f>VLOOKUP(C1364,Products!$A$2:$D$13,2,FALSE)</f>
        <v>Desk</v>
      </c>
      <c r="M1364" t="str">
        <f t="shared" si="65"/>
        <v>2026-02</v>
      </c>
    </row>
    <row r="1365" spans="1:13">
      <c r="A1365">
        <v>1364</v>
      </c>
      <c r="B1365">
        <v>1664</v>
      </c>
      <c r="C1365">
        <v>4</v>
      </c>
      <c r="D1365">
        <v>1</v>
      </c>
      <c r="E1365">
        <v>25</v>
      </c>
      <c r="F1365">
        <f t="shared" si="63"/>
        <v>25</v>
      </c>
      <c r="G1365" t="str">
        <f>VLOOKUP(B1365,Orders!$A$2:$D$1201,4,FALSE)</f>
        <v>Delivered</v>
      </c>
      <c r="H1365">
        <f t="shared" si="64"/>
        <v>25</v>
      </c>
      <c r="I1365" s="12">
        <f>VLOOKUP(B1365,Orders!$A$2:$D$1201,3,FALSE)</f>
        <v>46063</v>
      </c>
      <c r="L1365" t="str">
        <f>VLOOKUP(C1365,Products!$A$2:$D$13,2,FALSE)</f>
        <v>Mouse</v>
      </c>
      <c r="M1365" t="str">
        <f t="shared" si="65"/>
        <v>2026-02</v>
      </c>
    </row>
    <row r="1366" spans="1:13">
      <c r="A1366">
        <v>1365</v>
      </c>
      <c r="B1366">
        <v>1664</v>
      </c>
      <c r="C1366">
        <v>12</v>
      </c>
      <c r="D1366">
        <v>1</v>
      </c>
      <c r="E1366">
        <v>22</v>
      </c>
      <c r="F1366">
        <f t="shared" si="63"/>
        <v>22</v>
      </c>
      <c r="G1366" t="str">
        <f>VLOOKUP(B1366,Orders!$A$2:$D$1201,4,FALSE)</f>
        <v>Delivered</v>
      </c>
      <c r="H1366">
        <f t="shared" si="64"/>
        <v>22</v>
      </c>
      <c r="I1366" s="12">
        <f>VLOOKUP(B1366,Orders!$A$2:$D$1201,3,FALSE)</f>
        <v>46063</v>
      </c>
      <c r="L1366" t="str">
        <f>VLOOKUP(C1366,Products!$A$2:$D$13,2,FALSE)</f>
        <v>Storage Box</v>
      </c>
      <c r="M1366" t="str">
        <f t="shared" si="65"/>
        <v>2026-02</v>
      </c>
    </row>
    <row r="1367" spans="1:13">
      <c r="A1367">
        <v>1366</v>
      </c>
      <c r="B1367">
        <v>1665</v>
      </c>
      <c r="C1367">
        <v>5</v>
      </c>
      <c r="D1367">
        <v>1</v>
      </c>
      <c r="E1367">
        <v>180</v>
      </c>
      <c r="F1367">
        <f t="shared" si="63"/>
        <v>180</v>
      </c>
      <c r="G1367" t="str">
        <f>VLOOKUP(B1367,Orders!$A$2:$D$1201,4,FALSE)</f>
        <v>Delivered</v>
      </c>
      <c r="H1367">
        <f t="shared" si="64"/>
        <v>180</v>
      </c>
      <c r="I1367" s="12">
        <f>VLOOKUP(B1367,Orders!$A$2:$D$1201,3,FALSE)</f>
        <v>46035</v>
      </c>
      <c r="L1367" t="str">
        <f>VLOOKUP(C1367,Products!$A$2:$D$13,2,FALSE)</f>
        <v>Desk</v>
      </c>
      <c r="M1367" t="str">
        <f t="shared" si="65"/>
        <v>2026-01</v>
      </c>
    </row>
    <row r="1368" spans="1:13">
      <c r="A1368">
        <v>1367</v>
      </c>
      <c r="B1368">
        <v>1665</v>
      </c>
      <c r="C1368">
        <v>10</v>
      </c>
      <c r="D1368">
        <v>4</v>
      </c>
      <c r="E1368">
        <v>8</v>
      </c>
      <c r="F1368">
        <f t="shared" si="63"/>
        <v>32</v>
      </c>
      <c r="G1368" t="str">
        <f>VLOOKUP(B1368,Orders!$A$2:$D$1201,4,FALSE)</f>
        <v>Delivered</v>
      </c>
      <c r="H1368">
        <f t="shared" si="64"/>
        <v>32</v>
      </c>
      <c r="I1368" s="12">
        <f>VLOOKUP(B1368,Orders!$A$2:$D$1201,3,FALSE)</f>
        <v>46035</v>
      </c>
      <c r="L1368" t="str">
        <f>VLOOKUP(C1368,Products!$A$2:$D$13,2,FALSE)</f>
        <v>Notebook</v>
      </c>
      <c r="M1368" t="str">
        <f t="shared" si="65"/>
        <v>2026-01</v>
      </c>
    </row>
    <row r="1369" spans="1:13">
      <c r="A1369">
        <v>1368</v>
      </c>
      <c r="B1369">
        <v>1666</v>
      </c>
      <c r="C1369">
        <v>4</v>
      </c>
      <c r="D1369">
        <v>3</v>
      </c>
      <c r="E1369">
        <v>25</v>
      </c>
      <c r="F1369">
        <f t="shared" si="63"/>
        <v>75</v>
      </c>
      <c r="G1369" t="str">
        <f>VLOOKUP(B1369,Orders!$A$2:$D$1201,4,FALSE)</f>
        <v>Delivered</v>
      </c>
      <c r="H1369">
        <f t="shared" si="64"/>
        <v>75</v>
      </c>
      <c r="I1369" s="12">
        <f>VLOOKUP(B1369,Orders!$A$2:$D$1201,3,FALSE)</f>
        <v>46167</v>
      </c>
      <c r="L1369" t="str">
        <f>VLOOKUP(C1369,Products!$A$2:$D$13,2,FALSE)</f>
        <v>Mouse</v>
      </c>
      <c r="M1369" t="str">
        <f t="shared" si="65"/>
        <v>2026-05</v>
      </c>
    </row>
    <row r="1370" spans="1:13">
      <c r="A1370">
        <v>1369</v>
      </c>
      <c r="B1370">
        <v>1666</v>
      </c>
      <c r="C1370">
        <v>6</v>
      </c>
      <c r="D1370">
        <v>2</v>
      </c>
      <c r="E1370">
        <v>140</v>
      </c>
      <c r="F1370">
        <f t="shared" si="63"/>
        <v>280</v>
      </c>
      <c r="G1370" t="str">
        <f>VLOOKUP(B1370,Orders!$A$2:$D$1201,4,FALSE)</f>
        <v>Delivered</v>
      </c>
      <c r="H1370">
        <f t="shared" si="64"/>
        <v>280</v>
      </c>
      <c r="I1370" s="12">
        <f>VLOOKUP(B1370,Orders!$A$2:$D$1201,3,FALSE)</f>
        <v>46167</v>
      </c>
      <c r="L1370" t="str">
        <f>VLOOKUP(C1370,Products!$A$2:$D$13,2,FALSE)</f>
        <v>Chair</v>
      </c>
      <c r="M1370" t="str">
        <f t="shared" si="65"/>
        <v>2026-05</v>
      </c>
    </row>
    <row r="1371" spans="1:13">
      <c r="A1371">
        <v>1370</v>
      </c>
      <c r="B1371">
        <v>1666</v>
      </c>
      <c r="C1371">
        <v>5</v>
      </c>
      <c r="D1371">
        <v>4</v>
      </c>
      <c r="E1371">
        <v>180</v>
      </c>
      <c r="F1371">
        <f t="shared" si="63"/>
        <v>720</v>
      </c>
      <c r="G1371" t="str">
        <f>VLOOKUP(B1371,Orders!$A$2:$D$1201,4,FALSE)</f>
        <v>Delivered</v>
      </c>
      <c r="H1371">
        <f t="shared" si="64"/>
        <v>720</v>
      </c>
      <c r="I1371" s="12">
        <f>VLOOKUP(B1371,Orders!$A$2:$D$1201,3,FALSE)</f>
        <v>46167</v>
      </c>
      <c r="L1371" t="str">
        <f>VLOOKUP(C1371,Products!$A$2:$D$13,2,FALSE)</f>
        <v>Desk</v>
      </c>
      <c r="M1371" t="str">
        <f t="shared" si="65"/>
        <v>2026-05</v>
      </c>
    </row>
    <row r="1372" spans="1:13">
      <c r="A1372">
        <v>1371</v>
      </c>
      <c r="B1372">
        <v>1667</v>
      </c>
      <c r="C1372">
        <v>2</v>
      </c>
      <c r="D1372">
        <v>4</v>
      </c>
      <c r="E1372">
        <v>220</v>
      </c>
      <c r="F1372">
        <f t="shared" si="63"/>
        <v>880</v>
      </c>
      <c r="G1372" t="str">
        <f>VLOOKUP(B1372,Orders!$A$2:$D$1201,4,FALSE)</f>
        <v>Delivered</v>
      </c>
      <c r="H1372">
        <f t="shared" si="64"/>
        <v>880</v>
      </c>
      <c r="I1372" s="12">
        <f>VLOOKUP(B1372,Orders!$A$2:$D$1201,3,FALSE)</f>
        <v>46072</v>
      </c>
      <c r="L1372" t="str">
        <f>VLOOKUP(C1372,Products!$A$2:$D$13,2,FALSE)</f>
        <v>Monitor</v>
      </c>
      <c r="M1372" t="str">
        <f t="shared" si="65"/>
        <v>2026-02</v>
      </c>
    </row>
    <row r="1373" spans="1:13">
      <c r="A1373">
        <v>1372</v>
      </c>
      <c r="B1373">
        <v>1667</v>
      </c>
      <c r="C1373">
        <v>3</v>
      </c>
      <c r="D1373">
        <v>4</v>
      </c>
      <c r="E1373">
        <v>45</v>
      </c>
      <c r="F1373">
        <f t="shared" si="63"/>
        <v>180</v>
      </c>
      <c r="G1373" t="str">
        <f>VLOOKUP(B1373,Orders!$A$2:$D$1201,4,FALSE)</f>
        <v>Delivered</v>
      </c>
      <c r="H1373">
        <f t="shared" si="64"/>
        <v>180</v>
      </c>
      <c r="I1373" s="12">
        <f>VLOOKUP(B1373,Orders!$A$2:$D$1201,3,FALSE)</f>
        <v>46072</v>
      </c>
      <c r="L1373" t="str">
        <f>VLOOKUP(C1373,Products!$A$2:$D$13,2,FALSE)</f>
        <v>Keyboard</v>
      </c>
      <c r="M1373" t="str">
        <f t="shared" si="65"/>
        <v>2026-02</v>
      </c>
    </row>
    <row r="1374" spans="1:13">
      <c r="A1374">
        <v>1373</v>
      </c>
      <c r="B1374">
        <v>1668</v>
      </c>
      <c r="C1374">
        <v>9</v>
      </c>
      <c r="D1374">
        <v>4</v>
      </c>
      <c r="E1374">
        <v>30</v>
      </c>
      <c r="F1374">
        <f t="shared" si="63"/>
        <v>120</v>
      </c>
      <c r="G1374" t="str">
        <f>VLOOKUP(B1374,Orders!$A$2:$D$1201,4,FALSE)</f>
        <v>Delivered</v>
      </c>
      <c r="H1374">
        <f t="shared" si="64"/>
        <v>120</v>
      </c>
      <c r="I1374" s="12">
        <f>VLOOKUP(B1374,Orders!$A$2:$D$1201,3,FALSE)</f>
        <v>46077</v>
      </c>
      <c r="L1374" t="str">
        <f>VLOOKUP(C1374,Products!$A$2:$D$13,2,FALSE)</f>
        <v>Lamp</v>
      </c>
      <c r="M1374" t="str">
        <f t="shared" si="65"/>
        <v>2026-02</v>
      </c>
    </row>
    <row r="1375" spans="1:13">
      <c r="A1375">
        <v>1374</v>
      </c>
      <c r="B1375">
        <v>1668</v>
      </c>
      <c r="C1375">
        <v>7</v>
      </c>
      <c r="D1375">
        <v>3</v>
      </c>
      <c r="E1375">
        <v>65</v>
      </c>
      <c r="F1375">
        <f t="shared" si="63"/>
        <v>195</v>
      </c>
      <c r="G1375" t="str">
        <f>VLOOKUP(B1375,Orders!$A$2:$D$1201,4,FALSE)</f>
        <v>Delivered</v>
      </c>
      <c r="H1375">
        <f t="shared" si="64"/>
        <v>195</v>
      </c>
      <c r="I1375" s="12">
        <f>VLOOKUP(B1375,Orders!$A$2:$D$1201,3,FALSE)</f>
        <v>46077</v>
      </c>
      <c r="L1375" t="str">
        <f>VLOOKUP(C1375,Products!$A$2:$D$13,2,FALSE)</f>
        <v>Headphones</v>
      </c>
      <c r="M1375" t="str">
        <f t="shared" si="65"/>
        <v>2026-02</v>
      </c>
    </row>
    <row r="1376" spans="1:13">
      <c r="A1376">
        <v>1375</v>
      </c>
      <c r="B1376">
        <v>1668</v>
      </c>
      <c r="C1376">
        <v>10</v>
      </c>
      <c r="D1376">
        <v>4</v>
      </c>
      <c r="E1376">
        <v>8</v>
      </c>
      <c r="F1376">
        <f t="shared" si="63"/>
        <v>32</v>
      </c>
      <c r="G1376" t="str">
        <f>VLOOKUP(B1376,Orders!$A$2:$D$1201,4,FALSE)</f>
        <v>Delivered</v>
      </c>
      <c r="H1376">
        <f t="shared" si="64"/>
        <v>32</v>
      </c>
      <c r="I1376" s="12">
        <f>VLOOKUP(B1376,Orders!$A$2:$D$1201,3,FALSE)</f>
        <v>46077</v>
      </c>
      <c r="L1376" t="str">
        <f>VLOOKUP(C1376,Products!$A$2:$D$13,2,FALSE)</f>
        <v>Notebook</v>
      </c>
      <c r="M1376" t="str">
        <f t="shared" si="65"/>
        <v>2026-02</v>
      </c>
    </row>
    <row r="1377" spans="1:13">
      <c r="A1377">
        <v>1376</v>
      </c>
      <c r="B1377">
        <v>1669</v>
      </c>
      <c r="C1377">
        <v>3</v>
      </c>
      <c r="D1377">
        <v>2</v>
      </c>
      <c r="E1377">
        <v>45</v>
      </c>
      <c r="F1377">
        <f t="shared" si="63"/>
        <v>90</v>
      </c>
      <c r="G1377" t="str">
        <f>VLOOKUP(B1377,Orders!$A$2:$D$1201,4,FALSE)</f>
        <v>Delivered</v>
      </c>
      <c r="H1377">
        <f t="shared" si="64"/>
        <v>90</v>
      </c>
      <c r="I1377" s="12">
        <f>VLOOKUP(B1377,Orders!$A$2:$D$1201,3,FALSE)</f>
        <v>46129</v>
      </c>
      <c r="L1377" t="str">
        <f>VLOOKUP(C1377,Products!$A$2:$D$13,2,FALSE)</f>
        <v>Keyboard</v>
      </c>
      <c r="M1377" t="str">
        <f t="shared" si="65"/>
        <v>2026-04</v>
      </c>
    </row>
    <row r="1378" spans="1:13">
      <c r="A1378">
        <v>1377</v>
      </c>
      <c r="B1378">
        <v>1669</v>
      </c>
      <c r="C1378">
        <v>8</v>
      </c>
      <c r="D1378">
        <v>1</v>
      </c>
      <c r="E1378">
        <v>55</v>
      </c>
      <c r="F1378">
        <f t="shared" si="63"/>
        <v>55</v>
      </c>
      <c r="G1378" t="str">
        <f>VLOOKUP(B1378,Orders!$A$2:$D$1201,4,FALSE)</f>
        <v>Delivered</v>
      </c>
      <c r="H1378">
        <f t="shared" si="64"/>
        <v>55</v>
      </c>
      <c r="I1378" s="12">
        <f>VLOOKUP(B1378,Orders!$A$2:$D$1201,3,FALSE)</f>
        <v>46129</v>
      </c>
      <c r="L1378" t="str">
        <f>VLOOKUP(C1378,Products!$A$2:$D$13,2,FALSE)</f>
        <v>Webcam</v>
      </c>
      <c r="M1378" t="str">
        <f t="shared" si="65"/>
        <v>2026-04</v>
      </c>
    </row>
    <row r="1379" spans="1:13">
      <c r="A1379">
        <v>1378</v>
      </c>
      <c r="B1379">
        <v>1669</v>
      </c>
      <c r="C1379">
        <v>11</v>
      </c>
      <c r="D1379">
        <v>2</v>
      </c>
      <c r="E1379">
        <v>48</v>
      </c>
      <c r="F1379">
        <f t="shared" si="63"/>
        <v>96</v>
      </c>
      <c r="G1379" t="str">
        <f>VLOOKUP(B1379,Orders!$A$2:$D$1201,4,FALSE)</f>
        <v>Delivered</v>
      </c>
      <c r="H1379">
        <f t="shared" si="64"/>
        <v>96</v>
      </c>
      <c r="I1379" s="12">
        <f>VLOOKUP(B1379,Orders!$A$2:$D$1201,3,FALSE)</f>
        <v>46129</v>
      </c>
      <c r="L1379" t="str">
        <f>VLOOKUP(C1379,Products!$A$2:$D$13,2,FALSE)</f>
        <v>Backpack</v>
      </c>
      <c r="M1379" t="str">
        <f t="shared" si="65"/>
        <v>2026-04</v>
      </c>
    </row>
    <row r="1380" spans="1:13">
      <c r="A1380">
        <v>1379</v>
      </c>
      <c r="B1380">
        <v>1670</v>
      </c>
      <c r="C1380">
        <v>7</v>
      </c>
      <c r="D1380">
        <v>3</v>
      </c>
      <c r="E1380">
        <v>65</v>
      </c>
      <c r="F1380">
        <f t="shared" si="63"/>
        <v>195</v>
      </c>
      <c r="G1380" t="str">
        <f>VLOOKUP(B1380,Orders!$A$2:$D$1201,4,FALSE)</f>
        <v>Shipped</v>
      </c>
      <c r="H1380">
        <f t="shared" si="64"/>
        <v>195</v>
      </c>
      <c r="I1380" s="12">
        <f>VLOOKUP(B1380,Orders!$A$2:$D$1201,3,FALSE)</f>
        <v>46117</v>
      </c>
      <c r="L1380" t="str">
        <f>VLOOKUP(C1380,Products!$A$2:$D$13,2,FALSE)</f>
        <v>Headphones</v>
      </c>
      <c r="M1380" t="str">
        <f t="shared" si="65"/>
        <v>2026-04</v>
      </c>
    </row>
    <row r="1381" spans="1:13">
      <c r="A1381">
        <v>1380</v>
      </c>
      <c r="B1381">
        <v>1670</v>
      </c>
      <c r="C1381">
        <v>2</v>
      </c>
      <c r="D1381">
        <v>3</v>
      </c>
      <c r="E1381">
        <v>220</v>
      </c>
      <c r="F1381">
        <f t="shared" si="63"/>
        <v>660</v>
      </c>
      <c r="G1381" t="str">
        <f>VLOOKUP(B1381,Orders!$A$2:$D$1201,4,FALSE)</f>
        <v>Shipped</v>
      </c>
      <c r="H1381">
        <f t="shared" si="64"/>
        <v>660</v>
      </c>
      <c r="I1381" s="12">
        <f>VLOOKUP(B1381,Orders!$A$2:$D$1201,3,FALSE)</f>
        <v>46117</v>
      </c>
      <c r="L1381" t="str">
        <f>VLOOKUP(C1381,Products!$A$2:$D$13,2,FALSE)</f>
        <v>Monitor</v>
      </c>
      <c r="M1381" t="str">
        <f t="shared" si="65"/>
        <v>2026-04</v>
      </c>
    </row>
    <row r="1382" spans="1:13">
      <c r="A1382">
        <v>1381</v>
      </c>
      <c r="B1382">
        <v>1670</v>
      </c>
      <c r="C1382">
        <v>11</v>
      </c>
      <c r="D1382">
        <v>1</v>
      </c>
      <c r="E1382">
        <v>48</v>
      </c>
      <c r="F1382">
        <f t="shared" si="63"/>
        <v>48</v>
      </c>
      <c r="G1382" t="str">
        <f>VLOOKUP(B1382,Orders!$A$2:$D$1201,4,FALSE)</f>
        <v>Shipped</v>
      </c>
      <c r="H1382">
        <f t="shared" si="64"/>
        <v>48</v>
      </c>
      <c r="I1382" s="12">
        <f>VLOOKUP(B1382,Orders!$A$2:$D$1201,3,FALSE)</f>
        <v>46117</v>
      </c>
      <c r="L1382" t="str">
        <f>VLOOKUP(C1382,Products!$A$2:$D$13,2,FALSE)</f>
        <v>Backpack</v>
      </c>
      <c r="M1382" t="str">
        <f t="shared" si="65"/>
        <v>2026-04</v>
      </c>
    </row>
    <row r="1383" spans="1:13">
      <c r="A1383">
        <v>1382</v>
      </c>
      <c r="B1383">
        <v>1671</v>
      </c>
      <c r="C1383">
        <v>5</v>
      </c>
      <c r="D1383">
        <v>1</v>
      </c>
      <c r="E1383">
        <v>180</v>
      </c>
      <c r="F1383">
        <f t="shared" si="63"/>
        <v>180</v>
      </c>
      <c r="G1383" t="str">
        <f>VLOOKUP(B1383,Orders!$A$2:$D$1201,4,FALSE)</f>
        <v>Delivered</v>
      </c>
      <c r="H1383">
        <f t="shared" si="64"/>
        <v>180</v>
      </c>
      <c r="I1383" s="12">
        <f>VLOOKUP(B1383,Orders!$A$2:$D$1201,3,FALSE)</f>
        <v>46118</v>
      </c>
      <c r="L1383" t="str">
        <f>VLOOKUP(C1383,Products!$A$2:$D$13,2,FALSE)</f>
        <v>Desk</v>
      </c>
      <c r="M1383" t="str">
        <f t="shared" si="65"/>
        <v>2026-04</v>
      </c>
    </row>
    <row r="1384" spans="1:13">
      <c r="A1384">
        <v>1383</v>
      </c>
      <c r="B1384">
        <v>1671</v>
      </c>
      <c r="C1384">
        <v>8</v>
      </c>
      <c r="D1384">
        <v>2</v>
      </c>
      <c r="E1384">
        <v>55</v>
      </c>
      <c r="F1384">
        <f t="shared" si="63"/>
        <v>110</v>
      </c>
      <c r="G1384" t="str">
        <f>VLOOKUP(B1384,Orders!$A$2:$D$1201,4,FALSE)</f>
        <v>Delivered</v>
      </c>
      <c r="H1384">
        <f t="shared" si="64"/>
        <v>110</v>
      </c>
      <c r="I1384" s="12">
        <f>VLOOKUP(B1384,Orders!$A$2:$D$1201,3,FALSE)</f>
        <v>46118</v>
      </c>
      <c r="L1384" t="str">
        <f>VLOOKUP(C1384,Products!$A$2:$D$13,2,FALSE)</f>
        <v>Webcam</v>
      </c>
      <c r="M1384" t="str">
        <f t="shared" si="65"/>
        <v>2026-04</v>
      </c>
    </row>
    <row r="1385" spans="1:13">
      <c r="A1385">
        <v>1384</v>
      </c>
      <c r="B1385">
        <v>1672</v>
      </c>
      <c r="C1385">
        <v>2</v>
      </c>
      <c r="D1385">
        <v>3</v>
      </c>
      <c r="E1385">
        <v>220</v>
      </c>
      <c r="F1385">
        <f t="shared" si="63"/>
        <v>660</v>
      </c>
      <c r="G1385" t="str">
        <f>VLOOKUP(B1385,Orders!$A$2:$D$1201,4,FALSE)</f>
        <v>Delivered</v>
      </c>
      <c r="H1385">
        <f t="shared" si="64"/>
        <v>660</v>
      </c>
      <c r="I1385" s="12">
        <f>VLOOKUP(B1385,Orders!$A$2:$D$1201,3,FALSE)</f>
        <v>46095</v>
      </c>
      <c r="L1385" t="str">
        <f>VLOOKUP(C1385,Products!$A$2:$D$13,2,FALSE)</f>
        <v>Monitor</v>
      </c>
      <c r="M1385" t="str">
        <f t="shared" si="65"/>
        <v>2026-03</v>
      </c>
    </row>
    <row r="1386" spans="1:13">
      <c r="A1386">
        <v>1385</v>
      </c>
      <c r="B1386">
        <v>1673</v>
      </c>
      <c r="C1386">
        <v>8</v>
      </c>
      <c r="D1386">
        <v>2</v>
      </c>
      <c r="E1386">
        <v>55</v>
      </c>
      <c r="F1386">
        <f t="shared" si="63"/>
        <v>110</v>
      </c>
      <c r="G1386" t="str">
        <f>VLOOKUP(B1386,Orders!$A$2:$D$1201,4,FALSE)</f>
        <v>Delivered</v>
      </c>
      <c r="H1386">
        <f t="shared" si="64"/>
        <v>110</v>
      </c>
      <c r="I1386" s="12">
        <f>VLOOKUP(B1386,Orders!$A$2:$D$1201,3,FALSE)</f>
        <v>46167</v>
      </c>
      <c r="L1386" t="str">
        <f>VLOOKUP(C1386,Products!$A$2:$D$13,2,FALSE)</f>
        <v>Webcam</v>
      </c>
      <c r="M1386" t="str">
        <f t="shared" si="65"/>
        <v>2026-05</v>
      </c>
    </row>
    <row r="1387" spans="1:13">
      <c r="A1387">
        <v>1386</v>
      </c>
      <c r="B1387">
        <v>1673</v>
      </c>
      <c r="C1387">
        <v>10</v>
      </c>
      <c r="D1387">
        <v>2</v>
      </c>
      <c r="E1387">
        <v>8</v>
      </c>
      <c r="F1387">
        <f t="shared" si="63"/>
        <v>16</v>
      </c>
      <c r="G1387" t="str">
        <f>VLOOKUP(B1387,Orders!$A$2:$D$1201,4,FALSE)</f>
        <v>Delivered</v>
      </c>
      <c r="H1387">
        <f t="shared" si="64"/>
        <v>16</v>
      </c>
      <c r="I1387" s="12">
        <f>VLOOKUP(B1387,Orders!$A$2:$D$1201,3,FALSE)</f>
        <v>46167</v>
      </c>
      <c r="L1387" t="str">
        <f>VLOOKUP(C1387,Products!$A$2:$D$13,2,FALSE)</f>
        <v>Notebook</v>
      </c>
      <c r="M1387" t="str">
        <f t="shared" si="65"/>
        <v>2026-05</v>
      </c>
    </row>
    <row r="1388" spans="1:13">
      <c r="A1388">
        <v>1387</v>
      </c>
      <c r="B1388">
        <v>1674</v>
      </c>
      <c r="C1388">
        <v>10</v>
      </c>
      <c r="D1388">
        <v>4</v>
      </c>
      <c r="E1388">
        <v>8</v>
      </c>
      <c r="F1388">
        <f t="shared" si="63"/>
        <v>32</v>
      </c>
      <c r="G1388" t="str">
        <f>VLOOKUP(B1388,Orders!$A$2:$D$1201,4,FALSE)</f>
        <v>Cancelled</v>
      </c>
      <c r="H1388">
        <f t="shared" si="64"/>
        <v>0</v>
      </c>
      <c r="I1388" s="12">
        <f>VLOOKUP(B1388,Orders!$A$2:$D$1201,3,FALSE)</f>
        <v>46061</v>
      </c>
      <c r="L1388" t="str">
        <f>VLOOKUP(C1388,Products!$A$2:$D$13,2,FALSE)</f>
        <v>Notebook</v>
      </c>
      <c r="M1388" t="str">
        <f t="shared" si="65"/>
        <v>2026-02</v>
      </c>
    </row>
    <row r="1389" spans="1:13">
      <c r="A1389">
        <v>1388</v>
      </c>
      <c r="B1389">
        <v>1675</v>
      </c>
      <c r="C1389">
        <v>9</v>
      </c>
      <c r="D1389">
        <v>4</v>
      </c>
      <c r="E1389">
        <v>30</v>
      </c>
      <c r="F1389">
        <f t="shared" si="63"/>
        <v>120</v>
      </c>
      <c r="G1389" t="str">
        <f>VLOOKUP(B1389,Orders!$A$2:$D$1201,4,FALSE)</f>
        <v>Delivered</v>
      </c>
      <c r="H1389">
        <f t="shared" si="64"/>
        <v>120</v>
      </c>
      <c r="I1389" s="12">
        <f>VLOOKUP(B1389,Orders!$A$2:$D$1201,3,FALSE)</f>
        <v>46122</v>
      </c>
      <c r="L1389" t="str">
        <f>VLOOKUP(C1389,Products!$A$2:$D$13,2,FALSE)</f>
        <v>Lamp</v>
      </c>
      <c r="M1389" t="str">
        <f t="shared" si="65"/>
        <v>2026-04</v>
      </c>
    </row>
    <row r="1390" spans="1:13">
      <c r="A1390">
        <v>1389</v>
      </c>
      <c r="B1390">
        <v>1675</v>
      </c>
      <c r="C1390">
        <v>1</v>
      </c>
      <c r="D1390">
        <v>3</v>
      </c>
      <c r="E1390">
        <v>750</v>
      </c>
      <c r="F1390">
        <f t="shared" si="63"/>
        <v>2250</v>
      </c>
      <c r="G1390" t="str">
        <f>VLOOKUP(B1390,Orders!$A$2:$D$1201,4,FALSE)</f>
        <v>Delivered</v>
      </c>
      <c r="H1390">
        <f t="shared" si="64"/>
        <v>2250</v>
      </c>
      <c r="I1390" s="12">
        <f>VLOOKUP(B1390,Orders!$A$2:$D$1201,3,FALSE)</f>
        <v>46122</v>
      </c>
      <c r="L1390" t="str">
        <f>VLOOKUP(C1390,Products!$A$2:$D$13,2,FALSE)</f>
        <v>Laptop</v>
      </c>
      <c r="M1390" t="str">
        <f t="shared" si="65"/>
        <v>2026-04</v>
      </c>
    </row>
    <row r="1391" spans="1:13">
      <c r="A1391">
        <v>1390</v>
      </c>
      <c r="B1391">
        <v>1676</v>
      </c>
      <c r="C1391">
        <v>11</v>
      </c>
      <c r="D1391">
        <v>1</v>
      </c>
      <c r="E1391">
        <v>48</v>
      </c>
      <c r="F1391">
        <f t="shared" si="63"/>
        <v>48</v>
      </c>
      <c r="G1391" t="str">
        <f>VLOOKUP(B1391,Orders!$A$2:$D$1201,4,FALSE)</f>
        <v>Delivered</v>
      </c>
      <c r="H1391">
        <f t="shared" si="64"/>
        <v>48</v>
      </c>
      <c r="I1391" s="12">
        <f>VLOOKUP(B1391,Orders!$A$2:$D$1201,3,FALSE)</f>
        <v>46184</v>
      </c>
      <c r="L1391" t="str">
        <f>VLOOKUP(C1391,Products!$A$2:$D$13,2,FALSE)</f>
        <v>Backpack</v>
      </c>
      <c r="M1391" t="str">
        <f t="shared" si="65"/>
        <v>2026-06</v>
      </c>
    </row>
    <row r="1392" spans="1:13">
      <c r="A1392">
        <v>1391</v>
      </c>
      <c r="B1392">
        <v>1676</v>
      </c>
      <c r="C1392">
        <v>2</v>
      </c>
      <c r="D1392">
        <v>2</v>
      </c>
      <c r="E1392">
        <v>220</v>
      </c>
      <c r="F1392">
        <f t="shared" si="63"/>
        <v>440</v>
      </c>
      <c r="G1392" t="str">
        <f>VLOOKUP(B1392,Orders!$A$2:$D$1201,4,FALSE)</f>
        <v>Delivered</v>
      </c>
      <c r="H1392">
        <f t="shared" si="64"/>
        <v>440</v>
      </c>
      <c r="I1392" s="12">
        <f>VLOOKUP(B1392,Orders!$A$2:$D$1201,3,FALSE)</f>
        <v>46184</v>
      </c>
      <c r="L1392" t="str">
        <f>VLOOKUP(C1392,Products!$A$2:$D$13,2,FALSE)</f>
        <v>Monitor</v>
      </c>
      <c r="M1392" t="str">
        <f t="shared" si="65"/>
        <v>2026-06</v>
      </c>
    </row>
    <row r="1393" spans="1:13">
      <c r="A1393">
        <v>1392</v>
      </c>
      <c r="B1393">
        <v>1676</v>
      </c>
      <c r="C1393">
        <v>9</v>
      </c>
      <c r="D1393">
        <v>1</v>
      </c>
      <c r="E1393">
        <v>30</v>
      </c>
      <c r="F1393">
        <f t="shared" si="63"/>
        <v>30</v>
      </c>
      <c r="G1393" t="str">
        <f>VLOOKUP(B1393,Orders!$A$2:$D$1201,4,FALSE)</f>
        <v>Delivered</v>
      </c>
      <c r="H1393">
        <f t="shared" si="64"/>
        <v>30</v>
      </c>
      <c r="I1393" s="12">
        <f>VLOOKUP(B1393,Orders!$A$2:$D$1201,3,FALSE)</f>
        <v>46184</v>
      </c>
      <c r="L1393" t="str">
        <f>VLOOKUP(C1393,Products!$A$2:$D$13,2,FALSE)</f>
        <v>Lamp</v>
      </c>
      <c r="M1393" t="str">
        <f t="shared" si="65"/>
        <v>2026-06</v>
      </c>
    </row>
    <row r="1394" spans="1:13">
      <c r="A1394">
        <v>1393</v>
      </c>
      <c r="B1394">
        <v>1677</v>
      </c>
      <c r="C1394">
        <v>1</v>
      </c>
      <c r="D1394">
        <v>3</v>
      </c>
      <c r="E1394">
        <v>750</v>
      </c>
      <c r="F1394">
        <f t="shared" si="63"/>
        <v>2250</v>
      </c>
      <c r="G1394" t="str">
        <f>VLOOKUP(B1394,Orders!$A$2:$D$1201,4,FALSE)</f>
        <v>Delivered</v>
      </c>
      <c r="H1394">
        <f t="shared" si="64"/>
        <v>2250</v>
      </c>
      <c r="I1394" s="12">
        <f>VLOOKUP(B1394,Orders!$A$2:$D$1201,3,FALSE)</f>
        <v>46027</v>
      </c>
      <c r="L1394" t="str">
        <f>VLOOKUP(C1394,Products!$A$2:$D$13,2,FALSE)</f>
        <v>Laptop</v>
      </c>
      <c r="M1394" t="str">
        <f t="shared" si="65"/>
        <v>2026-01</v>
      </c>
    </row>
    <row r="1395" spans="1:13">
      <c r="A1395">
        <v>1394</v>
      </c>
      <c r="B1395">
        <v>1678</v>
      </c>
      <c r="C1395">
        <v>6</v>
      </c>
      <c r="D1395">
        <v>1</v>
      </c>
      <c r="E1395">
        <v>140</v>
      </c>
      <c r="F1395">
        <f t="shared" si="63"/>
        <v>140</v>
      </c>
      <c r="G1395" t="str">
        <f>VLOOKUP(B1395,Orders!$A$2:$D$1201,4,FALSE)</f>
        <v>Delivered</v>
      </c>
      <c r="H1395">
        <f t="shared" si="64"/>
        <v>140</v>
      </c>
      <c r="I1395" s="12">
        <f>VLOOKUP(B1395,Orders!$A$2:$D$1201,3,FALSE)</f>
        <v>46136</v>
      </c>
      <c r="L1395" t="str">
        <f>VLOOKUP(C1395,Products!$A$2:$D$13,2,FALSE)</f>
        <v>Chair</v>
      </c>
      <c r="M1395" t="str">
        <f t="shared" si="65"/>
        <v>2026-04</v>
      </c>
    </row>
    <row r="1396" spans="1:13">
      <c r="A1396">
        <v>1395</v>
      </c>
      <c r="B1396">
        <v>1678</v>
      </c>
      <c r="C1396">
        <v>7</v>
      </c>
      <c r="D1396">
        <v>4</v>
      </c>
      <c r="E1396">
        <v>65</v>
      </c>
      <c r="F1396">
        <f t="shared" si="63"/>
        <v>260</v>
      </c>
      <c r="G1396" t="str">
        <f>VLOOKUP(B1396,Orders!$A$2:$D$1201,4,FALSE)</f>
        <v>Delivered</v>
      </c>
      <c r="H1396">
        <f t="shared" si="64"/>
        <v>260</v>
      </c>
      <c r="I1396" s="12">
        <f>VLOOKUP(B1396,Orders!$A$2:$D$1201,3,FALSE)</f>
        <v>46136</v>
      </c>
      <c r="L1396" t="str">
        <f>VLOOKUP(C1396,Products!$A$2:$D$13,2,FALSE)</f>
        <v>Headphones</v>
      </c>
      <c r="M1396" t="str">
        <f t="shared" si="65"/>
        <v>2026-04</v>
      </c>
    </row>
    <row r="1397" spans="1:13">
      <c r="A1397">
        <v>1396</v>
      </c>
      <c r="B1397">
        <v>1678</v>
      </c>
      <c r="C1397">
        <v>10</v>
      </c>
      <c r="D1397">
        <v>1</v>
      </c>
      <c r="E1397">
        <v>8</v>
      </c>
      <c r="F1397">
        <f t="shared" si="63"/>
        <v>8</v>
      </c>
      <c r="G1397" t="str">
        <f>VLOOKUP(B1397,Orders!$A$2:$D$1201,4,FALSE)</f>
        <v>Delivered</v>
      </c>
      <c r="H1397">
        <f t="shared" si="64"/>
        <v>8</v>
      </c>
      <c r="I1397" s="12">
        <f>VLOOKUP(B1397,Orders!$A$2:$D$1201,3,FALSE)</f>
        <v>46136</v>
      </c>
      <c r="L1397" t="str">
        <f>VLOOKUP(C1397,Products!$A$2:$D$13,2,FALSE)</f>
        <v>Notebook</v>
      </c>
      <c r="M1397" t="str">
        <f t="shared" si="65"/>
        <v>2026-04</v>
      </c>
    </row>
    <row r="1398" spans="1:13">
      <c r="A1398">
        <v>1397</v>
      </c>
      <c r="B1398">
        <v>1679</v>
      </c>
      <c r="C1398">
        <v>2</v>
      </c>
      <c r="D1398">
        <v>2</v>
      </c>
      <c r="E1398">
        <v>220</v>
      </c>
      <c r="F1398">
        <f t="shared" si="63"/>
        <v>440</v>
      </c>
      <c r="G1398" t="str">
        <f>VLOOKUP(B1398,Orders!$A$2:$D$1201,4,FALSE)</f>
        <v>Delivered</v>
      </c>
      <c r="H1398">
        <f t="shared" si="64"/>
        <v>440</v>
      </c>
      <c r="I1398" s="12">
        <f>VLOOKUP(B1398,Orders!$A$2:$D$1201,3,FALSE)</f>
        <v>46104</v>
      </c>
      <c r="L1398" t="str">
        <f>VLOOKUP(C1398,Products!$A$2:$D$13,2,FALSE)</f>
        <v>Monitor</v>
      </c>
      <c r="M1398" t="str">
        <f t="shared" si="65"/>
        <v>2026-03</v>
      </c>
    </row>
    <row r="1399" spans="1:13">
      <c r="A1399">
        <v>1398</v>
      </c>
      <c r="B1399">
        <v>1680</v>
      </c>
      <c r="C1399">
        <v>10</v>
      </c>
      <c r="D1399">
        <v>3</v>
      </c>
      <c r="E1399">
        <v>8</v>
      </c>
      <c r="F1399">
        <f t="shared" si="63"/>
        <v>24</v>
      </c>
      <c r="G1399" t="str">
        <f>VLOOKUP(B1399,Orders!$A$2:$D$1201,4,FALSE)</f>
        <v>Shipped</v>
      </c>
      <c r="H1399">
        <f t="shared" si="64"/>
        <v>24</v>
      </c>
      <c r="I1399" s="12">
        <f>VLOOKUP(B1399,Orders!$A$2:$D$1201,3,FALSE)</f>
        <v>46101</v>
      </c>
      <c r="L1399" t="str">
        <f>VLOOKUP(C1399,Products!$A$2:$D$13,2,FALSE)</f>
        <v>Notebook</v>
      </c>
      <c r="M1399" t="str">
        <f t="shared" si="65"/>
        <v>2026-03</v>
      </c>
    </row>
    <row r="1400" spans="1:13">
      <c r="A1400">
        <v>1399</v>
      </c>
      <c r="B1400">
        <v>1681</v>
      </c>
      <c r="C1400">
        <v>3</v>
      </c>
      <c r="D1400">
        <v>3</v>
      </c>
      <c r="E1400">
        <v>45</v>
      </c>
      <c r="F1400">
        <f t="shared" si="63"/>
        <v>135</v>
      </c>
      <c r="G1400" t="str">
        <f>VLOOKUP(B1400,Orders!$A$2:$D$1201,4,FALSE)</f>
        <v>Delivered</v>
      </c>
      <c r="H1400">
        <f t="shared" si="64"/>
        <v>135</v>
      </c>
      <c r="I1400" s="12">
        <f>VLOOKUP(B1400,Orders!$A$2:$D$1201,3,FALSE)</f>
        <v>46037</v>
      </c>
      <c r="L1400" t="str">
        <f>VLOOKUP(C1400,Products!$A$2:$D$13,2,FALSE)</f>
        <v>Keyboard</v>
      </c>
      <c r="M1400" t="str">
        <f t="shared" si="65"/>
        <v>2026-01</v>
      </c>
    </row>
    <row r="1401" spans="1:13">
      <c r="A1401">
        <v>1400</v>
      </c>
      <c r="B1401">
        <v>1681</v>
      </c>
      <c r="C1401">
        <v>7</v>
      </c>
      <c r="D1401">
        <v>3</v>
      </c>
      <c r="E1401">
        <v>65</v>
      </c>
      <c r="F1401">
        <f t="shared" si="63"/>
        <v>195</v>
      </c>
      <c r="G1401" t="str">
        <f>VLOOKUP(B1401,Orders!$A$2:$D$1201,4,FALSE)</f>
        <v>Delivered</v>
      </c>
      <c r="H1401">
        <f t="shared" si="64"/>
        <v>195</v>
      </c>
      <c r="I1401" s="12">
        <f>VLOOKUP(B1401,Orders!$A$2:$D$1201,3,FALSE)</f>
        <v>46037</v>
      </c>
      <c r="L1401" t="str">
        <f>VLOOKUP(C1401,Products!$A$2:$D$13,2,FALSE)</f>
        <v>Headphones</v>
      </c>
      <c r="M1401" t="str">
        <f t="shared" si="65"/>
        <v>2026-01</v>
      </c>
    </row>
    <row r="1402" spans="1:13">
      <c r="A1402">
        <v>1401</v>
      </c>
      <c r="B1402">
        <v>1682</v>
      </c>
      <c r="C1402">
        <v>9</v>
      </c>
      <c r="D1402">
        <v>4</v>
      </c>
      <c r="E1402">
        <v>30</v>
      </c>
      <c r="F1402">
        <f t="shared" si="63"/>
        <v>120</v>
      </c>
      <c r="G1402" t="str">
        <f>VLOOKUP(B1402,Orders!$A$2:$D$1201,4,FALSE)</f>
        <v>Delivered</v>
      </c>
      <c r="H1402">
        <f t="shared" si="64"/>
        <v>120</v>
      </c>
      <c r="I1402" s="12">
        <f>VLOOKUP(B1402,Orders!$A$2:$D$1201,3,FALSE)</f>
        <v>46084</v>
      </c>
      <c r="L1402" t="str">
        <f>VLOOKUP(C1402,Products!$A$2:$D$13,2,FALSE)</f>
        <v>Lamp</v>
      </c>
      <c r="M1402" t="str">
        <f t="shared" si="65"/>
        <v>2026-03</v>
      </c>
    </row>
    <row r="1403" spans="1:13">
      <c r="A1403">
        <v>1402</v>
      </c>
      <c r="B1403">
        <v>1682</v>
      </c>
      <c r="C1403">
        <v>12</v>
      </c>
      <c r="D1403">
        <v>1</v>
      </c>
      <c r="E1403">
        <v>22</v>
      </c>
      <c r="F1403">
        <f t="shared" si="63"/>
        <v>22</v>
      </c>
      <c r="G1403" t="str">
        <f>VLOOKUP(B1403,Orders!$A$2:$D$1201,4,FALSE)</f>
        <v>Delivered</v>
      </c>
      <c r="H1403">
        <f t="shared" si="64"/>
        <v>22</v>
      </c>
      <c r="I1403" s="12">
        <f>VLOOKUP(B1403,Orders!$A$2:$D$1201,3,FALSE)</f>
        <v>46084</v>
      </c>
      <c r="L1403" t="str">
        <f>VLOOKUP(C1403,Products!$A$2:$D$13,2,FALSE)</f>
        <v>Storage Box</v>
      </c>
      <c r="M1403" t="str">
        <f t="shared" si="65"/>
        <v>2026-03</v>
      </c>
    </row>
    <row r="1404" spans="1:13">
      <c r="A1404">
        <v>1403</v>
      </c>
      <c r="B1404">
        <v>1683</v>
      </c>
      <c r="C1404">
        <v>5</v>
      </c>
      <c r="D1404">
        <v>1</v>
      </c>
      <c r="E1404">
        <v>180</v>
      </c>
      <c r="F1404">
        <f t="shared" si="63"/>
        <v>180</v>
      </c>
      <c r="G1404" t="str">
        <f>VLOOKUP(B1404,Orders!$A$2:$D$1201,4,FALSE)</f>
        <v>Delivered</v>
      </c>
      <c r="H1404">
        <f t="shared" si="64"/>
        <v>180</v>
      </c>
      <c r="I1404" s="12">
        <f>VLOOKUP(B1404,Orders!$A$2:$D$1201,3,FALSE)</f>
        <v>46146</v>
      </c>
      <c r="L1404" t="str">
        <f>VLOOKUP(C1404,Products!$A$2:$D$13,2,FALSE)</f>
        <v>Desk</v>
      </c>
      <c r="M1404" t="str">
        <f t="shared" si="65"/>
        <v>2026-05</v>
      </c>
    </row>
    <row r="1405" spans="1:13">
      <c r="A1405">
        <v>1404</v>
      </c>
      <c r="B1405">
        <v>1684</v>
      </c>
      <c r="C1405">
        <v>9</v>
      </c>
      <c r="D1405">
        <v>3</v>
      </c>
      <c r="E1405">
        <v>30</v>
      </c>
      <c r="F1405">
        <f t="shared" si="63"/>
        <v>90</v>
      </c>
      <c r="G1405" t="str">
        <f>VLOOKUP(B1405,Orders!$A$2:$D$1201,4,FALSE)</f>
        <v>Delivered</v>
      </c>
      <c r="H1405">
        <f t="shared" si="64"/>
        <v>90</v>
      </c>
      <c r="I1405" s="12">
        <f>VLOOKUP(B1405,Orders!$A$2:$D$1201,3,FALSE)</f>
        <v>46168</v>
      </c>
      <c r="L1405" t="str">
        <f>VLOOKUP(C1405,Products!$A$2:$D$13,2,FALSE)</f>
        <v>Lamp</v>
      </c>
      <c r="M1405" t="str">
        <f t="shared" si="65"/>
        <v>2026-05</v>
      </c>
    </row>
    <row r="1406" spans="1:13">
      <c r="A1406">
        <v>1405</v>
      </c>
      <c r="B1406">
        <v>1684</v>
      </c>
      <c r="C1406">
        <v>4</v>
      </c>
      <c r="D1406">
        <v>2</v>
      </c>
      <c r="E1406">
        <v>25</v>
      </c>
      <c r="F1406">
        <f t="shared" si="63"/>
        <v>50</v>
      </c>
      <c r="G1406" t="str">
        <f>VLOOKUP(B1406,Orders!$A$2:$D$1201,4,FALSE)</f>
        <v>Delivered</v>
      </c>
      <c r="H1406">
        <f t="shared" si="64"/>
        <v>50</v>
      </c>
      <c r="I1406" s="12">
        <f>VLOOKUP(B1406,Orders!$A$2:$D$1201,3,FALSE)</f>
        <v>46168</v>
      </c>
      <c r="L1406" t="str">
        <f>VLOOKUP(C1406,Products!$A$2:$D$13,2,FALSE)</f>
        <v>Mouse</v>
      </c>
      <c r="M1406" t="str">
        <f t="shared" si="65"/>
        <v>2026-05</v>
      </c>
    </row>
    <row r="1407" spans="1:13">
      <c r="A1407">
        <v>1406</v>
      </c>
      <c r="B1407">
        <v>1684</v>
      </c>
      <c r="C1407">
        <v>3</v>
      </c>
      <c r="D1407">
        <v>2</v>
      </c>
      <c r="E1407">
        <v>45</v>
      </c>
      <c r="F1407">
        <f t="shared" si="63"/>
        <v>90</v>
      </c>
      <c r="G1407" t="str">
        <f>VLOOKUP(B1407,Orders!$A$2:$D$1201,4,FALSE)</f>
        <v>Delivered</v>
      </c>
      <c r="H1407">
        <f t="shared" si="64"/>
        <v>90</v>
      </c>
      <c r="I1407" s="12">
        <f>VLOOKUP(B1407,Orders!$A$2:$D$1201,3,FALSE)</f>
        <v>46168</v>
      </c>
      <c r="L1407" t="str">
        <f>VLOOKUP(C1407,Products!$A$2:$D$13,2,FALSE)</f>
        <v>Keyboard</v>
      </c>
      <c r="M1407" t="str">
        <f t="shared" si="65"/>
        <v>2026-05</v>
      </c>
    </row>
    <row r="1408" spans="1:13">
      <c r="A1408">
        <v>1407</v>
      </c>
      <c r="B1408">
        <v>1685</v>
      </c>
      <c r="C1408">
        <v>5</v>
      </c>
      <c r="D1408">
        <v>1</v>
      </c>
      <c r="E1408">
        <v>180</v>
      </c>
      <c r="F1408">
        <f t="shared" si="63"/>
        <v>180</v>
      </c>
      <c r="G1408" t="str">
        <f>VLOOKUP(B1408,Orders!$A$2:$D$1201,4,FALSE)</f>
        <v>Delivered</v>
      </c>
      <c r="H1408">
        <f t="shared" si="64"/>
        <v>180</v>
      </c>
      <c r="I1408" s="12">
        <f>VLOOKUP(B1408,Orders!$A$2:$D$1201,3,FALSE)</f>
        <v>46033</v>
      </c>
      <c r="L1408" t="str">
        <f>VLOOKUP(C1408,Products!$A$2:$D$13,2,FALSE)</f>
        <v>Desk</v>
      </c>
      <c r="M1408" t="str">
        <f t="shared" si="65"/>
        <v>2026-01</v>
      </c>
    </row>
    <row r="1409" spans="1:13">
      <c r="A1409">
        <v>1408</v>
      </c>
      <c r="B1409">
        <v>1685</v>
      </c>
      <c r="C1409">
        <v>11</v>
      </c>
      <c r="D1409">
        <v>1</v>
      </c>
      <c r="E1409">
        <v>48</v>
      </c>
      <c r="F1409">
        <f t="shared" si="63"/>
        <v>48</v>
      </c>
      <c r="G1409" t="str">
        <f>VLOOKUP(B1409,Orders!$A$2:$D$1201,4,FALSE)</f>
        <v>Delivered</v>
      </c>
      <c r="H1409">
        <f t="shared" si="64"/>
        <v>48</v>
      </c>
      <c r="I1409" s="12">
        <f>VLOOKUP(B1409,Orders!$A$2:$D$1201,3,FALSE)</f>
        <v>46033</v>
      </c>
      <c r="L1409" t="str">
        <f>VLOOKUP(C1409,Products!$A$2:$D$13,2,FALSE)</f>
        <v>Backpack</v>
      </c>
      <c r="M1409" t="str">
        <f t="shared" si="65"/>
        <v>2026-01</v>
      </c>
    </row>
    <row r="1410" spans="1:13">
      <c r="A1410">
        <v>1409</v>
      </c>
      <c r="B1410">
        <v>1685</v>
      </c>
      <c r="C1410">
        <v>3</v>
      </c>
      <c r="D1410">
        <v>4</v>
      </c>
      <c r="E1410">
        <v>45</v>
      </c>
      <c r="F1410">
        <f t="shared" si="63"/>
        <v>180</v>
      </c>
      <c r="G1410" t="str">
        <f>VLOOKUP(B1410,Orders!$A$2:$D$1201,4,FALSE)</f>
        <v>Delivered</v>
      </c>
      <c r="H1410">
        <f t="shared" si="64"/>
        <v>180</v>
      </c>
      <c r="I1410" s="12">
        <f>VLOOKUP(B1410,Orders!$A$2:$D$1201,3,FALSE)</f>
        <v>46033</v>
      </c>
      <c r="L1410" t="str">
        <f>VLOOKUP(C1410,Products!$A$2:$D$13,2,FALSE)</f>
        <v>Keyboard</v>
      </c>
      <c r="M1410" t="str">
        <f t="shared" si="65"/>
        <v>2026-01</v>
      </c>
    </row>
    <row r="1411" spans="1:13">
      <c r="A1411">
        <v>1410</v>
      </c>
      <c r="B1411">
        <v>1686</v>
      </c>
      <c r="C1411">
        <v>1</v>
      </c>
      <c r="D1411">
        <v>1</v>
      </c>
      <c r="E1411">
        <v>750</v>
      </c>
      <c r="F1411">
        <f t="shared" ref="F1411:F1474" si="66">D1411*E1411</f>
        <v>750</v>
      </c>
      <c r="G1411" t="str">
        <f>VLOOKUP(B1411,Orders!$A$2:$D$1201,4,FALSE)</f>
        <v>Delivered</v>
      </c>
      <c r="H1411">
        <f t="shared" ref="H1411:H1474" si="67">IF(G1411="Cancelled",0,F1411)</f>
        <v>750</v>
      </c>
      <c r="I1411" s="12">
        <f>VLOOKUP(B1411,Orders!$A$2:$D$1201,3,FALSE)</f>
        <v>46184</v>
      </c>
      <c r="L1411" t="str">
        <f>VLOOKUP(C1411,Products!$A$2:$D$13,2,FALSE)</f>
        <v>Laptop</v>
      </c>
      <c r="M1411" t="str">
        <f t="shared" ref="M1411:M1474" si="68">TEXT(I1411,"yyyy-mm")</f>
        <v>2026-06</v>
      </c>
    </row>
    <row r="1412" spans="1:13">
      <c r="A1412">
        <v>1411</v>
      </c>
      <c r="B1412">
        <v>1686</v>
      </c>
      <c r="C1412">
        <v>3</v>
      </c>
      <c r="D1412">
        <v>3</v>
      </c>
      <c r="E1412">
        <v>45</v>
      </c>
      <c r="F1412">
        <f t="shared" si="66"/>
        <v>135</v>
      </c>
      <c r="G1412" t="str">
        <f>VLOOKUP(B1412,Orders!$A$2:$D$1201,4,FALSE)</f>
        <v>Delivered</v>
      </c>
      <c r="H1412">
        <f t="shared" si="67"/>
        <v>135</v>
      </c>
      <c r="I1412" s="12">
        <f>VLOOKUP(B1412,Orders!$A$2:$D$1201,3,FALSE)</f>
        <v>46184</v>
      </c>
      <c r="L1412" t="str">
        <f>VLOOKUP(C1412,Products!$A$2:$D$13,2,FALSE)</f>
        <v>Keyboard</v>
      </c>
      <c r="M1412" t="str">
        <f t="shared" si="68"/>
        <v>2026-06</v>
      </c>
    </row>
    <row r="1413" spans="1:13">
      <c r="A1413">
        <v>1412</v>
      </c>
      <c r="B1413">
        <v>1687</v>
      </c>
      <c r="C1413">
        <v>10</v>
      </c>
      <c r="D1413">
        <v>3</v>
      </c>
      <c r="E1413">
        <v>8</v>
      </c>
      <c r="F1413">
        <f t="shared" si="66"/>
        <v>24</v>
      </c>
      <c r="G1413" t="str">
        <f>VLOOKUP(B1413,Orders!$A$2:$D$1201,4,FALSE)</f>
        <v>Pending</v>
      </c>
      <c r="H1413">
        <f t="shared" si="67"/>
        <v>24</v>
      </c>
      <c r="I1413" s="12">
        <f>VLOOKUP(B1413,Orders!$A$2:$D$1201,3,FALSE)</f>
        <v>46165</v>
      </c>
      <c r="L1413" t="str">
        <f>VLOOKUP(C1413,Products!$A$2:$D$13,2,FALSE)</f>
        <v>Notebook</v>
      </c>
      <c r="M1413" t="str">
        <f t="shared" si="68"/>
        <v>2026-05</v>
      </c>
    </row>
    <row r="1414" spans="1:13">
      <c r="A1414">
        <v>1413</v>
      </c>
      <c r="B1414">
        <v>1688</v>
      </c>
      <c r="C1414">
        <v>4</v>
      </c>
      <c r="D1414">
        <v>3</v>
      </c>
      <c r="E1414">
        <v>25</v>
      </c>
      <c r="F1414">
        <f t="shared" si="66"/>
        <v>75</v>
      </c>
      <c r="G1414" t="str">
        <f>VLOOKUP(B1414,Orders!$A$2:$D$1201,4,FALSE)</f>
        <v>Delivered</v>
      </c>
      <c r="H1414">
        <f t="shared" si="67"/>
        <v>75</v>
      </c>
      <c r="I1414" s="12">
        <f>VLOOKUP(B1414,Orders!$A$2:$D$1201,3,FALSE)</f>
        <v>46110</v>
      </c>
      <c r="L1414" t="str">
        <f>VLOOKUP(C1414,Products!$A$2:$D$13,2,FALSE)</f>
        <v>Mouse</v>
      </c>
      <c r="M1414" t="str">
        <f t="shared" si="68"/>
        <v>2026-03</v>
      </c>
    </row>
    <row r="1415" spans="1:13">
      <c r="A1415">
        <v>1414</v>
      </c>
      <c r="B1415">
        <v>1688</v>
      </c>
      <c r="C1415">
        <v>11</v>
      </c>
      <c r="D1415">
        <v>3</v>
      </c>
      <c r="E1415">
        <v>48</v>
      </c>
      <c r="F1415">
        <f t="shared" si="66"/>
        <v>144</v>
      </c>
      <c r="G1415" t="str">
        <f>VLOOKUP(B1415,Orders!$A$2:$D$1201,4,FALSE)</f>
        <v>Delivered</v>
      </c>
      <c r="H1415">
        <f t="shared" si="67"/>
        <v>144</v>
      </c>
      <c r="I1415" s="12">
        <f>VLOOKUP(B1415,Orders!$A$2:$D$1201,3,FALSE)</f>
        <v>46110</v>
      </c>
      <c r="L1415" t="str">
        <f>VLOOKUP(C1415,Products!$A$2:$D$13,2,FALSE)</f>
        <v>Backpack</v>
      </c>
      <c r="M1415" t="str">
        <f t="shared" si="68"/>
        <v>2026-03</v>
      </c>
    </row>
    <row r="1416" spans="1:13">
      <c r="A1416">
        <v>1415</v>
      </c>
      <c r="B1416">
        <v>1689</v>
      </c>
      <c r="C1416">
        <v>8</v>
      </c>
      <c r="D1416">
        <v>2</v>
      </c>
      <c r="E1416">
        <v>55</v>
      </c>
      <c r="F1416">
        <f t="shared" si="66"/>
        <v>110</v>
      </c>
      <c r="G1416" t="str">
        <f>VLOOKUP(B1416,Orders!$A$2:$D$1201,4,FALSE)</f>
        <v>Delivered</v>
      </c>
      <c r="H1416">
        <f t="shared" si="67"/>
        <v>110</v>
      </c>
      <c r="I1416" s="12">
        <f>VLOOKUP(B1416,Orders!$A$2:$D$1201,3,FALSE)</f>
        <v>46057</v>
      </c>
      <c r="L1416" t="str">
        <f>VLOOKUP(C1416,Products!$A$2:$D$13,2,FALSE)</f>
        <v>Webcam</v>
      </c>
      <c r="M1416" t="str">
        <f t="shared" si="68"/>
        <v>2026-02</v>
      </c>
    </row>
    <row r="1417" spans="1:13">
      <c r="A1417">
        <v>1416</v>
      </c>
      <c r="B1417">
        <v>1689</v>
      </c>
      <c r="C1417">
        <v>1</v>
      </c>
      <c r="D1417">
        <v>4</v>
      </c>
      <c r="E1417">
        <v>750</v>
      </c>
      <c r="F1417">
        <f t="shared" si="66"/>
        <v>3000</v>
      </c>
      <c r="G1417" t="str">
        <f>VLOOKUP(B1417,Orders!$A$2:$D$1201,4,FALSE)</f>
        <v>Delivered</v>
      </c>
      <c r="H1417">
        <f t="shared" si="67"/>
        <v>3000</v>
      </c>
      <c r="I1417" s="12">
        <f>VLOOKUP(B1417,Orders!$A$2:$D$1201,3,FALSE)</f>
        <v>46057</v>
      </c>
      <c r="L1417" t="str">
        <f>VLOOKUP(C1417,Products!$A$2:$D$13,2,FALSE)</f>
        <v>Laptop</v>
      </c>
      <c r="M1417" t="str">
        <f t="shared" si="68"/>
        <v>2026-02</v>
      </c>
    </row>
    <row r="1418" spans="1:13">
      <c r="A1418">
        <v>1417</v>
      </c>
      <c r="B1418">
        <v>1689</v>
      </c>
      <c r="C1418">
        <v>11</v>
      </c>
      <c r="D1418">
        <v>4</v>
      </c>
      <c r="E1418">
        <v>48</v>
      </c>
      <c r="F1418">
        <f t="shared" si="66"/>
        <v>192</v>
      </c>
      <c r="G1418" t="str">
        <f>VLOOKUP(B1418,Orders!$A$2:$D$1201,4,FALSE)</f>
        <v>Delivered</v>
      </c>
      <c r="H1418">
        <f t="shared" si="67"/>
        <v>192</v>
      </c>
      <c r="I1418" s="12">
        <f>VLOOKUP(B1418,Orders!$A$2:$D$1201,3,FALSE)</f>
        <v>46057</v>
      </c>
      <c r="L1418" t="str">
        <f>VLOOKUP(C1418,Products!$A$2:$D$13,2,FALSE)</f>
        <v>Backpack</v>
      </c>
      <c r="M1418" t="str">
        <f t="shared" si="68"/>
        <v>2026-02</v>
      </c>
    </row>
    <row r="1419" spans="1:13">
      <c r="A1419">
        <v>1418</v>
      </c>
      <c r="B1419">
        <v>1690</v>
      </c>
      <c r="C1419">
        <v>8</v>
      </c>
      <c r="D1419">
        <v>3</v>
      </c>
      <c r="E1419">
        <v>55</v>
      </c>
      <c r="F1419">
        <f t="shared" si="66"/>
        <v>165</v>
      </c>
      <c r="G1419" t="str">
        <f>VLOOKUP(B1419,Orders!$A$2:$D$1201,4,FALSE)</f>
        <v>Delivered</v>
      </c>
      <c r="H1419">
        <f t="shared" si="67"/>
        <v>165</v>
      </c>
      <c r="I1419" s="12">
        <f>VLOOKUP(B1419,Orders!$A$2:$D$1201,3,FALSE)</f>
        <v>46189</v>
      </c>
      <c r="L1419" t="str">
        <f>VLOOKUP(C1419,Products!$A$2:$D$13,2,FALSE)</f>
        <v>Webcam</v>
      </c>
      <c r="M1419" t="str">
        <f t="shared" si="68"/>
        <v>2026-06</v>
      </c>
    </row>
    <row r="1420" spans="1:13">
      <c r="A1420">
        <v>1419</v>
      </c>
      <c r="B1420">
        <v>1690</v>
      </c>
      <c r="C1420">
        <v>11</v>
      </c>
      <c r="D1420">
        <v>4</v>
      </c>
      <c r="E1420">
        <v>48</v>
      </c>
      <c r="F1420">
        <f t="shared" si="66"/>
        <v>192</v>
      </c>
      <c r="G1420" t="str">
        <f>VLOOKUP(B1420,Orders!$A$2:$D$1201,4,FALSE)</f>
        <v>Delivered</v>
      </c>
      <c r="H1420">
        <f t="shared" si="67"/>
        <v>192</v>
      </c>
      <c r="I1420" s="12">
        <f>VLOOKUP(B1420,Orders!$A$2:$D$1201,3,FALSE)</f>
        <v>46189</v>
      </c>
      <c r="L1420" t="str">
        <f>VLOOKUP(C1420,Products!$A$2:$D$13,2,FALSE)</f>
        <v>Backpack</v>
      </c>
      <c r="M1420" t="str">
        <f t="shared" si="68"/>
        <v>2026-06</v>
      </c>
    </row>
    <row r="1421" spans="1:13">
      <c r="A1421">
        <v>1420</v>
      </c>
      <c r="B1421">
        <v>1690</v>
      </c>
      <c r="C1421">
        <v>2</v>
      </c>
      <c r="D1421">
        <v>3</v>
      </c>
      <c r="E1421">
        <v>220</v>
      </c>
      <c r="F1421">
        <f t="shared" si="66"/>
        <v>660</v>
      </c>
      <c r="G1421" t="str">
        <f>VLOOKUP(B1421,Orders!$A$2:$D$1201,4,FALSE)</f>
        <v>Delivered</v>
      </c>
      <c r="H1421">
        <f t="shared" si="67"/>
        <v>660</v>
      </c>
      <c r="I1421" s="12">
        <f>VLOOKUP(B1421,Orders!$A$2:$D$1201,3,FALSE)</f>
        <v>46189</v>
      </c>
      <c r="L1421" t="str">
        <f>VLOOKUP(C1421,Products!$A$2:$D$13,2,FALSE)</f>
        <v>Monitor</v>
      </c>
      <c r="M1421" t="str">
        <f t="shared" si="68"/>
        <v>2026-06</v>
      </c>
    </row>
    <row r="1422" spans="1:13">
      <c r="A1422">
        <v>1421</v>
      </c>
      <c r="B1422">
        <v>1691</v>
      </c>
      <c r="C1422">
        <v>1</v>
      </c>
      <c r="D1422">
        <v>1</v>
      </c>
      <c r="E1422">
        <v>750</v>
      </c>
      <c r="F1422">
        <f t="shared" si="66"/>
        <v>750</v>
      </c>
      <c r="G1422" t="str">
        <f>VLOOKUP(B1422,Orders!$A$2:$D$1201,4,FALSE)</f>
        <v>Delivered</v>
      </c>
      <c r="H1422">
        <f t="shared" si="67"/>
        <v>750</v>
      </c>
      <c r="I1422" s="12">
        <f>VLOOKUP(B1422,Orders!$A$2:$D$1201,3,FALSE)</f>
        <v>46054</v>
      </c>
      <c r="L1422" t="str">
        <f>VLOOKUP(C1422,Products!$A$2:$D$13,2,FALSE)</f>
        <v>Laptop</v>
      </c>
      <c r="M1422" t="str">
        <f t="shared" si="68"/>
        <v>2026-02</v>
      </c>
    </row>
    <row r="1423" spans="1:13">
      <c r="A1423">
        <v>1422</v>
      </c>
      <c r="B1423">
        <v>1691</v>
      </c>
      <c r="C1423">
        <v>4</v>
      </c>
      <c r="D1423">
        <v>3</v>
      </c>
      <c r="E1423">
        <v>25</v>
      </c>
      <c r="F1423">
        <f t="shared" si="66"/>
        <v>75</v>
      </c>
      <c r="G1423" t="str">
        <f>VLOOKUP(B1423,Orders!$A$2:$D$1201,4,FALSE)</f>
        <v>Delivered</v>
      </c>
      <c r="H1423">
        <f t="shared" si="67"/>
        <v>75</v>
      </c>
      <c r="I1423" s="12">
        <f>VLOOKUP(B1423,Orders!$A$2:$D$1201,3,FALSE)</f>
        <v>46054</v>
      </c>
      <c r="L1423" t="str">
        <f>VLOOKUP(C1423,Products!$A$2:$D$13,2,FALSE)</f>
        <v>Mouse</v>
      </c>
      <c r="M1423" t="str">
        <f t="shared" si="68"/>
        <v>2026-02</v>
      </c>
    </row>
    <row r="1424" spans="1:13">
      <c r="A1424">
        <v>1423</v>
      </c>
      <c r="B1424">
        <v>1692</v>
      </c>
      <c r="C1424">
        <v>8</v>
      </c>
      <c r="D1424">
        <v>3</v>
      </c>
      <c r="E1424">
        <v>55</v>
      </c>
      <c r="F1424">
        <f t="shared" si="66"/>
        <v>165</v>
      </c>
      <c r="G1424" t="str">
        <f>VLOOKUP(B1424,Orders!$A$2:$D$1201,4,FALSE)</f>
        <v>Delivered</v>
      </c>
      <c r="H1424">
        <f t="shared" si="67"/>
        <v>165</v>
      </c>
      <c r="I1424" s="12">
        <f>VLOOKUP(B1424,Orders!$A$2:$D$1201,3,FALSE)</f>
        <v>46183</v>
      </c>
      <c r="L1424" t="str">
        <f>VLOOKUP(C1424,Products!$A$2:$D$13,2,FALSE)</f>
        <v>Webcam</v>
      </c>
      <c r="M1424" t="str">
        <f t="shared" si="68"/>
        <v>2026-06</v>
      </c>
    </row>
    <row r="1425" spans="1:13">
      <c r="A1425">
        <v>1424</v>
      </c>
      <c r="B1425">
        <v>1693</v>
      </c>
      <c r="C1425">
        <v>5</v>
      </c>
      <c r="D1425">
        <v>4</v>
      </c>
      <c r="E1425">
        <v>180</v>
      </c>
      <c r="F1425">
        <f t="shared" si="66"/>
        <v>720</v>
      </c>
      <c r="G1425" t="str">
        <f>VLOOKUP(B1425,Orders!$A$2:$D$1201,4,FALSE)</f>
        <v>Delivered</v>
      </c>
      <c r="H1425">
        <f t="shared" si="67"/>
        <v>720</v>
      </c>
      <c r="I1425" s="12">
        <f>VLOOKUP(B1425,Orders!$A$2:$D$1201,3,FALSE)</f>
        <v>46076</v>
      </c>
      <c r="L1425" t="str">
        <f>VLOOKUP(C1425,Products!$A$2:$D$13,2,FALSE)</f>
        <v>Desk</v>
      </c>
      <c r="M1425" t="str">
        <f t="shared" si="68"/>
        <v>2026-02</v>
      </c>
    </row>
    <row r="1426" spans="1:13">
      <c r="A1426">
        <v>1425</v>
      </c>
      <c r="B1426">
        <v>1694</v>
      </c>
      <c r="C1426">
        <v>10</v>
      </c>
      <c r="D1426">
        <v>2</v>
      </c>
      <c r="E1426">
        <v>8</v>
      </c>
      <c r="F1426">
        <f t="shared" si="66"/>
        <v>16</v>
      </c>
      <c r="G1426" t="str">
        <f>VLOOKUP(B1426,Orders!$A$2:$D$1201,4,FALSE)</f>
        <v>Delivered</v>
      </c>
      <c r="H1426">
        <f t="shared" si="67"/>
        <v>16</v>
      </c>
      <c r="I1426" s="12">
        <f>VLOOKUP(B1426,Orders!$A$2:$D$1201,3,FALSE)</f>
        <v>46197</v>
      </c>
      <c r="L1426" t="str">
        <f>VLOOKUP(C1426,Products!$A$2:$D$13,2,FALSE)</f>
        <v>Notebook</v>
      </c>
      <c r="M1426" t="str">
        <f t="shared" si="68"/>
        <v>2026-06</v>
      </c>
    </row>
    <row r="1427" spans="1:13">
      <c r="A1427">
        <v>1426</v>
      </c>
      <c r="B1427">
        <v>1695</v>
      </c>
      <c r="C1427">
        <v>11</v>
      </c>
      <c r="D1427">
        <v>1</v>
      </c>
      <c r="E1427">
        <v>48</v>
      </c>
      <c r="F1427">
        <f t="shared" si="66"/>
        <v>48</v>
      </c>
      <c r="G1427" t="str">
        <f>VLOOKUP(B1427,Orders!$A$2:$D$1201,4,FALSE)</f>
        <v>Delivered</v>
      </c>
      <c r="H1427">
        <f t="shared" si="67"/>
        <v>48</v>
      </c>
      <c r="I1427" s="12">
        <f>VLOOKUP(B1427,Orders!$A$2:$D$1201,3,FALSE)</f>
        <v>46156</v>
      </c>
      <c r="L1427" t="str">
        <f>VLOOKUP(C1427,Products!$A$2:$D$13,2,FALSE)</f>
        <v>Backpack</v>
      </c>
      <c r="M1427" t="str">
        <f t="shared" si="68"/>
        <v>2026-05</v>
      </c>
    </row>
    <row r="1428" spans="1:13">
      <c r="A1428">
        <v>1427</v>
      </c>
      <c r="B1428">
        <v>1696</v>
      </c>
      <c r="C1428">
        <v>7</v>
      </c>
      <c r="D1428">
        <v>1</v>
      </c>
      <c r="E1428">
        <v>65</v>
      </c>
      <c r="F1428">
        <f t="shared" si="66"/>
        <v>65</v>
      </c>
      <c r="G1428" t="str">
        <f>VLOOKUP(B1428,Orders!$A$2:$D$1201,4,FALSE)</f>
        <v>Delivered</v>
      </c>
      <c r="H1428">
        <f t="shared" si="67"/>
        <v>65</v>
      </c>
      <c r="I1428" s="12">
        <f>VLOOKUP(B1428,Orders!$A$2:$D$1201,3,FALSE)</f>
        <v>46197</v>
      </c>
      <c r="L1428" t="str">
        <f>VLOOKUP(C1428,Products!$A$2:$D$13,2,FALSE)</f>
        <v>Headphones</v>
      </c>
      <c r="M1428" t="str">
        <f t="shared" si="68"/>
        <v>2026-06</v>
      </c>
    </row>
    <row r="1429" spans="1:13">
      <c r="A1429">
        <v>1428</v>
      </c>
      <c r="B1429">
        <v>1697</v>
      </c>
      <c r="C1429">
        <v>8</v>
      </c>
      <c r="D1429">
        <v>1</v>
      </c>
      <c r="E1429">
        <v>55</v>
      </c>
      <c r="F1429">
        <f t="shared" si="66"/>
        <v>55</v>
      </c>
      <c r="G1429" t="str">
        <f>VLOOKUP(B1429,Orders!$A$2:$D$1201,4,FALSE)</f>
        <v>Delivered</v>
      </c>
      <c r="H1429">
        <f t="shared" si="67"/>
        <v>55</v>
      </c>
      <c r="I1429" s="12">
        <f>VLOOKUP(B1429,Orders!$A$2:$D$1201,3,FALSE)</f>
        <v>46093</v>
      </c>
      <c r="L1429" t="str">
        <f>VLOOKUP(C1429,Products!$A$2:$D$13,2,FALSE)</f>
        <v>Webcam</v>
      </c>
      <c r="M1429" t="str">
        <f t="shared" si="68"/>
        <v>2026-03</v>
      </c>
    </row>
    <row r="1430" spans="1:13">
      <c r="A1430">
        <v>1429</v>
      </c>
      <c r="B1430">
        <v>1697</v>
      </c>
      <c r="C1430">
        <v>6</v>
      </c>
      <c r="D1430">
        <v>2</v>
      </c>
      <c r="E1430">
        <v>140</v>
      </c>
      <c r="F1430">
        <f t="shared" si="66"/>
        <v>280</v>
      </c>
      <c r="G1430" t="str">
        <f>VLOOKUP(B1430,Orders!$A$2:$D$1201,4,FALSE)</f>
        <v>Delivered</v>
      </c>
      <c r="H1430">
        <f t="shared" si="67"/>
        <v>280</v>
      </c>
      <c r="I1430" s="12">
        <f>VLOOKUP(B1430,Orders!$A$2:$D$1201,3,FALSE)</f>
        <v>46093</v>
      </c>
      <c r="L1430" t="str">
        <f>VLOOKUP(C1430,Products!$A$2:$D$13,2,FALSE)</f>
        <v>Chair</v>
      </c>
      <c r="M1430" t="str">
        <f t="shared" si="68"/>
        <v>2026-03</v>
      </c>
    </row>
    <row r="1431" spans="1:13">
      <c r="A1431">
        <v>1430</v>
      </c>
      <c r="B1431">
        <v>1698</v>
      </c>
      <c r="C1431">
        <v>10</v>
      </c>
      <c r="D1431">
        <v>1</v>
      </c>
      <c r="E1431">
        <v>8</v>
      </c>
      <c r="F1431">
        <f t="shared" si="66"/>
        <v>8</v>
      </c>
      <c r="G1431" t="str">
        <f>VLOOKUP(B1431,Orders!$A$2:$D$1201,4,FALSE)</f>
        <v>Delivered</v>
      </c>
      <c r="H1431">
        <f t="shared" si="67"/>
        <v>8</v>
      </c>
      <c r="I1431" s="12">
        <f>VLOOKUP(B1431,Orders!$A$2:$D$1201,3,FALSE)</f>
        <v>46024</v>
      </c>
      <c r="L1431" t="str">
        <f>VLOOKUP(C1431,Products!$A$2:$D$13,2,FALSE)</f>
        <v>Notebook</v>
      </c>
      <c r="M1431" t="str">
        <f t="shared" si="68"/>
        <v>2026-01</v>
      </c>
    </row>
    <row r="1432" spans="1:13">
      <c r="A1432">
        <v>1431</v>
      </c>
      <c r="B1432">
        <v>1699</v>
      </c>
      <c r="C1432">
        <v>2</v>
      </c>
      <c r="D1432">
        <v>1</v>
      </c>
      <c r="E1432">
        <v>220</v>
      </c>
      <c r="F1432">
        <f t="shared" si="66"/>
        <v>220</v>
      </c>
      <c r="G1432" t="str">
        <f>VLOOKUP(B1432,Orders!$A$2:$D$1201,4,FALSE)</f>
        <v>Delivered</v>
      </c>
      <c r="H1432">
        <f t="shared" si="67"/>
        <v>220</v>
      </c>
      <c r="I1432" s="12">
        <f>VLOOKUP(B1432,Orders!$A$2:$D$1201,3,FALSE)</f>
        <v>46086</v>
      </c>
      <c r="L1432" t="str">
        <f>VLOOKUP(C1432,Products!$A$2:$D$13,2,FALSE)</f>
        <v>Monitor</v>
      </c>
      <c r="M1432" t="str">
        <f t="shared" si="68"/>
        <v>2026-03</v>
      </c>
    </row>
    <row r="1433" spans="1:13">
      <c r="A1433">
        <v>1432</v>
      </c>
      <c r="B1433">
        <v>1699</v>
      </c>
      <c r="C1433">
        <v>11</v>
      </c>
      <c r="D1433">
        <v>1</v>
      </c>
      <c r="E1433">
        <v>48</v>
      </c>
      <c r="F1433">
        <f t="shared" si="66"/>
        <v>48</v>
      </c>
      <c r="G1433" t="str">
        <f>VLOOKUP(B1433,Orders!$A$2:$D$1201,4,FALSE)</f>
        <v>Delivered</v>
      </c>
      <c r="H1433">
        <f t="shared" si="67"/>
        <v>48</v>
      </c>
      <c r="I1433" s="12">
        <f>VLOOKUP(B1433,Orders!$A$2:$D$1201,3,FALSE)</f>
        <v>46086</v>
      </c>
      <c r="L1433" t="str">
        <f>VLOOKUP(C1433,Products!$A$2:$D$13,2,FALSE)</f>
        <v>Backpack</v>
      </c>
      <c r="M1433" t="str">
        <f t="shared" si="68"/>
        <v>2026-03</v>
      </c>
    </row>
    <row r="1434" spans="1:13">
      <c r="A1434">
        <v>1433</v>
      </c>
      <c r="B1434">
        <v>1700</v>
      </c>
      <c r="C1434">
        <v>8</v>
      </c>
      <c r="D1434">
        <v>2</v>
      </c>
      <c r="E1434">
        <v>55</v>
      </c>
      <c r="F1434">
        <f t="shared" si="66"/>
        <v>110</v>
      </c>
      <c r="G1434" t="str">
        <f>VLOOKUP(B1434,Orders!$A$2:$D$1201,4,FALSE)</f>
        <v>Delivered</v>
      </c>
      <c r="H1434">
        <f t="shared" si="67"/>
        <v>110</v>
      </c>
      <c r="I1434" s="12">
        <f>VLOOKUP(B1434,Orders!$A$2:$D$1201,3,FALSE)</f>
        <v>46108</v>
      </c>
      <c r="L1434" t="str">
        <f>VLOOKUP(C1434,Products!$A$2:$D$13,2,FALSE)</f>
        <v>Webcam</v>
      </c>
      <c r="M1434" t="str">
        <f t="shared" si="68"/>
        <v>2026-03</v>
      </c>
    </row>
    <row r="1435" spans="1:13">
      <c r="A1435">
        <v>1434</v>
      </c>
      <c r="B1435">
        <v>1701</v>
      </c>
      <c r="C1435">
        <v>11</v>
      </c>
      <c r="D1435">
        <v>4</v>
      </c>
      <c r="E1435">
        <v>48</v>
      </c>
      <c r="F1435">
        <f t="shared" si="66"/>
        <v>192</v>
      </c>
      <c r="G1435" t="str">
        <f>VLOOKUP(B1435,Orders!$A$2:$D$1201,4,FALSE)</f>
        <v>Shipped</v>
      </c>
      <c r="H1435">
        <f t="shared" si="67"/>
        <v>192</v>
      </c>
      <c r="I1435" s="12">
        <f>VLOOKUP(B1435,Orders!$A$2:$D$1201,3,FALSE)</f>
        <v>46083</v>
      </c>
      <c r="L1435" t="str">
        <f>VLOOKUP(C1435,Products!$A$2:$D$13,2,FALSE)</f>
        <v>Backpack</v>
      </c>
      <c r="M1435" t="str">
        <f t="shared" si="68"/>
        <v>2026-03</v>
      </c>
    </row>
    <row r="1436" spans="1:13">
      <c r="A1436">
        <v>1435</v>
      </c>
      <c r="B1436">
        <v>1702</v>
      </c>
      <c r="C1436">
        <v>12</v>
      </c>
      <c r="D1436">
        <v>2</v>
      </c>
      <c r="E1436">
        <v>22</v>
      </c>
      <c r="F1436">
        <f t="shared" si="66"/>
        <v>44</v>
      </c>
      <c r="G1436" t="str">
        <f>VLOOKUP(B1436,Orders!$A$2:$D$1201,4,FALSE)</f>
        <v>Shipped</v>
      </c>
      <c r="H1436">
        <f t="shared" si="67"/>
        <v>44</v>
      </c>
      <c r="I1436" s="12">
        <f>VLOOKUP(B1436,Orders!$A$2:$D$1201,3,FALSE)</f>
        <v>46038</v>
      </c>
      <c r="L1436" t="str">
        <f>VLOOKUP(C1436,Products!$A$2:$D$13,2,FALSE)</f>
        <v>Storage Box</v>
      </c>
      <c r="M1436" t="str">
        <f t="shared" si="68"/>
        <v>2026-01</v>
      </c>
    </row>
    <row r="1437" spans="1:13">
      <c r="A1437">
        <v>1436</v>
      </c>
      <c r="B1437">
        <v>1702</v>
      </c>
      <c r="C1437">
        <v>2</v>
      </c>
      <c r="D1437">
        <v>1</v>
      </c>
      <c r="E1437">
        <v>220</v>
      </c>
      <c r="F1437">
        <f t="shared" si="66"/>
        <v>220</v>
      </c>
      <c r="G1437" t="str">
        <f>VLOOKUP(B1437,Orders!$A$2:$D$1201,4,FALSE)</f>
        <v>Shipped</v>
      </c>
      <c r="H1437">
        <f t="shared" si="67"/>
        <v>220</v>
      </c>
      <c r="I1437" s="12">
        <f>VLOOKUP(B1437,Orders!$A$2:$D$1201,3,FALSE)</f>
        <v>46038</v>
      </c>
      <c r="L1437" t="str">
        <f>VLOOKUP(C1437,Products!$A$2:$D$13,2,FALSE)</f>
        <v>Monitor</v>
      </c>
      <c r="M1437" t="str">
        <f t="shared" si="68"/>
        <v>2026-01</v>
      </c>
    </row>
    <row r="1438" spans="1:13">
      <c r="A1438">
        <v>1437</v>
      </c>
      <c r="B1438">
        <v>1703</v>
      </c>
      <c r="C1438">
        <v>2</v>
      </c>
      <c r="D1438">
        <v>1</v>
      </c>
      <c r="E1438">
        <v>220</v>
      </c>
      <c r="F1438">
        <f t="shared" si="66"/>
        <v>220</v>
      </c>
      <c r="G1438" t="str">
        <f>VLOOKUP(B1438,Orders!$A$2:$D$1201,4,FALSE)</f>
        <v>Delivered</v>
      </c>
      <c r="H1438">
        <f t="shared" si="67"/>
        <v>220</v>
      </c>
      <c r="I1438" s="12">
        <f>VLOOKUP(B1438,Orders!$A$2:$D$1201,3,FALSE)</f>
        <v>46037</v>
      </c>
      <c r="L1438" t="str">
        <f>VLOOKUP(C1438,Products!$A$2:$D$13,2,FALSE)</f>
        <v>Monitor</v>
      </c>
      <c r="M1438" t="str">
        <f t="shared" si="68"/>
        <v>2026-01</v>
      </c>
    </row>
    <row r="1439" spans="1:13">
      <c r="A1439">
        <v>1438</v>
      </c>
      <c r="B1439">
        <v>1704</v>
      </c>
      <c r="C1439">
        <v>11</v>
      </c>
      <c r="D1439">
        <v>4</v>
      </c>
      <c r="E1439">
        <v>48</v>
      </c>
      <c r="F1439">
        <f t="shared" si="66"/>
        <v>192</v>
      </c>
      <c r="G1439" t="str">
        <f>VLOOKUP(B1439,Orders!$A$2:$D$1201,4,FALSE)</f>
        <v>Delivered</v>
      </c>
      <c r="H1439">
        <f t="shared" si="67"/>
        <v>192</v>
      </c>
      <c r="I1439" s="12">
        <f>VLOOKUP(B1439,Orders!$A$2:$D$1201,3,FALSE)</f>
        <v>46181</v>
      </c>
      <c r="L1439" t="str">
        <f>VLOOKUP(C1439,Products!$A$2:$D$13,2,FALSE)</f>
        <v>Backpack</v>
      </c>
      <c r="M1439" t="str">
        <f t="shared" si="68"/>
        <v>2026-06</v>
      </c>
    </row>
    <row r="1440" spans="1:13">
      <c r="A1440">
        <v>1439</v>
      </c>
      <c r="B1440">
        <v>1704</v>
      </c>
      <c r="C1440">
        <v>10</v>
      </c>
      <c r="D1440">
        <v>4</v>
      </c>
      <c r="E1440">
        <v>8</v>
      </c>
      <c r="F1440">
        <f t="shared" si="66"/>
        <v>32</v>
      </c>
      <c r="G1440" t="str">
        <f>VLOOKUP(B1440,Orders!$A$2:$D$1201,4,FALSE)</f>
        <v>Delivered</v>
      </c>
      <c r="H1440">
        <f t="shared" si="67"/>
        <v>32</v>
      </c>
      <c r="I1440" s="12">
        <f>VLOOKUP(B1440,Orders!$A$2:$D$1201,3,FALSE)</f>
        <v>46181</v>
      </c>
      <c r="L1440" t="str">
        <f>VLOOKUP(C1440,Products!$A$2:$D$13,2,FALSE)</f>
        <v>Notebook</v>
      </c>
      <c r="M1440" t="str">
        <f t="shared" si="68"/>
        <v>2026-06</v>
      </c>
    </row>
    <row r="1441" spans="1:13">
      <c r="A1441">
        <v>1440</v>
      </c>
      <c r="B1441">
        <v>1704</v>
      </c>
      <c r="C1441">
        <v>1</v>
      </c>
      <c r="D1441">
        <v>4</v>
      </c>
      <c r="E1441">
        <v>750</v>
      </c>
      <c r="F1441">
        <f t="shared" si="66"/>
        <v>3000</v>
      </c>
      <c r="G1441" t="str">
        <f>VLOOKUP(B1441,Orders!$A$2:$D$1201,4,FALSE)</f>
        <v>Delivered</v>
      </c>
      <c r="H1441">
        <f t="shared" si="67"/>
        <v>3000</v>
      </c>
      <c r="I1441" s="12">
        <f>VLOOKUP(B1441,Orders!$A$2:$D$1201,3,FALSE)</f>
        <v>46181</v>
      </c>
      <c r="L1441" t="str">
        <f>VLOOKUP(C1441,Products!$A$2:$D$13,2,FALSE)</f>
        <v>Laptop</v>
      </c>
      <c r="M1441" t="str">
        <f t="shared" si="68"/>
        <v>2026-06</v>
      </c>
    </row>
    <row r="1442" spans="1:13">
      <c r="A1442">
        <v>1441</v>
      </c>
      <c r="B1442">
        <v>1705</v>
      </c>
      <c r="C1442">
        <v>9</v>
      </c>
      <c r="D1442">
        <v>2</v>
      </c>
      <c r="E1442">
        <v>30</v>
      </c>
      <c r="F1442">
        <f t="shared" si="66"/>
        <v>60</v>
      </c>
      <c r="G1442" t="str">
        <f>VLOOKUP(B1442,Orders!$A$2:$D$1201,4,FALSE)</f>
        <v>Shipped</v>
      </c>
      <c r="H1442">
        <f t="shared" si="67"/>
        <v>60</v>
      </c>
      <c r="I1442" s="12">
        <f>VLOOKUP(B1442,Orders!$A$2:$D$1201,3,FALSE)</f>
        <v>46189</v>
      </c>
      <c r="L1442" t="str">
        <f>VLOOKUP(C1442,Products!$A$2:$D$13,2,FALSE)</f>
        <v>Lamp</v>
      </c>
      <c r="M1442" t="str">
        <f t="shared" si="68"/>
        <v>2026-06</v>
      </c>
    </row>
    <row r="1443" spans="1:13">
      <c r="A1443">
        <v>1442</v>
      </c>
      <c r="B1443">
        <v>1705</v>
      </c>
      <c r="C1443">
        <v>6</v>
      </c>
      <c r="D1443">
        <v>1</v>
      </c>
      <c r="E1443">
        <v>140</v>
      </c>
      <c r="F1443">
        <f t="shared" si="66"/>
        <v>140</v>
      </c>
      <c r="G1443" t="str">
        <f>VLOOKUP(B1443,Orders!$A$2:$D$1201,4,FALSE)</f>
        <v>Shipped</v>
      </c>
      <c r="H1443">
        <f t="shared" si="67"/>
        <v>140</v>
      </c>
      <c r="I1443" s="12">
        <f>VLOOKUP(B1443,Orders!$A$2:$D$1201,3,FALSE)</f>
        <v>46189</v>
      </c>
      <c r="L1443" t="str">
        <f>VLOOKUP(C1443,Products!$A$2:$D$13,2,FALSE)</f>
        <v>Chair</v>
      </c>
      <c r="M1443" t="str">
        <f t="shared" si="68"/>
        <v>2026-06</v>
      </c>
    </row>
    <row r="1444" spans="1:13">
      <c r="A1444">
        <v>1443</v>
      </c>
      <c r="B1444">
        <v>1706</v>
      </c>
      <c r="C1444">
        <v>3</v>
      </c>
      <c r="D1444">
        <v>3</v>
      </c>
      <c r="E1444">
        <v>45</v>
      </c>
      <c r="F1444">
        <f t="shared" si="66"/>
        <v>135</v>
      </c>
      <c r="G1444" t="str">
        <f>VLOOKUP(B1444,Orders!$A$2:$D$1201,4,FALSE)</f>
        <v>Delivered</v>
      </c>
      <c r="H1444">
        <f t="shared" si="67"/>
        <v>135</v>
      </c>
      <c r="I1444" s="12">
        <f>VLOOKUP(B1444,Orders!$A$2:$D$1201,3,FALSE)</f>
        <v>46040</v>
      </c>
      <c r="L1444" t="str">
        <f>VLOOKUP(C1444,Products!$A$2:$D$13,2,FALSE)</f>
        <v>Keyboard</v>
      </c>
      <c r="M1444" t="str">
        <f t="shared" si="68"/>
        <v>2026-01</v>
      </c>
    </row>
    <row r="1445" spans="1:13">
      <c r="A1445">
        <v>1444</v>
      </c>
      <c r="B1445">
        <v>1706</v>
      </c>
      <c r="C1445">
        <v>11</v>
      </c>
      <c r="D1445">
        <v>3</v>
      </c>
      <c r="E1445">
        <v>48</v>
      </c>
      <c r="F1445">
        <f t="shared" si="66"/>
        <v>144</v>
      </c>
      <c r="G1445" t="str">
        <f>VLOOKUP(B1445,Orders!$A$2:$D$1201,4,FALSE)</f>
        <v>Delivered</v>
      </c>
      <c r="H1445">
        <f t="shared" si="67"/>
        <v>144</v>
      </c>
      <c r="I1445" s="12">
        <f>VLOOKUP(B1445,Orders!$A$2:$D$1201,3,FALSE)</f>
        <v>46040</v>
      </c>
      <c r="L1445" t="str">
        <f>VLOOKUP(C1445,Products!$A$2:$D$13,2,FALSE)</f>
        <v>Backpack</v>
      </c>
      <c r="M1445" t="str">
        <f t="shared" si="68"/>
        <v>2026-01</v>
      </c>
    </row>
    <row r="1446" spans="1:13">
      <c r="A1446">
        <v>1445</v>
      </c>
      <c r="B1446">
        <v>1706</v>
      </c>
      <c r="C1446">
        <v>9</v>
      </c>
      <c r="D1446">
        <v>4</v>
      </c>
      <c r="E1446">
        <v>30</v>
      </c>
      <c r="F1446">
        <f t="shared" si="66"/>
        <v>120</v>
      </c>
      <c r="G1446" t="str">
        <f>VLOOKUP(B1446,Orders!$A$2:$D$1201,4,FALSE)</f>
        <v>Delivered</v>
      </c>
      <c r="H1446">
        <f t="shared" si="67"/>
        <v>120</v>
      </c>
      <c r="I1446" s="12">
        <f>VLOOKUP(B1446,Orders!$A$2:$D$1201,3,FALSE)</f>
        <v>46040</v>
      </c>
      <c r="L1446" t="str">
        <f>VLOOKUP(C1446,Products!$A$2:$D$13,2,FALSE)</f>
        <v>Lamp</v>
      </c>
      <c r="M1446" t="str">
        <f t="shared" si="68"/>
        <v>2026-01</v>
      </c>
    </row>
    <row r="1447" spans="1:13">
      <c r="A1447">
        <v>1446</v>
      </c>
      <c r="B1447">
        <v>1707</v>
      </c>
      <c r="C1447">
        <v>7</v>
      </c>
      <c r="D1447">
        <v>3</v>
      </c>
      <c r="E1447">
        <v>65</v>
      </c>
      <c r="F1447">
        <f t="shared" si="66"/>
        <v>195</v>
      </c>
      <c r="G1447" t="str">
        <f>VLOOKUP(B1447,Orders!$A$2:$D$1201,4,FALSE)</f>
        <v>Delivered</v>
      </c>
      <c r="H1447">
        <f t="shared" si="67"/>
        <v>195</v>
      </c>
      <c r="I1447" s="12">
        <f>VLOOKUP(B1447,Orders!$A$2:$D$1201,3,FALSE)</f>
        <v>46034</v>
      </c>
      <c r="L1447" t="str">
        <f>VLOOKUP(C1447,Products!$A$2:$D$13,2,FALSE)</f>
        <v>Headphones</v>
      </c>
      <c r="M1447" t="str">
        <f t="shared" si="68"/>
        <v>2026-01</v>
      </c>
    </row>
    <row r="1448" spans="1:13">
      <c r="A1448">
        <v>1447</v>
      </c>
      <c r="B1448">
        <v>1707</v>
      </c>
      <c r="C1448">
        <v>9</v>
      </c>
      <c r="D1448">
        <v>2</v>
      </c>
      <c r="E1448">
        <v>30</v>
      </c>
      <c r="F1448">
        <f t="shared" si="66"/>
        <v>60</v>
      </c>
      <c r="G1448" t="str">
        <f>VLOOKUP(B1448,Orders!$A$2:$D$1201,4,FALSE)</f>
        <v>Delivered</v>
      </c>
      <c r="H1448">
        <f t="shared" si="67"/>
        <v>60</v>
      </c>
      <c r="I1448" s="12">
        <f>VLOOKUP(B1448,Orders!$A$2:$D$1201,3,FALSE)</f>
        <v>46034</v>
      </c>
      <c r="L1448" t="str">
        <f>VLOOKUP(C1448,Products!$A$2:$D$13,2,FALSE)</f>
        <v>Lamp</v>
      </c>
      <c r="M1448" t="str">
        <f t="shared" si="68"/>
        <v>2026-01</v>
      </c>
    </row>
    <row r="1449" spans="1:13">
      <c r="A1449">
        <v>1448</v>
      </c>
      <c r="B1449">
        <v>1707</v>
      </c>
      <c r="C1449">
        <v>6</v>
      </c>
      <c r="D1449">
        <v>2</v>
      </c>
      <c r="E1449">
        <v>140</v>
      </c>
      <c r="F1449">
        <f t="shared" si="66"/>
        <v>280</v>
      </c>
      <c r="G1449" t="str">
        <f>VLOOKUP(B1449,Orders!$A$2:$D$1201,4,FALSE)</f>
        <v>Delivered</v>
      </c>
      <c r="H1449">
        <f t="shared" si="67"/>
        <v>280</v>
      </c>
      <c r="I1449" s="12">
        <f>VLOOKUP(B1449,Orders!$A$2:$D$1201,3,FALSE)</f>
        <v>46034</v>
      </c>
      <c r="L1449" t="str">
        <f>VLOOKUP(C1449,Products!$A$2:$D$13,2,FALSE)</f>
        <v>Chair</v>
      </c>
      <c r="M1449" t="str">
        <f t="shared" si="68"/>
        <v>2026-01</v>
      </c>
    </row>
    <row r="1450" spans="1:13">
      <c r="A1450">
        <v>1449</v>
      </c>
      <c r="B1450">
        <v>1708</v>
      </c>
      <c r="C1450">
        <v>4</v>
      </c>
      <c r="D1450">
        <v>1</v>
      </c>
      <c r="E1450">
        <v>25</v>
      </c>
      <c r="F1450">
        <f t="shared" si="66"/>
        <v>25</v>
      </c>
      <c r="G1450" t="str">
        <f>VLOOKUP(B1450,Orders!$A$2:$D$1201,4,FALSE)</f>
        <v>Delivered</v>
      </c>
      <c r="H1450">
        <f t="shared" si="67"/>
        <v>25</v>
      </c>
      <c r="I1450" s="12">
        <f>VLOOKUP(B1450,Orders!$A$2:$D$1201,3,FALSE)</f>
        <v>46155</v>
      </c>
      <c r="L1450" t="str">
        <f>VLOOKUP(C1450,Products!$A$2:$D$13,2,FALSE)</f>
        <v>Mouse</v>
      </c>
      <c r="M1450" t="str">
        <f t="shared" si="68"/>
        <v>2026-05</v>
      </c>
    </row>
    <row r="1451" spans="1:13">
      <c r="A1451">
        <v>1450</v>
      </c>
      <c r="B1451">
        <v>1709</v>
      </c>
      <c r="C1451">
        <v>12</v>
      </c>
      <c r="D1451">
        <v>3</v>
      </c>
      <c r="E1451">
        <v>22</v>
      </c>
      <c r="F1451">
        <f t="shared" si="66"/>
        <v>66</v>
      </c>
      <c r="G1451" t="str">
        <f>VLOOKUP(B1451,Orders!$A$2:$D$1201,4,FALSE)</f>
        <v>Delivered</v>
      </c>
      <c r="H1451">
        <f t="shared" si="67"/>
        <v>66</v>
      </c>
      <c r="I1451" s="12">
        <f>VLOOKUP(B1451,Orders!$A$2:$D$1201,3,FALSE)</f>
        <v>46040</v>
      </c>
      <c r="L1451" t="str">
        <f>VLOOKUP(C1451,Products!$A$2:$D$13,2,FALSE)</f>
        <v>Storage Box</v>
      </c>
      <c r="M1451" t="str">
        <f t="shared" si="68"/>
        <v>2026-01</v>
      </c>
    </row>
    <row r="1452" spans="1:13">
      <c r="A1452">
        <v>1451</v>
      </c>
      <c r="B1452">
        <v>1709</v>
      </c>
      <c r="C1452">
        <v>8</v>
      </c>
      <c r="D1452">
        <v>3</v>
      </c>
      <c r="E1452">
        <v>55</v>
      </c>
      <c r="F1452">
        <f t="shared" si="66"/>
        <v>165</v>
      </c>
      <c r="G1452" t="str">
        <f>VLOOKUP(B1452,Orders!$A$2:$D$1201,4,FALSE)</f>
        <v>Delivered</v>
      </c>
      <c r="H1452">
        <f t="shared" si="67"/>
        <v>165</v>
      </c>
      <c r="I1452" s="12">
        <f>VLOOKUP(B1452,Orders!$A$2:$D$1201,3,FALSE)</f>
        <v>46040</v>
      </c>
      <c r="L1452" t="str">
        <f>VLOOKUP(C1452,Products!$A$2:$D$13,2,FALSE)</f>
        <v>Webcam</v>
      </c>
      <c r="M1452" t="str">
        <f t="shared" si="68"/>
        <v>2026-01</v>
      </c>
    </row>
    <row r="1453" spans="1:13">
      <c r="A1453">
        <v>1452</v>
      </c>
      <c r="B1453">
        <v>1709</v>
      </c>
      <c r="C1453">
        <v>10</v>
      </c>
      <c r="D1453">
        <v>3</v>
      </c>
      <c r="E1453">
        <v>8</v>
      </c>
      <c r="F1453">
        <f t="shared" si="66"/>
        <v>24</v>
      </c>
      <c r="G1453" t="str">
        <f>VLOOKUP(B1453,Orders!$A$2:$D$1201,4,FALSE)</f>
        <v>Delivered</v>
      </c>
      <c r="H1453">
        <f t="shared" si="67"/>
        <v>24</v>
      </c>
      <c r="I1453" s="12">
        <f>VLOOKUP(B1453,Orders!$A$2:$D$1201,3,FALSE)</f>
        <v>46040</v>
      </c>
      <c r="L1453" t="str">
        <f>VLOOKUP(C1453,Products!$A$2:$D$13,2,FALSE)</f>
        <v>Notebook</v>
      </c>
      <c r="M1453" t="str">
        <f t="shared" si="68"/>
        <v>2026-01</v>
      </c>
    </row>
    <row r="1454" spans="1:13">
      <c r="A1454">
        <v>1453</v>
      </c>
      <c r="B1454">
        <v>1710</v>
      </c>
      <c r="C1454">
        <v>4</v>
      </c>
      <c r="D1454">
        <v>2</v>
      </c>
      <c r="E1454">
        <v>25</v>
      </c>
      <c r="F1454">
        <f t="shared" si="66"/>
        <v>50</v>
      </c>
      <c r="G1454" t="str">
        <f>VLOOKUP(B1454,Orders!$A$2:$D$1201,4,FALSE)</f>
        <v>Delivered</v>
      </c>
      <c r="H1454">
        <f t="shared" si="67"/>
        <v>50</v>
      </c>
      <c r="I1454" s="12">
        <f>VLOOKUP(B1454,Orders!$A$2:$D$1201,3,FALSE)</f>
        <v>46149</v>
      </c>
      <c r="L1454" t="str">
        <f>VLOOKUP(C1454,Products!$A$2:$D$13,2,FALSE)</f>
        <v>Mouse</v>
      </c>
      <c r="M1454" t="str">
        <f t="shared" si="68"/>
        <v>2026-05</v>
      </c>
    </row>
    <row r="1455" spans="1:13">
      <c r="A1455">
        <v>1454</v>
      </c>
      <c r="B1455">
        <v>1710</v>
      </c>
      <c r="C1455">
        <v>12</v>
      </c>
      <c r="D1455">
        <v>2</v>
      </c>
      <c r="E1455">
        <v>22</v>
      </c>
      <c r="F1455">
        <f t="shared" si="66"/>
        <v>44</v>
      </c>
      <c r="G1455" t="str">
        <f>VLOOKUP(B1455,Orders!$A$2:$D$1201,4,FALSE)</f>
        <v>Delivered</v>
      </c>
      <c r="H1455">
        <f t="shared" si="67"/>
        <v>44</v>
      </c>
      <c r="I1455" s="12">
        <f>VLOOKUP(B1455,Orders!$A$2:$D$1201,3,FALSE)</f>
        <v>46149</v>
      </c>
      <c r="L1455" t="str">
        <f>VLOOKUP(C1455,Products!$A$2:$D$13,2,FALSE)</f>
        <v>Storage Box</v>
      </c>
      <c r="M1455" t="str">
        <f t="shared" si="68"/>
        <v>2026-05</v>
      </c>
    </row>
    <row r="1456" spans="1:13">
      <c r="A1456">
        <v>1455</v>
      </c>
      <c r="B1456">
        <v>1710</v>
      </c>
      <c r="C1456">
        <v>8</v>
      </c>
      <c r="D1456">
        <v>4</v>
      </c>
      <c r="E1456">
        <v>55</v>
      </c>
      <c r="F1456">
        <f t="shared" si="66"/>
        <v>220</v>
      </c>
      <c r="G1456" t="str">
        <f>VLOOKUP(B1456,Orders!$A$2:$D$1201,4,FALSE)</f>
        <v>Delivered</v>
      </c>
      <c r="H1456">
        <f t="shared" si="67"/>
        <v>220</v>
      </c>
      <c r="I1456" s="12">
        <f>VLOOKUP(B1456,Orders!$A$2:$D$1201,3,FALSE)</f>
        <v>46149</v>
      </c>
      <c r="L1456" t="str">
        <f>VLOOKUP(C1456,Products!$A$2:$D$13,2,FALSE)</f>
        <v>Webcam</v>
      </c>
      <c r="M1456" t="str">
        <f t="shared" si="68"/>
        <v>2026-05</v>
      </c>
    </row>
    <row r="1457" spans="1:13">
      <c r="A1457">
        <v>1456</v>
      </c>
      <c r="B1457">
        <v>1711</v>
      </c>
      <c r="C1457">
        <v>6</v>
      </c>
      <c r="D1457">
        <v>1</v>
      </c>
      <c r="E1457">
        <v>140</v>
      </c>
      <c r="F1457">
        <f t="shared" si="66"/>
        <v>140</v>
      </c>
      <c r="G1457" t="str">
        <f>VLOOKUP(B1457,Orders!$A$2:$D$1201,4,FALSE)</f>
        <v>Delivered</v>
      </c>
      <c r="H1457">
        <f t="shared" si="67"/>
        <v>140</v>
      </c>
      <c r="I1457" s="12">
        <f>VLOOKUP(B1457,Orders!$A$2:$D$1201,3,FALSE)</f>
        <v>46119</v>
      </c>
      <c r="L1457" t="str">
        <f>VLOOKUP(C1457,Products!$A$2:$D$13,2,FALSE)</f>
        <v>Chair</v>
      </c>
      <c r="M1457" t="str">
        <f t="shared" si="68"/>
        <v>2026-04</v>
      </c>
    </row>
    <row r="1458" spans="1:13">
      <c r="A1458">
        <v>1457</v>
      </c>
      <c r="B1458">
        <v>1712</v>
      </c>
      <c r="C1458">
        <v>1</v>
      </c>
      <c r="D1458">
        <v>2</v>
      </c>
      <c r="E1458">
        <v>750</v>
      </c>
      <c r="F1458">
        <f t="shared" si="66"/>
        <v>1500</v>
      </c>
      <c r="G1458" t="str">
        <f>VLOOKUP(B1458,Orders!$A$2:$D$1201,4,FALSE)</f>
        <v>Delivered</v>
      </c>
      <c r="H1458">
        <f t="shared" si="67"/>
        <v>1500</v>
      </c>
      <c r="I1458" s="12">
        <f>VLOOKUP(B1458,Orders!$A$2:$D$1201,3,FALSE)</f>
        <v>46135</v>
      </c>
      <c r="L1458" t="str">
        <f>VLOOKUP(C1458,Products!$A$2:$D$13,2,FALSE)</f>
        <v>Laptop</v>
      </c>
      <c r="M1458" t="str">
        <f t="shared" si="68"/>
        <v>2026-04</v>
      </c>
    </row>
    <row r="1459" spans="1:13">
      <c r="A1459">
        <v>1458</v>
      </c>
      <c r="B1459">
        <v>1712</v>
      </c>
      <c r="C1459">
        <v>12</v>
      </c>
      <c r="D1459">
        <v>2</v>
      </c>
      <c r="E1459">
        <v>22</v>
      </c>
      <c r="F1459">
        <f t="shared" si="66"/>
        <v>44</v>
      </c>
      <c r="G1459" t="str">
        <f>VLOOKUP(B1459,Orders!$A$2:$D$1201,4,FALSE)</f>
        <v>Delivered</v>
      </c>
      <c r="H1459">
        <f t="shared" si="67"/>
        <v>44</v>
      </c>
      <c r="I1459" s="12">
        <f>VLOOKUP(B1459,Orders!$A$2:$D$1201,3,FALSE)</f>
        <v>46135</v>
      </c>
      <c r="L1459" t="str">
        <f>VLOOKUP(C1459,Products!$A$2:$D$13,2,FALSE)</f>
        <v>Storage Box</v>
      </c>
      <c r="M1459" t="str">
        <f t="shared" si="68"/>
        <v>2026-04</v>
      </c>
    </row>
    <row r="1460" spans="1:13">
      <c r="A1460">
        <v>1459</v>
      </c>
      <c r="B1460">
        <v>1713</v>
      </c>
      <c r="C1460">
        <v>4</v>
      </c>
      <c r="D1460">
        <v>1</v>
      </c>
      <c r="E1460">
        <v>25</v>
      </c>
      <c r="F1460">
        <f t="shared" si="66"/>
        <v>25</v>
      </c>
      <c r="G1460" t="str">
        <f>VLOOKUP(B1460,Orders!$A$2:$D$1201,4,FALSE)</f>
        <v>Delivered</v>
      </c>
      <c r="H1460">
        <f t="shared" si="67"/>
        <v>25</v>
      </c>
      <c r="I1460" s="12">
        <f>VLOOKUP(B1460,Orders!$A$2:$D$1201,3,FALSE)</f>
        <v>46109</v>
      </c>
      <c r="L1460" t="str">
        <f>VLOOKUP(C1460,Products!$A$2:$D$13,2,FALSE)</f>
        <v>Mouse</v>
      </c>
      <c r="M1460" t="str">
        <f t="shared" si="68"/>
        <v>2026-03</v>
      </c>
    </row>
    <row r="1461" spans="1:13">
      <c r="A1461">
        <v>1460</v>
      </c>
      <c r="B1461">
        <v>1714</v>
      </c>
      <c r="C1461">
        <v>4</v>
      </c>
      <c r="D1461">
        <v>4</v>
      </c>
      <c r="E1461">
        <v>25</v>
      </c>
      <c r="F1461">
        <f t="shared" si="66"/>
        <v>100</v>
      </c>
      <c r="G1461" t="str">
        <f>VLOOKUP(B1461,Orders!$A$2:$D$1201,4,FALSE)</f>
        <v>Delivered</v>
      </c>
      <c r="H1461">
        <f t="shared" si="67"/>
        <v>100</v>
      </c>
      <c r="I1461" s="12">
        <f>VLOOKUP(B1461,Orders!$A$2:$D$1201,3,FALSE)</f>
        <v>46058</v>
      </c>
      <c r="L1461" t="str">
        <f>VLOOKUP(C1461,Products!$A$2:$D$13,2,FALSE)</f>
        <v>Mouse</v>
      </c>
      <c r="M1461" t="str">
        <f t="shared" si="68"/>
        <v>2026-02</v>
      </c>
    </row>
    <row r="1462" spans="1:13">
      <c r="A1462">
        <v>1461</v>
      </c>
      <c r="B1462">
        <v>1714</v>
      </c>
      <c r="C1462">
        <v>5</v>
      </c>
      <c r="D1462">
        <v>2</v>
      </c>
      <c r="E1462">
        <v>180</v>
      </c>
      <c r="F1462">
        <f t="shared" si="66"/>
        <v>360</v>
      </c>
      <c r="G1462" t="str">
        <f>VLOOKUP(B1462,Orders!$A$2:$D$1201,4,FALSE)</f>
        <v>Delivered</v>
      </c>
      <c r="H1462">
        <f t="shared" si="67"/>
        <v>360</v>
      </c>
      <c r="I1462" s="12">
        <f>VLOOKUP(B1462,Orders!$A$2:$D$1201,3,FALSE)</f>
        <v>46058</v>
      </c>
      <c r="L1462" t="str">
        <f>VLOOKUP(C1462,Products!$A$2:$D$13,2,FALSE)</f>
        <v>Desk</v>
      </c>
      <c r="M1462" t="str">
        <f t="shared" si="68"/>
        <v>2026-02</v>
      </c>
    </row>
    <row r="1463" spans="1:13">
      <c r="A1463">
        <v>1462</v>
      </c>
      <c r="B1463">
        <v>1715</v>
      </c>
      <c r="C1463">
        <v>3</v>
      </c>
      <c r="D1463">
        <v>2</v>
      </c>
      <c r="E1463">
        <v>45</v>
      </c>
      <c r="F1463">
        <f t="shared" si="66"/>
        <v>90</v>
      </c>
      <c r="G1463" t="str">
        <f>VLOOKUP(B1463,Orders!$A$2:$D$1201,4,FALSE)</f>
        <v>Cancelled</v>
      </c>
      <c r="H1463">
        <f t="shared" si="67"/>
        <v>0</v>
      </c>
      <c r="I1463" s="12">
        <f>VLOOKUP(B1463,Orders!$A$2:$D$1201,3,FALSE)</f>
        <v>46182</v>
      </c>
      <c r="L1463" t="str">
        <f>VLOOKUP(C1463,Products!$A$2:$D$13,2,FALSE)</f>
        <v>Keyboard</v>
      </c>
      <c r="M1463" t="str">
        <f t="shared" si="68"/>
        <v>2026-06</v>
      </c>
    </row>
    <row r="1464" spans="1:13">
      <c r="A1464">
        <v>1463</v>
      </c>
      <c r="B1464">
        <v>1716</v>
      </c>
      <c r="C1464">
        <v>6</v>
      </c>
      <c r="D1464">
        <v>4</v>
      </c>
      <c r="E1464">
        <v>140</v>
      </c>
      <c r="F1464">
        <f t="shared" si="66"/>
        <v>560</v>
      </c>
      <c r="G1464" t="str">
        <f>VLOOKUP(B1464,Orders!$A$2:$D$1201,4,FALSE)</f>
        <v>Delivered</v>
      </c>
      <c r="H1464">
        <f t="shared" si="67"/>
        <v>560</v>
      </c>
      <c r="I1464" s="12">
        <f>VLOOKUP(B1464,Orders!$A$2:$D$1201,3,FALSE)</f>
        <v>46071</v>
      </c>
      <c r="L1464" t="str">
        <f>VLOOKUP(C1464,Products!$A$2:$D$13,2,FALSE)</f>
        <v>Chair</v>
      </c>
      <c r="M1464" t="str">
        <f t="shared" si="68"/>
        <v>2026-02</v>
      </c>
    </row>
    <row r="1465" spans="1:13">
      <c r="A1465">
        <v>1464</v>
      </c>
      <c r="B1465">
        <v>1716</v>
      </c>
      <c r="C1465">
        <v>12</v>
      </c>
      <c r="D1465">
        <v>2</v>
      </c>
      <c r="E1465">
        <v>22</v>
      </c>
      <c r="F1465">
        <f t="shared" si="66"/>
        <v>44</v>
      </c>
      <c r="G1465" t="str">
        <f>VLOOKUP(B1465,Orders!$A$2:$D$1201,4,FALSE)</f>
        <v>Delivered</v>
      </c>
      <c r="H1465">
        <f t="shared" si="67"/>
        <v>44</v>
      </c>
      <c r="I1465" s="12">
        <f>VLOOKUP(B1465,Orders!$A$2:$D$1201,3,FALSE)</f>
        <v>46071</v>
      </c>
      <c r="L1465" t="str">
        <f>VLOOKUP(C1465,Products!$A$2:$D$13,2,FALSE)</f>
        <v>Storage Box</v>
      </c>
      <c r="M1465" t="str">
        <f t="shared" si="68"/>
        <v>2026-02</v>
      </c>
    </row>
    <row r="1466" spans="1:13">
      <c r="A1466">
        <v>1465</v>
      </c>
      <c r="B1466">
        <v>1716</v>
      </c>
      <c r="C1466">
        <v>10</v>
      </c>
      <c r="D1466">
        <v>1</v>
      </c>
      <c r="E1466">
        <v>8</v>
      </c>
      <c r="F1466">
        <f t="shared" si="66"/>
        <v>8</v>
      </c>
      <c r="G1466" t="str">
        <f>VLOOKUP(B1466,Orders!$A$2:$D$1201,4,FALSE)</f>
        <v>Delivered</v>
      </c>
      <c r="H1466">
        <f t="shared" si="67"/>
        <v>8</v>
      </c>
      <c r="I1466" s="12">
        <f>VLOOKUP(B1466,Orders!$A$2:$D$1201,3,FALSE)</f>
        <v>46071</v>
      </c>
      <c r="L1466" t="str">
        <f>VLOOKUP(C1466,Products!$A$2:$D$13,2,FALSE)</f>
        <v>Notebook</v>
      </c>
      <c r="M1466" t="str">
        <f t="shared" si="68"/>
        <v>2026-02</v>
      </c>
    </row>
    <row r="1467" spans="1:13">
      <c r="A1467">
        <v>1466</v>
      </c>
      <c r="B1467">
        <v>1717</v>
      </c>
      <c r="C1467">
        <v>5</v>
      </c>
      <c r="D1467">
        <v>4</v>
      </c>
      <c r="E1467">
        <v>180</v>
      </c>
      <c r="F1467">
        <f t="shared" si="66"/>
        <v>720</v>
      </c>
      <c r="G1467" t="str">
        <f>VLOOKUP(B1467,Orders!$A$2:$D$1201,4,FALSE)</f>
        <v>Delivered</v>
      </c>
      <c r="H1467">
        <f t="shared" si="67"/>
        <v>720</v>
      </c>
      <c r="I1467" s="12">
        <f>VLOOKUP(B1467,Orders!$A$2:$D$1201,3,FALSE)</f>
        <v>46061</v>
      </c>
      <c r="L1467" t="str">
        <f>VLOOKUP(C1467,Products!$A$2:$D$13,2,FALSE)</f>
        <v>Desk</v>
      </c>
      <c r="M1467" t="str">
        <f t="shared" si="68"/>
        <v>2026-02</v>
      </c>
    </row>
    <row r="1468" spans="1:13">
      <c r="A1468">
        <v>1467</v>
      </c>
      <c r="B1468">
        <v>1717</v>
      </c>
      <c r="C1468">
        <v>3</v>
      </c>
      <c r="D1468">
        <v>2</v>
      </c>
      <c r="E1468">
        <v>45</v>
      </c>
      <c r="F1468">
        <f t="shared" si="66"/>
        <v>90</v>
      </c>
      <c r="G1468" t="str">
        <f>VLOOKUP(B1468,Orders!$A$2:$D$1201,4,FALSE)</f>
        <v>Delivered</v>
      </c>
      <c r="H1468">
        <f t="shared" si="67"/>
        <v>90</v>
      </c>
      <c r="I1468" s="12">
        <f>VLOOKUP(B1468,Orders!$A$2:$D$1201,3,FALSE)</f>
        <v>46061</v>
      </c>
      <c r="L1468" t="str">
        <f>VLOOKUP(C1468,Products!$A$2:$D$13,2,FALSE)</f>
        <v>Keyboard</v>
      </c>
      <c r="M1468" t="str">
        <f t="shared" si="68"/>
        <v>2026-02</v>
      </c>
    </row>
    <row r="1469" spans="1:13">
      <c r="A1469">
        <v>1468</v>
      </c>
      <c r="B1469">
        <v>1717</v>
      </c>
      <c r="C1469">
        <v>9</v>
      </c>
      <c r="D1469">
        <v>1</v>
      </c>
      <c r="E1469">
        <v>30</v>
      </c>
      <c r="F1469">
        <f t="shared" si="66"/>
        <v>30</v>
      </c>
      <c r="G1469" t="str">
        <f>VLOOKUP(B1469,Orders!$A$2:$D$1201,4,FALSE)</f>
        <v>Delivered</v>
      </c>
      <c r="H1469">
        <f t="shared" si="67"/>
        <v>30</v>
      </c>
      <c r="I1469" s="12">
        <f>VLOOKUP(B1469,Orders!$A$2:$D$1201,3,FALSE)</f>
        <v>46061</v>
      </c>
      <c r="L1469" t="str">
        <f>VLOOKUP(C1469,Products!$A$2:$D$13,2,FALSE)</f>
        <v>Lamp</v>
      </c>
      <c r="M1469" t="str">
        <f t="shared" si="68"/>
        <v>2026-02</v>
      </c>
    </row>
    <row r="1470" spans="1:13">
      <c r="A1470">
        <v>1469</v>
      </c>
      <c r="B1470">
        <v>1718</v>
      </c>
      <c r="C1470">
        <v>8</v>
      </c>
      <c r="D1470">
        <v>4</v>
      </c>
      <c r="E1470">
        <v>55</v>
      </c>
      <c r="F1470">
        <f t="shared" si="66"/>
        <v>220</v>
      </c>
      <c r="G1470" t="str">
        <f>VLOOKUP(B1470,Orders!$A$2:$D$1201,4,FALSE)</f>
        <v>Delivered</v>
      </c>
      <c r="H1470">
        <f t="shared" si="67"/>
        <v>220</v>
      </c>
      <c r="I1470" s="12">
        <f>VLOOKUP(B1470,Orders!$A$2:$D$1201,3,FALSE)</f>
        <v>46153</v>
      </c>
      <c r="L1470" t="str">
        <f>VLOOKUP(C1470,Products!$A$2:$D$13,2,FALSE)</f>
        <v>Webcam</v>
      </c>
      <c r="M1470" t="str">
        <f t="shared" si="68"/>
        <v>2026-05</v>
      </c>
    </row>
    <row r="1471" spans="1:13">
      <c r="A1471">
        <v>1470</v>
      </c>
      <c r="B1471">
        <v>1718</v>
      </c>
      <c r="C1471">
        <v>9</v>
      </c>
      <c r="D1471">
        <v>2</v>
      </c>
      <c r="E1471">
        <v>30</v>
      </c>
      <c r="F1471">
        <f t="shared" si="66"/>
        <v>60</v>
      </c>
      <c r="G1471" t="str">
        <f>VLOOKUP(B1471,Orders!$A$2:$D$1201,4,FALSE)</f>
        <v>Delivered</v>
      </c>
      <c r="H1471">
        <f t="shared" si="67"/>
        <v>60</v>
      </c>
      <c r="I1471" s="12">
        <f>VLOOKUP(B1471,Orders!$A$2:$D$1201,3,FALSE)</f>
        <v>46153</v>
      </c>
      <c r="L1471" t="str">
        <f>VLOOKUP(C1471,Products!$A$2:$D$13,2,FALSE)</f>
        <v>Lamp</v>
      </c>
      <c r="M1471" t="str">
        <f t="shared" si="68"/>
        <v>2026-05</v>
      </c>
    </row>
    <row r="1472" spans="1:13">
      <c r="A1472">
        <v>1471</v>
      </c>
      <c r="B1472">
        <v>1719</v>
      </c>
      <c r="C1472">
        <v>11</v>
      </c>
      <c r="D1472">
        <v>1</v>
      </c>
      <c r="E1472">
        <v>48</v>
      </c>
      <c r="F1472">
        <f t="shared" si="66"/>
        <v>48</v>
      </c>
      <c r="G1472" t="str">
        <f>VLOOKUP(B1472,Orders!$A$2:$D$1201,4,FALSE)</f>
        <v>Delivered</v>
      </c>
      <c r="H1472">
        <f t="shared" si="67"/>
        <v>48</v>
      </c>
      <c r="I1472" s="12">
        <f>VLOOKUP(B1472,Orders!$A$2:$D$1201,3,FALSE)</f>
        <v>46149</v>
      </c>
      <c r="L1472" t="str">
        <f>VLOOKUP(C1472,Products!$A$2:$D$13,2,FALSE)</f>
        <v>Backpack</v>
      </c>
      <c r="M1472" t="str">
        <f t="shared" si="68"/>
        <v>2026-05</v>
      </c>
    </row>
    <row r="1473" spans="1:13">
      <c r="A1473">
        <v>1472</v>
      </c>
      <c r="B1473">
        <v>1719</v>
      </c>
      <c r="C1473">
        <v>10</v>
      </c>
      <c r="D1473">
        <v>2</v>
      </c>
      <c r="E1473">
        <v>8</v>
      </c>
      <c r="F1473">
        <f t="shared" si="66"/>
        <v>16</v>
      </c>
      <c r="G1473" t="str">
        <f>VLOOKUP(B1473,Orders!$A$2:$D$1201,4,FALSE)</f>
        <v>Delivered</v>
      </c>
      <c r="H1473">
        <f t="shared" si="67"/>
        <v>16</v>
      </c>
      <c r="I1473" s="12">
        <f>VLOOKUP(B1473,Orders!$A$2:$D$1201,3,FALSE)</f>
        <v>46149</v>
      </c>
      <c r="L1473" t="str">
        <f>VLOOKUP(C1473,Products!$A$2:$D$13,2,FALSE)</f>
        <v>Notebook</v>
      </c>
      <c r="M1473" t="str">
        <f t="shared" si="68"/>
        <v>2026-05</v>
      </c>
    </row>
    <row r="1474" spans="1:13">
      <c r="A1474">
        <v>1473</v>
      </c>
      <c r="B1474">
        <v>1720</v>
      </c>
      <c r="C1474">
        <v>3</v>
      </c>
      <c r="D1474">
        <v>1</v>
      </c>
      <c r="E1474">
        <v>45</v>
      </c>
      <c r="F1474">
        <f t="shared" si="66"/>
        <v>45</v>
      </c>
      <c r="G1474" t="str">
        <f>VLOOKUP(B1474,Orders!$A$2:$D$1201,4,FALSE)</f>
        <v>Delivered</v>
      </c>
      <c r="H1474">
        <f t="shared" si="67"/>
        <v>45</v>
      </c>
      <c r="I1474" s="12">
        <f>VLOOKUP(B1474,Orders!$A$2:$D$1201,3,FALSE)</f>
        <v>46078</v>
      </c>
      <c r="L1474" t="str">
        <f>VLOOKUP(C1474,Products!$A$2:$D$13,2,FALSE)</f>
        <v>Keyboard</v>
      </c>
      <c r="M1474" t="str">
        <f t="shared" si="68"/>
        <v>2026-02</v>
      </c>
    </row>
    <row r="1475" spans="1:13">
      <c r="A1475">
        <v>1474</v>
      </c>
      <c r="B1475">
        <v>1720</v>
      </c>
      <c r="C1475">
        <v>6</v>
      </c>
      <c r="D1475">
        <v>2</v>
      </c>
      <c r="E1475">
        <v>140</v>
      </c>
      <c r="F1475">
        <f t="shared" ref="F1475:F1538" si="69">D1475*E1475</f>
        <v>280</v>
      </c>
      <c r="G1475" t="str">
        <f>VLOOKUP(B1475,Orders!$A$2:$D$1201,4,FALSE)</f>
        <v>Delivered</v>
      </c>
      <c r="H1475">
        <f t="shared" ref="H1475:H1538" si="70">IF(G1475="Cancelled",0,F1475)</f>
        <v>280</v>
      </c>
      <c r="I1475" s="12">
        <f>VLOOKUP(B1475,Orders!$A$2:$D$1201,3,FALSE)</f>
        <v>46078</v>
      </c>
      <c r="L1475" t="str">
        <f>VLOOKUP(C1475,Products!$A$2:$D$13,2,FALSE)</f>
        <v>Chair</v>
      </c>
      <c r="M1475" t="str">
        <f t="shared" ref="M1475:M1538" si="71">TEXT(I1475,"yyyy-mm")</f>
        <v>2026-02</v>
      </c>
    </row>
    <row r="1476" spans="1:13">
      <c r="A1476">
        <v>1475</v>
      </c>
      <c r="B1476">
        <v>1720</v>
      </c>
      <c r="C1476">
        <v>5</v>
      </c>
      <c r="D1476">
        <v>1</v>
      </c>
      <c r="E1476">
        <v>180</v>
      </c>
      <c r="F1476">
        <f t="shared" si="69"/>
        <v>180</v>
      </c>
      <c r="G1476" t="str">
        <f>VLOOKUP(B1476,Orders!$A$2:$D$1201,4,FALSE)</f>
        <v>Delivered</v>
      </c>
      <c r="H1476">
        <f t="shared" si="70"/>
        <v>180</v>
      </c>
      <c r="I1476" s="12">
        <f>VLOOKUP(B1476,Orders!$A$2:$D$1201,3,FALSE)</f>
        <v>46078</v>
      </c>
      <c r="L1476" t="str">
        <f>VLOOKUP(C1476,Products!$A$2:$D$13,2,FALSE)</f>
        <v>Desk</v>
      </c>
      <c r="M1476" t="str">
        <f t="shared" si="71"/>
        <v>2026-02</v>
      </c>
    </row>
    <row r="1477" spans="1:13">
      <c r="A1477">
        <v>1476</v>
      </c>
      <c r="B1477">
        <v>1721</v>
      </c>
      <c r="C1477">
        <v>8</v>
      </c>
      <c r="D1477">
        <v>4</v>
      </c>
      <c r="E1477">
        <v>55</v>
      </c>
      <c r="F1477">
        <f t="shared" si="69"/>
        <v>220</v>
      </c>
      <c r="G1477" t="str">
        <f>VLOOKUP(B1477,Orders!$A$2:$D$1201,4,FALSE)</f>
        <v>Delivered</v>
      </c>
      <c r="H1477">
        <f t="shared" si="70"/>
        <v>220</v>
      </c>
      <c r="I1477" s="12">
        <f>VLOOKUP(B1477,Orders!$A$2:$D$1201,3,FALSE)</f>
        <v>46142</v>
      </c>
      <c r="L1477" t="str">
        <f>VLOOKUP(C1477,Products!$A$2:$D$13,2,FALSE)</f>
        <v>Webcam</v>
      </c>
      <c r="M1477" t="str">
        <f t="shared" si="71"/>
        <v>2026-04</v>
      </c>
    </row>
    <row r="1478" spans="1:13">
      <c r="A1478">
        <v>1477</v>
      </c>
      <c r="B1478">
        <v>1721</v>
      </c>
      <c r="C1478">
        <v>12</v>
      </c>
      <c r="D1478">
        <v>4</v>
      </c>
      <c r="E1478">
        <v>22</v>
      </c>
      <c r="F1478">
        <f t="shared" si="69"/>
        <v>88</v>
      </c>
      <c r="G1478" t="str">
        <f>VLOOKUP(B1478,Orders!$A$2:$D$1201,4,FALSE)</f>
        <v>Delivered</v>
      </c>
      <c r="H1478">
        <f t="shared" si="70"/>
        <v>88</v>
      </c>
      <c r="I1478" s="12">
        <f>VLOOKUP(B1478,Orders!$A$2:$D$1201,3,FALSE)</f>
        <v>46142</v>
      </c>
      <c r="L1478" t="str">
        <f>VLOOKUP(C1478,Products!$A$2:$D$13,2,FALSE)</f>
        <v>Storage Box</v>
      </c>
      <c r="M1478" t="str">
        <f t="shared" si="71"/>
        <v>2026-04</v>
      </c>
    </row>
    <row r="1479" spans="1:13">
      <c r="A1479">
        <v>1478</v>
      </c>
      <c r="B1479">
        <v>1722</v>
      </c>
      <c r="C1479">
        <v>2</v>
      </c>
      <c r="D1479">
        <v>3</v>
      </c>
      <c r="E1479">
        <v>220</v>
      </c>
      <c r="F1479">
        <f t="shared" si="69"/>
        <v>660</v>
      </c>
      <c r="G1479" t="str">
        <f>VLOOKUP(B1479,Orders!$A$2:$D$1201,4,FALSE)</f>
        <v>Delivered</v>
      </c>
      <c r="H1479">
        <f t="shared" si="70"/>
        <v>660</v>
      </c>
      <c r="I1479" s="12">
        <f>VLOOKUP(B1479,Orders!$A$2:$D$1201,3,FALSE)</f>
        <v>46068</v>
      </c>
      <c r="L1479" t="str">
        <f>VLOOKUP(C1479,Products!$A$2:$D$13,2,FALSE)</f>
        <v>Monitor</v>
      </c>
      <c r="M1479" t="str">
        <f t="shared" si="71"/>
        <v>2026-02</v>
      </c>
    </row>
    <row r="1480" spans="1:13">
      <c r="A1480">
        <v>1479</v>
      </c>
      <c r="B1480">
        <v>1722</v>
      </c>
      <c r="C1480">
        <v>6</v>
      </c>
      <c r="D1480">
        <v>1</v>
      </c>
      <c r="E1480">
        <v>140</v>
      </c>
      <c r="F1480">
        <f t="shared" si="69"/>
        <v>140</v>
      </c>
      <c r="G1480" t="str">
        <f>VLOOKUP(B1480,Orders!$A$2:$D$1201,4,FALSE)</f>
        <v>Delivered</v>
      </c>
      <c r="H1480">
        <f t="shared" si="70"/>
        <v>140</v>
      </c>
      <c r="I1480" s="12">
        <f>VLOOKUP(B1480,Orders!$A$2:$D$1201,3,FALSE)</f>
        <v>46068</v>
      </c>
      <c r="L1480" t="str">
        <f>VLOOKUP(C1480,Products!$A$2:$D$13,2,FALSE)</f>
        <v>Chair</v>
      </c>
      <c r="M1480" t="str">
        <f t="shared" si="71"/>
        <v>2026-02</v>
      </c>
    </row>
    <row r="1481" spans="1:13">
      <c r="A1481">
        <v>1480</v>
      </c>
      <c r="B1481">
        <v>1722</v>
      </c>
      <c r="C1481">
        <v>12</v>
      </c>
      <c r="D1481">
        <v>3</v>
      </c>
      <c r="E1481">
        <v>22</v>
      </c>
      <c r="F1481">
        <f t="shared" si="69"/>
        <v>66</v>
      </c>
      <c r="G1481" t="str">
        <f>VLOOKUP(B1481,Orders!$A$2:$D$1201,4,FALSE)</f>
        <v>Delivered</v>
      </c>
      <c r="H1481">
        <f t="shared" si="70"/>
        <v>66</v>
      </c>
      <c r="I1481" s="12">
        <f>VLOOKUP(B1481,Orders!$A$2:$D$1201,3,FALSE)</f>
        <v>46068</v>
      </c>
      <c r="L1481" t="str">
        <f>VLOOKUP(C1481,Products!$A$2:$D$13,2,FALSE)</f>
        <v>Storage Box</v>
      </c>
      <c r="M1481" t="str">
        <f t="shared" si="71"/>
        <v>2026-02</v>
      </c>
    </row>
    <row r="1482" spans="1:13">
      <c r="A1482">
        <v>1481</v>
      </c>
      <c r="B1482">
        <v>1723</v>
      </c>
      <c r="C1482">
        <v>6</v>
      </c>
      <c r="D1482">
        <v>3</v>
      </c>
      <c r="E1482">
        <v>140</v>
      </c>
      <c r="F1482">
        <f t="shared" si="69"/>
        <v>420</v>
      </c>
      <c r="G1482" t="str">
        <f>VLOOKUP(B1482,Orders!$A$2:$D$1201,4,FALSE)</f>
        <v>Delivered</v>
      </c>
      <c r="H1482">
        <f t="shared" si="70"/>
        <v>420</v>
      </c>
      <c r="I1482" s="12">
        <f>VLOOKUP(B1482,Orders!$A$2:$D$1201,3,FALSE)</f>
        <v>46162</v>
      </c>
      <c r="L1482" t="str">
        <f>VLOOKUP(C1482,Products!$A$2:$D$13,2,FALSE)</f>
        <v>Chair</v>
      </c>
      <c r="M1482" t="str">
        <f t="shared" si="71"/>
        <v>2026-05</v>
      </c>
    </row>
    <row r="1483" spans="1:13">
      <c r="A1483">
        <v>1482</v>
      </c>
      <c r="B1483">
        <v>1723</v>
      </c>
      <c r="C1483">
        <v>5</v>
      </c>
      <c r="D1483">
        <v>2</v>
      </c>
      <c r="E1483">
        <v>180</v>
      </c>
      <c r="F1483">
        <f t="shared" si="69"/>
        <v>360</v>
      </c>
      <c r="G1483" t="str">
        <f>VLOOKUP(B1483,Orders!$A$2:$D$1201,4,FALSE)</f>
        <v>Delivered</v>
      </c>
      <c r="H1483">
        <f t="shared" si="70"/>
        <v>360</v>
      </c>
      <c r="I1483" s="12">
        <f>VLOOKUP(B1483,Orders!$A$2:$D$1201,3,FALSE)</f>
        <v>46162</v>
      </c>
      <c r="L1483" t="str">
        <f>VLOOKUP(C1483,Products!$A$2:$D$13,2,FALSE)</f>
        <v>Desk</v>
      </c>
      <c r="M1483" t="str">
        <f t="shared" si="71"/>
        <v>2026-05</v>
      </c>
    </row>
    <row r="1484" spans="1:13">
      <c r="A1484">
        <v>1483</v>
      </c>
      <c r="B1484">
        <v>1723</v>
      </c>
      <c r="C1484">
        <v>11</v>
      </c>
      <c r="D1484">
        <v>2</v>
      </c>
      <c r="E1484">
        <v>48</v>
      </c>
      <c r="F1484">
        <f t="shared" si="69"/>
        <v>96</v>
      </c>
      <c r="G1484" t="str">
        <f>VLOOKUP(B1484,Orders!$A$2:$D$1201,4,FALSE)</f>
        <v>Delivered</v>
      </c>
      <c r="H1484">
        <f t="shared" si="70"/>
        <v>96</v>
      </c>
      <c r="I1484" s="12">
        <f>VLOOKUP(B1484,Orders!$A$2:$D$1201,3,FALSE)</f>
        <v>46162</v>
      </c>
      <c r="L1484" t="str">
        <f>VLOOKUP(C1484,Products!$A$2:$D$13,2,FALSE)</f>
        <v>Backpack</v>
      </c>
      <c r="M1484" t="str">
        <f t="shared" si="71"/>
        <v>2026-05</v>
      </c>
    </row>
    <row r="1485" spans="1:13">
      <c r="A1485">
        <v>1484</v>
      </c>
      <c r="B1485">
        <v>1724</v>
      </c>
      <c r="C1485">
        <v>7</v>
      </c>
      <c r="D1485">
        <v>1</v>
      </c>
      <c r="E1485">
        <v>65</v>
      </c>
      <c r="F1485">
        <f t="shared" si="69"/>
        <v>65</v>
      </c>
      <c r="G1485" t="str">
        <f>VLOOKUP(B1485,Orders!$A$2:$D$1201,4,FALSE)</f>
        <v>Delivered</v>
      </c>
      <c r="H1485">
        <f t="shared" si="70"/>
        <v>65</v>
      </c>
      <c r="I1485" s="12">
        <f>VLOOKUP(B1485,Orders!$A$2:$D$1201,3,FALSE)</f>
        <v>46025</v>
      </c>
      <c r="L1485" t="str">
        <f>VLOOKUP(C1485,Products!$A$2:$D$13,2,FALSE)</f>
        <v>Headphones</v>
      </c>
      <c r="M1485" t="str">
        <f t="shared" si="71"/>
        <v>2026-01</v>
      </c>
    </row>
    <row r="1486" spans="1:13">
      <c r="A1486">
        <v>1485</v>
      </c>
      <c r="B1486">
        <v>1724</v>
      </c>
      <c r="C1486">
        <v>12</v>
      </c>
      <c r="D1486">
        <v>4</v>
      </c>
      <c r="E1486">
        <v>22</v>
      </c>
      <c r="F1486">
        <f t="shared" si="69"/>
        <v>88</v>
      </c>
      <c r="G1486" t="str">
        <f>VLOOKUP(B1486,Orders!$A$2:$D$1201,4,FALSE)</f>
        <v>Delivered</v>
      </c>
      <c r="H1486">
        <f t="shared" si="70"/>
        <v>88</v>
      </c>
      <c r="I1486" s="12">
        <f>VLOOKUP(B1486,Orders!$A$2:$D$1201,3,FALSE)</f>
        <v>46025</v>
      </c>
      <c r="L1486" t="str">
        <f>VLOOKUP(C1486,Products!$A$2:$D$13,2,FALSE)</f>
        <v>Storage Box</v>
      </c>
      <c r="M1486" t="str">
        <f t="shared" si="71"/>
        <v>2026-01</v>
      </c>
    </row>
    <row r="1487" spans="1:13">
      <c r="A1487">
        <v>1486</v>
      </c>
      <c r="B1487">
        <v>1725</v>
      </c>
      <c r="C1487">
        <v>4</v>
      </c>
      <c r="D1487">
        <v>4</v>
      </c>
      <c r="E1487">
        <v>25</v>
      </c>
      <c r="F1487">
        <f t="shared" si="69"/>
        <v>100</v>
      </c>
      <c r="G1487" t="str">
        <f>VLOOKUP(B1487,Orders!$A$2:$D$1201,4,FALSE)</f>
        <v>Delivered</v>
      </c>
      <c r="H1487">
        <f t="shared" si="70"/>
        <v>100</v>
      </c>
      <c r="I1487" s="12">
        <f>VLOOKUP(B1487,Orders!$A$2:$D$1201,3,FALSE)</f>
        <v>46081</v>
      </c>
      <c r="L1487" t="str">
        <f>VLOOKUP(C1487,Products!$A$2:$D$13,2,FALSE)</f>
        <v>Mouse</v>
      </c>
      <c r="M1487" t="str">
        <f t="shared" si="71"/>
        <v>2026-02</v>
      </c>
    </row>
    <row r="1488" spans="1:13">
      <c r="A1488">
        <v>1487</v>
      </c>
      <c r="B1488">
        <v>1725</v>
      </c>
      <c r="C1488">
        <v>9</v>
      </c>
      <c r="D1488">
        <v>4</v>
      </c>
      <c r="E1488">
        <v>30</v>
      </c>
      <c r="F1488">
        <f t="shared" si="69"/>
        <v>120</v>
      </c>
      <c r="G1488" t="str">
        <f>VLOOKUP(B1488,Orders!$A$2:$D$1201,4,FALSE)</f>
        <v>Delivered</v>
      </c>
      <c r="H1488">
        <f t="shared" si="70"/>
        <v>120</v>
      </c>
      <c r="I1488" s="12">
        <f>VLOOKUP(B1488,Orders!$A$2:$D$1201,3,FALSE)</f>
        <v>46081</v>
      </c>
      <c r="L1488" t="str">
        <f>VLOOKUP(C1488,Products!$A$2:$D$13,2,FALSE)</f>
        <v>Lamp</v>
      </c>
      <c r="M1488" t="str">
        <f t="shared" si="71"/>
        <v>2026-02</v>
      </c>
    </row>
    <row r="1489" spans="1:13">
      <c r="A1489">
        <v>1488</v>
      </c>
      <c r="B1489">
        <v>1726</v>
      </c>
      <c r="C1489">
        <v>9</v>
      </c>
      <c r="D1489">
        <v>3</v>
      </c>
      <c r="E1489">
        <v>30</v>
      </c>
      <c r="F1489">
        <f t="shared" si="69"/>
        <v>90</v>
      </c>
      <c r="G1489" t="str">
        <f>VLOOKUP(B1489,Orders!$A$2:$D$1201,4,FALSE)</f>
        <v>Delivered</v>
      </c>
      <c r="H1489">
        <f t="shared" si="70"/>
        <v>90</v>
      </c>
      <c r="I1489" s="12">
        <f>VLOOKUP(B1489,Orders!$A$2:$D$1201,3,FALSE)</f>
        <v>46201</v>
      </c>
      <c r="L1489" t="str">
        <f>VLOOKUP(C1489,Products!$A$2:$D$13,2,FALSE)</f>
        <v>Lamp</v>
      </c>
      <c r="M1489" t="str">
        <f t="shared" si="71"/>
        <v>2026-06</v>
      </c>
    </row>
    <row r="1490" spans="1:13">
      <c r="A1490">
        <v>1489</v>
      </c>
      <c r="B1490">
        <v>1726</v>
      </c>
      <c r="C1490">
        <v>1</v>
      </c>
      <c r="D1490">
        <v>2</v>
      </c>
      <c r="E1490">
        <v>750</v>
      </c>
      <c r="F1490">
        <f t="shared" si="69"/>
        <v>1500</v>
      </c>
      <c r="G1490" t="str">
        <f>VLOOKUP(B1490,Orders!$A$2:$D$1201,4,FALSE)</f>
        <v>Delivered</v>
      </c>
      <c r="H1490">
        <f t="shared" si="70"/>
        <v>1500</v>
      </c>
      <c r="I1490" s="12">
        <f>VLOOKUP(B1490,Orders!$A$2:$D$1201,3,FALSE)</f>
        <v>46201</v>
      </c>
      <c r="L1490" t="str">
        <f>VLOOKUP(C1490,Products!$A$2:$D$13,2,FALSE)</f>
        <v>Laptop</v>
      </c>
      <c r="M1490" t="str">
        <f t="shared" si="71"/>
        <v>2026-06</v>
      </c>
    </row>
    <row r="1491" spans="1:13">
      <c r="A1491">
        <v>1490</v>
      </c>
      <c r="B1491">
        <v>1727</v>
      </c>
      <c r="C1491">
        <v>4</v>
      </c>
      <c r="D1491">
        <v>4</v>
      </c>
      <c r="E1491">
        <v>25</v>
      </c>
      <c r="F1491">
        <f t="shared" si="69"/>
        <v>100</v>
      </c>
      <c r="G1491" t="str">
        <f>VLOOKUP(B1491,Orders!$A$2:$D$1201,4,FALSE)</f>
        <v>Delivered</v>
      </c>
      <c r="H1491">
        <f t="shared" si="70"/>
        <v>100</v>
      </c>
      <c r="I1491" s="12">
        <f>VLOOKUP(B1491,Orders!$A$2:$D$1201,3,FALSE)</f>
        <v>46150</v>
      </c>
      <c r="L1491" t="str">
        <f>VLOOKUP(C1491,Products!$A$2:$D$13,2,FALSE)</f>
        <v>Mouse</v>
      </c>
      <c r="M1491" t="str">
        <f t="shared" si="71"/>
        <v>2026-05</v>
      </c>
    </row>
    <row r="1492" spans="1:13">
      <c r="A1492">
        <v>1491</v>
      </c>
      <c r="B1492">
        <v>1727</v>
      </c>
      <c r="C1492">
        <v>7</v>
      </c>
      <c r="D1492">
        <v>4</v>
      </c>
      <c r="E1492">
        <v>65</v>
      </c>
      <c r="F1492">
        <f t="shared" si="69"/>
        <v>260</v>
      </c>
      <c r="G1492" t="str">
        <f>VLOOKUP(B1492,Orders!$A$2:$D$1201,4,FALSE)</f>
        <v>Delivered</v>
      </c>
      <c r="H1492">
        <f t="shared" si="70"/>
        <v>260</v>
      </c>
      <c r="I1492" s="12">
        <f>VLOOKUP(B1492,Orders!$A$2:$D$1201,3,FALSE)</f>
        <v>46150</v>
      </c>
      <c r="L1492" t="str">
        <f>VLOOKUP(C1492,Products!$A$2:$D$13,2,FALSE)</f>
        <v>Headphones</v>
      </c>
      <c r="M1492" t="str">
        <f t="shared" si="71"/>
        <v>2026-05</v>
      </c>
    </row>
    <row r="1493" spans="1:13">
      <c r="A1493">
        <v>1492</v>
      </c>
      <c r="B1493">
        <v>1728</v>
      </c>
      <c r="C1493">
        <v>3</v>
      </c>
      <c r="D1493">
        <v>3</v>
      </c>
      <c r="E1493">
        <v>45</v>
      </c>
      <c r="F1493">
        <f t="shared" si="69"/>
        <v>135</v>
      </c>
      <c r="G1493" t="str">
        <f>VLOOKUP(B1493,Orders!$A$2:$D$1201,4,FALSE)</f>
        <v>Delivered</v>
      </c>
      <c r="H1493">
        <f t="shared" si="70"/>
        <v>135</v>
      </c>
      <c r="I1493" s="12">
        <f>VLOOKUP(B1493,Orders!$A$2:$D$1201,3,FALSE)</f>
        <v>46028</v>
      </c>
      <c r="L1493" t="str">
        <f>VLOOKUP(C1493,Products!$A$2:$D$13,2,FALSE)</f>
        <v>Keyboard</v>
      </c>
      <c r="M1493" t="str">
        <f t="shared" si="71"/>
        <v>2026-01</v>
      </c>
    </row>
    <row r="1494" spans="1:13">
      <c r="A1494">
        <v>1493</v>
      </c>
      <c r="B1494">
        <v>1729</v>
      </c>
      <c r="C1494">
        <v>2</v>
      </c>
      <c r="D1494">
        <v>4</v>
      </c>
      <c r="E1494">
        <v>220</v>
      </c>
      <c r="F1494">
        <f t="shared" si="69"/>
        <v>880</v>
      </c>
      <c r="G1494" t="str">
        <f>VLOOKUP(B1494,Orders!$A$2:$D$1201,4,FALSE)</f>
        <v>Pending</v>
      </c>
      <c r="H1494">
        <f t="shared" si="70"/>
        <v>880</v>
      </c>
      <c r="I1494" s="12">
        <f>VLOOKUP(B1494,Orders!$A$2:$D$1201,3,FALSE)</f>
        <v>46123</v>
      </c>
      <c r="L1494" t="str">
        <f>VLOOKUP(C1494,Products!$A$2:$D$13,2,FALSE)</f>
        <v>Monitor</v>
      </c>
      <c r="M1494" t="str">
        <f t="shared" si="71"/>
        <v>2026-04</v>
      </c>
    </row>
    <row r="1495" spans="1:13">
      <c r="A1495">
        <v>1494</v>
      </c>
      <c r="B1495">
        <v>1729</v>
      </c>
      <c r="C1495">
        <v>9</v>
      </c>
      <c r="D1495">
        <v>2</v>
      </c>
      <c r="E1495">
        <v>30</v>
      </c>
      <c r="F1495">
        <f t="shared" si="69"/>
        <v>60</v>
      </c>
      <c r="G1495" t="str">
        <f>VLOOKUP(B1495,Orders!$A$2:$D$1201,4,FALSE)</f>
        <v>Pending</v>
      </c>
      <c r="H1495">
        <f t="shared" si="70"/>
        <v>60</v>
      </c>
      <c r="I1495" s="12">
        <f>VLOOKUP(B1495,Orders!$A$2:$D$1201,3,FALSE)</f>
        <v>46123</v>
      </c>
      <c r="L1495" t="str">
        <f>VLOOKUP(C1495,Products!$A$2:$D$13,2,FALSE)</f>
        <v>Lamp</v>
      </c>
      <c r="M1495" t="str">
        <f t="shared" si="71"/>
        <v>2026-04</v>
      </c>
    </row>
    <row r="1496" spans="1:13">
      <c r="A1496">
        <v>1495</v>
      </c>
      <c r="B1496">
        <v>1730</v>
      </c>
      <c r="C1496">
        <v>5</v>
      </c>
      <c r="D1496">
        <v>1</v>
      </c>
      <c r="E1496">
        <v>180</v>
      </c>
      <c r="F1496">
        <f t="shared" si="69"/>
        <v>180</v>
      </c>
      <c r="G1496" t="str">
        <f>VLOOKUP(B1496,Orders!$A$2:$D$1201,4,FALSE)</f>
        <v>Delivered</v>
      </c>
      <c r="H1496">
        <f t="shared" si="70"/>
        <v>180</v>
      </c>
      <c r="I1496" s="12">
        <f>VLOOKUP(B1496,Orders!$A$2:$D$1201,3,FALSE)</f>
        <v>46050</v>
      </c>
      <c r="L1496" t="str">
        <f>VLOOKUP(C1496,Products!$A$2:$D$13,2,FALSE)</f>
        <v>Desk</v>
      </c>
      <c r="M1496" t="str">
        <f t="shared" si="71"/>
        <v>2026-01</v>
      </c>
    </row>
    <row r="1497" spans="1:13">
      <c r="A1497">
        <v>1496</v>
      </c>
      <c r="B1497">
        <v>1730</v>
      </c>
      <c r="C1497">
        <v>2</v>
      </c>
      <c r="D1497">
        <v>2</v>
      </c>
      <c r="E1497">
        <v>220</v>
      </c>
      <c r="F1497">
        <f t="shared" si="69"/>
        <v>440</v>
      </c>
      <c r="G1497" t="str">
        <f>VLOOKUP(B1497,Orders!$A$2:$D$1201,4,FALSE)</f>
        <v>Delivered</v>
      </c>
      <c r="H1497">
        <f t="shared" si="70"/>
        <v>440</v>
      </c>
      <c r="I1497" s="12">
        <f>VLOOKUP(B1497,Orders!$A$2:$D$1201,3,FALSE)</f>
        <v>46050</v>
      </c>
      <c r="L1497" t="str">
        <f>VLOOKUP(C1497,Products!$A$2:$D$13,2,FALSE)</f>
        <v>Monitor</v>
      </c>
      <c r="M1497" t="str">
        <f t="shared" si="71"/>
        <v>2026-01</v>
      </c>
    </row>
    <row r="1498" spans="1:13">
      <c r="A1498">
        <v>1497</v>
      </c>
      <c r="B1498">
        <v>1730</v>
      </c>
      <c r="C1498">
        <v>3</v>
      </c>
      <c r="D1498">
        <v>1</v>
      </c>
      <c r="E1498">
        <v>45</v>
      </c>
      <c r="F1498">
        <f t="shared" si="69"/>
        <v>45</v>
      </c>
      <c r="G1498" t="str">
        <f>VLOOKUP(B1498,Orders!$A$2:$D$1201,4,FALSE)</f>
        <v>Delivered</v>
      </c>
      <c r="H1498">
        <f t="shared" si="70"/>
        <v>45</v>
      </c>
      <c r="I1498" s="12">
        <f>VLOOKUP(B1498,Orders!$A$2:$D$1201,3,FALSE)</f>
        <v>46050</v>
      </c>
      <c r="L1498" t="str">
        <f>VLOOKUP(C1498,Products!$A$2:$D$13,2,FALSE)</f>
        <v>Keyboard</v>
      </c>
      <c r="M1498" t="str">
        <f t="shared" si="71"/>
        <v>2026-01</v>
      </c>
    </row>
    <row r="1499" spans="1:13">
      <c r="A1499">
        <v>1498</v>
      </c>
      <c r="B1499">
        <v>1731</v>
      </c>
      <c r="C1499">
        <v>4</v>
      </c>
      <c r="D1499">
        <v>3</v>
      </c>
      <c r="E1499">
        <v>25</v>
      </c>
      <c r="F1499">
        <f t="shared" si="69"/>
        <v>75</v>
      </c>
      <c r="G1499" t="str">
        <f>VLOOKUP(B1499,Orders!$A$2:$D$1201,4,FALSE)</f>
        <v>Shipped</v>
      </c>
      <c r="H1499">
        <f t="shared" si="70"/>
        <v>75</v>
      </c>
      <c r="I1499" s="12">
        <f>VLOOKUP(B1499,Orders!$A$2:$D$1201,3,FALSE)</f>
        <v>46040</v>
      </c>
      <c r="L1499" t="str">
        <f>VLOOKUP(C1499,Products!$A$2:$D$13,2,FALSE)</f>
        <v>Mouse</v>
      </c>
      <c r="M1499" t="str">
        <f t="shared" si="71"/>
        <v>2026-01</v>
      </c>
    </row>
    <row r="1500" spans="1:13">
      <c r="A1500">
        <v>1499</v>
      </c>
      <c r="B1500">
        <v>1731</v>
      </c>
      <c r="C1500">
        <v>12</v>
      </c>
      <c r="D1500">
        <v>1</v>
      </c>
      <c r="E1500">
        <v>22</v>
      </c>
      <c r="F1500">
        <f t="shared" si="69"/>
        <v>22</v>
      </c>
      <c r="G1500" t="str">
        <f>VLOOKUP(B1500,Orders!$A$2:$D$1201,4,FALSE)</f>
        <v>Shipped</v>
      </c>
      <c r="H1500">
        <f t="shared" si="70"/>
        <v>22</v>
      </c>
      <c r="I1500" s="12">
        <f>VLOOKUP(B1500,Orders!$A$2:$D$1201,3,FALSE)</f>
        <v>46040</v>
      </c>
      <c r="L1500" t="str">
        <f>VLOOKUP(C1500,Products!$A$2:$D$13,2,FALSE)</f>
        <v>Storage Box</v>
      </c>
      <c r="M1500" t="str">
        <f t="shared" si="71"/>
        <v>2026-01</v>
      </c>
    </row>
    <row r="1501" spans="1:13">
      <c r="A1501">
        <v>1500</v>
      </c>
      <c r="B1501">
        <v>1732</v>
      </c>
      <c r="C1501">
        <v>7</v>
      </c>
      <c r="D1501">
        <v>1</v>
      </c>
      <c r="E1501">
        <v>65</v>
      </c>
      <c r="F1501">
        <f t="shared" si="69"/>
        <v>65</v>
      </c>
      <c r="G1501" t="str">
        <f>VLOOKUP(B1501,Orders!$A$2:$D$1201,4,FALSE)</f>
        <v>Delivered</v>
      </c>
      <c r="H1501">
        <f t="shared" si="70"/>
        <v>65</v>
      </c>
      <c r="I1501" s="12">
        <f>VLOOKUP(B1501,Orders!$A$2:$D$1201,3,FALSE)</f>
        <v>46155</v>
      </c>
      <c r="L1501" t="str">
        <f>VLOOKUP(C1501,Products!$A$2:$D$13,2,FALSE)</f>
        <v>Headphones</v>
      </c>
      <c r="M1501" t="str">
        <f t="shared" si="71"/>
        <v>2026-05</v>
      </c>
    </row>
    <row r="1502" spans="1:13">
      <c r="A1502">
        <v>1501</v>
      </c>
      <c r="B1502">
        <v>1732</v>
      </c>
      <c r="C1502">
        <v>3</v>
      </c>
      <c r="D1502">
        <v>2</v>
      </c>
      <c r="E1502">
        <v>45</v>
      </c>
      <c r="F1502">
        <f t="shared" si="69"/>
        <v>90</v>
      </c>
      <c r="G1502" t="str">
        <f>VLOOKUP(B1502,Orders!$A$2:$D$1201,4,FALSE)</f>
        <v>Delivered</v>
      </c>
      <c r="H1502">
        <f t="shared" si="70"/>
        <v>90</v>
      </c>
      <c r="I1502" s="12">
        <f>VLOOKUP(B1502,Orders!$A$2:$D$1201,3,FALSE)</f>
        <v>46155</v>
      </c>
      <c r="L1502" t="str">
        <f>VLOOKUP(C1502,Products!$A$2:$D$13,2,FALSE)</f>
        <v>Keyboard</v>
      </c>
      <c r="M1502" t="str">
        <f t="shared" si="71"/>
        <v>2026-05</v>
      </c>
    </row>
    <row r="1503" spans="1:13">
      <c r="A1503">
        <v>1502</v>
      </c>
      <c r="B1503">
        <v>1733</v>
      </c>
      <c r="C1503">
        <v>12</v>
      </c>
      <c r="D1503">
        <v>4</v>
      </c>
      <c r="E1503">
        <v>22</v>
      </c>
      <c r="F1503">
        <f t="shared" si="69"/>
        <v>88</v>
      </c>
      <c r="G1503" t="str">
        <f>VLOOKUP(B1503,Orders!$A$2:$D$1201,4,FALSE)</f>
        <v>Cancelled</v>
      </c>
      <c r="H1503">
        <f t="shared" si="70"/>
        <v>0</v>
      </c>
      <c r="I1503" s="12">
        <f>VLOOKUP(B1503,Orders!$A$2:$D$1201,3,FALSE)</f>
        <v>46056</v>
      </c>
      <c r="L1503" t="str">
        <f>VLOOKUP(C1503,Products!$A$2:$D$13,2,FALSE)</f>
        <v>Storage Box</v>
      </c>
      <c r="M1503" t="str">
        <f t="shared" si="71"/>
        <v>2026-02</v>
      </c>
    </row>
    <row r="1504" spans="1:13">
      <c r="A1504">
        <v>1503</v>
      </c>
      <c r="B1504">
        <v>1733</v>
      </c>
      <c r="C1504">
        <v>11</v>
      </c>
      <c r="D1504">
        <v>2</v>
      </c>
      <c r="E1504">
        <v>48</v>
      </c>
      <c r="F1504">
        <f t="shared" si="69"/>
        <v>96</v>
      </c>
      <c r="G1504" t="str">
        <f>VLOOKUP(B1504,Orders!$A$2:$D$1201,4,FALSE)</f>
        <v>Cancelled</v>
      </c>
      <c r="H1504">
        <f t="shared" si="70"/>
        <v>0</v>
      </c>
      <c r="I1504" s="12">
        <f>VLOOKUP(B1504,Orders!$A$2:$D$1201,3,FALSE)</f>
        <v>46056</v>
      </c>
      <c r="L1504" t="str">
        <f>VLOOKUP(C1504,Products!$A$2:$D$13,2,FALSE)</f>
        <v>Backpack</v>
      </c>
      <c r="M1504" t="str">
        <f t="shared" si="71"/>
        <v>2026-02</v>
      </c>
    </row>
    <row r="1505" spans="1:13">
      <c r="A1505">
        <v>1504</v>
      </c>
      <c r="B1505">
        <v>1734</v>
      </c>
      <c r="C1505">
        <v>4</v>
      </c>
      <c r="D1505">
        <v>3</v>
      </c>
      <c r="E1505">
        <v>25</v>
      </c>
      <c r="F1505">
        <f t="shared" si="69"/>
        <v>75</v>
      </c>
      <c r="G1505" t="str">
        <f>VLOOKUP(B1505,Orders!$A$2:$D$1201,4,FALSE)</f>
        <v>Delivered</v>
      </c>
      <c r="H1505">
        <f t="shared" si="70"/>
        <v>75</v>
      </c>
      <c r="I1505" s="12">
        <f>VLOOKUP(B1505,Orders!$A$2:$D$1201,3,FALSE)</f>
        <v>46177</v>
      </c>
      <c r="L1505" t="str">
        <f>VLOOKUP(C1505,Products!$A$2:$D$13,2,FALSE)</f>
        <v>Mouse</v>
      </c>
      <c r="M1505" t="str">
        <f t="shared" si="71"/>
        <v>2026-06</v>
      </c>
    </row>
    <row r="1506" spans="1:13">
      <c r="A1506">
        <v>1505</v>
      </c>
      <c r="B1506">
        <v>1734</v>
      </c>
      <c r="C1506">
        <v>9</v>
      </c>
      <c r="D1506">
        <v>2</v>
      </c>
      <c r="E1506">
        <v>30</v>
      </c>
      <c r="F1506">
        <f t="shared" si="69"/>
        <v>60</v>
      </c>
      <c r="G1506" t="str">
        <f>VLOOKUP(B1506,Orders!$A$2:$D$1201,4,FALSE)</f>
        <v>Delivered</v>
      </c>
      <c r="H1506">
        <f t="shared" si="70"/>
        <v>60</v>
      </c>
      <c r="I1506" s="12">
        <f>VLOOKUP(B1506,Orders!$A$2:$D$1201,3,FALSE)</f>
        <v>46177</v>
      </c>
      <c r="L1506" t="str">
        <f>VLOOKUP(C1506,Products!$A$2:$D$13,2,FALSE)</f>
        <v>Lamp</v>
      </c>
      <c r="M1506" t="str">
        <f t="shared" si="71"/>
        <v>2026-06</v>
      </c>
    </row>
    <row r="1507" spans="1:13">
      <c r="A1507">
        <v>1506</v>
      </c>
      <c r="B1507">
        <v>1734</v>
      </c>
      <c r="C1507">
        <v>8</v>
      </c>
      <c r="D1507">
        <v>1</v>
      </c>
      <c r="E1507">
        <v>55</v>
      </c>
      <c r="F1507">
        <f t="shared" si="69"/>
        <v>55</v>
      </c>
      <c r="G1507" t="str">
        <f>VLOOKUP(B1507,Orders!$A$2:$D$1201,4,FALSE)</f>
        <v>Delivered</v>
      </c>
      <c r="H1507">
        <f t="shared" si="70"/>
        <v>55</v>
      </c>
      <c r="I1507" s="12">
        <f>VLOOKUP(B1507,Orders!$A$2:$D$1201,3,FALSE)</f>
        <v>46177</v>
      </c>
      <c r="L1507" t="str">
        <f>VLOOKUP(C1507,Products!$A$2:$D$13,2,FALSE)</f>
        <v>Webcam</v>
      </c>
      <c r="M1507" t="str">
        <f t="shared" si="71"/>
        <v>2026-06</v>
      </c>
    </row>
    <row r="1508" spans="1:13">
      <c r="A1508">
        <v>1507</v>
      </c>
      <c r="B1508">
        <v>1735</v>
      </c>
      <c r="C1508">
        <v>8</v>
      </c>
      <c r="D1508">
        <v>1</v>
      </c>
      <c r="E1508">
        <v>55</v>
      </c>
      <c r="F1508">
        <f t="shared" si="69"/>
        <v>55</v>
      </c>
      <c r="G1508" t="str">
        <f>VLOOKUP(B1508,Orders!$A$2:$D$1201,4,FALSE)</f>
        <v>Delivered</v>
      </c>
      <c r="H1508">
        <f t="shared" si="70"/>
        <v>55</v>
      </c>
      <c r="I1508" s="12">
        <f>VLOOKUP(B1508,Orders!$A$2:$D$1201,3,FALSE)</f>
        <v>46086</v>
      </c>
      <c r="L1508" t="str">
        <f>VLOOKUP(C1508,Products!$A$2:$D$13,2,FALSE)</f>
        <v>Webcam</v>
      </c>
      <c r="M1508" t="str">
        <f t="shared" si="71"/>
        <v>2026-03</v>
      </c>
    </row>
    <row r="1509" spans="1:13">
      <c r="A1509">
        <v>1508</v>
      </c>
      <c r="B1509">
        <v>1735</v>
      </c>
      <c r="C1509">
        <v>12</v>
      </c>
      <c r="D1509">
        <v>1</v>
      </c>
      <c r="E1509">
        <v>22</v>
      </c>
      <c r="F1509">
        <f t="shared" si="69"/>
        <v>22</v>
      </c>
      <c r="G1509" t="str">
        <f>VLOOKUP(B1509,Orders!$A$2:$D$1201,4,FALSE)</f>
        <v>Delivered</v>
      </c>
      <c r="H1509">
        <f t="shared" si="70"/>
        <v>22</v>
      </c>
      <c r="I1509" s="12">
        <f>VLOOKUP(B1509,Orders!$A$2:$D$1201,3,FALSE)</f>
        <v>46086</v>
      </c>
      <c r="L1509" t="str">
        <f>VLOOKUP(C1509,Products!$A$2:$D$13,2,FALSE)</f>
        <v>Storage Box</v>
      </c>
      <c r="M1509" t="str">
        <f t="shared" si="71"/>
        <v>2026-03</v>
      </c>
    </row>
    <row r="1510" spans="1:13">
      <c r="A1510">
        <v>1509</v>
      </c>
      <c r="B1510">
        <v>1736</v>
      </c>
      <c r="C1510">
        <v>4</v>
      </c>
      <c r="D1510">
        <v>4</v>
      </c>
      <c r="E1510">
        <v>25</v>
      </c>
      <c r="F1510">
        <f t="shared" si="69"/>
        <v>100</v>
      </c>
      <c r="G1510" t="str">
        <f>VLOOKUP(B1510,Orders!$A$2:$D$1201,4,FALSE)</f>
        <v>Delivered</v>
      </c>
      <c r="H1510">
        <f t="shared" si="70"/>
        <v>100</v>
      </c>
      <c r="I1510" s="12">
        <f>VLOOKUP(B1510,Orders!$A$2:$D$1201,3,FALSE)</f>
        <v>46099</v>
      </c>
      <c r="L1510" t="str">
        <f>VLOOKUP(C1510,Products!$A$2:$D$13,2,FALSE)</f>
        <v>Mouse</v>
      </c>
      <c r="M1510" t="str">
        <f t="shared" si="71"/>
        <v>2026-03</v>
      </c>
    </row>
    <row r="1511" spans="1:13">
      <c r="A1511">
        <v>1510</v>
      </c>
      <c r="B1511">
        <v>1736</v>
      </c>
      <c r="C1511">
        <v>3</v>
      </c>
      <c r="D1511">
        <v>4</v>
      </c>
      <c r="E1511">
        <v>45</v>
      </c>
      <c r="F1511">
        <f t="shared" si="69"/>
        <v>180</v>
      </c>
      <c r="G1511" t="str">
        <f>VLOOKUP(B1511,Orders!$A$2:$D$1201,4,FALSE)</f>
        <v>Delivered</v>
      </c>
      <c r="H1511">
        <f t="shared" si="70"/>
        <v>180</v>
      </c>
      <c r="I1511" s="12">
        <f>VLOOKUP(B1511,Orders!$A$2:$D$1201,3,FALSE)</f>
        <v>46099</v>
      </c>
      <c r="L1511" t="str">
        <f>VLOOKUP(C1511,Products!$A$2:$D$13,2,FALSE)</f>
        <v>Keyboard</v>
      </c>
      <c r="M1511" t="str">
        <f t="shared" si="71"/>
        <v>2026-03</v>
      </c>
    </row>
    <row r="1512" spans="1:13">
      <c r="A1512">
        <v>1511</v>
      </c>
      <c r="B1512">
        <v>1737</v>
      </c>
      <c r="C1512">
        <v>3</v>
      </c>
      <c r="D1512">
        <v>3</v>
      </c>
      <c r="E1512">
        <v>45</v>
      </c>
      <c r="F1512">
        <f t="shared" si="69"/>
        <v>135</v>
      </c>
      <c r="G1512" t="str">
        <f>VLOOKUP(B1512,Orders!$A$2:$D$1201,4,FALSE)</f>
        <v>Delivered</v>
      </c>
      <c r="H1512">
        <f t="shared" si="70"/>
        <v>135</v>
      </c>
      <c r="I1512" s="12">
        <f>VLOOKUP(B1512,Orders!$A$2:$D$1201,3,FALSE)</f>
        <v>46123</v>
      </c>
      <c r="L1512" t="str">
        <f>VLOOKUP(C1512,Products!$A$2:$D$13,2,FALSE)</f>
        <v>Keyboard</v>
      </c>
      <c r="M1512" t="str">
        <f t="shared" si="71"/>
        <v>2026-04</v>
      </c>
    </row>
    <row r="1513" spans="1:13">
      <c r="A1513">
        <v>1512</v>
      </c>
      <c r="B1513">
        <v>1738</v>
      </c>
      <c r="C1513">
        <v>7</v>
      </c>
      <c r="D1513">
        <v>1</v>
      </c>
      <c r="E1513">
        <v>65</v>
      </c>
      <c r="F1513">
        <f t="shared" si="69"/>
        <v>65</v>
      </c>
      <c r="G1513" t="str">
        <f>VLOOKUP(B1513,Orders!$A$2:$D$1201,4,FALSE)</f>
        <v>Delivered</v>
      </c>
      <c r="H1513">
        <f t="shared" si="70"/>
        <v>65</v>
      </c>
      <c r="I1513" s="12">
        <f>VLOOKUP(B1513,Orders!$A$2:$D$1201,3,FALSE)</f>
        <v>46201</v>
      </c>
      <c r="L1513" t="str">
        <f>VLOOKUP(C1513,Products!$A$2:$D$13,2,FALSE)</f>
        <v>Headphones</v>
      </c>
      <c r="M1513" t="str">
        <f t="shared" si="71"/>
        <v>2026-06</v>
      </c>
    </row>
    <row r="1514" spans="1:13">
      <c r="A1514">
        <v>1513</v>
      </c>
      <c r="B1514">
        <v>1738</v>
      </c>
      <c r="C1514">
        <v>9</v>
      </c>
      <c r="D1514">
        <v>3</v>
      </c>
      <c r="E1514">
        <v>30</v>
      </c>
      <c r="F1514">
        <f t="shared" si="69"/>
        <v>90</v>
      </c>
      <c r="G1514" t="str">
        <f>VLOOKUP(B1514,Orders!$A$2:$D$1201,4,FALSE)</f>
        <v>Delivered</v>
      </c>
      <c r="H1514">
        <f t="shared" si="70"/>
        <v>90</v>
      </c>
      <c r="I1514" s="12">
        <f>VLOOKUP(B1514,Orders!$A$2:$D$1201,3,FALSE)</f>
        <v>46201</v>
      </c>
      <c r="L1514" t="str">
        <f>VLOOKUP(C1514,Products!$A$2:$D$13,2,FALSE)</f>
        <v>Lamp</v>
      </c>
      <c r="M1514" t="str">
        <f t="shared" si="71"/>
        <v>2026-06</v>
      </c>
    </row>
    <row r="1515" spans="1:13">
      <c r="A1515">
        <v>1514</v>
      </c>
      <c r="B1515">
        <v>1739</v>
      </c>
      <c r="C1515">
        <v>9</v>
      </c>
      <c r="D1515">
        <v>1</v>
      </c>
      <c r="E1515">
        <v>30</v>
      </c>
      <c r="F1515">
        <f t="shared" si="69"/>
        <v>30</v>
      </c>
      <c r="G1515" t="str">
        <f>VLOOKUP(B1515,Orders!$A$2:$D$1201,4,FALSE)</f>
        <v>Delivered</v>
      </c>
      <c r="H1515">
        <f t="shared" si="70"/>
        <v>30</v>
      </c>
      <c r="I1515" s="12">
        <f>VLOOKUP(B1515,Orders!$A$2:$D$1201,3,FALSE)</f>
        <v>46127</v>
      </c>
      <c r="L1515" t="str">
        <f>VLOOKUP(C1515,Products!$A$2:$D$13,2,FALSE)</f>
        <v>Lamp</v>
      </c>
      <c r="M1515" t="str">
        <f t="shared" si="71"/>
        <v>2026-04</v>
      </c>
    </row>
    <row r="1516" spans="1:13">
      <c r="A1516">
        <v>1515</v>
      </c>
      <c r="B1516">
        <v>1740</v>
      </c>
      <c r="C1516">
        <v>7</v>
      </c>
      <c r="D1516">
        <v>1</v>
      </c>
      <c r="E1516">
        <v>65</v>
      </c>
      <c r="F1516">
        <f t="shared" si="69"/>
        <v>65</v>
      </c>
      <c r="G1516" t="str">
        <f>VLOOKUP(B1516,Orders!$A$2:$D$1201,4,FALSE)</f>
        <v>Delivered</v>
      </c>
      <c r="H1516">
        <f t="shared" si="70"/>
        <v>65</v>
      </c>
      <c r="I1516" s="12">
        <f>VLOOKUP(B1516,Orders!$A$2:$D$1201,3,FALSE)</f>
        <v>46141</v>
      </c>
      <c r="L1516" t="str">
        <f>VLOOKUP(C1516,Products!$A$2:$D$13,2,FALSE)</f>
        <v>Headphones</v>
      </c>
      <c r="M1516" t="str">
        <f t="shared" si="71"/>
        <v>2026-04</v>
      </c>
    </row>
    <row r="1517" spans="1:13">
      <c r="A1517">
        <v>1516</v>
      </c>
      <c r="B1517">
        <v>1741</v>
      </c>
      <c r="C1517">
        <v>2</v>
      </c>
      <c r="D1517">
        <v>2</v>
      </c>
      <c r="E1517">
        <v>220</v>
      </c>
      <c r="F1517">
        <f t="shared" si="69"/>
        <v>440</v>
      </c>
      <c r="G1517" t="str">
        <f>VLOOKUP(B1517,Orders!$A$2:$D$1201,4,FALSE)</f>
        <v>Delivered</v>
      </c>
      <c r="H1517">
        <f t="shared" si="70"/>
        <v>440</v>
      </c>
      <c r="I1517" s="12">
        <f>VLOOKUP(B1517,Orders!$A$2:$D$1201,3,FALSE)</f>
        <v>46194</v>
      </c>
      <c r="L1517" t="str">
        <f>VLOOKUP(C1517,Products!$A$2:$D$13,2,FALSE)</f>
        <v>Monitor</v>
      </c>
      <c r="M1517" t="str">
        <f t="shared" si="71"/>
        <v>2026-06</v>
      </c>
    </row>
    <row r="1518" spans="1:13">
      <c r="A1518">
        <v>1517</v>
      </c>
      <c r="B1518">
        <v>1741</v>
      </c>
      <c r="C1518">
        <v>12</v>
      </c>
      <c r="D1518">
        <v>4</v>
      </c>
      <c r="E1518">
        <v>22</v>
      </c>
      <c r="F1518">
        <f t="shared" si="69"/>
        <v>88</v>
      </c>
      <c r="G1518" t="str">
        <f>VLOOKUP(B1518,Orders!$A$2:$D$1201,4,FALSE)</f>
        <v>Delivered</v>
      </c>
      <c r="H1518">
        <f t="shared" si="70"/>
        <v>88</v>
      </c>
      <c r="I1518" s="12">
        <f>VLOOKUP(B1518,Orders!$A$2:$D$1201,3,FALSE)</f>
        <v>46194</v>
      </c>
      <c r="L1518" t="str">
        <f>VLOOKUP(C1518,Products!$A$2:$D$13,2,FALSE)</f>
        <v>Storage Box</v>
      </c>
      <c r="M1518" t="str">
        <f t="shared" si="71"/>
        <v>2026-06</v>
      </c>
    </row>
    <row r="1519" spans="1:13">
      <c r="A1519">
        <v>1518</v>
      </c>
      <c r="B1519">
        <v>1742</v>
      </c>
      <c r="C1519">
        <v>2</v>
      </c>
      <c r="D1519">
        <v>4</v>
      </c>
      <c r="E1519">
        <v>220</v>
      </c>
      <c r="F1519">
        <f t="shared" si="69"/>
        <v>880</v>
      </c>
      <c r="G1519" t="str">
        <f>VLOOKUP(B1519,Orders!$A$2:$D$1201,4,FALSE)</f>
        <v>Delivered</v>
      </c>
      <c r="H1519">
        <f t="shared" si="70"/>
        <v>880</v>
      </c>
      <c r="I1519" s="12">
        <f>VLOOKUP(B1519,Orders!$A$2:$D$1201,3,FALSE)</f>
        <v>46027</v>
      </c>
      <c r="L1519" t="str">
        <f>VLOOKUP(C1519,Products!$A$2:$D$13,2,FALSE)</f>
        <v>Monitor</v>
      </c>
      <c r="M1519" t="str">
        <f t="shared" si="71"/>
        <v>2026-01</v>
      </c>
    </row>
    <row r="1520" spans="1:13">
      <c r="A1520">
        <v>1519</v>
      </c>
      <c r="B1520">
        <v>1742</v>
      </c>
      <c r="C1520">
        <v>9</v>
      </c>
      <c r="D1520">
        <v>2</v>
      </c>
      <c r="E1520">
        <v>30</v>
      </c>
      <c r="F1520">
        <f t="shared" si="69"/>
        <v>60</v>
      </c>
      <c r="G1520" t="str">
        <f>VLOOKUP(B1520,Orders!$A$2:$D$1201,4,FALSE)</f>
        <v>Delivered</v>
      </c>
      <c r="H1520">
        <f t="shared" si="70"/>
        <v>60</v>
      </c>
      <c r="I1520" s="12">
        <f>VLOOKUP(B1520,Orders!$A$2:$D$1201,3,FALSE)</f>
        <v>46027</v>
      </c>
      <c r="L1520" t="str">
        <f>VLOOKUP(C1520,Products!$A$2:$D$13,2,FALSE)</f>
        <v>Lamp</v>
      </c>
      <c r="M1520" t="str">
        <f t="shared" si="71"/>
        <v>2026-01</v>
      </c>
    </row>
    <row r="1521" spans="1:13">
      <c r="A1521">
        <v>1520</v>
      </c>
      <c r="B1521">
        <v>1743</v>
      </c>
      <c r="C1521">
        <v>1</v>
      </c>
      <c r="D1521">
        <v>2</v>
      </c>
      <c r="E1521">
        <v>750</v>
      </c>
      <c r="F1521">
        <f t="shared" si="69"/>
        <v>1500</v>
      </c>
      <c r="G1521" t="str">
        <f>VLOOKUP(B1521,Orders!$A$2:$D$1201,4,FALSE)</f>
        <v>Delivered</v>
      </c>
      <c r="H1521">
        <f t="shared" si="70"/>
        <v>1500</v>
      </c>
      <c r="I1521" s="12">
        <f>VLOOKUP(B1521,Orders!$A$2:$D$1201,3,FALSE)</f>
        <v>46135</v>
      </c>
      <c r="L1521" t="str">
        <f>VLOOKUP(C1521,Products!$A$2:$D$13,2,FALSE)</f>
        <v>Laptop</v>
      </c>
      <c r="M1521" t="str">
        <f t="shared" si="71"/>
        <v>2026-04</v>
      </c>
    </row>
    <row r="1522" spans="1:13">
      <c r="A1522">
        <v>1521</v>
      </c>
      <c r="B1522">
        <v>1743</v>
      </c>
      <c r="C1522">
        <v>11</v>
      </c>
      <c r="D1522">
        <v>4</v>
      </c>
      <c r="E1522">
        <v>48</v>
      </c>
      <c r="F1522">
        <f t="shared" si="69"/>
        <v>192</v>
      </c>
      <c r="G1522" t="str">
        <f>VLOOKUP(B1522,Orders!$A$2:$D$1201,4,FALSE)</f>
        <v>Delivered</v>
      </c>
      <c r="H1522">
        <f t="shared" si="70"/>
        <v>192</v>
      </c>
      <c r="I1522" s="12">
        <f>VLOOKUP(B1522,Orders!$A$2:$D$1201,3,FALSE)</f>
        <v>46135</v>
      </c>
      <c r="L1522" t="str">
        <f>VLOOKUP(C1522,Products!$A$2:$D$13,2,FALSE)</f>
        <v>Backpack</v>
      </c>
      <c r="M1522" t="str">
        <f t="shared" si="71"/>
        <v>2026-04</v>
      </c>
    </row>
    <row r="1523" spans="1:13">
      <c r="A1523">
        <v>1522</v>
      </c>
      <c r="B1523">
        <v>1743</v>
      </c>
      <c r="C1523">
        <v>9</v>
      </c>
      <c r="D1523">
        <v>1</v>
      </c>
      <c r="E1523">
        <v>30</v>
      </c>
      <c r="F1523">
        <f t="shared" si="69"/>
        <v>30</v>
      </c>
      <c r="G1523" t="str">
        <f>VLOOKUP(B1523,Orders!$A$2:$D$1201,4,FALSE)</f>
        <v>Delivered</v>
      </c>
      <c r="H1523">
        <f t="shared" si="70"/>
        <v>30</v>
      </c>
      <c r="I1523" s="12">
        <f>VLOOKUP(B1523,Orders!$A$2:$D$1201,3,FALSE)</f>
        <v>46135</v>
      </c>
      <c r="L1523" t="str">
        <f>VLOOKUP(C1523,Products!$A$2:$D$13,2,FALSE)</f>
        <v>Lamp</v>
      </c>
      <c r="M1523" t="str">
        <f t="shared" si="71"/>
        <v>2026-04</v>
      </c>
    </row>
    <row r="1524" spans="1:13">
      <c r="A1524">
        <v>1523</v>
      </c>
      <c r="B1524">
        <v>1744</v>
      </c>
      <c r="C1524">
        <v>5</v>
      </c>
      <c r="D1524">
        <v>1</v>
      </c>
      <c r="E1524">
        <v>180</v>
      </c>
      <c r="F1524">
        <f t="shared" si="69"/>
        <v>180</v>
      </c>
      <c r="G1524" t="str">
        <f>VLOOKUP(B1524,Orders!$A$2:$D$1201,4,FALSE)</f>
        <v>Cancelled</v>
      </c>
      <c r="H1524">
        <f t="shared" si="70"/>
        <v>0</v>
      </c>
      <c r="I1524" s="12">
        <f>VLOOKUP(B1524,Orders!$A$2:$D$1201,3,FALSE)</f>
        <v>46191</v>
      </c>
      <c r="L1524" t="str">
        <f>VLOOKUP(C1524,Products!$A$2:$D$13,2,FALSE)</f>
        <v>Desk</v>
      </c>
      <c r="M1524" t="str">
        <f t="shared" si="71"/>
        <v>2026-06</v>
      </c>
    </row>
    <row r="1525" spans="1:13">
      <c r="A1525">
        <v>1524</v>
      </c>
      <c r="B1525">
        <v>1744</v>
      </c>
      <c r="C1525">
        <v>8</v>
      </c>
      <c r="D1525">
        <v>1</v>
      </c>
      <c r="E1525">
        <v>55</v>
      </c>
      <c r="F1525">
        <f t="shared" si="69"/>
        <v>55</v>
      </c>
      <c r="G1525" t="str">
        <f>VLOOKUP(B1525,Orders!$A$2:$D$1201,4,FALSE)</f>
        <v>Cancelled</v>
      </c>
      <c r="H1525">
        <f t="shared" si="70"/>
        <v>0</v>
      </c>
      <c r="I1525" s="12">
        <f>VLOOKUP(B1525,Orders!$A$2:$D$1201,3,FALSE)</f>
        <v>46191</v>
      </c>
      <c r="L1525" t="str">
        <f>VLOOKUP(C1525,Products!$A$2:$D$13,2,FALSE)</f>
        <v>Webcam</v>
      </c>
      <c r="M1525" t="str">
        <f t="shared" si="71"/>
        <v>2026-06</v>
      </c>
    </row>
    <row r="1526" spans="1:13">
      <c r="A1526">
        <v>1525</v>
      </c>
      <c r="B1526">
        <v>1744</v>
      </c>
      <c r="C1526">
        <v>1</v>
      </c>
      <c r="D1526">
        <v>4</v>
      </c>
      <c r="E1526">
        <v>750</v>
      </c>
      <c r="F1526">
        <f t="shared" si="69"/>
        <v>3000</v>
      </c>
      <c r="G1526" t="str">
        <f>VLOOKUP(B1526,Orders!$A$2:$D$1201,4,FALSE)</f>
        <v>Cancelled</v>
      </c>
      <c r="H1526">
        <f t="shared" si="70"/>
        <v>0</v>
      </c>
      <c r="I1526" s="12">
        <f>VLOOKUP(B1526,Orders!$A$2:$D$1201,3,FALSE)</f>
        <v>46191</v>
      </c>
      <c r="L1526" t="str">
        <f>VLOOKUP(C1526,Products!$A$2:$D$13,2,FALSE)</f>
        <v>Laptop</v>
      </c>
      <c r="M1526" t="str">
        <f t="shared" si="71"/>
        <v>2026-06</v>
      </c>
    </row>
    <row r="1527" spans="1:13">
      <c r="A1527">
        <v>1526</v>
      </c>
      <c r="B1527">
        <v>1745</v>
      </c>
      <c r="C1527">
        <v>4</v>
      </c>
      <c r="D1527">
        <v>1</v>
      </c>
      <c r="E1527">
        <v>25</v>
      </c>
      <c r="F1527">
        <f t="shared" si="69"/>
        <v>25</v>
      </c>
      <c r="G1527" t="str">
        <f>VLOOKUP(B1527,Orders!$A$2:$D$1201,4,FALSE)</f>
        <v>Shipped</v>
      </c>
      <c r="H1527">
        <f t="shared" si="70"/>
        <v>25</v>
      </c>
      <c r="I1527" s="12">
        <f>VLOOKUP(B1527,Orders!$A$2:$D$1201,3,FALSE)</f>
        <v>46074</v>
      </c>
      <c r="L1527" t="str">
        <f>VLOOKUP(C1527,Products!$A$2:$D$13,2,FALSE)</f>
        <v>Mouse</v>
      </c>
      <c r="M1527" t="str">
        <f t="shared" si="71"/>
        <v>2026-02</v>
      </c>
    </row>
    <row r="1528" spans="1:13">
      <c r="A1528">
        <v>1527</v>
      </c>
      <c r="B1528">
        <v>1746</v>
      </c>
      <c r="C1528">
        <v>11</v>
      </c>
      <c r="D1528">
        <v>1</v>
      </c>
      <c r="E1528">
        <v>48</v>
      </c>
      <c r="F1528">
        <f t="shared" si="69"/>
        <v>48</v>
      </c>
      <c r="G1528" t="str">
        <f>VLOOKUP(B1528,Orders!$A$2:$D$1201,4,FALSE)</f>
        <v>Delivered</v>
      </c>
      <c r="H1528">
        <f t="shared" si="70"/>
        <v>48</v>
      </c>
      <c r="I1528" s="12">
        <f>VLOOKUP(B1528,Orders!$A$2:$D$1201,3,FALSE)</f>
        <v>46026</v>
      </c>
      <c r="L1528" t="str">
        <f>VLOOKUP(C1528,Products!$A$2:$D$13,2,FALSE)</f>
        <v>Backpack</v>
      </c>
      <c r="M1528" t="str">
        <f t="shared" si="71"/>
        <v>2026-01</v>
      </c>
    </row>
    <row r="1529" spans="1:13">
      <c r="A1529">
        <v>1528</v>
      </c>
      <c r="B1529">
        <v>1746</v>
      </c>
      <c r="C1529">
        <v>2</v>
      </c>
      <c r="D1529">
        <v>2</v>
      </c>
      <c r="E1529">
        <v>220</v>
      </c>
      <c r="F1529">
        <f t="shared" si="69"/>
        <v>440</v>
      </c>
      <c r="G1529" t="str">
        <f>VLOOKUP(B1529,Orders!$A$2:$D$1201,4,FALSE)</f>
        <v>Delivered</v>
      </c>
      <c r="H1529">
        <f t="shared" si="70"/>
        <v>440</v>
      </c>
      <c r="I1529" s="12">
        <f>VLOOKUP(B1529,Orders!$A$2:$D$1201,3,FALSE)</f>
        <v>46026</v>
      </c>
      <c r="L1529" t="str">
        <f>VLOOKUP(C1529,Products!$A$2:$D$13,2,FALSE)</f>
        <v>Monitor</v>
      </c>
      <c r="M1529" t="str">
        <f t="shared" si="71"/>
        <v>2026-01</v>
      </c>
    </row>
    <row r="1530" spans="1:13">
      <c r="A1530">
        <v>1529</v>
      </c>
      <c r="B1530">
        <v>1746</v>
      </c>
      <c r="C1530">
        <v>4</v>
      </c>
      <c r="D1530">
        <v>2</v>
      </c>
      <c r="E1530">
        <v>25</v>
      </c>
      <c r="F1530">
        <f t="shared" si="69"/>
        <v>50</v>
      </c>
      <c r="G1530" t="str">
        <f>VLOOKUP(B1530,Orders!$A$2:$D$1201,4,FALSE)</f>
        <v>Delivered</v>
      </c>
      <c r="H1530">
        <f t="shared" si="70"/>
        <v>50</v>
      </c>
      <c r="I1530" s="12">
        <f>VLOOKUP(B1530,Orders!$A$2:$D$1201,3,FALSE)</f>
        <v>46026</v>
      </c>
      <c r="L1530" t="str">
        <f>VLOOKUP(C1530,Products!$A$2:$D$13,2,FALSE)</f>
        <v>Mouse</v>
      </c>
      <c r="M1530" t="str">
        <f t="shared" si="71"/>
        <v>2026-01</v>
      </c>
    </row>
    <row r="1531" spans="1:13">
      <c r="A1531">
        <v>1530</v>
      </c>
      <c r="B1531">
        <v>1747</v>
      </c>
      <c r="C1531">
        <v>7</v>
      </c>
      <c r="D1531">
        <v>2</v>
      </c>
      <c r="E1531">
        <v>65</v>
      </c>
      <c r="F1531">
        <f t="shared" si="69"/>
        <v>130</v>
      </c>
      <c r="G1531" t="str">
        <f>VLOOKUP(B1531,Orders!$A$2:$D$1201,4,FALSE)</f>
        <v>Delivered</v>
      </c>
      <c r="H1531">
        <f t="shared" si="70"/>
        <v>130</v>
      </c>
      <c r="I1531" s="12">
        <f>VLOOKUP(B1531,Orders!$A$2:$D$1201,3,FALSE)</f>
        <v>46166</v>
      </c>
      <c r="L1531" t="str">
        <f>VLOOKUP(C1531,Products!$A$2:$D$13,2,FALSE)</f>
        <v>Headphones</v>
      </c>
      <c r="M1531" t="str">
        <f t="shared" si="71"/>
        <v>2026-05</v>
      </c>
    </row>
    <row r="1532" spans="1:13">
      <c r="A1532">
        <v>1531</v>
      </c>
      <c r="B1532">
        <v>1747</v>
      </c>
      <c r="C1532">
        <v>12</v>
      </c>
      <c r="D1532">
        <v>2</v>
      </c>
      <c r="E1532">
        <v>22</v>
      </c>
      <c r="F1532">
        <f t="shared" si="69"/>
        <v>44</v>
      </c>
      <c r="G1532" t="str">
        <f>VLOOKUP(B1532,Orders!$A$2:$D$1201,4,FALSE)</f>
        <v>Delivered</v>
      </c>
      <c r="H1532">
        <f t="shared" si="70"/>
        <v>44</v>
      </c>
      <c r="I1532" s="12">
        <f>VLOOKUP(B1532,Orders!$A$2:$D$1201,3,FALSE)</f>
        <v>46166</v>
      </c>
      <c r="L1532" t="str">
        <f>VLOOKUP(C1532,Products!$A$2:$D$13,2,FALSE)</f>
        <v>Storage Box</v>
      </c>
      <c r="M1532" t="str">
        <f t="shared" si="71"/>
        <v>2026-05</v>
      </c>
    </row>
    <row r="1533" spans="1:13">
      <c r="A1533">
        <v>1532</v>
      </c>
      <c r="B1533">
        <v>1747</v>
      </c>
      <c r="C1533">
        <v>2</v>
      </c>
      <c r="D1533">
        <v>1</v>
      </c>
      <c r="E1533">
        <v>220</v>
      </c>
      <c r="F1533">
        <f t="shared" si="69"/>
        <v>220</v>
      </c>
      <c r="G1533" t="str">
        <f>VLOOKUP(B1533,Orders!$A$2:$D$1201,4,FALSE)</f>
        <v>Delivered</v>
      </c>
      <c r="H1533">
        <f t="shared" si="70"/>
        <v>220</v>
      </c>
      <c r="I1533" s="12">
        <f>VLOOKUP(B1533,Orders!$A$2:$D$1201,3,FALSE)</f>
        <v>46166</v>
      </c>
      <c r="L1533" t="str">
        <f>VLOOKUP(C1533,Products!$A$2:$D$13,2,FALSE)</f>
        <v>Monitor</v>
      </c>
      <c r="M1533" t="str">
        <f t="shared" si="71"/>
        <v>2026-05</v>
      </c>
    </row>
    <row r="1534" spans="1:13">
      <c r="A1534">
        <v>1533</v>
      </c>
      <c r="B1534">
        <v>1748</v>
      </c>
      <c r="C1534">
        <v>2</v>
      </c>
      <c r="D1534">
        <v>3</v>
      </c>
      <c r="E1534">
        <v>220</v>
      </c>
      <c r="F1534">
        <f t="shared" si="69"/>
        <v>660</v>
      </c>
      <c r="G1534" t="str">
        <f>VLOOKUP(B1534,Orders!$A$2:$D$1201,4,FALSE)</f>
        <v>Delivered</v>
      </c>
      <c r="H1534">
        <f t="shared" si="70"/>
        <v>660</v>
      </c>
      <c r="I1534" s="12">
        <f>VLOOKUP(B1534,Orders!$A$2:$D$1201,3,FALSE)</f>
        <v>46026</v>
      </c>
      <c r="L1534" t="str">
        <f>VLOOKUP(C1534,Products!$A$2:$D$13,2,FALSE)</f>
        <v>Monitor</v>
      </c>
      <c r="M1534" t="str">
        <f t="shared" si="71"/>
        <v>2026-01</v>
      </c>
    </row>
    <row r="1535" spans="1:13">
      <c r="A1535">
        <v>1534</v>
      </c>
      <c r="B1535">
        <v>1749</v>
      </c>
      <c r="C1535">
        <v>12</v>
      </c>
      <c r="D1535">
        <v>2</v>
      </c>
      <c r="E1535">
        <v>22</v>
      </c>
      <c r="F1535">
        <f t="shared" si="69"/>
        <v>44</v>
      </c>
      <c r="G1535" t="str">
        <f>VLOOKUP(B1535,Orders!$A$2:$D$1201,4,FALSE)</f>
        <v>Delivered</v>
      </c>
      <c r="H1535">
        <f t="shared" si="70"/>
        <v>44</v>
      </c>
      <c r="I1535" s="12">
        <f>VLOOKUP(B1535,Orders!$A$2:$D$1201,3,FALSE)</f>
        <v>46128</v>
      </c>
      <c r="L1535" t="str">
        <f>VLOOKUP(C1535,Products!$A$2:$D$13,2,FALSE)</f>
        <v>Storage Box</v>
      </c>
      <c r="M1535" t="str">
        <f t="shared" si="71"/>
        <v>2026-04</v>
      </c>
    </row>
    <row r="1536" spans="1:13">
      <c r="A1536">
        <v>1535</v>
      </c>
      <c r="B1536">
        <v>1750</v>
      </c>
      <c r="C1536">
        <v>3</v>
      </c>
      <c r="D1536">
        <v>3</v>
      </c>
      <c r="E1536">
        <v>45</v>
      </c>
      <c r="F1536">
        <f t="shared" si="69"/>
        <v>135</v>
      </c>
      <c r="G1536" t="str">
        <f>VLOOKUP(B1536,Orders!$A$2:$D$1201,4,FALSE)</f>
        <v>Delivered</v>
      </c>
      <c r="H1536">
        <f t="shared" si="70"/>
        <v>135</v>
      </c>
      <c r="I1536" s="12">
        <f>VLOOKUP(B1536,Orders!$A$2:$D$1201,3,FALSE)</f>
        <v>46201</v>
      </c>
      <c r="L1536" t="str">
        <f>VLOOKUP(C1536,Products!$A$2:$D$13,2,FALSE)</f>
        <v>Keyboard</v>
      </c>
      <c r="M1536" t="str">
        <f t="shared" si="71"/>
        <v>2026-06</v>
      </c>
    </row>
    <row r="1537" spans="1:13">
      <c r="A1537">
        <v>1536</v>
      </c>
      <c r="B1537">
        <v>1750</v>
      </c>
      <c r="C1537">
        <v>11</v>
      </c>
      <c r="D1537">
        <v>4</v>
      </c>
      <c r="E1537">
        <v>48</v>
      </c>
      <c r="F1537">
        <f t="shared" si="69"/>
        <v>192</v>
      </c>
      <c r="G1537" t="str">
        <f>VLOOKUP(B1537,Orders!$A$2:$D$1201,4,FALSE)</f>
        <v>Delivered</v>
      </c>
      <c r="H1537">
        <f t="shared" si="70"/>
        <v>192</v>
      </c>
      <c r="I1537" s="12">
        <f>VLOOKUP(B1537,Orders!$A$2:$D$1201,3,FALSE)</f>
        <v>46201</v>
      </c>
      <c r="L1537" t="str">
        <f>VLOOKUP(C1537,Products!$A$2:$D$13,2,FALSE)</f>
        <v>Backpack</v>
      </c>
      <c r="M1537" t="str">
        <f t="shared" si="71"/>
        <v>2026-06</v>
      </c>
    </row>
    <row r="1538" spans="1:13">
      <c r="A1538">
        <v>1537</v>
      </c>
      <c r="B1538">
        <v>1751</v>
      </c>
      <c r="C1538">
        <v>10</v>
      </c>
      <c r="D1538">
        <v>1</v>
      </c>
      <c r="E1538">
        <v>8</v>
      </c>
      <c r="F1538">
        <f t="shared" si="69"/>
        <v>8</v>
      </c>
      <c r="G1538" t="str">
        <f>VLOOKUP(B1538,Orders!$A$2:$D$1201,4,FALSE)</f>
        <v>Delivered</v>
      </c>
      <c r="H1538">
        <f t="shared" si="70"/>
        <v>8</v>
      </c>
      <c r="I1538" s="12">
        <f>VLOOKUP(B1538,Orders!$A$2:$D$1201,3,FALSE)</f>
        <v>46120</v>
      </c>
      <c r="L1538" t="str">
        <f>VLOOKUP(C1538,Products!$A$2:$D$13,2,FALSE)</f>
        <v>Notebook</v>
      </c>
      <c r="M1538" t="str">
        <f t="shared" si="71"/>
        <v>2026-04</v>
      </c>
    </row>
    <row r="1539" spans="1:13">
      <c r="A1539">
        <v>1538</v>
      </c>
      <c r="B1539">
        <v>1751</v>
      </c>
      <c r="C1539">
        <v>1</v>
      </c>
      <c r="D1539">
        <v>1</v>
      </c>
      <c r="E1539">
        <v>750</v>
      </c>
      <c r="F1539">
        <f t="shared" ref="F1539:F1602" si="72">D1539*E1539</f>
        <v>750</v>
      </c>
      <c r="G1539" t="str">
        <f>VLOOKUP(B1539,Orders!$A$2:$D$1201,4,FALSE)</f>
        <v>Delivered</v>
      </c>
      <c r="H1539">
        <f t="shared" ref="H1539:H1602" si="73">IF(G1539="Cancelled",0,F1539)</f>
        <v>750</v>
      </c>
      <c r="I1539" s="12">
        <f>VLOOKUP(B1539,Orders!$A$2:$D$1201,3,FALSE)</f>
        <v>46120</v>
      </c>
      <c r="L1539" t="str">
        <f>VLOOKUP(C1539,Products!$A$2:$D$13,2,FALSE)</f>
        <v>Laptop</v>
      </c>
      <c r="M1539" t="str">
        <f t="shared" ref="M1539:M1602" si="74">TEXT(I1539,"yyyy-mm")</f>
        <v>2026-04</v>
      </c>
    </row>
    <row r="1540" spans="1:13">
      <c r="A1540">
        <v>1539</v>
      </c>
      <c r="B1540">
        <v>1751</v>
      </c>
      <c r="C1540">
        <v>4</v>
      </c>
      <c r="D1540">
        <v>3</v>
      </c>
      <c r="E1540">
        <v>25</v>
      </c>
      <c r="F1540">
        <f t="shared" si="72"/>
        <v>75</v>
      </c>
      <c r="G1540" t="str">
        <f>VLOOKUP(B1540,Orders!$A$2:$D$1201,4,FALSE)</f>
        <v>Delivered</v>
      </c>
      <c r="H1540">
        <f t="shared" si="73"/>
        <v>75</v>
      </c>
      <c r="I1540" s="12">
        <f>VLOOKUP(B1540,Orders!$A$2:$D$1201,3,FALSE)</f>
        <v>46120</v>
      </c>
      <c r="L1540" t="str">
        <f>VLOOKUP(C1540,Products!$A$2:$D$13,2,FALSE)</f>
        <v>Mouse</v>
      </c>
      <c r="M1540" t="str">
        <f t="shared" si="74"/>
        <v>2026-04</v>
      </c>
    </row>
    <row r="1541" spans="1:13">
      <c r="A1541">
        <v>1540</v>
      </c>
      <c r="B1541">
        <v>1752</v>
      </c>
      <c r="C1541">
        <v>4</v>
      </c>
      <c r="D1541">
        <v>4</v>
      </c>
      <c r="E1541">
        <v>25</v>
      </c>
      <c r="F1541">
        <f t="shared" si="72"/>
        <v>100</v>
      </c>
      <c r="G1541" t="str">
        <f>VLOOKUP(B1541,Orders!$A$2:$D$1201,4,FALSE)</f>
        <v>Delivered</v>
      </c>
      <c r="H1541">
        <f t="shared" si="73"/>
        <v>100</v>
      </c>
      <c r="I1541" s="12">
        <f>VLOOKUP(B1541,Orders!$A$2:$D$1201,3,FALSE)</f>
        <v>46038</v>
      </c>
      <c r="L1541" t="str">
        <f>VLOOKUP(C1541,Products!$A$2:$D$13,2,FALSE)</f>
        <v>Mouse</v>
      </c>
      <c r="M1541" t="str">
        <f t="shared" si="74"/>
        <v>2026-01</v>
      </c>
    </row>
    <row r="1542" spans="1:13">
      <c r="A1542">
        <v>1541</v>
      </c>
      <c r="B1542">
        <v>1752</v>
      </c>
      <c r="C1542">
        <v>3</v>
      </c>
      <c r="D1542">
        <v>2</v>
      </c>
      <c r="E1542">
        <v>45</v>
      </c>
      <c r="F1542">
        <f t="shared" si="72"/>
        <v>90</v>
      </c>
      <c r="G1542" t="str">
        <f>VLOOKUP(B1542,Orders!$A$2:$D$1201,4,FALSE)</f>
        <v>Delivered</v>
      </c>
      <c r="H1542">
        <f t="shared" si="73"/>
        <v>90</v>
      </c>
      <c r="I1542" s="12">
        <f>VLOOKUP(B1542,Orders!$A$2:$D$1201,3,FALSE)</f>
        <v>46038</v>
      </c>
      <c r="L1542" t="str">
        <f>VLOOKUP(C1542,Products!$A$2:$D$13,2,FALSE)</f>
        <v>Keyboard</v>
      </c>
      <c r="M1542" t="str">
        <f t="shared" si="74"/>
        <v>2026-01</v>
      </c>
    </row>
    <row r="1543" spans="1:13">
      <c r="A1543">
        <v>1542</v>
      </c>
      <c r="B1543">
        <v>1753</v>
      </c>
      <c r="C1543">
        <v>1</v>
      </c>
      <c r="D1543">
        <v>3</v>
      </c>
      <c r="E1543">
        <v>750</v>
      </c>
      <c r="F1543">
        <f t="shared" si="72"/>
        <v>2250</v>
      </c>
      <c r="G1543" t="str">
        <f>VLOOKUP(B1543,Orders!$A$2:$D$1201,4,FALSE)</f>
        <v>Delivered</v>
      </c>
      <c r="H1543">
        <f t="shared" si="73"/>
        <v>2250</v>
      </c>
      <c r="I1543" s="12">
        <f>VLOOKUP(B1543,Orders!$A$2:$D$1201,3,FALSE)</f>
        <v>46107</v>
      </c>
      <c r="L1543" t="str">
        <f>VLOOKUP(C1543,Products!$A$2:$D$13,2,FALSE)</f>
        <v>Laptop</v>
      </c>
      <c r="M1543" t="str">
        <f t="shared" si="74"/>
        <v>2026-03</v>
      </c>
    </row>
    <row r="1544" spans="1:13">
      <c r="A1544">
        <v>1543</v>
      </c>
      <c r="B1544">
        <v>1753</v>
      </c>
      <c r="C1544">
        <v>9</v>
      </c>
      <c r="D1544">
        <v>1</v>
      </c>
      <c r="E1544">
        <v>30</v>
      </c>
      <c r="F1544">
        <f t="shared" si="72"/>
        <v>30</v>
      </c>
      <c r="G1544" t="str">
        <f>VLOOKUP(B1544,Orders!$A$2:$D$1201,4,FALSE)</f>
        <v>Delivered</v>
      </c>
      <c r="H1544">
        <f t="shared" si="73"/>
        <v>30</v>
      </c>
      <c r="I1544" s="12">
        <f>VLOOKUP(B1544,Orders!$A$2:$D$1201,3,FALSE)</f>
        <v>46107</v>
      </c>
      <c r="L1544" t="str">
        <f>VLOOKUP(C1544,Products!$A$2:$D$13,2,FALSE)</f>
        <v>Lamp</v>
      </c>
      <c r="M1544" t="str">
        <f t="shared" si="74"/>
        <v>2026-03</v>
      </c>
    </row>
    <row r="1545" spans="1:13">
      <c r="A1545">
        <v>1544</v>
      </c>
      <c r="B1545">
        <v>1753</v>
      </c>
      <c r="C1545">
        <v>7</v>
      </c>
      <c r="D1545">
        <v>2</v>
      </c>
      <c r="E1545">
        <v>65</v>
      </c>
      <c r="F1545">
        <f t="shared" si="72"/>
        <v>130</v>
      </c>
      <c r="G1545" t="str">
        <f>VLOOKUP(B1545,Orders!$A$2:$D$1201,4,FALSE)</f>
        <v>Delivered</v>
      </c>
      <c r="H1545">
        <f t="shared" si="73"/>
        <v>130</v>
      </c>
      <c r="I1545" s="12">
        <f>VLOOKUP(B1545,Orders!$A$2:$D$1201,3,FALSE)</f>
        <v>46107</v>
      </c>
      <c r="L1545" t="str">
        <f>VLOOKUP(C1545,Products!$A$2:$D$13,2,FALSE)</f>
        <v>Headphones</v>
      </c>
      <c r="M1545" t="str">
        <f t="shared" si="74"/>
        <v>2026-03</v>
      </c>
    </row>
    <row r="1546" spans="1:13">
      <c r="A1546">
        <v>1545</v>
      </c>
      <c r="B1546">
        <v>1754</v>
      </c>
      <c r="C1546">
        <v>12</v>
      </c>
      <c r="D1546">
        <v>4</v>
      </c>
      <c r="E1546">
        <v>22</v>
      </c>
      <c r="F1546">
        <f t="shared" si="72"/>
        <v>88</v>
      </c>
      <c r="G1546" t="str">
        <f>VLOOKUP(B1546,Orders!$A$2:$D$1201,4,FALSE)</f>
        <v>Cancelled</v>
      </c>
      <c r="H1546">
        <f t="shared" si="73"/>
        <v>0</v>
      </c>
      <c r="I1546" s="12">
        <f>VLOOKUP(B1546,Orders!$A$2:$D$1201,3,FALSE)</f>
        <v>46036</v>
      </c>
      <c r="L1546" t="str">
        <f>VLOOKUP(C1546,Products!$A$2:$D$13,2,FALSE)</f>
        <v>Storage Box</v>
      </c>
      <c r="M1546" t="str">
        <f t="shared" si="74"/>
        <v>2026-01</v>
      </c>
    </row>
    <row r="1547" spans="1:13">
      <c r="A1547">
        <v>1546</v>
      </c>
      <c r="B1547">
        <v>1754</v>
      </c>
      <c r="C1547">
        <v>4</v>
      </c>
      <c r="D1547">
        <v>3</v>
      </c>
      <c r="E1547">
        <v>25</v>
      </c>
      <c r="F1547">
        <f t="shared" si="72"/>
        <v>75</v>
      </c>
      <c r="G1547" t="str">
        <f>VLOOKUP(B1547,Orders!$A$2:$D$1201,4,FALSE)</f>
        <v>Cancelled</v>
      </c>
      <c r="H1547">
        <f t="shared" si="73"/>
        <v>0</v>
      </c>
      <c r="I1547" s="12">
        <f>VLOOKUP(B1547,Orders!$A$2:$D$1201,3,FALSE)</f>
        <v>46036</v>
      </c>
      <c r="L1547" t="str">
        <f>VLOOKUP(C1547,Products!$A$2:$D$13,2,FALSE)</f>
        <v>Mouse</v>
      </c>
      <c r="M1547" t="str">
        <f t="shared" si="74"/>
        <v>2026-01</v>
      </c>
    </row>
    <row r="1548" spans="1:13">
      <c r="A1548">
        <v>1547</v>
      </c>
      <c r="B1548">
        <v>1754</v>
      </c>
      <c r="C1548">
        <v>10</v>
      </c>
      <c r="D1548">
        <v>2</v>
      </c>
      <c r="E1548">
        <v>8</v>
      </c>
      <c r="F1548">
        <f t="shared" si="72"/>
        <v>16</v>
      </c>
      <c r="G1548" t="str">
        <f>VLOOKUP(B1548,Orders!$A$2:$D$1201,4,FALSE)</f>
        <v>Cancelled</v>
      </c>
      <c r="H1548">
        <f t="shared" si="73"/>
        <v>0</v>
      </c>
      <c r="I1548" s="12">
        <f>VLOOKUP(B1548,Orders!$A$2:$D$1201,3,FALSE)</f>
        <v>46036</v>
      </c>
      <c r="L1548" t="str">
        <f>VLOOKUP(C1548,Products!$A$2:$D$13,2,FALSE)</f>
        <v>Notebook</v>
      </c>
      <c r="M1548" t="str">
        <f t="shared" si="74"/>
        <v>2026-01</v>
      </c>
    </row>
    <row r="1549" spans="1:13">
      <c r="A1549">
        <v>1548</v>
      </c>
      <c r="B1549">
        <v>1755</v>
      </c>
      <c r="C1549">
        <v>2</v>
      </c>
      <c r="D1549">
        <v>1</v>
      </c>
      <c r="E1549">
        <v>220</v>
      </c>
      <c r="F1549">
        <f t="shared" si="72"/>
        <v>220</v>
      </c>
      <c r="G1549" t="str">
        <f>VLOOKUP(B1549,Orders!$A$2:$D$1201,4,FALSE)</f>
        <v>Delivered</v>
      </c>
      <c r="H1549">
        <f t="shared" si="73"/>
        <v>220</v>
      </c>
      <c r="I1549" s="12">
        <f>VLOOKUP(B1549,Orders!$A$2:$D$1201,3,FALSE)</f>
        <v>46136</v>
      </c>
      <c r="L1549" t="str">
        <f>VLOOKUP(C1549,Products!$A$2:$D$13,2,FALSE)</f>
        <v>Monitor</v>
      </c>
      <c r="M1549" t="str">
        <f t="shared" si="74"/>
        <v>2026-04</v>
      </c>
    </row>
    <row r="1550" spans="1:13">
      <c r="A1550">
        <v>1549</v>
      </c>
      <c r="B1550">
        <v>1755</v>
      </c>
      <c r="C1550">
        <v>4</v>
      </c>
      <c r="D1550">
        <v>2</v>
      </c>
      <c r="E1550">
        <v>25</v>
      </c>
      <c r="F1550">
        <f t="shared" si="72"/>
        <v>50</v>
      </c>
      <c r="G1550" t="str">
        <f>VLOOKUP(B1550,Orders!$A$2:$D$1201,4,FALSE)</f>
        <v>Delivered</v>
      </c>
      <c r="H1550">
        <f t="shared" si="73"/>
        <v>50</v>
      </c>
      <c r="I1550" s="12">
        <f>VLOOKUP(B1550,Orders!$A$2:$D$1201,3,FALSE)</f>
        <v>46136</v>
      </c>
      <c r="L1550" t="str">
        <f>VLOOKUP(C1550,Products!$A$2:$D$13,2,FALSE)</f>
        <v>Mouse</v>
      </c>
      <c r="M1550" t="str">
        <f t="shared" si="74"/>
        <v>2026-04</v>
      </c>
    </row>
    <row r="1551" spans="1:13">
      <c r="A1551">
        <v>1550</v>
      </c>
      <c r="B1551">
        <v>1756</v>
      </c>
      <c r="C1551">
        <v>12</v>
      </c>
      <c r="D1551">
        <v>3</v>
      </c>
      <c r="E1551">
        <v>22</v>
      </c>
      <c r="F1551">
        <f t="shared" si="72"/>
        <v>66</v>
      </c>
      <c r="G1551" t="str">
        <f>VLOOKUP(B1551,Orders!$A$2:$D$1201,4,FALSE)</f>
        <v>Delivered</v>
      </c>
      <c r="H1551">
        <f t="shared" si="73"/>
        <v>66</v>
      </c>
      <c r="I1551" s="12">
        <f>VLOOKUP(B1551,Orders!$A$2:$D$1201,3,FALSE)</f>
        <v>46075</v>
      </c>
      <c r="L1551" t="str">
        <f>VLOOKUP(C1551,Products!$A$2:$D$13,2,FALSE)</f>
        <v>Storage Box</v>
      </c>
      <c r="M1551" t="str">
        <f t="shared" si="74"/>
        <v>2026-02</v>
      </c>
    </row>
    <row r="1552" spans="1:13">
      <c r="A1552">
        <v>1551</v>
      </c>
      <c r="B1552">
        <v>1756</v>
      </c>
      <c r="C1552">
        <v>8</v>
      </c>
      <c r="D1552">
        <v>2</v>
      </c>
      <c r="E1552">
        <v>55</v>
      </c>
      <c r="F1552">
        <f t="shared" si="72"/>
        <v>110</v>
      </c>
      <c r="G1552" t="str">
        <f>VLOOKUP(B1552,Orders!$A$2:$D$1201,4,FALSE)</f>
        <v>Delivered</v>
      </c>
      <c r="H1552">
        <f t="shared" si="73"/>
        <v>110</v>
      </c>
      <c r="I1552" s="12">
        <f>VLOOKUP(B1552,Orders!$A$2:$D$1201,3,FALSE)</f>
        <v>46075</v>
      </c>
      <c r="L1552" t="str">
        <f>VLOOKUP(C1552,Products!$A$2:$D$13,2,FALSE)</f>
        <v>Webcam</v>
      </c>
      <c r="M1552" t="str">
        <f t="shared" si="74"/>
        <v>2026-02</v>
      </c>
    </row>
    <row r="1553" spans="1:13">
      <c r="A1553">
        <v>1552</v>
      </c>
      <c r="B1553">
        <v>1757</v>
      </c>
      <c r="C1553">
        <v>4</v>
      </c>
      <c r="D1553">
        <v>1</v>
      </c>
      <c r="E1553">
        <v>25</v>
      </c>
      <c r="F1553">
        <f t="shared" si="72"/>
        <v>25</v>
      </c>
      <c r="G1553" t="str">
        <f>VLOOKUP(B1553,Orders!$A$2:$D$1201,4,FALSE)</f>
        <v>Delivered</v>
      </c>
      <c r="H1553">
        <f t="shared" si="73"/>
        <v>25</v>
      </c>
      <c r="I1553" s="12">
        <f>VLOOKUP(B1553,Orders!$A$2:$D$1201,3,FALSE)</f>
        <v>46100</v>
      </c>
      <c r="L1553" t="str">
        <f>VLOOKUP(C1553,Products!$A$2:$D$13,2,FALSE)</f>
        <v>Mouse</v>
      </c>
      <c r="M1553" t="str">
        <f t="shared" si="74"/>
        <v>2026-03</v>
      </c>
    </row>
    <row r="1554" spans="1:13">
      <c r="A1554">
        <v>1553</v>
      </c>
      <c r="B1554">
        <v>1757</v>
      </c>
      <c r="C1554">
        <v>5</v>
      </c>
      <c r="D1554">
        <v>3</v>
      </c>
      <c r="E1554">
        <v>180</v>
      </c>
      <c r="F1554">
        <f t="shared" si="72"/>
        <v>540</v>
      </c>
      <c r="G1554" t="str">
        <f>VLOOKUP(B1554,Orders!$A$2:$D$1201,4,FALSE)</f>
        <v>Delivered</v>
      </c>
      <c r="H1554">
        <f t="shared" si="73"/>
        <v>540</v>
      </c>
      <c r="I1554" s="12">
        <f>VLOOKUP(B1554,Orders!$A$2:$D$1201,3,FALSE)</f>
        <v>46100</v>
      </c>
      <c r="L1554" t="str">
        <f>VLOOKUP(C1554,Products!$A$2:$D$13,2,FALSE)</f>
        <v>Desk</v>
      </c>
      <c r="M1554" t="str">
        <f t="shared" si="74"/>
        <v>2026-03</v>
      </c>
    </row>
    <row r="1555" spans="1:13">
      <c r="A1555">
        <v>1554</v>
      </c>
      <c r="B1555">
        <v>1757</v>
      </c>
      <c r="C1555">
        <v>8</v>
      </c>
      <c r="D1555">
        <v>4</v>
      </c>
      <c r="E1555">
        <v>55</v>
      </c>
      <c r="F1555">
        <f t="shared" si="72"/>
        <v>220</v>
      </c>
      <c r="G1555" t="str">
        <f>VLOOKUP(B1555,Orders!$A$2:$D$1201,4,FALSE)</f>
        <v>Delivered</v>
      </c>
      <c r="H1555">
        <f t="shared" si="73"/>
        <v>220</v>
      </c>
      <c r="I1555" s="12">
        <f>VLOOKUP(B1555,Orders!$A$2:$D$1201,3,FALSE)</f>
        <v>46100</v>
      </c>
      <c r="L1555" t="str">
        <f>VLOOKUP(C1555,Products!$A$2:$D$13,2,FALSE)</f>
        <v>Webcam</v>
      </c>
      <c r="M1555" t="str">
        <f t="shared" si="74"/>
        <v>2026-03</v>
      </c>
    </row>
    <row r="1556" spans="1:13">
      <c r="A1556">
        <v>1555</v>
      </c>
      <c r="B1556">
        <v>1758</v>
      </c>
      <c r="C1556">
        <v>7</v>
      </c>
      <c r="D1556">
        <v>4</v>
      </c>
      <c r="E1556">
        <v>65</v>
      </c>
      <c r="F1556">
        <f t="shared" si="72"/>
        <v>260</v>
      </c>
      <c r="G1556" t="str">
        <f>VLOOKUP(B1556,Orders!$A$2:$D$1201,4,FALSE)</f>
        <v>Delivered</v>
      </c>
      <c r="H1556">
        <f t="shared" si="73"/>
        <v>260</v>
      </c>
      <c r="I1556" s="12">
        <f>VLOOKUP(B1556,Orders!$A$2:$D$1201,3,FALSE)</f>
        <v>46133</v>
      </c>
      <c r="L1556" t="str">
        <f>VLOOKUP(C1556,Products!$A$2:$D$13,2,FALSE)</f>
        <v>Headphones</v>
      </c>
      <c r="M1556" t="str">
        <f t="shared" si="74"/>
        <v>2026-04</v>
      </c>
    </row>
    <row r="1557" spans="1:13">
      <c r="A1557">
        <v>1556</v>
      </c>
      <c r="B1557">
        <v>1759</v>
      </c>
      <c r="C1557">
        <v>7</v>
      </c>
      <c r="D1557">
        <v>3</v>
      </c>
      <c r="E1557">
        <v>65</v>
      </c>
      <c r="F1557">
        <f t="shared" si="72"/>
        <v>195</v>
      </c>
      <c r="G1557" t="str">
        <f>VLOOKUP(B1557,Orders!$A$2:$D$1201,4,FALSE)</f>
        <v>Delivered</v>
      </c>
      <c r="H1557">
        <f t="shared" si="73"/>
        <v>195</v>
      </c>
      <c r="I1557" s="12">
        <f>VLOOKUP(B1557,Orders!$A$2:$D$1201,3,FALSE)</f>
        <v>46160</v>
      </c>
      <c r="L1557" t="str">
        <f>VLOOKUP(C1557,Products!$A$2:$D$13,2,FALSE)</f>
        <v>Headphones</v>
      </c>
      <c r="M1557" t="str">
        <f t="shared" si="74"/>
        <v>2026-05</v>
      </c>
    </row>
    <row r="1558" spans="1:13">
      <c r="A1558">
        <v>1557</v>
      </c>
      <c r="B1558">
        <v>1759</v>
      </c>
      <c r="C1558">
        <v>8</v>
      </c>
      <c r="D1558">
        <v>4</v>
      </c>
      <c r="E1558">
        <v>55</v>
      </c>
      <c r="F1558">
        <f t="shared" si="72"/>
        <v>220</v>
      </c>
      <c r="G1558" t="str">
        <f>VLOOKUP(B1558,Orders!$A$2:$D$1201,4,FALSE)</f>
        <v>Delivered</v>
      </c>
      <c r="H1558">
        <f t="shared" si="73"/>
        <v>220</v>
      </c>
      <c r="I1558" s="12">
        <f>VLOOKUP(B1558,Orders!$A$2:$D$1201,3,FALSE)</f>
        <v>46160</v>
      </c>
      <c r="L1558" t="str">
        <f>VLOOKUP(C1558,Products!$A$2:$D$13,2,FALSE)</f>
        <v>Webcam</v>
      </c>
      <c r="M1558" t="str">
        <f t="shared" si="74"/>
        <v>2026-05</v>
      </c>
    </row>
    <row r="1559" spans="1:13">
      <c r="A1559">
        <v>1558</v>
      </c>
      <c r="B1559">
        <v>1760</v>
      </c>
      <c r="C1559">
        <v>4</v>
      </c>
      <c r="D1559">
        <v>1</v>
      </c>
      <c r="E1559">
        <v>25</v>
      </c>
      <c r="F1559">
        <f t="shared" si="72"/>
        <v>25</v>
      </c>
      <c r="G1559" t="str">
        <f>VLOOKUP(B1559,Orders!$A$2:$D$1201,4,FALSE)</f>
        <v>Delivered</v>
      </c>
      <c r="H1559">
        <f t="shared" si="73"/>
        <v>25</v>
      </c>
      <c r="I1559" s="12">
        <f>VLOOKUP(B1559,Orders!$A$2:$D$1201,3,FALSE)</f>
        <v>46057</v>
      </c>
      <c r="L1559" t="str">
        <f>VLOOKUP(C1559,Products!$A$2:$D$13,2,FALSE)</f>
        <v>Mouse</v>
      </c>
      <c r="M1559" t="str">
        <f t="shared" si="74"/>
        <v>2026-02</v>
      </c>
    </row>
    <row r="1560" spans="1:13">
      <c r="A1560">
        <v>1559</v>
      </c>
      <c r="B1560">
        <v>1761</v>
      </c>
      <c r="C1560">
        <v>6</v>
      </c>
      <c r="D1560">
        <v>3</v>
      </c>
      <c r="E1560">
        <v>140</v>
      </c>
      <c r="F1560">
        <f t="shared" si="72"/>
        <v>420</v>
      </c>
      <c r="G1560" t="str">
        <f>VLOOKUP(B1560,Orders!$A$2:$D$1201,4,FALSE)</f>
        <v>Shipped</v>
      </c>
      <c r="H1560">
        <f t="shared" si="73"/>
        <v>420</v>
      </c>
      <c r="I1560" s="12">
        <f>VLOOKUP(B1560,Orders!$A$2:$D$1201,3,FALSE)</f>
        <v>46126</v>
      </c>
      <c r="L1560" t="str">
        <f>VLOOKUP(C1560,Products!$A$2:$D$13,2,FALSE)</f>
        <v>Chair</v>
      </c>
      <c r="M1560" t="str">
        <f t="shared" si="74"/>
        <v>2026-04</v>
      </c>
    </row>
    <row r="1561" spans="1:13">
      <c r="A1561">
        <v>1560</v>
      </c>
      <c r="B1561">
        <v>1761</v>
      </c>
      <c r="C1561">
        <v>7</v>
      </c>
      <c r="D1561">
        <v>1</v>
      </c>
      <c r="E1561">
        <v>65</v>
      </c>
      <c r="F1561">
        <f t="shared" si="72"/>
        <v>65</v>
      </c>
      <c r="G1561" t="str">
        <f>VLOOKUP(B1561,Orders!$A$2:$D$1201,4,FALSE)</f>
        <v>Shipped</v>
      </c>
      <c r="H1561">
        <f t="shared" si="73"/>
        <v>65</v>
      </c>
      <c r="I1561" s="12">
        <f>VLOOKUP(B1561,Orders!$A$2:$D$1201,3,FALSE)</f>
        <v>46126</v>
      </c>
      <c r="L1561" t="str">
        <f>VLOOKUP(C1561,Products!$A$2:$D$13,2,FALSE)</f>
        <v>Headphones</v>
      </c>
      <c r="M1561" t="str">
        <f t="shared" si="74"/>
        <v>2026-04</v>
      </c>
    </row>
    <row r="1562" spans="1:13">
      <c r="A1562">
        <v>1561</v>
      </c>
      <c r="B1562">
        <v>1761</v>
      </c>
      <c r="C1562">
        <v>8</v>
      </c>
      <c r="D1562">
        <v>4</v>
      </c>
      <c r="E1562">
        <v>55</v>
      </c>
      <c r="F1562">
        <f t="shared" si="72"/>
        <v>220</v>
      </c>
      <c r="G1562" t="str">
        <f>VLOOKUP(B1562,Orders!$A$2:$D$1201,4,FALSE)</f>
        <v>Shipped</v>
      </c>
      <c r="H1562">
        <f t="shared" si="73"/>
        <v>220</v>
      </c>
      <c r="I1562" s="12">
        <f>VLOOKUP(B1562,Orders!$A$2:$D$1201,3,FALSE)</f>
        <v>46126</v>
      </c>
      <c r="L1562" t="str">
        <f>VLOOKUP(C1562,Products!$A$2:$D$13,2,FALSE)</f>
        <v>Webcam</v>
      </c>
      <c r="M1562" t="str">
        <f t="shared" si="74"/>
        <v>2026-04</v>
      </c>
    </row>
    <row r="1563" spans="1:13">
      <c r="A1563">
        <v>1562</v>
      </c>
      <c r="B1563">
        <v>1762</v>
      </c>
      <c r="C1563">
        <v>7</v>
      </c>
      <c r="D1563">
        <v>3</v>
      </c>
      <c r="E1563">
        <v>65</v>
      </c>
      <c r="F1563">
        <f t="shared" si="72"/>
        <v>195</v>
      </c>
      <c r="G1563" t="str">
        <f>VLOOKUP(B1563,Orders!$A$2:$D$1201,4,FALSE)</f>
        <v>Shipped</v>
      </c>
      <c r="H1563">
        <f t="shared" si="73"/>
        <v>195</v>
      </c>
      <c r="I1563" s="12">
        <f>VLOOKUP(B1563,Orders!$A$2:$D$1201,3,FALSE)</f>
        <v>46121</v>
      </c>
      <c r="L1563" t="str">
        <f>VLOOKUP(C1563,Products!$A$2:$D$13,2,FALSE)</f>
        <v>Headphones</v>
      </c>
      <c r="M1563" t="str">
        <f t="shared" si="74"/>
        <v>2026-04</v>
      </c>
    </row>
    <row r="1564" spans="1:13">
      <c r="A1564">
        <v>1563</v>
      </c>
      <c r="B1564">
        <v>1763</v>
      </c>
      <c r="C1564">
        <v>12</v>
      </c>
      <c r="D1564">
        <v>4</v>
      </c>
      <c r="E1564">
        <v>22</v>
      </c>
      <c r="F1564">
        <f t="shared" si="72"/>
        <v>88</v>
      </c>
      <c r="G1564" t="str">
        <f>VLOOKUP(B1564,Orders!$A$2:$D$1201,4,FALSE)</f>
        <v>Delivered</v>
      </c>
      <c r="H1564">
        <f t="shared" si="73"/>
        <v>88</v>
      </c>
      <c r="I1564" s="12">
        <f>VLOOKUP(B1564,Orders!$A$2:$D$1201,3,FALSE)</f>
        <v>46112</v>
      </c>
      <c r="L1564" t="str">
        <f>VLOOKUP(C1564,Products!$A$2:$D$13,2,FALSE)</f>
        <v>Storage Box</v>
      </c>
      <c r="M1564" t="str">
        <f t="shared" si="74"/>
        <v>2026-03</v>
      </c>
    </row>
    <row r="1565" spans="1:13">
      <c r="A1565">
        <v>1564</v>
      </c>
      <c r="B1565">
        <v>1763</v>
      </c>
      <c r="C1565">
        <v>6</v>
      </c>
      <c r="D1565">
        <v>4</v>
      </c>
      <c r="E1565">
        <v>140</v>
      </c>
      <c r="F1565">
        <f t="shared" si="72"/>
        <v>560</v>
      </c>
      <c r="G1565" t="str">
        <f>VLOOKUP(B1565,Orders!$A$2:$D$1201,4,FALSE)</f>
        <v>Delivered</v>
      </c>
      <c r="H1565">
        <f t="shared" si="73"/>
        <v>560</v>
      </c>
      <c r="I1565" s="12">
        <f>VLOOKUP(B1565,Orders!$A$2:$D$1201,3,FALSE)</f>
        <v>46112</v>
      </c>
      <c r="L1565" t="str">
        <f>VLOOKUP(C1565,Products!$A$2:$D$13,2,FALSE)</f>
        <v>Chair</v>
      </c>
      <c r="M1565" t="str">
        <f t="shared" si="74"/>
        <v>2026-03</v>
      </c>
    </row>
    <row r="1566" spans="1:13">
      <c r="A1566">
        <v>1565</v>
      </c>
      <c r="B1566">
        <v>1763</v>
      </c>
      <c r="C1566">
        <v>1</v>
      </c>
      <c r="D1566">
        <v>2</v>
      </c>
      <c r="E1566">
        <v>750</v>
      </c>
      <c r="F1566">
        <f t="shared" si="72"/>
        <v>1500</v>
      </c>
      <c r="G1566" t="str">
        <f>VLOOKUP(B1566,Orders!$A$2:$D$1201,4,FALSE)</f>
        <v>Delivered</v>
      </c>
      <c r="H1566">
        <f t="shared" si="73"/>
        <v>1500</v>
      </c>
      <c r="I1566" s="12">
        <f>VLOOKUP(B1566,Orders!$A$2:$D$1201,3,FALSE)</f>
        <v>46112</v>
      </c>
      <c r="L1566" t="str">
        <f>VLOOKUP(C1566,Products!$A$2:$D$13,2,FALSE)</f>
        <v>Laptop</v>
      </c>
      <c r="M1566" t="str">
        <f t="shared" si="74"/>
        <v>2026-03</v>
      </c>
    </row>
    <row r="1567" spans="1:13">
      <c r="A1567">
        <v>1566</v>
      </c>
      <c r="B1567">
        <v>1764</v>
      </c>
      <c r="C1567">
        <v>10</v>
      </c>
      <c r="D1567">
        <v>2</v>
      </c>
      <c r="E1567">
        <v>8</v>
      </c>
      <c r="F1567">
        <f t="shared" si="72"/>
        <v>16</v>
      </c>
      <c r="G1567" t="str">
        <f>VLOOKUP(B1567,Orders!$A$2:$D$1201,4,FALSE)</f>
        <v>Delivered</v>
      </c>
      <c r="H1567">
        <f t="shared" si="73"/>
        <v>16</v>
      </c>
      <c r="I1567" s="12">
        <f>VLOOKUP(B1567,Orders!$A$2:$D$1201,3,FALSE)</f>
        <v>46203</v>
      </c>
      <c r="L1567" t="str">
        <f>VLOOKUP(C1567,Products!$A$2:$D$13,2,FALSE)</f>
        <v>Notebook</v>
      </c>
      <c r="M1567" t="str">
        <f t="shared" si="74"/>
        <v>2026-06</v>
      </c>
    </row>
    <row r="1568" spans="1:13">
      <c r="A1568">
        <v>1567</v>
      </c>
      <c r="B1568">
        <v>1764</v>
      </c>
      <c r="C1568">
        <v>8</v>
      </c>
      <c r="D1568">
        <v>3</v>
      </c>
      <c r="E1568">
        <v>55</v>
      </c>
      <c r="F1568">
        <f t="shared" si="72"/>
        <v>165</v>
      </c>
      <c r="G1568" t="str">
        <f>VLOOKUP(B1568,Orders!$A$2:$D$1201,4,FALSE)</f>
        <v>Delivered</v>
      </c>
      <c r="H1568">
        <f t="shared" si="73"/>
        <v>165</v>
      </c>
      <c r="I1568" s="12">
        <f>VLOOKUP(B1568,Orders!$A$2:$D$1201,3,FALSE)</f>
        <v>46203</v>
      </c>
      <c r="L1568" t="str">
        <f>VLOOKUP(C1568,Products!$A$2:$D$13,2,FALSE)</f>
        <v>Webcam</v>
      </c>
      <c r="M1568" t="str">
        <f t="shared" si="74"/>
        <v>2026-06</v>
      </c>
    </row>
    <row r="1569" spans="1:13">
      <c r="A1569">
        <v>1568</v>
      </c>
      <c r="B1569">
        <v>1765</v>
      </c>
      <c r="C1569">
        <v>12</v>
      </c>
      <c r="D1569">
        <v>1</v>
      </c>
      <c r="E1569">
        <v>22</v>
      </c>
      <c r="F1569">
        <f t="shared" si="72"/>
        <v>22</v>
      </c>
      <c r="G1569" t="str">
        <f>VLOOKUP(B1569,Orders!$A$2:$D$1201,4,FALSE)</f>
        <v>Delivered</v>
      </c>
      <c r="H1569">
        <f t="shared" si="73"/>
        <v>22</v>
      </c>
      <c r="I1569" s="12">
        <f>VLOOKUP(B1569,Orders!$A$2:$D$1201,3,FALSE)</f>
        <v>46026</v>
      </c>
      <c r="L1569" t="str">
        <f>VLOOKUP(C1569,Products!$A$2:$D$13,2,FALSE)</f>
        <v>Storage Box</v>
      </c>
      <c r="M1569" t="str">
        <f t="shared" si="74"/>
        <v>2026-01</v>
      </c>
    </row>
    <row r="1570" spans="1:13">
      <c r="A1570">
        <v>1569</v>
      </c>
      <c r="B1570">
        <v>1765</v>
      </c>
      <c r="C1570">
        <v>7</v>
      </c>
      <c r="D1570">
        <v>2</v>
      </c>
      <c r="E1570">
        <v>65</v>
      </c>
      <c r="F1570">
        <f t="shared" si="72"/>
        <v>130</v>
      </c>
      <c r="G1570" t="str">
        <f>VLOOKUP(B1570,Orders!$A$2:$D$1201,4,FALSE)</f>
        <v>Delivered</v>
      </c>
      <c r="H1570">
        <f t="shared" si="73"/>
        <v>130</v>
      </c>
      <c r="I1570" s="12">
        <f>VLOOKUP(B1570,Orders!$A$2:$D$1201,3,FALSE)</f>
        <v>46026</v>
      </c>
      <c r="L1570" t="str">
        <f>VLOOKUP(C1570,Products!$A$2:$D$13,2,FALSE)</f>
        <v>Headphones</v>
      </c>
      <c r="M1570" t="str">
        <f t="shared" si="74"/>
        <v>2026-01</v>
      </c>
    </row>
    <row r="1571" spans="1:13">
      <c r="A1571">
        <v>1570</v>
      </c>
      <c r="B1571">
        <v>1765</v>
      </c>
      <c r="C1571">
        <v>11</v>
      </c>
      <c r="D1571">
        <v>4</v>
      </c>
      <c r="E1571">
        <v>48</v>
      </c>
      <c r="F1571">
        <f t="shared" si="72"/>
        <v>192</v>
      </c>
      <c r="G1571" t="str">
        <f>VLOOKUP(B1571,Orders!$A$2:$D$1201,4,FALSE)</f>
        <v>Delivered</v>
      </c>
      <c r="H1571">
        <f t="shared" si="73"/>
        <v>192</v>
      </c>
      <c r="I1571" s="12">
        <f>VLOOKUP(B1571,Orders!$A$2:$D$1201,3,FALSE)</f>
        <v>46026</v>
      </c>
      <c r="L1571" t="str">
        <f>VLOOKUP(C1571,Products!$A$2:$D$13,2,FALSE)</f>
        <v>Backpack</v>
      </c>
      <c r="M1571" t="str">
        <f t="shared" si="74"/>
        <v>2026-01</v>
      </c>
    </row>
    <row r="1572" spans="1:13">
      <c r="A1572">
        <v>1571</v>
      </c>
      <c r="B1572">
        <v>1766</v>
      </c>
      <c r="C1572">
        <v>5</v>
      </c>
      <c r="D1572">
        <v>1</v>
      </c>
      <c r="E1572">
        <v>180</v>
      </c>
      <c r="F1572">
        <f t="shared" si="72"/>
        <v>180</v>
      </c>
      <c r="G1572" t="str">
        <f>VLOOKUP(B1572,Orders!$A$2:$D$1201,4,FALSE)</f>
        <v>Delivered</v>
      </c>
      <c r="H1572">
        <f t="shared" si="73"/>
        <v>180</v>
      </c>
      <c r="I1572" s="12">
        <f>VLOOKUP(B1572,Orders!$A$2:$D$1201,3,FALSE)</f>
        <v>46159</v>
      </c>
      <c r="L1572" t="str">
        <f>VLOOKUP(C1572,Products!$A$2:$D$13,2,FALSE)</f>
        <v>Desk</v>
      </c>
      <c r="M1572" t="str">
        <f t="shared" si="74"/>
        <v>2026-05</v>
      </c>
    </row>
    <row r="1573" spans="1:13">
      <c r="A1573">
        <v>1572</v>
      </c>
      <c r="B1573">
        <v>1766</v>
      </c>
      <c r="C1573">
        <v>7</v>
      </c>
      <c r="D1573">
        <v>3</v>
      </c>
      <c r="E1573">
        <v>65</v>
      </c>
      <c r="F1573">
        <f t="shared" si="72"/>
        <v>195</v>
      </c>
      <c r="G1573" t="str">
        <f>VLOOKUP(B1573,Orders!$A$2:$D$1201,4,FALSE)</f>
        <v>Delivered</v>
      </c>
      <c r="H1573">
        <f t="shared" si="73"/>
        <v>195</v>
      </c>
      <c r="I1573" s="12">
        <f>VLOOKUP(B1573,Orders!$A$2:$D$1201,3,FALSE)</f>
        <v>46159</v>
      </c>
      <c r="L1573" t="str">
        <f>VLOOKUP(C1573,Products!$A$2:$D$13,2,FALSE)</f>
        <v>Headphones</v>
      </c>
      <c r="M1573" t="str">
        <f t="shared" si="74"/>
        <v>2026-05</v>
      </c>
    </row>
    <row r="1574" spans="1:13">
      <c r="A1574">
        <v>1573</v>
      </c>
      <c r="B1574">
        <v>1766</v>
      </c>
      <c r="C1574">
        <v>2</v>
      </c>
      <c r="D1574">
        <v>2</v>
      </c>
      <c r="E1574">
        <v>220</v>
      </c>
      <c r="F1574">
        <f t="shared" si="72"/>
        <v>440</v>
      </c>
      <c r="G1574" t="str">
        <f>VLOOKUP(B1574,Orders!$A$2:$D$1201,4,FALSE)</f>
        <v>Delivered</v>
      </c>
      <c r="H1574">
        <f t="shared" si="73"/>
        <v>440</v>
      </c>
      <c r="I1574" s="12">
        <f>VLOOKUP(B1574,Orders!$A$2:$D$1201,3,FALSE)</f>
        <v>46159</v>
      </c>
      <c r="L1574" t="str">
        <f>VLOOKUP(C1574,Products!$A$2:$D$13,2,FALSE)</f>
        <v>Monitor</v>
      </c>
      <c r="M1574" t="str">
        <f t="shared" si="74"/>
        <v>2026-05</v>
      </c>
    </row>
    <row r="1575" spans="1:13">
      <c r="A1575">
        <v>1574</v>
      </c>
      <c r="B1575">
        <v>1767</v>
      </c>
      <c r="C1575">
        <v>1</v>
      </c>
      <c r="D1575">
        <v>1</v>
      </c>
      <c r="E1575">
        <v>750</v>
      </c>
      <c r="F1575">
        <f t="shared" si="72"/>
        <v>750</v>
      </c>
      <c r="G1575" t="str">
        <f>VLOOKUP(B1575,Orders!$A$2:$D$1201,4,FALSE)</f>
        <v>Delivered</v>
      </c>
      <c r="H1575">
        <f t="shared" si="73"/>
        <v>750</v>
      </c>
      <c r="I1575" s="12">
        <f>VLOOKUP(B1575,Orders!$A$2:$D$1201,3,FALSE)</f>
        <v>46101</v>
      </c>
      <c r="L1575" t="str">
        <f>VLOOKUP(C1575,Products!$A$2:$D$13,2,FALSE)</f>
        <v>Laptop</v>
      </c>
      <c r="M1575" t="str">
        <f t="shared" si="74"/>
        <v>2026-03</v>
      </c>
    </row>
    <row r="1576" spans="1:13">
      <c r="A1576">
        <v>1575</v>
      </c>
      <c r="B1576">
        <v>1767</v>
      </c>
      <c r="C1576">
        <v>2</v>
      </c>
      <c r="D1576">
        <v>4</v>
      </c>
      <c r="E1576">
        <v>220</v>
      </c>
      <c r="F1576">
        <f t="shared" si="72"/>
        <v>880</v>
      </c>
      <c r="G1576" t="str">
        <f>VLOOKUP(B1576,Orders!$A$2:$D$1201,4,FALSE)</f>
        <v>Delivered</v>
      </c>
      <c r="H1576">
        <f t="shared" si="73"/>
        <v>880</v>
      </c>
      <c r="I1576" s="12">
        <f>VLOOKUP(B1576,Orders!$A$2:$D$1201,3,FALSE)</f>
        <v>46101</v>
      </c>
      <c r="L1576" t="str">
        <f>VLOOKUP(C1576,Products!$A$2:$D$13,2,FALSE)</f>
        <v>Monitor</v>
      </c>
      <c r="M1576" t="str">
        <f t="shared" si="74"/>
        <v>2026-03</v>
      </c>
    </row>
    <row r="1577" spans="1:13">
      <c r="A1577">
        <v>1576</v>
      </c>
      <c r="B1577">
        <v>1768</v>
      </c>
      <c r="C1577">
        <v>8</v>
      </c>
      <c r="D1577">
        <v>2</v>
      </c>
      <c r="E1577">
        <v>55</v>
      </c>
      <c r="F1577">
        <f t="shared" si="72"/>
        <v>110</v>
      </c>
      <c r="G1577" t="str">
        <f>VLOOKUP(B1577,Orders!$A$2:$D$1201,4,FALSE)</f>
        <v>Delivered</v>
      </c>
      <c r="H1577">
        <f t="shared" si="73"/>
        <v>110</v>
      </c>
      <c r="I1577" s="12">
        <f>VLOOKUP(B1577,Orders!$A$2:$D$1201,3,FALSE)</f>
        <v>46068</v>
      </c>
      <c r="L1577" t="str">
        <f>VLOOKUP(C1577,Products!$A$2:$D$13,2,FALSE)</f>
        <v>Webcam</v>
      </c>
      <c r="M1577" t="str">
        <f t="shared" si="74"/>
        <v>2026-02</v>
      </c>
    </row>
    <row r="1578" spans="1:13">
      <c r="A1578">
        <v>1577</v>
      </c>
      <c r="B1578">
        <v>1769</v>
      </c>
      <c r="C1578">
        <v>5</v>
      </c>
      <c r="D1578">
        <v>4</v>
      </c>
      <c r="E1578">
        <v>180</v>
      </c>
      <c r="F1578">
        <f t="shared" si="72"/>
        <v>720</v>
      </c>
      <c r="G1578" t="str">
        <f>VLOOKUP(B1578,Orders!$A$2:$D$1201,4,FALSE)</f>
        <v>Delivered</v>
      </c>
      <c r="H1578">
        <f t="shared" si="73"/>
        <v>720</v>
      </c>
      <c r="I1578" s="12">
        <f>VLOOKUP(B1578,Orders!$A$2:$D$1201,3,FALSE)</f>
        <v>46070</v>
      </c>
      <c r="L1578" t="str">
        <f>VLOOKUP(C1578,Products!$A$2:$D$13,2,FALSE)</f>
        <v>Desk</v>
      </c>
      <c r="M1578" t="str">
        <f t="shared" si="74"/>
        <v>2026-02</v>
      </c>
    </row>
    <row r="1579" spans="1:13">
      <c r="A1579">
        <v>1578</v>
      </c>
      <c r="B1579">
        <v>1770</v>
      </c>
      <c r="C1579">
        <v>2</v>
      </c>
      <c r="D1579">
        <v>1</v>
      </c>
      <c r="E1579">
        <v>220</v>
      </c>
      <c r="F1579">
        <f t="shared" si="72"/>
        <v>220</v>
      </c>
      <c r="G1579" t="str">
        <f>VLOOKUP(B1579,Orders!$A$2:$D$1201,4,FALSE)</f>
        <v>Delivered</v>
      </c>
      <c r="H1579">
        <f t="shared" si="73"/>
        <v>220</v>
      </c>
      <c r="I1579" s="12">
        <f>VLOOKUP(B1579,Orders!$A$2:$D$1201,3,FALSE)</f>
        <v>46065</v>
      </c>
      <c r="L1579" t="str">
        <f>VLOOKUP(C1579,Products!$A$2:$D$13,2,FALSE)</f>
        <v>Monitor</v>
      </c>
      <c r="M1579" t="str">
        <f t="shared" si="74"/>
        <v>2026-02</v>
      </c>
    </row>
    <row r="1580" spans="1:13">
      <c r="A1580">
        <v>1579</v>
      </c>
      <c r="B1580">
        <v>1770</v>
      </c>
      <c r="C1580">
        <v>5</v>
      </c>
      <c r="D1580">
        <v>3</v>
      </c>
      <c r="E1580">
        <v>180</v>
      </c>
      <c r="F1580">
        <f t="shared" si="72"/>
        <v>540</v>
      </c>
      <c r="G1580" t="str">
        <f>VLOOKUP(B1580,Orders!$A$2:$D$1201,4,FALSE)</f>
        <v>Delivered</v>
      </c>
      <c r="H1580">
        <f t="shared" si="73"/>
        <v>540</v>
      </c>
      <c r="I1580" s="12">
        <f>VLOOKUP(B1580,Orders!$A$2:$D$1201,3,FALSE)</f>
        <v>46065</v>
      </c>
      <c r="L1580" t="str">
        <f>VLOOKUP(C1580,Products!$A$2:$D$13,2,FALSE)</f>
        <v>Desk</v>
      </c>
      <c r="M1580" t="str">
        <f t="shared" si="74"/>
        <v>2026-02</v>
      </c>
    </row>
    <row r="1581" spans="1:13">
      <c r="A1581">
        <v>1580</v>
      </c>
      <c r="B1581">
        <v>1771</v>
      </c>
      <c r="C1581">
        <v>10</v>
      </c>
      <c r="D1581">
        <v>2</v>
      </c>
      <c r="E1581">
        <v>8</v>
      </c>
      <c r="F1581">
        <f t="shared" si="72"/>
        <v>16</v>
      </c>
      <c r="G1581" t="str">
        <f>VLOOKUP(B1581,Orders!$A$2:$D$1201,4,FALSE)</f>
        <v>Delivered</v>
      </c>
      <c r="H1581">
        <f t="shared" si="73"/>
        <v>16</v>
      </c>
      <c r="I1581" s="12">
        <f>VLOOKUP(B1581,Orders!$A$2:$D$1201,3,FALSE)</f>
        <v>46025</v>
      </c>
      <c r="L1581" t="str">
        <f>VLOOKUP(C1581,Products!$A$2:$D$13,2,FALSE)</f>
        <v>Notebook</v>
      </c>
      <c r="M1581" t="str">
        <f t="shared" si="74"/>
        <v>2026-01</v>
      </c>
    </row>
    <row r="1582" spans="1:13">
      <c r="A1582">
        <v>1581</v>
      </c>
      <c r="B1582">
        <v>1771</v>
      </c>
      <c r="C1582">
        <v>1</v>
      </c>
      <c r="D1582">
        <v>1</v>
      </c>
      <c r="E1582">
        <v>750</v>
      </c>
      <c r="F1582">
        <f t="shared" si="72"/>
        <v>750</v>
      </c>
      <c r="G1582" t="str">
        <f>VLOOKUP(B1582,Orders!$A$2:$D$1201,4,FALSE)</f>
        <v>Delivered</v>
      </c>
      <c r="H1582">
        <f t="shared" si="73"/>
        <v>750</v>
      </c>
      <c r="I1582" s="12">
        <f>VLOOKUP(B1582,Orders!$A$2:$D$1201,3,FALSE)</f>
        <v>46025</v>
      </c>
      <c r="L1582" t="str">
        <f>VLOOKUP(C1582,Products!$A$2:$D$13,2,FALSE)</f>
        <v>Laptop</v>
      </c>
      <c r="M1582" t="str">
        <f t="shared" si="74"/>
        <v>2026-01</v>
      </c>
    </row>
    <row r="1583" spans="1:13">
      <c r="A1583">
        <v>1582</v>
      </c>
      <c r="B1583">
        <v>1771</v>
      </c>
      <c r="C1583">
        <v>2</v>
      </c>
      <c r="D1583">
        <v>4</v>
      </c>
      <c r="E1583">
        <v>220</v>
      </c>
      <c r="F1583">
        <f t="shared" si="72"/>
        <v>880</v>
      </c>
      <c r="G1583" t="str">
        <f>VLOOKUP(B1583,Orders!$A$2:$D$1201,4,FALSE)</f>
        <v>Delivered</v>
      </c>
      <c r="H1583">
        <f t="shared" si="73"/>
        <v>880</v>
      </c>
      <c r="I1583" s="12">
        <f>VLOOKUP(B1583,Orders!$A$2:$D$1201,3,FALSE)</f>
        <v>46025</v>
      </c>
      <c r="L1583" t="str">
        <f>VLOOKUP(C1583,Products!$A$2:$D$13,2,FALSE)</f>
        <v>Monitor</v>
      </c>
      <c r="M1583" t="str">
        <f t="shared" si="74"/>
        <v>2026-01</v>
      </c>
    </row>
    <row r="1584" spans="1:13">
      <c r="A1584">
        <v>1583</v>
      </c>
      <c r="B1584">
        <v>1772</v>
      </c>
      <c r="C1584">
        <v>6</v>
      </c>
      <c r="D1584">
        <v>3</v>
      </c>
      <c r="E1584">
        <v>140</v>
      </c>
      <c r="F1584">
        <f t="shared" si="72"/>
        <v>420</v>
      </c>
      <c r="G1584" t="str">
        <f>VLOOKUP(B1584,Orders!$A$2:$D$1201,4,FALSE)</f>
        <v>Delivered</v>
      </c>
      <c r="H1584">
        <f t="shared" si="73"/>
        <v>420</v>
      </c>
      <c r="I1584" s="12">
        <f>VLOOKUP(B1584,Orders!$A$2:$D$1201,3,FALSE)</f>
        <v>46144</v>
      </c>
      <c r="L1584" t="str">
        <f>VLOOKUP(C1584,Products!$A$2:$D$13,2,FALSE)</f>
        <v>Chair</v>
      </c>
      <c r="M1584" t="str">
        <f t="shared" si="74"/>
        <v>2026-05</v>
      </c>
    </row>
    <row r="1585" spans="1:13">
      <c r="A1585">
        <v>1584</v>
      </c>
      <c r="B1585">
        <v>1772</v>
      </c>
      <c r="C1585">
        <v>11</v>
      </c>
      <c r="D1585">
        <v>3</v>
      </c>
      <c r="E1585">
        <v>48</v>
      </c>
      <c r="F1585">
        <f t="shared" si="72"/>
        <v>144</v>
      </c>
      <c r="G1585" t="str">
        <f>VLOOKUP(B1585,Orders!$A$2:$D$1201,4,FALSE)</f>
        <v>Delivered</v>
      </c>
      <c r="H1585">
        <f t="shared" si="73"/>
        <v>144</v>
      </c>
      <c r="I1585" s="12">
        <f>VLOOKUP(B1585,Orders!$A$2:$D$1201,3,FALSE)</f>
        <v>46144</v>
      </c>
      <c r="L1585" t="str">
        <f>VLOOKUP(C1585,Products!$A$2:$D$13,2,FALSE)</f>
        <v>Backpack</v>
      </c>
      <c r="M1585" t="str">
        <f t="shared" si="74"/>
        <v>2026-05</v>
      </c>
    </row>
    <row r="1586" spans="1:13">
      <c r="A1586">
        <v>1585</v>
      </c>
      <c r="B1586">
        <v>1773</v>
      </c>
      <c r="C1586">
        <v>2</v>
      </c>
      <c r="D1586">
        <v>4</v>
      </c>
      <c r="E1586">
        <v>220</v>
      </c>
      <c r="F1586">
        <f t="shared" si="72"/>
        <v>880</v>
      </c>
      <c r="G1586" t="str">
        <f>VLOOKUP(B1586,Orders!$A$2:$D$1201,4,FALSE)</f>
        <v>Delivered</v>
      </c>
      <c r="H1586">
        <f t="shared" si="73"/>
        <v>880</v>
      </c>
      <c r="I1586" s="12">
        <f>VLOOKUP(B1586,Orders!$A$2:$D$1201,3,FALSE)</f>
        <v>46179</v>
      </c>
      <c r="L1586" t="str">
        <f>VLOOKUP(C1586,Products!$A$2:$D$13,2,FALSE)</f>
        <v>Monitor</v>
      </c>
      <c r="M1586" t="str">
        <f t="shared" si="74"/>
        <v>2026-06</v>
      </c>
    </row>
    <row r="1587" spans="1:13">
      <c r="A1587">
        <v>1586</v>
      </c>
      <c r="B1587">
        <v>1773</v>
      </c>
      <c r="C1587">
        <v>1</v>
      </c>
      <c r="D1587">
        <v>4</v>
      </c>
      <c r="E1587">
        <v>750</v>
      </c>
      <c r="F1587">
        <f t="shared" si="72"/>
        <v>3000</v>
      </c>
      <c r="G1587" t="str">
        <f>VLOOKUP(B1587,Orders!$A$2:$D$1201,4,FALSE)</f>
        <v>Delivered</v>
      </c>
      <c r="H1587">
        <f t="shared" si="73"/>
        <v>3000</v>
      </c>
      <c r="I1587" s="12">
        <f>VLOOKUP(B1587,Orders!$A$2:$D$1201,3,FALSE)</f>
        <v>46179</v>
      </c>
      <c r="L1587" t="str">
        <f>VLOOKUP(C1587,Products!$A$2:$D$13,2,FALSE)</f>
        <v>Laptop</v>
      </c>
      <c r="M1587" t="str">
        <f t="shared" si="74"/>
        <v>2026-06</v>
      </c>
    </row>
    <row r="1588" spans="1:13">
      <c r="A1588">
        <v>1587</v>
      </c>
      <c r="B1588">
        <v>1774</v>
      </c>
      <c r="C1588">
        <v>4</v>
      </c>
      <c r="D1588">
        <v>4</v>
      </c>
      <c r="E1588">
        <v>25</v>
      </c>
      <c r="F1588">
        <f t="shared" si="72"/>
        <v>100</v>
      </c>
      <c r="G1588" t="str">
        <f>VLOOKUP(B1588,Orders!$A$2:$D$1201,4,FALSE)</f>
        <v>Cancelled</v>
      </c>
      <c r="H1588">
        <f t="shared" si="73"/>
        <v>0</v>
      </c>
      <c r="I1588" s="12">
        <f>VLOOKUP(B1588,Orders!$A$2:$D$1201,3,FALSE)</f>
        <v>46054</v>
      </c>
      <c r="L1588" t="str">
        <f>VLOOKUP(C1588,Products!$A$2:$D$13,2,FALSE)</f>
        <v>Mouse</v>
      </c>
      <c r="M1588" t="str">
        <f t="shared" si="74"/>
        <v>2026-02</v>
      </c>
    </row>
    <row r="1589" spans="1:13">
      <c r="A1589">
        <v>1588</v>
      </c>
      <c r="B1589">
        <v>1774</v>
      </c>
      <c r="C1589">
        <v>6</v>
      </c>
      <c r="D1589">
        <v>4</v>
      </c>
      <c r="E1589">
        <v>140</v>
      </c>
      <c r="F1589">
        <f t="shared" si="72"/>
        <v>560</v>
      </c>
      <c r="G1589" t="str">
        <f>VLOOKUP(B1589,Orders!$A$2:$D$1201,4,FALSE)</f>
        <v>Cancelled</v>
      </c>
      <c r="H1589">
        <f t="shared" si="73"/>
        <v>0</v>
      </c>
      <c r="I1589" s="12">
        <f>VLOOKUP(B1589,Orders!$A$2:$D$1201,3,FALSE)</f>
        <v>46054</v>
      </c>
      <c r="L1589" t="str">
        <f>VLOOKUP(C1589,Products!$A$2:$D$13,2,FALSE)</f>
        <v>Chair</v>
      </c>
      <c r="M1589" t="str">
        <f t="shared" si="74"/>
        <v>2026-02</v>
      </c>
    </row>
    <row r="1590" spans="1:13">
      <c r="A1590">
        <v>1589</v>
      </c>
      <c r="B1590">
        <v>1774</v>
      </c>
      <c r="C1590">
        <v>8</v>
      </c>
      <c r="D1590">
        <v>2</v>
      </c>
      <c r="E1590">
        <v>55</v>
      </c>
      <c r="F1590">
        <f t="shared" si="72"/>
        <v>110</v>
      </c>
      <c r="G1590" t="str">
        <f>VLOOKUP(B1590,Orders!$A$2:$D$1201,4,FALSE)</f>
        <v>Cancelled</v>
      </c>
      <c r="H1590">
        <f t="shared" si="73"/>
        <v>0</v>
      </c>
      <c r="I1590" s="12">
        <f>VLOOKUP(B1590,Orders!$A$2:$D$1201,3,FALSE)</f>
        <v>46054</v>
      </c>
      <c r="L1590" t="str">
        <f>VLOOKUP(C1590,Products!$A$2:$D$13,2,FALSE)</f>
        <v>Webcam</v>
      </c>
      <c r="M1590" t="str">
        <f t="shared" si="74"/>
        <v>2026-02</v>
      </c>
    </row>
    <row r="1591" spans="1:13">
      <c r="A1591">
        <v>1590</v>
      </c>
      <c r="B1591">
        <v>1775</v>
      </c>
      <c r="C1591">
        <v>11</v>
      </c>
      <c r="D1591">
        <v>3</v>
      </c>
      <c r="E1591">
        <v>48</v>
      </c>
      <c r="F1591">
        <f t="shared" si="72"/>
        <v>144</v>
      </c>
      <c r="G1591" t="str">
        <f>VLOOKUP(B1591,Orders!$A$2:$D$1201,4,FALSE)</f>
        <v>Pending</v>
      </c>
      <c r="H1591">
        <f t="shared" si="73"/>
        <v>144</v>
      </c>
      <c r="I1591" s="12">
        <f>VLOOKUP(B1591,Orders!$A$2:$D$1201,3,FALSE)</f>
        <v>46023</v>
      </c>
      <c r="L1591" t="str">
        <f>VLOOKUP(C1591,Products!$A$2:$D$13,2,FALSE)</f>
        <v>Backpack</v>
      </c>
      <c r="M1591" t="str">
        <f t="shared" si="74"/>
        <v>2026-01</v>
      </c>
    </row>
    <row r="1592" spans="1:13">
      <c r="A1592">
        <v>1591</v>
      </c>
      <c r="B1592">
        <v>1776</v>
      </c>
      <c r="C1592">
        <v>8</v>
      </c>
      <c r="D1592">
        <v>1</v>
      </c>
      <c r="E1592">
        <v>55</v>
      </c>
      <c r="F1592">
        <f t="shared" si="72"/>
        <v>55</v>
      </c>
      <c r="G1592" t="str">
        <f>VLOOKUP(B1592,Orders!$A$2:$D$1201,4,FALSE)</f>
        <v>Delivered</v>
      </c>
      <c r="H1592">
        <f t="shared" si="73"/>
        <v>55</v>
      </c>
      <c r="I1592" s="12">
        <f>VLOOKUP(B1592,Orders!$A$2:$D$1201,3,FALSE)</f>
        <v>46106</v>
      </c>
      <c r="L1592" t="str">
        <f>VLOOKUP(C1592,Products!$A$2:$D$13,2,FALSE)</f>
        <v>Webcam</v>
      </c>
      <c r="M1592" t="str">
        <f t="shared" si="74"/>
        <v>2026-03</v>
      </c>
    </row>
    <row r="1593" spans="1:13">
      <c r="A1593">
        <v>1592</v>
      </c>
      <c r="B1593">
        <v>1776</v>
      </c>
      <c r="C1593">
        <v>7</v>
      </c>
      <c r="D1593">
        <v>3</v>
      </c>
      <c r="E1593">
        <v>65</v>
      </c>
      <c r="F1593">
        <f t="shared" si="72"/>
        <v>195</v>
      </c>
      <c r="G1593" t="str">
        <f>VLOOKUP(B1593,Orders!$A$2:$D$1201,4,FALSE)</f>
        <v>Delivered</v>
      </c>
      <c r="H1593">
        <f t="shared" si="73"/>
        <v>195</v>
      </c>
      <c r="I1593" s="12">
        <f>VLOOKUP(B1593,Orders!$A$2:$D$1201,3,FALSE)</f>
        <v>46106</v>
      </c>
      <c r="L1593" t="str">
        <f>VLOOKUP(C1593,Products!$A$2:$D$13,2,FALSE)</f>
        <v>Headphones</v>
      </c>
      <c r="M1593" t="str">
        <f t="shared" si="74"/>
        <v>2026-03</v>
      </c>
    </row>
    <row r="1594" spans="1:13">
      <c r="A1594">
        <v>1593</v>
      </c>
      <c r="B1594">
        <v>1776</v>
      </c>
      <c r="C1594">
        <v>10</v>
      </c>
      <c r="D1594">
        <v>4</v>
      </c>
      <c r="E1594">
        <v>8</v>
      </c>
      <c r="F1594">
        <f t="shared" si="72"/>
        <v>32</v>
      </c>
      <c r="G1594" t="str">
        <f>VLOOKUP(B1594,Orders!$A$2:$D$1201,4,FALSE)</f>
        <v>Delivered</v>
      </c>
      <c r="H1594">
        <f t="shared" si="73"/>
        <v>32</v>
      </c>
      <c r="I1594" s="12">
        <f>VLOOKUP(B1594,Orders!$A$2:$D$1201,3,FALSE)</f>
        <v>46106</v>
      </c>
      <c r="L1594" t="str">
        <f>VLOOKUP(C1594,Products!$A$2:$D$13,2,FALSE)</f>
        <v>Notebook</v>
      </c>
      <c r="M1594" t="str">
        <f t="shared" si="74"/>
        <v>2026-03</v>
      </c>
    </row>
    <row r="1595" spans="1:13">
      <c r="A1595">
        <v>1594</v>
      </c>
      <c r="B1595">
        <v>1777</v>
      </c>
      <c r="C1595">
        <v>10</v>
      </c>
      <c r="D1595">
        <v>2</v>
      </c>
      <c r="E1595">
        <v>8</v>
      </c>
      <c r="F1595">
        <f t="shared" si="72"/>
        <v>16</v>
      </c>
      <c r="G1595" t="str">
        <f>VLOOKUP(B1595,Orders!$A$2:$D$1201,4,FALSE)</f>
        <v>Cancelled</v>
      </c>
      <c r="H1595">
        <f t="shared" si="73"/>
        <v>0</v>
      </c>
      <c r="I1595" s="12">
        <f>VLOOKUP(B1595,Orders!$A$2:$D$1201,3,FALSE)</f>
        <v>46202</v>
      </c>
      <c r="L1595" t="str">
        <f>VLOOKUP(C1595,Products!$A$2:$D$13,2,FALSE)</f>
        <v>Notebook</v>
      </c>
      <c r="M1595" t="str">
        <f t="shared" si="74"/>
        <v>2026-06</v>
      </c>
    </row>
    <row r="1596" spans="1:13">
      <c r="A1596">
        <v>1595</v>
      </c>
      <c r="B1596">
        <v>1777</v>
      </c>
      <c r="C1596">
        <v>4</v>
      </c>
      <c r="D1596">
        <v>1</v>
      </c>
      <c r="E1596">
        <v>25</v>
      </c>
      <c r="F1596">
        <f t="shared" si="72"/>
        <v>25</v>
      </c>
      <c r="G1596" t="str">
        <f>VLOOKUP(B1596,Orders!$A$2:$D$1201,4,FALSE)</f>
        <v>Cancelled</v>
      </c>
      <c r="H1596">
        <f t="shared" si="73"/>
        <v>0</v>
      </c>
      <c r="I1596" s="12">
        <f>VLOOKUP(B1596,Orders!$A$2:$D$1201,3,FALSE)</f>
        <v>46202</v>
      </c>
      <c r="L1596" t="str">
        <f>VLOOKUP(C1596,Products!$A$2:$D$13,2,FALSE)</f>
        <v>Mouse</v>
      </c>
      <c r="M1596" t="str">
        <f t="shared" si="74"/>
        <v>2026-06</v>
      </c>
    </row>
    <row r="1597" spans="1:13">
      <c r="A1597">
        <v>1596</v>
      </c>
      <c r="B1597">
        <v>1778</v>
      </c>
      <c r="C1597">
        <v>11</v>
      </c>
      <c r="D1597">
        <v>4</v>
      </c>
      <c r="E1597">
        <v>48</v>
      </c>
      <c r="F1597">
        <f t="shared" si="72"/>
        <v>192</v>
      </c>
      <c r="G1597" t="str">
        <f>VLOOKUP(B1597,Orders!$A$2:$D$1201,4,FALSE)</f>
        <v>Delivered</v>
      </c>
      <c r="H1597">
        <f t="shared" si="73"/>
        <v>192</v>
      </c>
      <c r="I1597" s="12">
        <f>VLOOKUP(B1597,Orders!$A$2:$D$1201,3,FALSE)</f>
        <v>46055</v>
      </c>
      <c r="L1597" t="str">
        <f>VLOOKUP(C1597,Products!$A$2:$D$13,2,FALSE)</f>
        <v>Backpack</v>
      </c>
      <c r="M1597" t="str">
        <f t="shared" si="74"/>
        <v>2026-02</v>
      </c>
    </row>
    <row r="1598" spans="1:13">
      <c r="A1598">
        <v>1597</v>
      </c>
      <c r="B1598">
        <v>1778</v>
      </c>
      <c r="C1598">
        <v>9</v>
      </c>
      <c r="D1598">
        <v>2</v>
      </c>
      <c r="E1598">
        <v>30</v>
      </c>
      <c r="F1598">
        <f t="shared" si="72"/>
        <v>60</v>
      </c>
      <c r="G1598" t="str">
        <f>VLOOKUP(B1598,Orders!$A$2:$D$1201,4,FALSE)</f>
        <v>Delivered</v>
      </c>
      <c r="H1598">
        <f t="shared" si="73"/>
        <v>60</v>
      </c>
      <c r="I1598" s="12">
        <f>VLOOKUP(B1598,Orders!$A$2:$D$1201,3,FALSE)</f>
        <v>46055</v>
      </c>
      <c r="L1598" t="str">
        <f>VLOOKUP(C1598,Products!$A$2:$D$13,2,FALSE)</f>
        <v>Lamp</v>
      </c>
      <c r="M1598" t="str">
        <f t="shared" si="74"/>
        <v>2026-02</v>
      </c>
    </row>
    <row r="1599" spans="1:13">
      <c r="A1599">
        <v>1598</v>
      </c>
      <c r="B1599">
        <v>1779</v>
      </c>
      <c r="C1599">
        <v>12</v>
      </c>
      <c r="D1599">
        <v>4</v>
      </c>
      <c r="E1599">
        <v>22</v>
      </c>
      <c r="F1599">
        <f t="shared" si="72"/>
        <v>88</v>
      </c>
      <c r="G1599" t="str">
        <f>VLOOKUP(B1599,Orders!$A$2:$D$1201,4,FALSE)</f>
        <v>Delivered</v>
      </c>
      <c r="H1599">
        <f t="shared" si="73"/>
        <v>88</v>
      </c>
      <c r="I1599" s="12">
        <f>VLOOKUP(B1599,Orders!$A$2:$D$1201,3,FALSE)</f>
        <v>46084</v>
      </c>
      <c r="L1599" t="str">
        <f>VLOOKUP(C1599,Products!$A$2:$D$13,2,FALSE)</f>
        <v>Storage Box</v>
      </c>
      <c r="M1599" t="str">
        <f t="shared" si="74"/>
        <v>2026-03</v>
      </c>
    </row>
    <row r="1600" spans="1:13">
      <c r="A1600">
        <v>1599</v>
      </c>
      <c r="B1600">
        <v>1779</v>
      </c>
      <c r="C1600">
        <v>2</v>
      </c>
      <c r="D1600">
        <v>1</v>
      </c>
      <c r="E1600">
        <v>220</v>
      </c>
      <c r="F1600">
        <f t="shared" si="72"/>
        <v>220</v>
      </c>
      <c r="G1600" t="str">
        <f>VLOOKUP(B1600,Orders!$A$2:$D$1201,4,FALSE)</f>
        <v>Delivered</v>
      </c>
      <c r="H1600">
        <f t="shared" si="73"/>
        <v>220</v>
      </c>
      <c r="I1600" s="12">
        <f>VLOOKUP(B1600,Orders!$A$2:$D$1201,3,FALSE)</f>
        <v>46084</v>
      </c>
      <c r="L1600" t="str">
        <f>VLOOKUP(C1600,Products!$A$2:$D$13,2,FALSE)</f>
        <v>Monitor</v>
      </c>
      <c r="M1600" t="str">
        <f t="shared" si="74"/>
        <v>2026-03</v>
      </c>
    </row>
    <row r="1601" spans="1:13">
      <c r="A1601">
        <v>1600</v>
      </c>
      <c r="B1601">
        <v>1779</v>
      </c>
      <c r="C1601">
        <v>11</v>
      </c>
      <c r="D1601">
        <v>2</v>
      </c>
      <c r="E1601">
        <v>48</v>
      </c>
      <c r="F1601">
        <f t="shared" si="72"/>
        <v>96</v>
      </c>
      <c r="G1601" t="str">
        <f>VLOOKUP(B1601,Orders!$A$2:$D$1201,4,FALSE)</f>
        <v>Delivered</v>
      </c>
      <c r="H1601">
        <f t="shared" si="73"/>
        <v>96</v>
      </c>
      <c r="I1601" s="12">
        <f>VLOOKUP(B1601,Orders!$A$2:$D$1201,3,FALSE)</f>
        <v>46084</v>
      </c>
      <c r="L1601" t="str">
        <f>VLOOKUP(C1601,Products!$A$2:$D$13,2,FALSE)</f>
        <v>Backpack</v>
      </c>
      <c r="M1601" t="str">
        <f t="shared" si="74"/>
        <v>2026-03</v>
      </c>
    </row>
    <row r="1602" spans="1:13">
      <c r="A1602">
        <v>1601</v>
      </c>
      <c r="B1602">
        <v>1780</v>
      </c>
      <c r="C1602">
        <v>2</v>
      </c>
      <c r="D1602">
        <v>4</v>
      </c>
      <c r="E1602">
        <v>220</v>
      </c>
      <c r="F1602">
        <f t="shared" si="72"/>
        <v>880</v>
      </c>
      <c r="G1602" t="str">
        <f>VLOOKUP(B1602,Orders!$A$2:$D$1201,4,FALSE)</f>
        <v>Delivered</v>
      </c>
      <c r="H1602">
        <f t="shared" si="73"/>
        <v>880</v>
      </c>
      <c r="I1602" s="12">
        <f>VLOOKUP(B1602,Orders!$A$2:$D$1201,3,FALSE)</f>
        <v>46079</v>
      </c>
      <c r="L1602" t="str">
        <f>VLOOKUP(C1602,Products!$A$2:$D$13,2,FALSE)</f>
        <v>Monitor</v>
      </c>
      <c r="M1602" t="str">
        <f t="shared" si="74"/>
        <v>2026-02</v>
      </c>
    </row>
    <row r="1603" spans="1:13">
      <c r="A1603">
        <v>1602</v>
      </c>
      <c r="B1603">
        <v>1780</v>
      </c>
      <c r="C1603">
        <v>11</v>
      </c>
      <c r="D1603">
        <v>1</v>
      </c>
      <c r="E1603">
        <v>48</v>
      </c>
      <c r="F1603">
        <f t="shared" ref="F1603:F1666" si="75">D1603*E1603</f>
        <v>48</v>
      </c>
      <c r="G1603" t="str">
        <f>VLOOKUP(B1603,Orders!$A$2:$D$1201,4,FALSE)</f>
        <v>Delivered</v>
      </c>
      <c r="H1603">
        <f t="shared" ref="H1603:H1666" si="76">IF(G1603="Cancelled",0,F1603)</f>
        <v>48</v>
      </c>
      <c r="I1603" s="12">
        <f>VLOOKUP(B1603,Orders!$A$2:$D$1201,3,FALSE)</f>
        <v>46079</v>
      </c>
      <c r="L1603" t="str">
        <f>VLOOKUP(C1603,Products!$A$2:$D$13,2,FALSE)</f>
        <v>Backpack</v>
      </c>
      <c r="M1603" t="str">
        <f t="shared" ref="M1603:M1666" si="77">TEXT(I1603,"yyyy-mm")</f>
        <v>2026-02</v>
      </c>
    </row>
    <row r="1604" spans="1:13">
      <c r="A1604">
        <v>1603</v>
      </c>
      <c r="B1604">
        <v>1780</v>
      </c>
      <c r="C1604">
        <v>3</v>
      </c>
      <c r="D1604">
        <v>3</v>
      </c>
      <c r="E1604">
        <v>45</v>
      </c>
      <c r="F1604">
        <f t="shared" si="75"/>
        <v>135</v>
      </c>
      <c r="G1604" t="str">
        <f>VLOOKUP(B1604,Orders!$A$2:$D$1201,4,FALSE)</f>
        <v>Delivered</v>
      </c>
      <c r="H1604">
        <f t="shared" si="76"/>
        <v>135</v>
      </c>
      <c r="I1604" s="12">
        <f>VLOOKUP(B1604,Orders!$A$2:$D$1201,3,FALSE)</f>
        <v>46079</v>
      </c>
      <c r="L1604" t="str">
        <f>VLOOKUP(C1604,Products!$A$2:$D$13,2,FALSE)</f>
        <v>Keyboard</v>
      </c>
      <c r="M1604" t="str">
        <f t="shared" si="77"/>
        <v>2026-02</v>
      </c>
    </row>
    <row r="1605" spans="1:13">
      <c r="A1605">
        <v>1604</v>
      </c>
      <c r="B1605">
        <v>1781</v>
      </c>
      <c r="C1605">
        <v>12</v>
      </c>
      <c r="D1605">
        <v>4</v>
      </c>
      <c r="E1605">
        <v>22</v>
      </c>
      <c r="F1605">
        <f t="shared" si="75"/>
        <v>88</v>
      </c>
      <c r="G1605" t="str">
        <f>VLOOKUP(B1605,Orders!$A$2:$D$1201,4,FALSE)</f>
        <v>Delivered</v>
      </c>
      <c r="H1605">
        <f t="shared" si="76"/>
        <v>88</v>
      </c>
      <c r="I1605" s="12">
        <f>VLOOKUP(B1605,Orders!$A$2:$D$1201,3,FALSE)</f>
        <v>46039</v>
      </c>
      <c r="L1605" t="str">
        <f>VLOOKUP(C1605,Products!$A$2:$D$13,2,FALSE)</f>
        <v>Storage Box</v>
      </c>
      <c r="M1605" t="str">
        <f t="shared" si="77"/>
        <v>2026-01</v>
      </c>
    </row>
    <row r="1606" spans="1:13">
      <c r="A1606">
        <v>1605</v>
      </c>
      <c r="B1606">
        <v>1781</v>
      </c>
      <c r="C1606">
        <v>7</v>
      </c>
      <c r="D1606">
        <v>2</v>
      </c>
      <c r="E1606">
        <v>65</v>
      </c>
      <c r="F1606">
        <f t="shared" si="75"/>
        <v>130</v>
      </c>
      <c r="G1606" t="str">
        <f>VLOOKUP(B1606,Orders!$A$2:$D$1201,4,FALSE)</f>
        <v>Delivered</v>
      </c>
      <c r="H1606">
        <f t="shared" si="76"/>
        <v>130</v>
      </c>
      <c r="I1606" s="12">
        <f>VLOOKUP(B1606,Orders!$A$2:$D$1201,3,FALSE)</f>
        <v>46039</v>
      </c>
      <c r="L1606" t="str">
        <f>VLOOKUP(C1606,Products!$A$2:$D$13,2,FALSE)</f>
        <v>Headphones</v>
      </c>
      <c r="M1606" t="str">
        <f t="shared" si="77"/>
        <v>2026-01</v>
      </c>
    </row>
    <row r="1607" spans="1:13">
      <c r="A1607">
        <v>1606</v>
      </c>
      <c r="B1607">
        <v>1781</v>
      </c>
      <c r="C1607">
        <v>9</v>
      </c>
      <c r="D1607">
        <v>2</v>
      </c>
      <c r="E1607">
        <v>30</v>
      </c>
      <c r="F1607">
        <f t="shared" si="75"/>
        <v>60</v>
      </c>
      <c r="G1607" t="str">
        <f>VLOOKUP(B1607,Orders!$A$2:$D$1201,4,FALSE)</f>
        <v>Delivered</v>
      </c>
      <c r="H1607">
        <f t="shared" si="76"/>
        <v>60</v>
      </c>
      <c r="I1607" s="12">
        <f>VLOOKUP(B1607,Orders!$A$2:$D$1201,3,FALSE)</f>
        <v>46039</v>
      </c>
      <c r="L1607" t="str">
        <f>VLOOKUP(C1607,Products!$A$2:$D$13,2,FALSE)</f>
        <v>Lamp</v>
      </c>
      <c r="M1607" t="str">
        <f t="shared" si="77"/>
        <v>2026-01</v>
      </c>
    </row>
    <row r="1608" spans="1:13">
      <c r="A1608">
        <v>1607</v>
      </c>
      <c r="B1608">
        <v>1782</v>
      </c>
      <c r="C1608">
        <v>6</v>
      </c>
      <c r="D1608">
        <v>4</v>
      </c>
      <c r="E1608">
        <v>140</v>
      </c>
      <c r="F1608">
        <f t="shared" si="75"/>
        <v>560</v>
      </c>
      <c r="G1608" t="str">
        <f>VLOOKUP(B1608,Orders!$A$2:$D$1201,4,FALSE)</f>
        <v>Shipped</v>
      </c>
      <c r="H1608">
        <f t="shared" si="76"/>
        <v>560</v>
      </c>
      <c r="I1608" s="12">
        <f>VLOOKUP(B1608,Orders!$A$2:$D$1201,3,FALSE)</f>
        <v>46174</v>
      </c>
      <c r="L1608" t="str">
        <f>VLOOKUP(C1608,Products!$A$2:$D$13,2,FALSE)</f>
        <v>Chair</v>
      </c>
      <c r="M1608" t="str">
        <f t="shared" si="77"/>
        <v>2026-06</v>
      </c>
    </row>
    <row r="1609" spans="1:13">
      <c r="A1609">
        <v>1608</v>
      </c>
      <c r="B1609">
        <v>1782</v>
      </c>
      <c r="C1609">
        <v>3</v>
      </c>
      <c r="D1609">
        <v>1</v>
      </c>
      <c r="E1609">
        <v>45</v>
      </c>
      <c r="F1609">
        <f t="shared" si="75"/>
        <v>45</v>
      </c>
      <c r="G1609" t="str">
        <f>VLOOKUP(B1609,Orders!$A$2:$D$1201,4,FALSE)</f>
        <v>Shipped</v>
      </c>
      <c r="H1609">
        <f t="shared" si="76"/>
        <v>45</v>
      </c>
      <c r="I1609" s="12">
        <f>VLOOKUP(B1609,Orders!$A$2:$D$1201,3,FALSE)</f>
        <v>46174</v>
      </c>
      <c r="L1609" t="str">
        <f>VLOOKUP(C1609,Products!$A$2:$D$13,2,FALSE)</f>
        <v>Keyboard</v>
      </c>
      <c r="M1609" t="str">
        <f t="shared" si="77"/>
        <v>2026-06</v>
      </c>
    </row>
    <row r="1610" spans="1:13">
      <c r="A1610">
        <v>1609</v>
      </c>
      <c r="B1610">
        <v>1782</v>
      </c>
      <c r="C1610">
        <v>12</v>
      </c>
      <c r="D1610">
        <v>3</v>
      </c>
      <c r="E1610">
        <v>22</v>
      </c>
      <c r="F1610">
        <f t="shared" si="75"/>
        <v>66</v>
      </c>
      <c r="G1610" t="str">
        <f>VLOOKUP(B1610,Orders!$A$2:$D$1201,4,FALSE)</f>
        <v>Shipped</v>
      </c>
      <c r="H1610">
        <f t="shared" si="76"/>
        <v>66</v>
      </c>
      <c r="I1610" s="12">
        <f>VLOOKUP(B1610,Orders!$A$2:$D$1201,3,FALSE)</f>
        <v>46174</v>
      </c>
      <c r="L1610" t="str">
        <f>VLOOKUP(C1610,Products!$A$2:$D$13,2,FALSE)</f>
        <v>Storage Box</v>
      </c>
      <c r="M1610" t="str">
        <f t="shared" si="77"/>
        <v>2026-06</v>
      </c>
    </row>
    <row r="1611" spans="1:13">
      <c r="A1611">
        <v>1610</v>
      </c>
      <c r="B1611">
        <v>1783</v>
      </c>
      <c r="C1611">
        <v>6</v>
      </c>
      <c r="D1611">
        <v>2</v>
      </c>
      <c r="E1611">
        <v>140</v>
      </c>
      <c r="F1611">
        <f t="shared" si="75"/>
        <v>280</v>
      </c>
      <c r="G1611" t="str">
        <f>VLOOKUP(B1611,Orders!$A$2:$D$1201,4,FALSE)</f>
        <v>Delivered</v>
      </c>
      <c r="H1611">
        <f t="shared" si="76"/>
        <v>280</v>
      </c>
      <c r="I1611" s="12">
        <f>VLOOKUP(B1611,Orders!$A$2:$D$1201,3,FALSE)</f>
        <v>46071</v>
      </c>
      <c r="L1611" t="str">
        <f>VLOOKUP(C1611,Products!$A$2:$D$13,2,FALSE)</f>
        <v>Chair</v>
      </c>
      <c r="M1611" t="str">
        <f t="shared" si="77"/>
        <v>2026-02</v>
      </c>
    </row>
    <row r="1612" spans="1:13">
      <c r="A1612">
        <v>1611</v>
      </c>
      <c r="B1612">
        <v>1783</v>
      </c>
      <c r="C1612">
        <v>11</v>
      </c>
      <c r="D1612">
        <v>2</v>
      </c>
      <c r="E1612">
        <v>48</v>
      </c>
      <c r="F1612">
        <f t="shared" si="75"/>
        <v>96</v>
      </c>
      <c r="G1612" t="str">
        <f>VLOOKUP(B1612,Orders!$A$2:$D$1201,4,FALSE)</f>
        <v>Delivered</v>
      </c>
      <c r="H1612">
        <f t="shared" si="76"/>
        <v>96</v>
      </c>
      <c r="I1612" s="12">
        <f>VLOOKUP(B1612,Orders!$A$2:$D$1201,3,FALSE)</f>
        <v>46071</v>
      </c>
      <c r="L1612" t="str">
        <f>VLOOKUP(C1612,Products!$A$2:$D$13,2,FALSE)</f>
        <v>Backpack</v>
      </c>
      <c r="M1612" t="str">
        <f t="shared" si="77"/>
        <v>2026-02</v>
      </c>
    </row>
    <row r="1613" spans="1:13">
      <c r="A1613">
        <v>1612</v>
      </c>
      <c r="B1613">
        <v>1784</v>
      </c>
      <c r="C1613">
        <v>8</v>
      </c>
      <c r="D1613">
        <v>4</v>
      </c>
      <c r="E1613">
        <v>55</v>
      </c>
      <c r="F1613">
        <f t="shared" si="75"/>
        <v>220</v>
      </c>
      <c r="G1613" t="str">
        <f>VLOOKUP(B1613,Orders!$A$2:$D$1201,4,FALSE)</f>
        <v>Delivered</v>
      </c>
      <c r="H1613">
        <f t="shared" si="76"/>
        <v>220</v>
      </c>
      <c r="I1613" s="12">
        <f>VLOOKUP(B1613,Orders!$A$2:$D$1201,3,FALSE)</f>
        <v>46060</v>
      </c>
      <c r="L1613" t="str">
        <f>VLOOKUP(C1613,Products!$A$2:$D$13,2,FALSE)</f>
        <v>Webcam</v>
      </c>
      <c r="M1613" t="str">
        <f t="shared" si="77"/>
        <v>2026-02</v>
      </c>
    </row>
    <row r="1614" spans="1:13">
      <c r="A1614">
        <v>1613</v>
      </c>
      <c r="B1614">
        <v>1785</v>
      </c>
      <c r="C1614">
        <v>12</v>
      </c>
      <c r="D1614">
        <v>4</v>
      </c>
      <c r="E1614">
        <v>22</v>
      </c>
      <c r="F1614">
        <f t="shared" si="75"/>
        <v>88</v>
      </c>
      <c r="G1614" t="str">
        <f>VLOOKUP(B1614,Orders!$A$2:$D$1201,4,FALSE)</f>
        <v>Delivered</v>
      </c>
      <c r="H1614">
        <f t="shared" si="76"/>
        <v>88</v>
      </c>
      <c r="I1614" s="12">
        <f>VLOOKUP(B1614,Orders!$A$2:$D$1201,3,FALSE)</f>
        <v>46031</v>
      </c>
      <c r="L1614" t="str">
        <f>VLOOKUP(C1614,Products!$A$2:$D$13,2,FALSE)</f>
        <v>Storage Box</v>
      </c>
      <c r="M1614" t="str">
        <f t="shared" si="77"/>
        <v>2026-01</v>
      </c>
    </row>
    <row r="1615" spans="1:13">
      <c r="A1615">
        <v>1614</v>
      </c>
      <c r="B1615">
        <v>1785</v>
      </c>
      <c r="C1615">
        <v>2</v>
      </c>
      <c r="D1615">
        <v>2</v>
      </c>
      <c r="E1615">
        <v>220</v>
      </c>
      <c r="F1615">
        <f t="shared" si="75"/>
        <v>440</v>
      </c>
      <c r="G1615" t="str">
        <f>VLOOKUP(B1615,Orders!$A$2:$D$1201,4,FALSE)</f>
        <v>Delivered</v>
      </c>
      <c r="H1615">
        <f t="shared" si="76"/>
        <v>440</v>
      </c>
      <c r="I1615" s="12">
        <f>VLOOKUP(B1615,Orders!$A$2:$D$1201,3,FALSE)</f>
        <v>46031</v>
      </c>
      <c r="L1615" t="str">
        <f>VLOOKUP(C1615,Products!$A$2:$D$13,2,FALSE)</f>
        <v>Monitor</v>
      </c>
      <c r="M1615" t="str">
        <f t="shared" si="77"/>
        <v>2026-01</v>
      </c>
    </row>
    <row r="1616" spans="1:13">
      <c r="A1616">
        <v>1615</v>
      </c>
      <c r="B1616">
        <v>1785</v>
      </c>
      <c r="C1616">
        <v>5</v>
      </c>
      <c r="D1616">
        <v>4</v>
      </c>
      <c r="E1616">
        <v>180</v>
      </c>
      <c r="F1616">
        <f t="shared" si="75"/>
        <v>720</v>
      </c>
      <c r="G1616" t="str">
        <f>VLOOKUP(B1616,Orders!$A$2:$D$1201,4,FALSE)</f>
        <v>Delivered</v>
      </c>
      <c r="H1616">
        <f t="shared" si="76"/>
        <v>720</v>
      </c>
      <c r="I1616" s="12">
        <f>VLOOKUP(B1616,Orders!$A$2:$D$1201,3,FALSE)</f>
        <v>46031</v>
      </c>
      <c r="L1616" t="str">
        <f>VLOOKUP(C1616,Products!$A$2:$D$13,2,FALSE)</f>
        <v>Desk</v>
      </c>
      <c r="M1616" t="str">
        <f t="shared" si="77"/>
        <v>2026-01</v>
      </c>
    </row>
    <row r="1617" spans="1:13">
      <c r="A1617">
        <v>1616</v>
      </c>
      <c r="B1617">
        <v>1786</v>
      </c>
      <c r="C1617">
        <v>4</v>
      </c>
      <c r="D1617">
        <v>4</v>
      </c>
      <c r="E1617">
        <v>25</v>
      </c>
      <c r="F1617">
        <f t="shared" si="75"/>
        <v>100</v>
      </c>
      <c r="G1617" t="str">
        <f>VLOOKUP(B1617,Orders!$A$2:$D$1201,4,FALSE)</f>
        <v>Delivered</v>
      </c>
      <c r="H1617">
        <f t="shared" si="76"/>
        <v>100</v>
      </c>
      <c r="I1617" s="12">
        <f>VLOOKUP(B1617,Orders!$A$2:$D$1201,3,FALSE)</f>
        <v>46062</v>
      </c>
      <c r="L1617" t="str">
        <f>VLOOKUP(C1617,Products!$A$2:$D$13,2,FALSE)</f>
        <v>Mouse</v>
      </c>
      <c r="M1617" t="str">
        <f t="shared" si="77"/>
        <v>2026-02</v>
      </c>
    </row>
    <row r="1618" spans="1:13">
      <c r="A1618">
        <v>1617</v>
      </c>
      <c r="B1618">
        <v>1786</v>
      </c>
      <c r="C1618">
        <v>1</v>
      </c>
      <c r="D1618">
        <v>4</v>
      </c>
      <c r="E1618">
        <v>750</v>
      </c>
      <c r="F1618">
        <f t="shared" si="75"/>
        <v>3000</v>
      </c>
      <c r="G1618" t="str">
        <f>VLOOKUP(B1618,Orders!$A$2:$D$1201,4,FALSE)</f>
        <v>Delivered</v>
      </c>
      <c r="H1618">
        <f t="shared" si="76"/>
        <v>3000</v>
      </c>
      <c r="I1618" s="12">
        <f>VLOOKUP(B1618,Orders!$A$2:$D$1201,3,FALSE)</f>
        <v>46062</v>
      </c>
      <c r="L1618" t="str">
        <f>VLOOKUP(C1618,Products!$A$2:$D$13,2,FALSE)</f>
        <v>Laptop</v>
      </c>
      <c r="M1618" t="str">
        <f t="shared" si="77"/>
        <v>2026-02</v>
      </c>
    </row>
    <row r="1619" spans="1:13">
      <c r="A1619">
        <v>1618</v>
      </c>
      <c r="B1619">
        <v>1786</v>
      </c>
      <c r="C1619">
        <v>3</v>
      </c>
      <c r="D1619">
        <v>3</v>
      </c>
      <c r="E1619">
        <v>45</v>
      </c>
      <c r="F1619">
        <f t="shared" si="75"/>
        <v>135</v>
      </c>
      <c r="G1619" t="str">
        <f>VLOOKUP(B1619,Orders!$A$2:$D$1201,4,FALSE)</f>
        <v>Delivered</v>
      </c>
      <c r="H1619">
        <f t="shared" si="76"/>
        <v>135</v>
      </c>
      <c r="I1619" s="12">
        <f>VLOOKUP(B1619,Orders!$A$2:$D$1201,3,FALSE)</f>
        <v>46062</v>
      </c>
      <c r="L1619" t="str">
        <f>VLOOKUP(C1619,Products!$A$2:$D$13,2,FALSE)</f>
        <v>Keyboard</v>
      </c>
      <c r="M1619" t="str">
        <f t="shared" si="77"/>
        <v>2026-02</v>
      </c>
    </row>
    <row r="1620" spans="1:13">
      <c r="A1620">
        <v>1619</v>
      </c>
      <c r="B1620">
        <v>1787</v>
      </c>
      <c r="C1620">
        <v>8</v>
      </c>
      <c r="D1620">
        <v>4</v>
      </c>
      <c r="E1620">
        <v>55</v>
      </c>
      <c r="F1620">
        <f t="shared" si="75"/>
        <v>220</v>
      </c>
      <c r="G1620" t="str">
        <f>VLOOKUP(B1620,Orders!$A$2:$D$1201,4,FALSE)</f>
        <v>Delivered</v>
      </c>
      <c r="H1620">
        <f t="shared" si="76"/>
        <v>220</v>
      </c>
      <c r="I1620" s="12">
        <f>VLOOKUP(B1620,Orders!$A$2:$D$1201,3,FALSE)</f>
        <v>46163</v>
      </c>
      <c r="L1620" t="str">
        <f>VLOOKUP(C1620,Products!$A$2:$D$13,2,FALSE)</f>
        <v>Webcam</v>
      </c>
      <c r="M1620" t="str">
        <f t="shared" si="77"/>
        <v>2026-05</v>
      </c>
    </row>
    <row r="1621" spans="1:13">
      <c r="A1621">
        <v>1620</v>
      </c>
      <c r="B1621">
        <v>1787</v>
      </c>
      <c r="C1621">
        <v>6</v>
      </c>
      <c r="D1621">
        <v>1</v>
      </c>
      <c r="E1621">
        <v>140</v>
      </c>
      <c r="F1621">
        <f t="shared" si="75"/>
        <v>140</v>
      </c>
      <c r="G1621" t="str">
        <f>VLOOKUP(B1621,Orders!$A$2:$D$1201,4,FALSE)</f>
        <v>Delivered</v>
      </c>
      <c r="H1621">
        <f t="shared" si="76"/>
        <v>140</v>
      </c>
      <c r="I1621" s="12">
        <f>VLOOKUP(B1621,Orders!$A$2:$D$1201,3,FALSE)</f>
        <v>46163</v>
      </c>
      <c r="L1621" t="str">
        <f>VLOOKUP(C1621,Products!$A$2:$D$13,2,FALSE)</f>
        <v>Chair</v>
      </c>
      <c r="M1621" t="str">
        <f t="shared" si="77"/>
        <v>2026-05</v>
      </c>
    </row>
    <row r="1622" spans="1:13">
      <c r="A1622">
        <v>1621</v>
      </c>
      <c r="B1622">
        <v>1787</v>
      </c>
      <c r="C1622">
        <v>7</v>
      </c>
      <c r="D1622">
        <v>3</v>
      </c>
      <c r="E1622">
        <v>65</v>
      </c>
      <c r="F1622">
        <f t="shared" si="75"/>
        <v>195</v>
      </c>
      <c r="G1622" t="str">
        <f>VLOOKUP(B1622,Orders!$A$2:$D$1201,4,FALSE)</f>
        <v>Delivered</v>
      </c>
      <c r="H1622">
        <f t="shared" si="76"/>
        <v>195</v>
      </c>
      <c r="I1622" s="12">
        <f>VLOOKUP(B1622,Orders!$A$2:$D$1201,3,FALSE)</f>
        <v>46163</v>
      </c>
      <c r="L1622" t="str">
        <f>VLOOKUP(C1622,Products!$A$2:$D$13,2,FALSE)</f>
        <v>Headphones</v>
      </c>
      <c r="M1622" t="str">
        <f t="shared" si="77"/>
        <v>2026-05</v>
      </c>
    </row>
    <row r="1623" spans="1:13">
      <c r="A1623">
        <v>1622</v>
      </c>
      <c r="B1623">
        <v>1788</v>
      </c>
      <c r="C1623">
        <v>1</v>
      </c>
      <c r="D1623">
        <v>2</v>
      </c>
      <c r="E1623">
        <v>750</v>
      </c>
      <c r="F1623">
        <f t="shared" si="75"/>
        <v>1500</v>
      </c>
      <c r="G1623" t="str">
        <f>VLOOKUP(B1623,Orders!$A$2:$D$1201,4,FALSE)</f>
        <v>Delivered</v>
      </c>
      <c r="H1623">
        <f t="shared" si="76"/>
        <v>1500</v>
      </c>
      <c r="I1623" s="12">
        <f>VLOOKUP(B1623,Orders!$A$2:$D$1201,3,FALSE)</f>
        <v>46123</v>
      </c>
      <c r="L1623" t="str">
        <f>VLOOKUP(C1623,Products!$A$2:$D$13,2,FALSE)</f>
        <v>Laptop</v>
      </c>
      <c r="M1623" t="str">
        <f t="shared" si="77"/>
        <v>2026-04</v>
      </c>
    </row>
    <row r="1624" spans="1:13">
      <c r="A1624">
        <v>1623</v>
      </c>
      <c r="B1624">
        <v>1788</v>
      </c>
      <c r="C1624">
        <v>5</v>
      </c>
      <c r="D1624">
        <v>2</v>
      </c>
      <c r="E1624">
        <v>180</v>
      </c>
      <c r="F1624">
        <f t="shared" si="75"/>
        <v>360</v>
      </c>
      <c r="G1624" t="str">
        <f>VLOOKUP(B1624,Orders!$A$2:$D$1201,4,FALSE)</f>
        <v>Delivered</v>
      </c>
      <c r="H1624">
        <f t="shared" si="76"/>
        <v>360</v>
      </c>
      <c r="I1624" s="12">
        <f>VLOOKUP(B1624,Orders!$A$2:$D$1201,3,FALSE)</f>
        <v>46123</v>
      </c>
      <c r="L1624" t="str">
        <f>VLOOKUP(C1624,Products!$A$2:$D$13,2,FALSE)</f>
        <v>Desk</v>
      </c>
      <c r="M1624" t="str">
        <f t="shared" si="77"/>
        <v>2026-04</v>
      </c>
    </row>
    <row r="1625" spans="1:13">
      <c r="A1625">
        <v>1624</v>
      </c>
      <c r="B1625">
        <v>1788</v>
      </c>
      <c r="C1625">
        <v>8</v>
      </c>
      <c r="D1625">
        <v>4</v>
      </c>
      <c r="E1625">
        <v>55</v>
      </c>
      <c r="F1625">
        <f t="shared" si="75"/>
        <v>220</v>
      </c>
      <c r="G1625" t="str">
        <f>VLOOKUP(B1625,Orders!$A$2:$D$1201,4,FALSE)</f>
        <v>Delivered</v>
      </c>
      <c r="H1625">
        <f t="shared" si="76"/>
        <v>220</v>
      </c>
      <c r="I1625" s="12">
        <f>VLOOKUP(B1625,Orders!$A$2:$D$1201,3,FALSE)</f>
        <v>46123</v>
      </c>
      <c r="L1625" t="str">
        <f>VLOOKUP(C1625,Products!$A$2:$D$13,2,FALSE)</f>
        <v>Webcam</v>
      </c>
      <c r="M1625" t="str">
        <f t="shared" si="77"/>
        <v>2026-04</v>
      </c>
    </row>
    <row r="1626" spans="1:13">
      <c r="A1626">
        <v>1625</v>
      </c>
      <c r="B1626">
        <v>1789</v>
      </c>
      <c r="C1626">
        <v>12</v>
      </c>
      <c r="D1626">
        <v>1</v>
      </c>
      <c r="E1626">
        <v>22</v>
      </c>
      <c r="F1626">
        <f t="shared" si="75"/>
        <v>22</v>
      </c>
      <c r="G1626" t="str">
        <f>VLOOKUP(B1626,Orders!$A$2:$D$1201,4,FALSE)</f>
        <v>Delivered</v>
      </c>
      <c r="H1626">
        <f t="shared" si="76"/>
        <v>22</v>
      </c>
      <c r="I1626" s="12">
        <f>VLOOKUP(B1626,Orders!$A$2:$D$1201,3,FALSE)</f>
        <v>46073</v>
      </c>
      <c r="L1626" t="str">
        <f>VLOOKUP(C1626,Products!$A$2:$D$13,2,FALSE)</f>
        <v>Storage Box</v>
      </c>
      <c r="M1626" t="str">
        <f t="shared" si="77"/>
        <v>2026-02</v>
      </c>
    </row>
    <row r="1627" spans="1:13">
      <c r="A1627">
        <v>1626</v>
      </c>
      <c r="B1627">
        <v>1789</v>
      </c>
      <c r="C1627">
        <v>10</v>
      </c>
      <c r="D1627">
        <v>2</v>
      </c>
      <c r="E1627">
        <v>8</v>
      </c>
      <c r="F1627">
        <f t="shared" si="75"/>
        <v>16</v>
      </c>
      <c r="G1627" t="str">
        <f>VLOOKUP(B1627,Orders!$A$2:$D$1201,4,FALSE)</f>
        <v>Delivered</v>
      </c>
      <c r="H1627">
        <f t="shared" si="76"/>
        <v>16</v>
      </c>
      <c r="I1627" s="12">
        <f>VLOOKUP(B1627,Orders!$A$2:$D$1201,3,FALSE)</f>
        <v>46073</v>
      </c>
      <c r="L1627" t="str">
        <f>VLOOKUP(C1627,Products!$A$2:$D$13,2,FALSE)</f>
        <v>Notebook</v>
      </c>
      <c r="M1627" t="str">
        <f t="shared" si="77"/>
        <v>2026-02</v>
      </c>
    </row>
    <row r="1628" spans="1:13">
      <c r="A1628">
        <v>1627</v>
      </c>
      <c r="B1628">
        <v>1790</v>
      </c>
      <c r="C1628">
        <v>1</v>
      </c>
      <c r="D1628">
        <v>1</v>
      </c>
      <c r="E1628">
        <v>750</v>
      </c>
      <c r="F1628">
        <f t="shared" si="75"/>
        <v>750</v>
      </c>
      <c r="G1628" t="str">
        <f>VLOOKUP(B1628,Orders!$A$2:$D$1201,4,FALSE)</f>
        <v>Delivered</v>
      </c>
      <c r="H1628">
        <f t="shared" si="76"/>
        <v>750</v>
      </c>
      <c r="I1628" s="12">
        <f>VLOOKUP(B1628,Orders!$A$2:$D$1201,3,FALSE)</f>
        <v>46037</v>
      </c>
      <c r="L1628" t="str">
        <f>VLOOKUP(C1628,Products!$A$2:$D$13,2,FALSE)</f>
        <v>Laptop</v>
      </c>
      <c r="M1628" t="str">
        <f t="shared" si="77"/>
        <v>2026-01</v>
      </c>
    </row>
    <row r="1629" spans="1:13">
      <c r="A1629">
        <v>1628</v>
      </c>
      <c r="B1629">
        <v>1791</v>
      </c>
      <c r="C1629">
        <v>2</v>
      </c>
      <c r="D1629">
        <v>2</v>
      </c>
      <c r="E1629">
        <v>220</v>
      </c>
      <c r="F1629">
        <f t="shared" si="75"/>
        <v>440</v>
      </c>
      <c r="G1629" t="str">
        <f>VLOOKUP(B1629,Orders!$A$2:$D$1201,4,FALSE)</f>
        <v>Delivered</v>
      </c>
      <c r="H1629">
        <f t="shared" si="76"/>
        <v>440</v>
      </c>
      <c r="I1629" s="12">
        <f>VLOOKUP(B1629,Orders!$A$2:$D$1201,3,FALSE)</f>
        <v>46183</v>
      </c>
      <c r="L1629" t="str">
        <f>VLOOKUP(C1629,Products!$A$2:$D$13,2,FALSE)</f>
        <v>Monitor</v>
      </c>
      <c r="M1629" t="str">
        <f t="shared" si="77"/>
        <v>2026-06</v>
      </c>
    </row>
    <row r="1630" spans="1:13">
      <c r="A1630">
        <v>1629</v>
      </c>
      <c r="B1630">
        <v>1792</v>
      </c>
      <c r="C1630">
        <v>11</v>
      </c>
      <c r="D1630">
        <v>3</v>
      </c>
      <c r="E1630">
        <v>48</v>
      </c>
      <c r="F1630">
        <f t="shared" si="75"/>
        <v>144</v>
      </c>
      <c r="G1630" t="str">
        <f>VLOOKUP(B1630,Orders!$A$2:$D$1201,4,FALSE)</f>
        <v>Delivered</v>
      </c>
      <c r="H1630">
        <f t="shared" si="76"/>
        <v>144</v>
      </c>
      <c r="I1630" s="12">
        <f>VLOOKUP(B1630,Orders!$A$2:$D$1201,3,FALSE)</f>
        <v>46190</v>
      </c>
      <c r="L1630" t="str">
        <f>VLOOKUP(C1630,Products!$A$2:$D$13,2,FALSE)</f>
        <v>Backpack</v>
      </c>
      <c r="M1630" t="str">
        <f t="shared" si="77"/>
        <v>2026-06</v>
      </c>
    </row>
    <row r="1631" spans="1:13">
      <c r="A1631">
        <v>1630</v>
      </c>
      <c r="B1631">
        <v>1792</v>
      </c>
      <c r="C1631">
        <v>7</v>
      </c>
      <c r="D1631">
        <v>4</v>
      </c>
      <c r="E1631">
        <v>65</v>
      </c>
      <c r="F1631">
        <f t="shared" si="75"/>
        <v>260</v>
      </c>
      <c r="G1631" t="str">
        <f>VLOOKUP(B1631,Orders!$A$2:$D$1201,4,FALSE)</f>
        <v>Delivered</v>
      </c>
      <c r="H1631">
        <f t="shared" si="76"/>
        <v>260</v>
      </c>
      <c r="I1631" s="12">
        <f>VLOOKUP(B1631,Orders!$A$2:$D$1201,3,FALSE)</f>
        <v>46190</v>
      </c>
      <c r="L1631" t="str">
        <f>VLOOKUP(C1631,Products!$A$2:$D$13,2,FALSE)</f>
        <v>Headphones</v>
      </c>
      <c r="M1631" t="str">
        <f t="shared" si="77"/>
        <v>2026-06</v>
      </c>
    </row>
    <row r="1632" spans="1:13">
      <c r="A1632">
        <v>1631</v>
      </c>
      <c r="B1632">
        <v>1793</v>
      </c>
      <c r="C1632">
        <v>1</v>
      </c>
      <c r="D1632">
        <v>4</v>
      </c>
      <c r="E1632">
        <v>750</v>
      </c>
      <c r="F1632">
        <f t="shared" si="75"/>
        <v>3000</v>
      </c>
      <c r="G1632" t="str">
        <f>VLOOKUP(B1632,Orders!$A$2:$D$1201,4,FALSE)</f>
        <v>Delivered</v>
      </c>
      <c r="H1632">
        <f t="shared" si="76"/>
        <v>3000</v>
      </c>
      <c r="I1632" s="12">
        <f>VLOOKUP(B1632,Orders!$A$2:$D$1201,3,FALSE)</f>
        <v>46187</v>
      </c>
      <c r="L1632" t="str">
        <f>VLOOKUP(C1632,Products!$A$2:$D$13,2,FALSE)</f>
        <v>Laptop</v>
      </c>
      <c r="M1632" t="str">
        <f t="shared" si="77"/>
        <v>2026-06</v>
      </c>
    </row>
    <row r="1633" spans="1:13">
      <c r="A1633">
        <v>1632</v>
      </c>
      <c r="B1633">
        <v>1794</v>
      </c>
      <c r="C1633">
        <v>10</v>
      </c>
      <c r="D1633">
        <v>1</v>
      </c>
      <c r="E1633">
        <v>8</v>
      </c>
      <c r="F1633">
        <f t="shared" si="75"/>
        <v>8</v>
      </c>
      <c r="G1633" t="str">
        <f>VLOOKUP(B1633,Orders!$A$2:$D$1201,4,FALSE)</f>
        <v>Delivered</v>
      </c>
      <c r="H1633">
        <f t="shared" si="76"/>
        <v>8</v>
      </c>
      <c r="I1633" s="12">
        <f>VLOOKUP(B1633,Orders!$A$2:$D$1201,3,FALSE)</f>
        <v>46121</v>
      </c>
      <c r="L1633" t="str">
        <f>VLOOKUP(C1633,Products!$A$2:$D$13,2,FALSE)</f>
        <v>Notebook</v>
      </c>
      <c r="M1633" t="str">
        <f t="shared" si="77"/>
        <v>2026-04</v>
      </c>
    </row>
    <row r="1634" spans="1:13">
      <c r="A1634">
        <v>1633</v>
      </c>
      <c r="B1634">
        <v>1794</v>
      </c>
      <c r="C1634">
        <v>3</v>
      </c>
      <c r="D1634">
        <v>3</v>
      </c>
      <c r="E1634">
        <v>45</v>
      </c>
      <c r="F1634">
        <f t="shared" si="75"/>
        <v>135</v>
      </c>
      <c r="G1634" t="str">
        <f>VLOOKUP(B1634,Orders!$A$2:$D$1201,4,FALSE)</f>
        <v>Delivered</v>
      </c>
      <c r="H1634">
        <f t="shared" si="76"/>
        <v>135</v>
      </c>
      <c r="I1634" s="12">
        <f>VLOOKUP(B1634,Orders!$A$2:$D$1201,3,FALSE)</f>
        <v>46121</v>
      </c>
      <c r="L1634" t="str">
        <f>VLOOKUP(C1634,Products!$A$2:$D$13,2,FALSE)</f>
        <v>Keyboard</v>
      </c>
      <c r="M1634" t="str">
        <f t="shared" si="77"/>
        <v>2026-04</v>
      </c>
    </row>
    <row r="1635" spans="1:13">
      <c r="A1635">
        <v>1634</v>
      </c>
      <c r="B1635">
        <v>1795</v>
      </c>
      <c r="C1635">
        <v>9</v>
      </c>
      <c r="D1635">
        <v>4</v>
      </c>
      <c r="E1635">
        <v>30</v>
      </c>
      <c r="F1635">
        <f t="shared" si="75"/>
        <v>120</v>
      </c>
      <c r="G1635" t="str">
        <f>VLOOKUP(B1635,Orders!$A$2:$D$1201,4,FALSE)</f>
        <v>Delivered</v>
      </c>
      <c r="H1635">
        <f t="shared" si="76"/>
        <v>120</v>
      </c>
      <c r="I1635" s="12">
        <f>VLOOKUP(B1635,Orders!$A$2:$D$1201,3,FALSE)</f>
        <v>46126</v>
      </c>
      <c r="L1635" t="str">
        <f>VLOOKUP(C1635,Products!$A$2:$D$13,2,FALSE)</f>
        <v>Lamp</v>
      </c>
      <c r="M1635" t="str">
        <f t="shared" si="77"/>
        <v>2026-04</v>
      </c>
    </row>
    <row r="1636" spans="1:13">
      <c r="A1636">
        <v>1635</v>
      </c>
      <c r="B1636">
        <v>1795</v>
      </c>
      <c r="C1636">
        <v>12</v>
      </c>
      <c r="D1636">
        <v>1</v>
      </c>
      <c r="E1636">
        <v>22</v>
      </c>
      <c r="F1636">
        <f t="shared" si="75"/>
        <v>22</v>
      </c>
      <c r="G1636" t="str">
        <f>VLOOKUP(B1636,Orders!$A$2:$D$1201,4,FALSE)</f>
        <v>Delivered</v>
      </c>
      <c r="H1636">
        <f t="shared" si="76"/>
        <v>22</v>
      </c>
      <c r="I1636" s="12">
        <f>VLOOKUP(B1636,Orders!$A$2:$D$1201,3,FALSE)</f>
        <v>46126</v>
      </c>
      <c r="L1636" t="str">
        <f>VLOOKUP(C1636,Products!$A$2:$D$13,2,FALSE)</f>
        <v>Storage Box</v>
      </c>
      <c r="M1636" t="str">
        <f t="shared" si="77"/>
        <v>2026-04</v>
      </c>
    </row>
    <row r="1637" spans="1:13">
      <c r="A1637">
        <v>1636</v>
      </c>
      <c r="B1637">
        <v>1796</v>
      </c>
      <c r="C1637">
        <v>2</v>
      </c>
      <c r="D1637">
        <v>2</v>
      </c>
      <c r="E1637">
        <v>220</v>
      </c>
      <c r="F1637">
        <f t="shared" si="75"/>
        <v>440</v>
      </c>
      <c r="G1637" t="str">
        <f>VLOOKUP(B1637,Orders!$A$2:$D$1201,4,FALSE)</f>
        <v>Delivered</v>
      </c>
      <c r="H1637">
        <f t="shared" si="76"/>
        <v>440</v>
      </c>
      <c r="I1637" s="12">
        <f>VLOOKUP(B1637,Orders!$A$2:$D$1201,3,FALSE)</f>
        <v>46054</v>
      </c>
      <c r="L1637" t="str">
        <f>VLOOKUP(C1637,Products!$A$2:$D$13,2,FALSE)</f>
        <v>Monitor</v>
      </c>
      <c r="M1637" t="str">
        <f t="shared" si="77"/>
        <v>2026-02</v>
      </c>
    </row>
    <row r="1638" spans="1:13">
      <c r="A1638">
        <v>1637</v>
      </c>
      <c r="B1638">
        <v>1796</v>
      </c>
      <c r="C1638">
        <v>3</v>
      </c>
      <c r="D1638">
        <v>1</v>
      </c>
      <c r="E1638">
        <v>45</v>
      </c>
      <c r="F1638">
        <f t="shared" si="75"/>
        <v>45</v>
      </c>
      <c r="G1638" t="str">
        <f>VLOOKUP(B1638,Orders!$A$2:$D$1201,4,FALSE)</f>
        <v>Delivered</v>
      </c>
      <c r="H1638">
        <f t="shared" si="76"/>
        <v>45</v>
      </c>
      <c r="I1638" s="12">
        <f>VLOOKUP(B1638,Orders!$A$2:$D$1201,3,FALSE)</f>
        <v>46054</v>
      </c>
      <c r="L1638" t="str">
        <f>VLOOKUP(C1638,Products!$A$2:$D$13,2,FALSE)</f>
        <v>Keyboard</v>
      </c>
      <c r="M1638" t="str">
        <f t="shared" si="77"/>
        <v>2026-02</v>
      </c>
    </row>
    <row r="1639" spans="1:13">
      <c r="A1639">
        <v>1638</v>
      </c>
      <c r="B1639">
        <v>1796</v>
      </c>
      <c r="C1639">
        <v>10</v>
      </c>
      <c r="D1639">
        <v>4</v>
      </c>
      <c r="E1639">
        <v>8</v>
      </c>
      <c r="F1639">
        <f t="shared" si="75"/>
        <v>32</v>
      </c>
      <c r="G1639" t="str">
        <f>VLOOKUP(B1639,Orders!$A$2:$D$1201,4,FALSE)</f>
        <v>Delivered</v>
      </c>
      <c r="H1639">
        <f t="shared" si="76"/>
        <v>32</v>
      </c>
      <c r="I1639" s="12">
        <f>VLOOKUP(B1639,Orders!$A$2:$D$1201,3,FALSE)</f>
        <v>46054</v>
      </c>
      <c r="L1639" t="str">
        <f>VLOOKUP(C1639,Products!$A$2:$D$13,2,FALSE)</f>
        <v>Notebook</v>
      </c>
      <c r="M1639" t="str">
        <f t="shared" si="77"/>
        <v>2026-02</v>
      </c>
    </row>
    <row r="1640" spans="1:13">
      <c r="A1640">
        <v>1639</v>
      </c>
      <c r="B1640">
        <v>1797</v>
      </c>
      <c r="C1640">
        <v>1</v>
      </c>
      <c r="D1640">
        <v>1</v>
      </c>
      <c r="E1640">
        <v>750</v>
      </c>
      <c r="F1640">
        <f t="shared" si="75"/>
        <v>750</v>
      </c>
      <c r="G1640" t="str">
        <f>VLOOKUP(B1640,Orders!$A$2:$D$1201,4,FALSE)</f>
        <v>Delivered</v>
      </c>
      <c r="H1640">
        <f t="shared" si="76"/>
        <v>750</v>
      </c>
      <c r="I1640" s="12">
        <f>VLOOKUP(B1640,Orders!$A$2:$D$1201,3,FALSE)</f>
        <v>46190</v>
      </c>
      <c r="L1640" t="str">
        <f>VLOOKUP(C1640,Products!$A$2:$D$13,2,FALSE)</f>
        <v>Laptop</v>
      </c>
      <c r="M1640" t="str">
        <f t="shared" si="77"/>
        <v>2026-06</v>
      </c>
    </row>
    <row r="1641" spans="1:13">
      <c r="A1641">
        <v>1640</v>
      </c>
      <c r="B1641">
        <v>1797</v>
      </c>
      <c r="C1641">
        <v>2</v>
      </c>
      <c r="D1641">
        <v>3</v>
      </c>
      <c r="E1641">
        <v>220</v>
      </c>
      <c r="F1641">
        <f t="shared" si="75"/>
        <v>660</v>
      </c>
      <c r="G1641" t="str">
        <f>VLOOKUP(B1641,Orders!$A$2:$D$1201,4,FALSE)</f>
        <v>Delivered</v>
      </c>
      <c r="H1641">
        <f t="shared" si="76"/>
        <v>660</v>
      </c>
      <c r="I1641" s="12">
        <f>VLOOKUP(B1641,Orders!$A$2:$D$1201,3,FALSE)</f>
        <v>46190</v>
      </c>
      <c r="L1641" t="str">
        <f>VLOOKUP(C1641,Products!$A$2:$D$13,2,FALSE)</f>
        <v>Monitor</v>
      </c>
      <c r="M1641" t="str">
        <f t="shared" si="77"/>
        <v>2026-06</v>
      </c>
    </row>
    <row r="1642" spans="1:13">
      <c r="A1642">
        <v>1641</v>
      </c>
      <c r="B1642">
        <v>1798</v>
      </c>
      <c r="C1642">
        <v>5</v>
      </c>
      <c r="D1642">
        <v>4</v>
      </c>
      <c r="E1642">
        <v>180</v>
      </c>
      <c r="F1642">
        <f t="shared" si="75"/>
        <v>720</v>
      </c>
      <c r="G1642" t="str">
        <f>VLOOKUP(B1642,Orders!$A$2:$D$1201,4,FALSE)</f>
        <v>Delivered</v>
      </c>
      <c r="H1642">
        <f t="shared" si="76"/>
        <v>720</v>
      </c>
      <c r="I1642" s="12">
        <f>VLOOKUP(B1642,Orders!$A$2:$D$1201,3,FALSE)</f>
        <v>46023</v>
      </c>
      <c r="L1642" t="str">
        <f>VLOOKUP(C1642,Products!$A$2:$D$13,2,FALSE)</f>
        <v>Desk</v>
      </c>
      <c r="M1642" t="str">
        <f t="shared" si="77"/>
        <v>2026-01</v>
      </c>
    </row>
    <row r="1643" spans="1:13">
      <c r="A1643">
        <v>1642</v>
      </c>
      <c r="B1643">
        <v>1798</v>
      </c>
      <c r="C1643">
        <v>11</v>
      </c>
      <c r="D1643">
        <v>2</v>
      </c>
      <c r="E1643">
        <v>48</v>
      </c>
      <c r="F1643">
        <f t="shared" si="75"/>
        <v>96</v>
      </c>
      <c r="G1643" t="str">
        <f>VLOOKUP(B1643,Orders!$A$2:$D$1201,4,FALSE)</f>
        <v>Delivered</v>
      </c>
      <c r="H1643">
        <f t="shared" si="76"/>
        <v>96</v>
      </c>
      <c r="I1643" s="12">
        <f>VLOOKUP(B1643,Orders!$A$2:$D$1201,3,FALSE)</f>
        <v>46023</v>
      </c>
      <c r="L1643" t="str">
        <f>VLOOKUP(C1643,Products!$A$2:$D$13,2,FALSE)</f>
        <v>Backpack</v>
      </c>
      <c r="M1643" t="str">
        <f t="shared" si="77"/>
        <v>2026-01</v>
      </c>
    </row>
    <row r="1644" spans="1:13">
      <c r="A1644">
        <v>1643</v>
      </c>
      <c r="B1644">
        <v>1798</v>
      </c>
      <c r="C1644">
        <v>9</v>
      </c>
      <c r="D1644">
        <v>4</v>
      </c>
      <c r="E1644">
        <v>30</v>
      </c>
      <c r="F1644">
        <f t="shared" si="75"/>
        <v>120</v>
      </c>
      <c r="G1644" t="str">
        <f>VLOOKUP(B1644,Orders!$A$2:$D$1201,4,FALSE)</f>
        <v>Delivered</v>
      </c>
      <c r="H1644">
        <f t="shared" si="76"/>
        <v>120</v>
      </c>
      <c r="I1644" s="12">
        <f>VLOOKUP(B1644,Orders!$A$2:$D$1201,3,FALSE)</f>
        <v>46023</v>
      </c>
      <c r="L1644" t="str">
        <f>VLOOKUP(C1644,Products!$A$2:$D$13,2,FALSE)</f>
        <v>Lamp</v>
      </c>
      <c r="M1644" t="str">
        <f t="shared" si="77"/>
        <v>2026-01</v>
      </c>
    </row>
    <row r="1645" spans="1:13">
      <c r="A1645">
        <v>1644</v>
      </c>
      <c r="B1645">
        <v>1799</v>
      </c>
      <c r="C1645">
        <v>2</v>
      </c>
      <c r="D1645">
        <v>2</v>
      </c>
      <c r="E1645">
        <v>220</v>
      </c>
      <c r="F1645">
        <f t="shared" si="75"/>
        <v>440</v>
      </c>
      <c r="G1645" t="str">
        <f>VLOOKUP(B1645,Orders!$A$2:$D$1201,4,FALSE)</f>
        <v>Delivered</v>
      </c>
      <c r="H1645">
        <f t="shared" si="76"/>
        <v>440</v>
      </c>
      <c r="I1645" s="12">
        <f>VLOOKUP(B1645,Orders!$A$2:$D$1201,3,FALSE)</f>
        <v>46178</v>
      </c>
      <c r="L1645" t="str">
        <f>VLOOKUP(C1645,Products!$A$2:$D$13,2,FALSE)</f>
        <v>Monitor</v>
      </c>
      <c r="M1645" t="str">
        <f t="shared" si="77"/>
        <v>2026-06</v>
      </c>
    </row>
    <row r="1646" spans="1:13">
      <c r="A1646">
        <v>1645</v>
      </c>
      <c r="B1646">
        <v>1799</v>
      </c>
      <c r="C1646">
        <v>11</v>
      </c>
      <c r="D1646">
        <v>1</v>
      </c>
      <c r="E1646">
        <v>48</v>
      </c>
      <c r="F1646">
        <f t="shared" si="75"/>
        <v>48</v>
      </c>
      <c r="G1646" t="str">
        <f>VLOOKUP(B1646,Orders!$A$2:$D$1201,4,FALSE)</f>
        <v>Delivered</v>
      </c>
      <c r="H1646">
        <f t="shared" si="76"/>
        <v>48</v>
      </c>
      <c r="I1646" s="12">
        <f>VLOOKUP(B1646,Orders!$A$2:$D$1201,3,FALSE)</f>
        <v>46178</v>
      </c>
      <c r="L1646" t="str">
        <f>VLOOKUP(C1646,Products!$A$2:$D$13,2,FALSE)</f>
        <v>Backpack</v>
      </c>
      <c r="M1646" t="str">
        <f t="shared" si="77"/>
        <v>2026-06</v>
      </c>
    </row>
    <row r="1647" spans="1:13">
      <c r="A1647">
        <v>1646</v>
      </c>
      <c r="B1647">
        <v>1799</v>
      </c>
      <c r="C1647">
        <v>1</v>
      </c>
      <c r="D1647">
        <v>2</v>
      </c>
      <c r="E1647">
        <v>750</v>
      </c>
      <c r="F1647">
        <f t="shared" si="75"/>
        <v>1500</v>
      </c>
      <c r="G1647" t="str">
        <f>VLOOKUP(B1647,Orders!$A$2:$D$1201,4,FALSE)</f>
        <v>Delivered</v>
      </c>
      <c r="H1647">
        <f t="shared" si="76"/>
        <v>1500</v>
      </c>
      <c r="I1647" s="12">
        <f>VLOOKUP(B1647,Orders!$A$2:$D$1201,3,FALSE)</f>
        <v>46178</v>
      </c>
      <c r="L1647" t="str">
        <f>VLOOKUP(C1647,Products!$A$2:$D$13,2,FALSE)</f>
        <v>Laptop</v>
      </c>
      <c r="M1647" t="str">
        <f t="shared" si="77"/>
        <v>2026-06</v>
      </c>
    </row>
    <row r="1648" spans="1:13">
      <c r="A1648">
        <v>1647</v>
      </c>
      <c r="B1648">
        <v>1800</v>
      </c>
      <c r="C1648">
        <v>3</v>
      </c>
      <c r="D1648">
        <v>4</v>
      </c>
      <c r="E1648">
        <v>45</v>
      </c>
      <c r="F1648">
        <f t="shared" si="75"/>
        <v>180</v>
      </c>
      <c r="G1648" t="str">
        <f>VLOOKUP(B1648,Orders!$A$2:$D$1201,4,FALSE)</f>
        <v>Delivered</v>
      </c>
      <c r="H1648">
        <f t="shared" si="76"/>
        <v>180</v>
      </c>
      <c r="I1648" s="12">
        <f>VLOOKUP(B1648,Orders!$A$2:$D$1201,3,FALSE)</f>
        <v>46177</v>
      </c>
      <c r="L1648" t="str">
        <f>VLOOKUP(C1648,Products!$A$2:$D$13,2,FALSE)</f>
        <v>Keyboard</v>
      </c>
      <c r="M1648" t="str">
        <f t="shared" si="77"/>
        <v>2026-06</v>
      </c>
    </row>
    <row r="1649" spans="1:13">
      <c r="A1649">
        <v>1648</v>
      </c>
      <c r="B1649">
        <v>1800</v>
      </c>
      <c r="C1649">
        <v>10</v>
      </c>
      <c r="D1649">
        <v>1</v>
      </c>
      <c r="E1649">
        <v>8</v>
      </c>
      <c r="F1649">
        <f t="shared" si="75"/>
        <v>8</v>
      </c>
      <c r="G1649" t="str">
        <f>VLOOKUP(B1649,Orders!$A$2:$D$1201,4,FALSE)</f>
        <v>Delivered</v>
      </c>
      <c r="H1649">
        <f t="shared" si="76"/>
        <v>8</v>
      </c>
      <c r="I1649" s="12">
        <f>VLOOKUP(B1649,Orders!$A$2:$D$1201,3,FALSE)</f>
        <v>46177</v>
      </c>
      <c r="L1649" t="str">
        <f>VLOOKUP(C1649,Products!$A$2:$D$13,2,FALSE)</f>
        <v>Notebook</v>
      </c>
      <c r="M1649" t="str">
        <f t="shared" si="77"/>
        <v>2026-06</v>
      </c>
    </row>
    <row r="1650" spans="1:13">
      <c r="A1650">
        <v>1649</v>
      </c>
      <c r="B1650">
        <v>1801</v>
      </c>
      <c r="C1650">
        <v>7</v>
      </c>
      <c r="D1650">
        <v>2</v>
      </c>
      <c r="E1650">
        <v>65</v>
      </c>
      <c r="F1650">
        <f t="shared" si="75"/>
        <v>130</v>
      </c>
      <c r="G1650" t="str">
        <f>VLOOKUP(B1650,Orders!$A$2:$D$1201,4,FALSE)</f>
        <v>Delivered</v>
      </c>
      <c r="H1650">
        <f t="shared" si="76"/>
        <v>130</v>
      </c>
      <c r="I1650" s="12">
        <f>VLOOKUP(B1650,Orders!$A$2:$D$1201,3,FALSE)</f>
        <v>46125</v>
      </c>
      <c r="L1650" t="str">
        <f>VLOOKUP(C1650,Products!$A$2:$D$13,2,FALSE)</f>
        <v>Headphones</v>
      </c>
      <c r="M1650" t="str">
        <f t="shared" si="77"/>
        <v>2026-04</v>
      </c>
    </row>
    <row r="1651" spans="1:13">
      <c r="A1651">
        <v>1650</v>
      </c>
      <c r="B1651">
        <v>1801</v>
      </c>
      <c r="C1651">
        <v>3</v>
      </c>
      <c r="D1651">
        <v>1</v>
      </c>
      <c r="E1651">
        <v>45</v>
      </c>
      <c r="F1651">
        <f t="shared" si="75"/>
        <v>45</v>
      </c>
      <c r="G1651" t="str">
        <f>VLOOKUP(B1651,Orders!$A$2:$D$1201,4,FALSE)</f>
        <v>Delivered</v>
      </c>
      <c r="H1651">
        <f t="shared" si="76"/>
        <v>45</v>
      </c>
      <c r="I1651" s="12">
        <f>VLOOKUP(B1651,Orders!$A$2:$D$1201,3,FALSE)</f>
        <v>46125</v>
      </c>
      <c r="L1651" t="str">
        <f>VLOOKUP(C1651,Products!$A$2:$D$13,2,FALSE)</f>
        <v>Keyboard</v>
      </c>
      <c r="M1651" t="str">
        <f t="shared" si="77"/>
        <v>2026-04</v>
      </c>
    </row>
    <row r="1652" spans="1:13">
      <c r="A1652">
        <v>1651</v>
      </c>
      <c r="B1652">
        <v>1801</v>
      </c>
      <c r="C1652">
        <v>9</v>
      </c>
      <c r="D1652">
        <v>3</v>
      </c>
      <c r="E1652">
        <v>30</v>
      </c>
      <c r="F1652">
        <f t="shared" si="75"/>
        <v>90</v>
      </c>
      <c r="G1652" t="str">
        <f>VLOOKUP(B1652,Orders!$A$2:$D$1201,4,FALSE)</f>
        <v>Delivered</v>
      </c>
      <c r="H1652">
        <f t="shared" si="76"/>
        <v>90</v>
      </c>
      <c r="I1652" s="12">
        <f>VLOOKUP(B1652,Orders!$A$2:$D$1201,3,FALSE)</f>
        <v>46125</v>
      </c>
      <c r="L1652" t="str">
        <f>VLOOKUP(C1652,Products!$A$2:$D$13,2,FALSE)</f>
        <v>Lamp</v>
      </c>
      <c r="M1652" t="str">
        <f t="shared" si="77"/>
        <v>2026-04</v>
      </c>
    </row>
    <row r="1653" spans="1:13">
      <c r="A1653">
        <v>1652</v>
      </c>
      <c r="B1653">
        <v>1802</v>
      </c>
      <c r="C1653">
        <v>3</v>
      </c>
      <c r="D1653">
        <v>3</v>
      </c>
      <c r="E1653">
        <v>45</v>
      </c>
      <c r="F1653">
        <f t="shared" si="75"/>
        <v>135</v>
      </c>
      <c r="G1653" t="str">
        <f>VLOOKUP(B1653,Orders!$A$2:$D$1201,4,FALSE)</f>
        <v>Delivered</v>
      </c>
      <c r="H1653">
        <f t="shared" si="76"/>
        <v>135</v>
      </c>
      <c r="I1653" s="12">
        <f>VLOOKUP(B1653,Orders!$A$2:$D$1201,3,FALSE)</f>
        <v>46167</v>
      </c>
      <c r="L1653" t="str">
        <f>VLOOKUP(C1653,Products!$A$2:$D$13,2,FALSE)</f>
        <v>Keyboard</v>
      </c>
      <c r="M1653" t="str">
        <f t="shared" si="77"/>
        <v>2026-05</v>
      </c>
    </row>
    <row r="1654" spans="1:13">
      <c r="A1654">
        <v>1653</v>
      </c>
      <c r="B1654">
        <v>1802</v>
      </c>
      <c r="C1654">
        <v>7</v>
      </c>
      <c r="D1654">
        <v>4</v>
      </c>
      <c r="E1654">
        <v>65</v>
      </c>
      <c r="F1654">
        <f t="shared" si="75"/>
        <v>260</v>
      </c>
      <c r="G1654" t="str">
        <f>VLOOKUP(B1654,Orders!$A$2:$D$1201,4,FALSE)</f>
        <v>Delivered</v>
      </c>
      <c r="H1654">
        <f t="shared" si="76"/>
        <v>260</v>
      </c>
      <c r="I1654" s="12">
        <f>VLOOKUP(B1654,Orders!$A$2:$D$1201,3,FALSE)</f>
        <v>46167</v>
      </c>
      <c r="L1654" t="str">
        <f>VLOOKUP(C1654,Products!$A$2:$D$13,2,FALSE)</f>
        <v>Headphones</v>
      </c>
      <c r="M1654" t="str">
        <f t="shared" si="77"/>
        <v>2026-05</v>
      </c>
    </row>
    <row r="1655" spans="1:13">
      <c r="A1655">
        <v>1654</v>
      </c>
      <c r="B1655">
        <v>1802</v>
      </c>
      <c r="C1655">
        <v>12</v>
      </c>
      <c r="D1655">
        <v>4</v>
      </c>
      <c r="E1655">
        <v>22</v>
      </c>
      <c r="F1655">
        <f t="shared" si="75"/>
        <v>88</v>
      </c>
      <c r="G1655" t="str">
        <f>VLOOKUP(B1655,Orders!$A$2:$D$1201,4,FALSE)</f>
        <v>Delivered</v>
      </c>
      <c r="H1655">
        <f t="shared" si="76"/>
        <v>88</v>
      </c>
      <c r="I1655" s="12">
        <f>VLOOKUP(B1655,Orders!$A$2:$D$1201,3,FALSE)</f>
        <v>46167</v>
      </c>
      <c r="L1655" t="str">
        <f>VLOOKUP(C1655,Products!$A$2:$D$13,2,FALSE)</f>
        <v>Storage Box</v>
      </c>
      <c r="M1655" t="str">
        <f t="shared" si="77"/>
        <v>2026-05</v>
      </c>
    </row>
    <row r="1656" spans="1:13">
      <c r="A1656">
        <v>1655</v>
      </c>
      <c r="B1656">
        <v>1803</v>
      </c>
      <c r="C1656">
        <v>2</v>
      </c>
      <c r="D1656">
        <v>1</v>
      </c>
      <c r="E1656">
        <v>220</v>
      </c>
      <c r="F1656">
        <f t="shared" si="75"/>
        <v>220</v>
      </c>
      <c r="G1656" t="str">
        <f>VLOOKUP(B1656,Orders!$A$2:$D$1201,4,FALSE)</f>
        <v>Delivered</v>
      </c>
      <c r="H1656">
        <f t="shared" si="76"/>
        <v>220</v>
      </c>
      <c r="I1656" s="12">
        <f>VLOOKUP(B1656,Orders!$A$2:$D$1201,3,FALSE)</f>
        <v>46159</v>
      </c>
      <c r="L1656" t="str">
        <f>VLOOKUP(C1656,Products!$A$2:$D$13,2,FALSE)</f>
        <v>Monitor</v>
      </c>
      <c r="M1656" t="str">
        <f t="shared" si="77"/>
        <v>2026-05</v>
      </c>
    </row>
    <row r="1657" spans="1:13">
      <c r="A1657">
        <v>1656</v>
      </c>
      <c r="B1657">
        <v>1803</v>
      </c>
      <c r="C1657">
        <v>6</v>
      </c>
      <c r="D1657">
        <v>3</v>
      </c>
      <c r="E1657">
        <v>140</v>
      </c>
      <c r="F1657">
        <f t="shared" si="75"/>
        <v>420</v>
      </c>
      <c r="G1657" t="str">
        <f>VLOOKUP(B1657,Orders!$A$2:$D$1201,4,FALSE)</f>
        <v>Delivered</v>
      </c>
      <c r="H1657">
        <f t="shared" si="76"/>
        <v>420</v>
      </c>
      <c r="I1657" s="12">
        <f>VLOOKUP(B1657,Orders!$A$2:$D$1201,3,FALSE)</f>
        <v>46159</v>
      </c>
      <c r="L1657" t="str">
        <f>VLOOKUP(C1657,Products!$A$2:$D$13,2,FALSE)</f>
        <v>Chair</v>
      </c>
      <c r="M1657" t="str">
        <f t="shared" si="77"/>
        <v>2026-05</v>
      </c>
    </row>
    <row r="1658" spans="1:13">
      <c r="A1658">
        <v>1657</v>
      </c>
      <c r="B1658">
        <v>1804</v>
      </c>
      <c r="C1658">
        <v>7</v>
      </c>
      <c r="D1658">
        <v>1</v>
      </c>
      <c r="E1658">
        <v>65</v>
      </c>
      <c r="F1658">
        <f t="shared" si="75"/>
        <v>65</v>
      </c>
      <c r="G1658" t="str">
        <f>VLOOKUP(B1658,Orders!$A$2:$D$1201,4,FALSE)</f>
        <v>Delivered</v>
      </c>
      <c r="H1658">
        <f t="shared" si="76"/>
        <v>65</v>
      </c>
      <c r="I1658" s="12">
        <f>VLOOKUP(B1658,Orders!$A$2:$D$1201,3,FALSE)</f>
        <v>46093</v>
      </c>
      <c r="L1658" t="str">
        <f>VLOOKUP(C1658,Products!$A$2:$D$13,2,FALSE)</f>
        <v>Headphones</v>
      </c>
      <c r="M1658" t="str">
        <f t="shared" si="77"/>
        <v>2026-03</v>
      </c>
    </row>
    <row r="1659" spans="1:13">
      <c r="A1659">
        <v>1658</v>
      </c>
      <c r="B1659">
        <v>1805</v>
      </c>
      <c r="C1659">
        <v>9</v>
      </c>
      <c r="D1659">
        <v>3</v>
      </c>
      <c r="E1659">
        <v>30</v>
      </c>
      <c r="F1659">
        <f t="shared" si="75"/>
        <v>90</v>
      </c>
      <c r="G1659" t="str">
        <f>VLOOKUP(B1659,Orders!$A$2:$D$1201,4,FALSE)</f>
        <v>Delivered</v>
      </c>
      <c r="H1659">
        <f t="shared" si="76"/>
        <v>90</v>
      </c>
      <c r="I1659" s="12">
        <f>VLOOKUP(B1659,Orders!$A$2:$D$1201,3,FALSE)</f>
        <v>46173</v>
      </c>
      <c r="L1659" t="str">
        <f>VLOOKUP(C1659,Products!$A$2:$D$13,2,FALSE)</f>
        <v>Lamp</v>
      </c>
      <c r="M1659" t="str">
        <f t="shared" si="77"/>
        <v>2026-05</v>
      </c>
    </row>
    <row r="1660" spans="1:13">
      <c r="A1660">
        <v>1659</v>
      </c>
      <c r="B1660">
        <v>1806</v>
      </c>
      <c r="C1660">
        <v>7</v>
      </c>
      <c r="D1660">
        <v>3</v>
      </c>
      <c r="E1660">
        <v>65</v>
      </c>
      <c r="F1660">
        <f t="shared" si="75"/>
        <v>195</v>
      </c>
      <c r="G1660" t="str">
        <f>VLOOKUP(B1660,Orders!$A$2:$D$1201,4,FALSE)</f>
        <v>Cancelled</v>
      </c>
      <c r="H1660">
        <f t="shared" si="76"/>
        <v>0</v>
      </c>
      <c r="I1660" s="12">
        <f>VLOOKUP(B1660,Orders!$A$2:$D$1201,3,FALSE)</f>
        <v>46048</v>
      </c>
      <c r="L1660" t="str">
        <f>VLOOKUP(C1660,Products!$A$2:$D$13,2,FALSE)</f>
        <v>Headphones</v>
      </c>
      <c r="M1660" t="str">
        <f t="shared" si="77"/>
        <v>2026-01</v>
      </c>
    </row>
    <row r="1661" spans="1:13">
      <c r="A1661">
        <v>1660</v>
      </c>
      <c r="B1661">
        <v>1806</v>
      </c>
      <c r="C1661">
        <v>3</v>
      </c>
      <c r="D1661">
        <v>4</v>
      </c>
      <c r="E1661">
        <v>45</v>
      </c>
      <c r="F1661">
        <f t="shared" si="75"/>
        <v>180</v>
      </c>
      <c r="G1661" t="str">
        <f>VLOOKUP(B1661,Orders!$A$2:$D$1201,4,FALSE)</f>
        <v>Cancelled</v>
      </c>
      <c r="H1661">
        <f t="shared" si="76"/>
        <v>0</v>
      </c>
      <c r="I1661" s="12">
        <f>VLOOKUP(B1661,Orders!$A$2:$D$1201,3,FALSE)</f>
        <v>46048</v>
      </c>
      <c r="L1661" t="str">
        <f>VLOOKUP(C1661,Products!$A$2:$D$13,2,FALSE)</f>
        <v>Keyboard</v>
      </c>
      <c r="M1661" t="str">
        <f t="shared" si="77"/>
        <v>2026-01</v>
      </c>
    </row>
    <row r="1662" spans="1:13">
      <c r="A1662">
        <v>1661</v>
      </c>
      <c r="B1662">
        <v>1807</v>
      </c>
      <c r="C1662">
        <v>11</v>
      </c>
      <c r="D1662">
        <v>2</v>
      </c>
      <c r="E1662">
        <v>48</v>
      </c>
      <c r="F1662">
        <f t="shared" si="75"/>
        <v>96</v>
      </c>
      <c r="G1662" t="str">
        <f>VLOOKUP(B1662,Orders!$A$2:$D$1201,4,FALSE)</f>
        <v>Delivered</v>
      </c>
      <c r="H1662">
        <f t="shared" si="76"/>
        <v>96</v>
      </c>
      <c r="I1662" s="12">
        <f>VLOOKUP(B1662,Orders!$A$2:$D$1201,3,FALSE)</f>
        <v>46145</v>
      </c>
      <c r="L1662" t="str">
        <f>VLOOKUP(C1662,Products!$A$2:$D$13,2,FALSE)</f>
        <v>Backpack</v>
      </c>
      <c r="M1662" t="str">
        <f t="shared" si="77"/>
        <v>2026-05</v>
      </c>
    </row>
    <row r="1663" spans="1:13">
      <c r="A1663">
        <v>1662</v>
      </c>
      <c r="B1663">
        <v>1808</v>
      </c>
      <c r="C1663">
        <v>4</v>
      </c>
      <c r="D1663">
        <v>4</v>
      </c>
      <c r="E1663">
        <v>25</v>
      </c>
      <c r="F1663">
        <f t="shared" si="75"/>
        <v>100</v>
      </c>
      <c r="G1663" t="str">
        <f>VLOOKUP(B1663,Orders!$A$2:$D$1201,4,FALSE)</f>
        <v>Shipped</v>
      </c>
      <c r="H1663">
        <f t="shared" si="76"/>
        <v>100</v>
      </c>
      <c r="I1663" s="12">
        <f>VLOOKUP(B1663,Orders!$A$2:$D$1201,3,FALSE)</f>
        <v>46036</v>
      </c>
      <c r="L1663" t="str">
        <f>VLOOKUP(C1663,Products!$A$2:$D$13,2,FALSE)</f>
        <v>Mouse</v>
      </c>
      <c r="M1663" t="str">
        <f t="shared" si="77"/>
        <v>2026-01</v>
      </c>
    </row>
    <row r="1664" spans="1:13">
      <c r="A1664">
        <v>1663</v>
      </c>
      <c r="B1664">
        <v>1808</v>
      </c>
      <c r="C1664">
        <v>11</v>
      </c>
      <c r="D1664">
        <v>4</v>
      </c>
      <c r="E1664">
        <v>48</v>
      </c>
      <c r="F1664">
        <f t="shared" si="75"/>
        <v>192</v>
      </c>
      <c r="G1664" t="str">
        <f>VLOOKUP(B1664,Orders!$A$2:$D$1201,4,FALSE)</f>
        <v>Shipped</v>
      </c>
      <c r="H1664">
        <f t="shared" si="76"/>
        <v>192</v>
      </c>
      <c r="I1664" s="12">
        <f>VLOOKUP(B1664,Orders!$A$2:$D$1201,3,FALSE)</f>
        <v>46036</v>
      </c>
      <c r="L1664" t="str">
        <f>VLOOKUP(C1664,Products!$A$2:$D$13,2,FALSE)</f>
        <v>Backpack</v>
      </c>
      <c r="M1664" t="str">
        <f t="shared" si="77"/>
        <v>2026-01</v>
      </c>
    </row>
    <row r="1665" spans="1:13">
      <c r="A1665">
        <v>1664</v>
      </c>
      <c r="B1665">
        <v>1808</v>
      </c>
      <c r="C1665">
        <v>10</v>
      </c>
      <c r="D1665">
        <v>2</v>
      </c>
      <c r="E1665">
        <v>8</v>
      </c>
      <c r="F1665">
        <f t="shared" si="75"/>
        <v>16</v>
      </c>
      <c r="G1665" t="str">
        <f>VLOOKUP(B1665,Orders!$A$2:$D$1201,4,FALSE)</f>
        <v>Shipped</v>
      </c>
      <c r="H1665">
        <f t="shared" si="76"/>
        <v>16</v>
      </c>
      <c r="I1665" s="12">
        <f>VLOOKUP(B1665,Orders!$A$2:$D$1201,3,FALSE)</f>
        <v>46036</v>
      </c>
      <c r="L1665" t="str">
        <f>VLOOKUP(C1665,Products!$A$2:$D$13,2,FALSE)</f>
        <v>Notebook</v>
      </c>
      <c r="M1665" t="str">
        <f t="shared" si="77"/>
        <v>2026-01</v>
      </c>
    </row>
    <row r="1666" spans="1:13">
      <c r="A1666">
        <v>1665</v>
      </c>
      <c r="B1666">
        <v>1809</v>
      </c>
      <c r="C1666">
        <v>9</v>
      </c>
      <c r="D1666">
        <v>3</v>
      </c>
      <c r="E1666">
        <v>30</v>
      </c>
      <c r="F1666">
        <f t="shared" si="75"/>
        <v>90</v>
      </c>
      <c r="G1666" t="str">
        <f>VLOOKUP(B1666,Orders!$A$2:$D$1201,4,FALSE)</f>
        <v>Delivered</v>
      </c>
      <c r="H1666">
        <f t="shared" si="76"/>
        <v>90</v>
      </c>
      <c r="I1666" s="12">
        <f>VLOOKUP(B1666,Orders!$A$2:$D$1201,3,FALSE)</f>
        <v>46142</v>
      </c>
      <c r="L1666" t="str">
        <f>VLOOKUP(C1666,Products!$A$2:$D$13,2,FALSE)</f>
        <v>Lamp</v>
      </c>
      <c r="M1666" t="str">
        <f t="shared" si="77"/>
        <v>2026-04</v>
      </c>
    </row>
    <row r="1667" spans="1:13">
      <c r="A1667">
        <v>1666</v>
      </c>
      <c r="B1667">
        <v>1809</v>
      </c>
      <c r="C1667">
        <v>4</v>
      </c>
      <c r="D1667">
        <v>1</v>
      </c>
      <c r="E1667">
        <v>25</v>
      </c>
      <c r="F1667">
        <f t="shared" ref="F1667:F1730" si="78">D1667*E1667</f>
        <v>25</v>
      </c>
      <c r="G1667" t="str">
        <f>VLOOKUP(B1667,Orders!$A$2:$D$1201,4,FALSE)</f>
        <v>Delivered</v>
      </c>
      <c r="H1667">
        <f t="shared" ref="H1667:H1730" si="79">IF(G1667="Cancelled",0,F1667)</f>
        <v>25</v>
      </c>
      <c r="I1667" s="12">
        <f>VLOOKUP(B1667,Orders!$A$2:$D$1201,3,FALSE)</f>
        <v>46142</v>
      </c>
      <c r="L1667" t="str">
        <f>VLOOKUP(C1667,Products!$A$2:$D$13,2,FALSE)</f>
        <v>Mouse</v>
      </c>
      <c r="M1667" t="str">
        <f t="shared" ref="M1667:M1730" si="80">TEXT(I1667,"yyyy-mm")</f>
        <v>2026-04</v>
      </c>
    </row>
    <row r="1668" spans="1:13">
      <c r="A1668">
        <v>1667</v>
      </c>
      <c r="B1668">
        <v>1810</v>
      </c>
      <c r="C1668">
        <v>3</v>
      </c>
      <c r="D1668">
        <v>1</v>
      </c>
      <c r="E1668">
        <v>45</v>
      </c>
      <c r="F1668">
        <f t="shared" si="78"/>
        <v>45</v>
      </c>
      <c r="G1668" t="str">
        <f>VLOOKUP(B1668,Orders!$A$2:$D$1201,4,FALSE)</f>
        <v>Delivered</v>
      </c>
      <c r="H1668">
        <f t="shared" si="79"/>
        <v>45</v>
      </c>
      <c r="I1668" s="12">
        <f>VLOOKUP(B1668,Orders!$A$2:$D$1201,3,FALSE)</f>
        <v>46185</v>
      </c>
      <c r="L1668" t="str">
        <f>VLOOKUP(C1668,Products!$A$2:$D$13,2,FALSE)</f>
        <v>Keyboard</v>
      </c>
      <c r="M1668" t="str">
        <f t="shared" si="80"/>
        <v>2026-06</v>
      </c>
    </row>
    <row r="1669" spans="1:13">
      <c r="A1669">
        <v>1668</v>
      </c>
      <c r="B1669">
        <v>1811</v>
      </c>
      <c r="C1669">
        <v>8</v>
      </c>
      <c r="D1669">
        <v>1</v>
      </c>
      <c r="E1669">
        <v>55</v>
      </c>
      <c r="F1669">
        <f t="shared" si="78"/>
        <v>55</v>
      </c>
      <c r="G1669" t="str">
        <f>VLOOKUP(B1669,Orders!$A$2:$D$1201,4,FALSE)</f>
        <v>Delivered</v>
      </c>
      <c r="H1669">
        <f t="shared" si="79"/>
        <v>55</v>
      </c>
      <c r="I1669" s="12">
        <f>VLOOKUP(B1669,Orders!$A$2:$D$1201,3,FALSE)</f>
        <v>46131</v>
      </c>
      <c r="L1669" t="str">
        <f>VLOOKUP(C1669,Products!$A$2:$D$13,2,FALSE)</f>
        <v>Webcam</v>
      </c>
      <c r="M1669" t="str">
        <f t="shared" si="80"/>
        <v>2026-04</v>
      </c>
    </row>
    <row r="1670" spans="1:13">
      <c r="A1670">
        <v>1669</v>
      </c>
      <c r="B1670">
        <v>1811</v>
      </c>
      <c r="C1670">
        <v>9</v>
      </c>
      <c r="D1670">
        <v>4</v>
      </c>
      <c r="E1670">
        <v>30</v>
      </c>
      <c r="F1670">
        <f t="shared" si="78"/>
        <v>120</v>
      </c>
      <c r="G1670" t="str">
        <f>VLOOKUP(B1670,Orders!$A$2:$D$1201,4,FALSE)</f>
        <v>Delivered</v>
      </c>
      <c r="H1670">
        <f t="shared" si="79"/>
        <v>120</v>
      </c>
      <c r="I1670" s="12">
        <f>VLOOKUP(B1670,Orders!$A$2:$D$1201,3,FALSE)</f>
        <v>46131</v>
      </c>
      <c r="L1670" t="str">
        <f>VLOOKUP(C1670,Products!$A$2:$D$13,2,FALSE)</f>
        <v>Lamp</v>
      </c>
      <c r="M1670" t="str">
        <f t="shared" si="80"/>
        <v>2026-04</v>
      </c>
    </row>
    <row r="1671" spans="1:13">
      <c r="A1671">
        <v>1670</v>
      </c>
      <c r="B1671">
        <v>1812</v>
      </c>
      <c r="C1671">
        <v>12</v>
      </c>
      <c r="D1671">
        <v>1</v>
      </c>
      <c r="E1671">
        <v>22</v>
      </c>
      <c r="F1671">
        <f t="shared" si="78"/>
        <v>22</v>
      </c>
      <c r="G1671" t="str">
        <f>VLOOKUP(B1671,Orders!$A$2:$D$1201,4,FALSE)</f>
        <v>Delivered</v>
      </c>
      <c r="H1671">
        <f t="shared" si="79"/>
        <v>22</v>
      </c>
      <c r="I1671" s="12">
        <f>VLOOKUP(B1671,Orders!$A$2:$D$1201,3,FALSE)</f>
        <v>46131</v>
      </c>
      <c r="L1671" t="str">
        <f>VLOOKUP(C1671,Products!$A$2:$D$13,2,FALSE)</f>
        <v>Storage Box</v>
      </c>
      <c r="M1671" t="str">
        <f t="shared" si="80"/>
        <v>2026-04</v>
      </c>
    </row>
    <row r="1672" spans="1:13">
      <c r="A1672">
        <v>1671</v>
      </c>
      <c r="B1672">
        <v>1813</v>
      </c>
      <c r="C1672">
        <v>9</v>
      </c>
      <c r="D1672">
        <v>3</v>
      </c>
      <c r="E1672">
        <v>30</v>
      </c>
      <c r="F1672">
        <f t="shared" si="78"/>
        <v>90</v>
      </c>
      <c r="G1672" t="str">
        <f>VLOOKUP(B1672,Orders!$A$2:$D$1201,4,FALSE)</f>
        <v>Delivered</v>
      </c>
      <c r="H1672">
        <f t="shared" si="79"/>
        <v>90</v>
      </c>
      <c r="I1672" s="12">
        <f>VLOOKUP(B1672,Orders!$A$2:$D$1201,3,FALSE)</f>
        <v>46080</v>
      </c>
      <c r="L1672" t="str">
        <f>VLOOKUP(C1672,Products!$A$2:$D$13,2,FALSE)</f>
        <v>Lamp</v>
      </c>
      <c r="M1672" t="str">
        <f t="shared" si="80"/>
        <v>2026-02</v>
      </c>
    </row>
    <row r="1673" spans="1:13">
      <c r="A1673">
        <v>1672</v>
      </c>
      <c r="B1673">
        <v>1814</v>
      </c>
      <c r="C1673">
        <v>2</v>
      </c>
      <c r="D1673">
        <v>4</v>
      </c>
      <c r="E1673">
        <v>220</v>
      </c>
      <c r="F1673">
        <f t="shared" si="78"/>
        <v>880</v>
      </c>
      <c r="G1673" t="str">
        <f>VLOOKUP(B1673,Orders!$A$2:$D$1201,4,FALSE)</f>
        <v>Delivered</v>
      </c>
      <c r="H1673">
        <f t="shared" si="79"/>
        <v>880</v>
      </c>
      <c r="I1673" s="12">
        <f>VLOOKUP(B1673,Orders!$A$2:$D$1201,3,FALSE)</f>
        <v>46051</v>
      </c>
      <c r="L1673" t="str">
        <f>VLOOKUP(C1673,Products!$A$2:$D$13,2,FALSE)</f>
        <v>Monitor</v>
      </c>
      <c r="M1673" t="str">
        <f t="shared" si="80"/>
        <v>2026-01</v>
      </c>
    </row>
    <row r="1674" spans="1:13">
      <c r="A1674">
        <v>1673</v>
      </c>
      <c r="B1674">
        <v>1814</v>
      </c>
      <c r="C1674">
        <v>5</v>
      </c>
      <c r="D1674">
        <v>3</v>
      </c>
      <c r="E1674">
        <v>180</v>
      </c>
      <c r="F1674">
        <f t="shared" si="78"/>
        <v>540</v>
      </c>
      <c r="G1674" t="str">
        <f>VLOOKUP(B1674,Orders!$A$2:$D$1201,4,FALSE)</f>
        <v>Delivered</v>
      </c>
      <c r="H1674">
        <f t="shared" si="79"/>
        <v>540</v>
      </c>
      <c r="I1674" s="12">
        <f>VLOOKUP(B1674,Orders!$A$2:$D$1201,3,FALSE)</f>
        <v>46051</v>
      </c>
      <c r="L1674" t="str">
        <f>VLOOKUP(C1674,Products!$A$2:$D$13,2,FALSE)</f>
        <v>Desk</v>
      </c>
      <c r="M1674" t="str">
        <f t="shared" si="80"/>
        <v>2026-01</v>
      </c>
    </row>
    <row r="1675" spans="1:13">
      <c r="A1675">
        <v>1674</v>
      </c>
      <c r="B1675">
        <v>1814</v>
      </c>
      <c r="C1675">
        <v>11</v>
      </c>
      <c r="D1675">
        <v>3</v>
      </c>
      <c r="E1675">
        <v>48</v>
      </c>
      <c r="F1675">
        <f t="shared" si="78"/>
        <v>144</v>
      </c>
      <c r="G1675" t="str">
        <f>VLOOKUP(B1675,Orders!$A$2:$D$1201,4,FALSE)</f>
        <v>Delivered</v>
      </c>
      <c r="H1675">
        <f t="shared" si="79"/>
        <v>144</v>
      </c>
      <c r="I1675" s="12">
        <f>VLOOKUP(B1675,Orders!$A$2:$D$1201,3,FALSE)</f>
        <v>46051</v>
      </c>
      <c r="L1675" t="str">
        <f>VLOOKUP(C1675,Products!$A$2:$D$13,2,FALSE)</f>
        <v>Backpack</v>
      </c>
      <c r="M1675" t="str">
        <f t="shared" si="80"/>
        <v>2026-01</v>
      </c>
    </row>
    <row r="1676" spans="1:13">
      <c r="A1676">
        <v>1675</v>
      </c>
      <c r="B1676">
        <v>1815</v>
      </c>
      <c r="C1676">
        <v>8</v>
      </c>
      <c r="D1676">
        <v>4</v>
      </c>
      <c r="E1676">
        <v>55</v>
      </c>
      <c r="F1676">
        <f t="shared" si="78"/>
        <v>220</v>
      </c>
      <c r="G1676" t="str">
        <f>VLOOKUP(B1676,Orders!$A$2:$D$1201,4,FALSE)</f>
        <v>Shipped</v>
      </c>
      <c r="H1676">
        <f t="shared" si="79"/>
        <v>220</v>
      </c>
      <c r="I1676" s="12">
        <f>VLOOKUP(B1676,Orders!$A$2:$D$1201,3,FALSE)</f>
        <v>46101</v>
      </c>
      <c r="L1676" t="str">
        <f>VLOOKUP(C1676,Products!$A$2:$D$13,2,FALSE)</f>
        <v>Webcam</v>
      </c>
      <c r="M1676" t="str">
        <f t="shared" si="80"/>
        <v>2026-03</v>
      </c>
    </row>
    <row r="1677" spans="1:13">
      <c r="A1677">
        <v>1676</v>
      </c>
      <c r="B1677">
        <v>1816</v>
      </c>
      <c r="C1677">
        <v>2</v>
      </c>
      <c r="D1677">
        <v>3</v>
      </c>
      <c r="E1677">
        <v>220</v>
      </c>
      <c r="F1677">
        <f t="shared" si="78"/>
        <v>660</v>
      </c>
      <c r="G1677" t="str">
        <f>VLOOKUP(B1677,Orders!$A$2:$D$1201,4,FALSE)</f>
        <v>Delivered</v>
      </c>
      <c r="H1677">
        <f t="shared" si="79"/>
        <v>660</v>
      </c>
      <c r="I1677" s="12">
        <f>VLOOKUP(B1677,Orders!$A$2:$D$1201,3,FALSE)</f>
        <v>46180</v>
      </c>
      <c r="L1677" t="str">
        <f>VLOOKUP(C1677,Products!$A$2:$D$13,2,FALSE)</f>
        <v>Monitor</v>
      </c>
      <c r="M1677" t="str">
        <f t="shared" si="80"/>
        <v>2026-06</v>
      </c>
    </row>
    <row r="1678" spans="1:13">
      <c r="A1678">
        <v>1677</v>
      </c>
      <c r="B1678">
        <v>1816</v>
      </c>
      <c r="C1678">
        <v>1</v>
      </c>
      <c r="D1678">
        <v>2</v>
      </c>
      <c r="E1678">
        <v>750</v>
      </c>
      <c r="F1678">
        <f t="shared" si="78"/>
        <v>1500</v>
      </c>
      <c r="G1678" t="str">
        <f>VLOOKUP(B1678,Orders!$A$2:$D$1201,4,FALSE)</f>
        <v>Delivered</v>
      </c>
      <c r="H1678">
        <f t="shared" si="79"/>
        <v>1500</v>
      </c>
      <c r="I1678" s="12">
        <f>VLOOKUP(B1678,Orders!$A$2:$D$1201,3,FALSE)</f>
        <v>46180</v>
      </c>
      <c r="L1678" t="str">
        <f>VLOOKUP(C1678,Products!$A$2:$D$13,2,FALSE)</f>
        <v>Laptop</v>
      </c>
      <c r="M1678" t="str">
        <f t="shared" si="80"/>
        <v>2026-06</v>
      </c>
    </row>
    <row r="1679" spans="1:13">
      <c r="A1679">
        <v>1678</v>
      </c>
      <c r="B1679">
        <v>1817</v>
      </c>
      <c r="C1679">
        <v>2</v>
      </c>
      <c r="D1679">
        <v>1</v>
      </c>
      <c r="E1679">
        <v>220</v>
      </c>
      <c r="F1679">
        <f t="shared" si="78"/>
        <v>220</v>
      </c>
      <c r="G1679" t="str">
        <f>VLOOKUP(B1679,Orders!$A$2:$D$1201,4,FALSE)</f>
        <v>Delivered</v>
      </c>
      <c r="H1679">
        <f t="shared" si="79"/>
        <v>220</v>
      </c>
      <c r="I1679" s="12">
        <f>VLOOKUP(B1679,Orders!$A$2:$D$1201,3,FALSE)</f>
        <v>46044</v>
      </c>
      <c r="L1679" t="str">
        <f>VLOOKUP(C1679,Products!$A$2:$D$13,2,FALSE)</f>
        <v>Monitor</v>
      </c>
      <c r="M1679" t="str">
        <f t="shared" si="80"/>
        <v>2026-01</v>
      </c>
    </row>
    <row r="1680" spans="1:13">
      <c r="A1680">
        <v>1679</v>
      </c>
      <c r="B1680">
        <v>1817</v>
      </c>
      <c r="C1680">
        <v>8</v>
      </c>
      <c r="D1680">
        <v>2</v>
      </c>
      <c r="E1680">
        <v>55</v>
      </c>
      <c r="F1680">
        <f t="shared" si="78"/>
        <v>110</v>
      </c>
      <c r="G1680" t="str">
        <f>VLOOKUP(B1680,Orders!$A$2:$D$1201,4,FALSE)</f>
        <v>Delivered</v>
      </c>
      <c r="H1680">
        <f t="shared" si="79"/>
        <v>110</v>
      </c>
      <c r="I1680" s="12">
        <f>VLOOKUP(B1680,Orders!$A$2:$D$1201,3,FALSE)</f>
        <v>46044</v>
      </c>
      <c r="L1680" t="str">
        <f>VLOOKUP(C1680,Products!$A$2:$D$13,2,FALSE)</f>
        <v>Webcam</v>
      </c>
      <c r="M1680" t="str">
        <f t="shared" si="80"/>
        <v>2026-01</v>
      </c>
    </row>
    <row r="1681" spans="1:13">
      <c r="A1681">
        <v>1680</v>
      </c>
      <c r="B1681">
        <v>1818</v>
      </c>
      <c r="C1681">
        <v>5</v>
      </c>
      <c r="D1681">
        <v>4</v>
      </c>
      <c r="E1681">
        <v>180</v>
      </c>
      <c r="F1681">
        <f t="shared" si="78"/>
        <v>720</v>
      </c>
      <c r="G1681" t="str">
        <f>VLOOKUP(B1681,Orders!$A$2:$D$1201,4,FALSE)</f>
        <v>Delivered</v>
      </c>
      <c r="H1681">
        <f t="shared" si="79"/>
        <v>720</v>
      </c>
      <c r="I1681" s="12">
        <f>VLOOKUP(B1681,Orders!$A$2:$D$1201,3,FALSE)</f>
        <v>46099</v>
      </c>
      <c r="L1681" t="str">
        <f>VLOOKUP(C1681,Products!$A$2:$D$13,2,FALSE)</f>
        <v>Desk</v>
      </c>
      <c r="M1681" t="str">
        <f t="shared" si="80"/>
        <v>2026-03</v>
      </c>
    </row>
    <row r="1682" spans="1:13">
      <c r="A1682">
        <v>1681</v>
      </c>
      <c r="B1682">
        <v>1818</v>
      </c>
      <c r="C1682">
        <v>2</v>
      </c>
      <c r="D1682">
        <v>2</v>
      </c>
      <c r="E1682">
        <v>220</v>
      </c>
      <c r="F1682">
        <f t="shared" si="78"/>
        <v>440</v>
      </c>
      <c r="G1682" t="str">
        <f>VLOOKUP(B1682,Orders!$A$2:$D$1201,4,FALSE)</f>
        <v>Delivered</v>
      </c>
      <c r="H1682">
        <f t="shared" si="79"/>
        <v>440</v>
      </c>
      <c r="I1682" s="12">
        <f>VLOOKUP(B1682,Orders!$A$2:$D$1201,3,FALSE)</f>
        <v>46099</v>
      </c>
      <c r="L1682" t="str">
        <f>VLOOKUP(C1682,Products!$A$2:$D$13,2,FALSE)</f>
        <v>Monitor</v>
      </c>
      <c r="M1682" t="str">
        <f t="shared" si="80"/>
        <v>2026-03</v>
      </c>
    </row>
    <row r="1683" spans="1:13">
      <c r="A1683">
        <v>1682</v>
      </c>
      <c r="B1683">
        <v>1818</v>
      </c>
      <c r="C1683">
        <v>8</v>
      </c>
      <c r="D1683">
        <v>2</v>
      </c>
      <c r="E1683">
        <v>55</v>
      </c>
      <c r="F1683">
        <f t="shared" si="78"/>
        <v>110</v>
      </c>
      <c r="G1683" t="str">
        <f>VLOOKUP(B1683,Orders!$A$2:$D$1201,4,FALSE)</f>
        <v>Delivered</v>
      </c>
      <c r="H1683">
        <f t="shared" si="79"/>
        <v>110</v>
      </c>
      <c r="I1683" s="12">
        <f>VLOOKUP(B1683,Orders!$A$2:$D$1201,3,FALSE)</f>
        <v>46099</v>
      </c>
      <c r="L1683" t="str">
        <f>VLOOKUP(C1683,Products!$A$2:$D$13,2,FALSE)</f>
        <v>Webcam</v>
      </c>
      <c r="M1683" t="str">
        <f t="shared" si="80"/>
        <v>2026-03</v>
      </c>
    </row>
    <row r="1684" spans="1:13">
      <c r="A1684">
        <v>1683</v>
      </c>
      <c r="B1684">
        <v>1819</v>
      </c>
      <c r="C1684">
        <v>3</v>
      </c>
      <c r="D1684">
        <v>4</v>
      </c>
      <c r="E1684">
        <v>45</v>
      </c>
      <c r="F1684">
        <f t="shared" si="78"/>
        <v>180</v>
      </c>
      <c r="G1684" t="str">
        <f>VLOOKUP(B1684,Orders!$A$2:$D$1201,4,FALSE)</f>
        <v>Delivered</v>
      </c>
      <c r="H1684">
        <f t="shared" si="79"/>
        <v>180</v>
      </c>
      <c r="I1684" s="12">
        <f>VLOOKUP(B1684,Orders!$A$2:$D$1201,3,FALSE)</f>
        <v>46073</v>
      </c>
      <c r="L1684" t="str">
        <f>VLOOKUP(C1684,Products!$A$2:$D$13,2,FALSE)</f>
        <v>Keyboard</v>
      </c>
      <c r="M1684" t="str">
        <f t="shared" si="80"/>
        <v>2026-02</v>
      </c>
    </row>
    <row r="1685" spans="1:13">
      <c r="A1685">
        <v>1684</v>
      </c>
      <c r="B1685">
        <v>1820</v>
      </c>
      <c r="C1685">
        <v>7</v>
      </c>
      <c r="D1685">
        <v>4</v>
      </c>
      <c r="E1685">
        <v>65</v>
      </c>
      <c r="F1685">
        <f t="shared" si="78"/>
        <v>260</v>
      </c>
      <c r="G1685" t="str">
        <f>VLOOKUP(B1685,Orders!$A$2:$D$1201,4,FALSE)</f>
        <v>Shipped</v>
      </c>
      <c r="H1685">
        <f t="shared" si="79"/>
        <v>260</v>
      </c>
      <c r="I1685" s="12">
        <f>VLOOKUP(B1685,Orders!$A$2:$D$1201,3,FALSE)</f>
        <v>46073</v>
      </c>
      <c r="L1685" t="str">
        <f>VLOOKUP(C1685,Products!$A$2:$D$13,2,FALSE)</f>
        <v>Headphones</v>
      </c>
      <c r="M1685" t="str">
        <f t="shared" si="80"/>
        <v>2026-02</v>
      </c>
    </row>
    <row r="1686" spans="1:13">
      <c r="A1686">
        <v>1685</v>
      </c>
      <c r="B1686">
        <v>1821</v>
      </c>
      <c r="C1686">
        <v>12</v>
      </c>
      <c r="D1686">
        <v>1</v>
      </c>
      <c r="E1686">
        <v>22</v>
      </c>
      <c r="F1686">
        <f t="shared" si="78"/>
        <v>22</v>
      </c>
      <c r="G1686" t="str">
        <f>VLOOKUP(B1686,Orders!$A$2:$D$1201,4,FALSE)</f>
        <v>Delivered</v>
      </c>
      <c r="H1686">
        <f t="shared" si="79"/>
        <v>22</v>
      </c>
      <c r="I1686" s="12">
        <f>VLOOKUP(B1686,Orders!$A$2:$D$1201,3,FALSE)</f>
        <v>46055</v>
      </c>
      <c r="L1686" t="str">
        <f>VLOOKUP(C1686,Products!$A$2:$D$13,2,FALSE)</f>
        <v>Storage Box</v>
      </c>
      <c r="M1686" t="str">
        <f t="shared" si="80"/>
        <v>2026-02</v>
      </c>
    </row>
    <row r="1687" spans="1:13">
      <c r="A1687">
        <v>1686</v>
      </c>
      <c r="B1687">
        <v>1821</v>
      </c>
      <c r="C1687">
        <v>7</v>
      </c>
      <c r="D1687">
        <v>1</v>
      </c>
      <c r="E1687">
        <v>65</v>
      </c>
      <c r="F1687">
        <f t="shared" si="78"/>
        <v>65</v>
      </c>
      <c r="G1687" t="str">
        <f>VLOOKUP(B1687,Orders!$A$2:$D$1201,4,FALSE)</f>
        <v>Delivered</v>
      </c>
      <c r="H1687">
        <f t="shared" si="79"/>
        <v>65</v>
      </c>
      <c r="I1687" s="12">
        <f>VLOOKUP(B1687,Orders!$A$2:$D$1201,3,FALSE)</f>
        <v>46055</v>
      </c>
      <c r="L1687" t="str">
        <f>VLOOKUP(C1687,Products!$A$2:$D$13,2,FALSE)</f>
        <v>Headphones</v>
      </c>
      <c r="M1687" t="str">
        <f t="shared" si="80"/>
        <v>2026-02</v>
      </c>
    </row>
    <row r="1688" spans="1:13">
      <c r="A1688">
        <v>1687</v>
      </c>
      <c r="B1688">
        <v>1821</v>
      </c>
      <c r="C1688">
        <v>3</v>
      </c>
      <c r="D1688">
        <v>1</v>
      </c>
      <c r="E1688">
        <v>45</v>
      </c>
      <c r="F1688">
        <f t="shared" si="78"/>
        <v>45</v>
      </c>
      <c r="G1688" t="str">
        <f>VLOOKUP(B1688,Orders!$A$2:$D$1201,4,FALSE)</f>
        <v>Delivered</v>
      </c>
      <c r="H1688">
        <f t="shared" si="79"/>
        <v>45</v>
      </c>
      <c r="I1688" s="12">
        <f>VLOOKUP(B1688,Orders!$A$2:$D$1201,3,FALSE)</f>
        <v>46055</v>
      </c>
      <c r="L1688" t="str">
        <f>VLOOKUP(C1688,Products!$A$2:$D$13,2,FALSE)</f>
        <v>Keyboard</v>
      </c>
      <c r="M1688" t="str">
        <f t="shared" si="80"/>
        <v>2026-02</v>
      </c>
    </row>
    <row r="1689" spans="1:13">
      <c r="A1689">
        <v>1688</v>
      </c>
      <c r="B1689">
        <v>1822</v>
      </c>
      <c r="C1689">
        <v>10</v>
      </c>
      <c r="D1689">
        <v>4</v>
      </c>
      <c r="E1689">
        <v>8</v>
      </c>
      <c r="F1689">
        <f t="shared" si="78"/>
        <v>32</v>
      </c>
      <c r="G1689" t="str">
        <f>VLOOKUP(B1689,Orders!$A$2:$D$1201,4,FALSE)</f>
        <v>Delivered</v>
      </c>
      <c r="H1689">
        <f t="shared" si="79"/>
        <v>32</v>
      </c>
      <c r="I1689" s="12">
        <f>VLOOKUP(B1689,Orders!$A$2:$D$1201,3,FALSE)</f>
        <v>46083</v>
      </c>
      <c r="L1689" t="str">
        <f>VLOOKUP(C1689,Products!$A$2:$D$13,2,FALSE)</f>
        <v>Notebook</v>
      </c>
      <c r="M1689" t="str">
        <f t="shared" si="80"/>
        <v>2026-03</v>
      </c>
    </row>
    <row r="1690" spans="1:13">
      <c r="A1690">
        <v>1689</v>
      </c>
      <c r="B1690">
        <v>1822</v>
      </c>
      <c r="C1690">
        <v>1</v>
      </c>
      <c r="D1690">
        <v>4</v>
      </c>
      <c r="E1690">
        <v>750</v>
      </c>
      <c r="F1690">
        <f t="shared" si="78"/>
        <v>3000</v>
      </c>
      <c r="G1690" t="str">
        <f>VLOOKUP(B1690,Orders!$A$2:$D$1201,4,FALSE)</f>
        <v>Delivered</v>
      </c>
      <c r="H1690">
        <f t="shared" si="79"/>
        <v>3000</v>
      </c>
      <c r="I1690" s="12">
        <f>VLOOKUP(B1690,Orders!$A$2:$D$1201,3,FALSE)</f>
        <v>46083</v>
      </c>
      <c r="L1690" t="str">
        <f>VLOOKUP(C1690,Products!$A$2:$D$13,2,FALSE)</f>
        <v>Laptop</v>
      </c>
      <c r="M1690" t="str">
        <f t="shared" si="80"/>
        <v>2026-03</v>
      </c>
    </row>
    <row r="1691" spans="1:13">
      <c r="A1691">
        <v>1690</v>
      </c>
      <c r="B1691">
        <v>1823</v>
      </c>
      <c r="C1691">
        <v>4</v>
      </c>
      <c r="D1691">
        <v>3</v>
      </c>
      <c r="E1691">
        <v>25</v>
      </c>
      <c r="F1691">
        <f t="shared" si="78"/>
        <v>75</v>
      </c>
      <c r="G1691" t="str">
        <f>VLOOKUP(B1691,Orders!$A$2:$D$1201,4,FALSE)</f>
        <v>Delivered</v>
      </c>
      <c r="H1691">
        <f t="shared" si="79"/>
        <v>75</v>
      </c>
      <c r="I1691" s="12">
        <f>VLOOKUP(B1691,Orders!$A$2:$D$1201,3,FALSE)</f>
        <v>46181</v>
      </c>
      <c r="L1691" t="str">
        <f>VLOOKUP(C1691,Products!$A$2:$D$13,2,FALSE)</f>
        <v>Mouse</v>
      </c>
      <c r="M1691" t="str">
        <f t="shared" si="80"/>
        <v>2026-06</v>
      </c>
    </row>
    <row r="1692" spans="1:13">
      <c r="A1692">
        <v>1691</v>
      </c>
      <c r="B1692">
        <v>1824</v>
      </c>
      <c r="C1692">
        <v>12</v>
      </c>
      <c r="D1692">
        <v>2</v>
      </c>
      <c r="E1692">
        <v>22</v>
      </c>
      <c r="F1692">
        <f t="shared" si="78"/>
        <v>44</v>
      </c>
      <c r="G1692" t="str">
        <f>VLOOKUP(B1692,Orders!$A$2:$D$1201,4,FALSE)</f>
        <v>Delivered</v>
      </c>
      <c r="H1692">
        <f t="shared" si="79"/>
        <v>44</v>
      </c>
      <c r="I1692" s="12">
        <f>VLOOKUP(B1692,Orders!$A$2:$D$1201,3,FALSE)</f>
        <v>46193</v>
      </c>
      <c r="L1692" t="str">
        <f>VLOOKUP(C1692,Products!$A$2:$D$13,2,FALSE)</f>
        <v>Storage Box</v>
      </c>
      <c r="M1692" t="str">
        <f t="shared" si="80"/>
        <v>2026-06</v>
      </c>
    </row>
    <row r="1693" spans="1:13">
      <c r="A1693">
        <v>1692</v>
      </c>
      <c r="B1693">
        <v>1824</v>
      </c>
      <c r="C1693">
        <v>2</v>
      </c>
      <c r="D1693">
        <v>2</v>
      </c>
      <c r="E1693">
        <v>220</v>
      </c>
      <c r="F1693">
        <f t="shared" si="78"/>
        <v>440</v>
      </c>
      <c r="G1693" t="str">
        <f>VLOOKUP(B1693,Orders!$A$2:$D$1201,4,FALSE)</f>
        <v>Delivered</v>
      </c>
      <c r="H1693">
        <f t="shared" si="79"/>
        <v>440</v>
      </c>
      <c r="I1693" s="12">
        <f>VLOOKUP(B1693,Orders!$A$2:$D$1201,3,FALSE)</f>
        <v>46193</v>
      </c>
      <c r="L1693" t="str">
        <f>VLOOKUP(C1693,Products!$A$2:$D$13,2,FALSE)</f>
        <v>Monitor</v>
      </c>
      <c r="M1693" t="str">
        <f t="shared" si="80"/>
        <v>2026-06</v>
      </c>
    </row>
    <row r="1694" spans="1:13">
      <c r="A1694">
        <v>1693</v>
      </c>
      <c r="B1694">
        <v>1825</v>
      </c>
      <c r="C1694">
        <v>4</v>
      </c>
      <c r="D1694">
        <v>4</v>
      </c>
      <c r="E1694">
        <v>25</v>
      </c>
      <c r="F1694">
        <f t="shared" si="78"/>
        <v>100</v>
      </c>
      <c r="G1694" t="str">
        <f>VLOOKUP(B1694,Orders!$A$2:$D$1201,4,FALSE)</f>
        <v>Delivered</v>
      </c>
      <c r="H1694">
        <f t="shared" si="79"/>
        <v>100</v>
      </c>
      <c r="I1694" s="12">
        <f>VLOOKUP(B1694,Orders!$A$2:$D$1201,3,FALSE)</f>
        <v>46053</v>
      </c>
      <c r="L1694" t="str">
        <f>VLOOKUP(C1694,Products!$A$2:$D$13,2,FALSE)</f>
        <v>Mouse</v>
      </c>
      <c r="M1694" t="str">
        <f t="shared" si="80"/>
        <v>2026-01</v>
      </c>
    </row>
    <row r="1695" spans="1:13">
      <c r="A1695">
        <v>1694</v>
      </c>
      <c r="B1695">
        <v>1825</v>
      </c>
      <c r="C1695">
        <v>3</v>
      </c>
      <c r="D1695">
        <v>1</v>
      </c>
      <c r="E1695">
        <v>45</v>
      </c>
      <c r="F1695">
        <f t="shared" si="78"/>
        <v>45</v>
      </c>
      <c r="G1695" t="str">
        <f>VLOOKUP(B1695,Orders!$A$2:$D$1201,4,FALSE)</f>
        <v>Delivered</v>
      </c>
      <c r="H1695">
        <f t="shared" si="79"/>
        <v>45</v>
      </c>
      <c r="I1695" s="12">
        <f>VLOOKUP(B1695,Orders!$A$2:$D$1201,3,FALSE)</f>
        <v>46053</v>
      </c>
      <c r="L1695" t="str">
        <f>VLOOKUP(C1695,Products!$A$2:$D$13,2,FALSE)</f>
        <v>Keyboard</v>
      </c>
      <c r="M1695" t="str">
        <f t="shared" si="80"/>
        <v>2026-01</v>
      </c>
    </row>
    <row r="1696" spans="1:13">
      <c r="A1696">
        <v>1695</v>
      </c>
      <c r="B1696">
        <v>1826</v>
      </c>
      <c r="C1696">
        <v>6</v>
      </c>
      <c r="D1696">
        <v>4</v>
      </c>
      <c r="E1696">
        <v>140</v>
      </c>
      <c r="F1696">
        <f t="shared" si="78"/>
        <v>560</v>
      </c>
      <c r="G1696" t="str">
        <f>VLOOKUP(B1696,Orders!$A$2:$D$1201,4,FALSE)</f>
        <v>Delivered</v>
      </c>
      <c r="H1696">
        <f t="shared" si="79"/>
        <v>560</v>
      </c>
      <c r="I1696" s="12">
        <f>VLOOKUP(B1696,Orders!$A$2:$D$1201,3,FALSE)</f>
        <v>46157</v>
      </c>
      <c r="L1696" t="str">
        <f>VLOOKUP(C1696,Products!$A$2:$D$13,2,FALSE)</f>
        <v>Chair</v>
      </c>
      <c r="M1696" t="str">
        <f t="shared" si="80"/>
        <v>2026-05</v>
      </c>
    </row>
    <row r="1697" spans="1:13">
      <c r="A1697">
        <v>1696</v>
      </c>
      <c r="B1697">
        <v>1827</v>
      </c>
      <c r="C1697">
        <v>12</v>
      </c>
      <c r="D1697">
        <v>2</v>
      </c>
      <c r="E1697">
        <v>22</v>
      </c>
      <c r="F1697">
        <f t="shared" si="78"/>
        <v>44</v>
      </c>
      <c r="G1697" t="str">
        <f>VLOOKUP(B1697,Orders!$A$2:$D$1201,4,FALSE)</f>
        <v>Delivered</v>
      </c>
      <c r="H1697">
        <f t="shared" si="79"/>
        <v>44</v>
      </c>
      <c r="I1697" s="12">
        <f>VLOOKUP(B1697,Orders!$A$2:$D$1201,3,FALSE)</f>
        <v>46051</v>
      </c>
      <c r="L1697" t="str">
        <f>VLOOKUP(C1697,Products!$A$2:$D$13,2,FALSE)</f>
        <v>Storage Box</v>
      </c>
      <c r="M1697" t="str">
        <f t="shared" si="80"/>
        <v>2026-01</v>
      </c>
    </row>
    <row r="1698" spans="1:13">
      <c r="A1698">
        <v>1697</v>
      </c>
      <c r="B1698">
        <v>1827</v>
      </c>
      <c r="C1698">
        <v>7</v>
      </c>
      <c r="D1698">
        <v>3</v>
      </c>
      <c r="E1698">
        <v>65</v>
      </c>
      <c r="F1698">
        <f t="shared" si="78"/>
        <v>195</v>
      </c>
      <c r="G1698" t="str">
        <f>VLOOKUP(B1698,Orders!$A$2:$D$1201,4,FALSE)</f>
        <v>Delivered</v>
      </c>
      <c r="H1698">
        <f t="shared" si="79"/>
        <v>195</v>
      </c>
      <c r="I1698" s="12">
        <f>VLOOKUP(B1698,Orders!$A$2:$D$1201,3,FALSE)</f>
        <v>46051</v>
      </c>
      <c r="L1698" t="str">
        <f>VLOOKUP(C1698,Products!$A$2:$D$13,2,FALSE)</f>
        <v>Headphones</v>
      </c>
      <c r="M1698" t="str">
        <f t="shared" si="80"/>
        <v>2026-01</v>
      </c>
    </row>
    <row r="1699" spans="1:13">
      <c r="A1699">
        <v>1698</v>
      </c>
      <c r="B1699">
        <v>1828</v>
      </c>
      <c r="C1699">
        <v>10</v>
      </c>
      <c r="D1699">
        <v>4</v>
      </c>
      <c r="E1699">
        <v>8</v>
      </c>
      <c r="F1699">
        <f t="shared" si="78"/>
        <v>32</v>
      </c>
      <c r="G1699" t="str">
        <f>VLOOKUP(B1699,Orders!$A$2:$D$1201,4,FALSE)</f>
        <v>Delivered</v>
      </c>
      <c r="H1699">
        <f t="shared" si="79"/>
        <v>32</v>
      </c>
      <c r="I1699" s="12">
        <f>VLOOKUP(B1699,Orders!$A$2:$D$1201,3,FALSE)</f>
        <v>46105</v>
      </c>
      <c r="L1699" t="str">
        <f>VLOOKUP(C1699,Products!$A$2:$D$13,2,FALSE)</f>
        <v>Notebook</v>
      </c>
      <c r="M1699" t="str">
        <f t="shared" si="80"/>
        <v>2026-03</v>
      </c>
    </row>
    <row r="1700" spans="1:13">
      <c r="A1700">
        <v>1699</v>
      </c>
      <c r="B1700">
        <v>1828</v>
      </c>
      <c r="C1700">
        <v>2</v>
      </c>
      <c r="D1700">
        <v>2</v>
      </c>
      <c r="E1700">
        <v>220</v>
      </c>
      <c r="F1700">
        <f t="shared" si="78"/>
        <v>440</v>
      </c>
      <c r="G1700" t="str">
        <f>VLOOKUP(B1700,Orders!$A$2:$D$1201,4,FALSE)</f>
        <v>Delivered</v>
      </c>
      <c r="H1700">
        <f t="shared" si="79"/>
        <v>440</v>
      </c>
      <c r="I1700" s="12">
        <f>VLOOKUP(B1700,Orders!$A$2:$D$1201,3,FALSE)</f>
        <v>46105</v>
      </c>
      <c r="L1700" t="str">
        <f>VLOOKUP(C1700,Products!$A$2:$D$13,2,FALSE)</f>
        <v>Monitor</v>
      </c>
      <c r="M1700" t="str">
        <f t="shared" si="80"/>
        <v>2026-03</v>
      </c>
    </row>
    <row r="1701" spans="1:13">
      <c r="A1701">
        <v>1700</v>
      </c>
      <c r="B1701">
        <v>1829</v>
      </c>
      <c r="C1701">
        <v>6</v>
      </c>
      <c r="D1701">
        <v>3</v>
      </c>
      <c r="E1701">
        <v>140</v>
      </c>
      <c r="F1701">
        <f t="shared" si="78"/>
        <v>420</v>
      </c>
      <c r="G1701" t="str">
        <f>VLOOKUP(B1701,Orders!$A$2:$D$1201,4,FALSE)</f>
        <v>Delivered</v>
      </c>
      <c r="H1701">
        <f t="shared" si="79"/>
        <v>420</v>
      </c>
      <c r="I1701" s="12">
        <f>VLOOKUP(B1701,Orders!$A$2:$D$1201,3,FALSE)</f>
        <v>46047</v>
      </c>
      <c r="L1701" t="str">
        <f>VLOOKUP(C1701,Products!$A$2:$D$13,2,FALSE)</f>
        <v>Chair</v>
      </c>
      <c r="M1701" t="str">
        <f t="shared" si="80"/>
        <v>2026-01</v>
      </c>
    </row>
    <row r="1702" spans="1:13">
      <c r="A1702">
        <v>1701</v>
      </c>
      <c r="B1702">
        <v>1830</v>
      </c>
      <c r="C1702">
        <v>10</v>
      </c>
      <c r="D1702">
        <v>4</v>
      </c>
      <c r="E1702">
        <v>8</v>
      </c>
      <c r="F1702">
        <f t="shared" si="78"/>
        <v>32</v>
      </c>
      <c r="G1702" t="str">
        <f>VLOOKUP(B1702,Orders!$A$2:$D$1201,4,FALSE)</f>
        <v>Delivered</v>
      </c>
      <c r="H1702">
        <f t="shared" si="79"/>
        <v>32</v>
      </c>
      <c r="I1702" s="12">
        <f>VLOOKUP(B1702,Orders!$A$2:$D$1201,3,FALSE)</f>
        <v>46177</v>
      </c>
      <c r="L1702" t="str">
        <f>VLOOKUP(C1702,Products!$A$2:$D$13,2,FALSE)</f>
        <v>Notebook</v>
      </c>
      <c r="M1702" t="str">
        <f t="shared" si="80"/>
        <v>2026-06</v>
      </c>
    </row>
    <row r="1703" spans="1:13">
      <c r="A1703">
        <v>1702</v>
      </c>
      <c r="B1703">
        <v>1831</v>
      </c>
      <c r="C1703">
        <v>12</v>
      </c>
      <c r="D1703">
        <v>4</v>
      </c>
      <c r="E1703">
        <v>22</v>
      </c>
      <c r="F1703">
        <f t="shared" si="78"/>
        <v>88</v>
      </c>
      <c r="G1703" t="str">
        <f>VLOOKUP(B1703,Orders!$A$2:$D$1201,4,FALSE)</f>
        <v>Delivered</v>
      </c>
      <c r="H1703">
        <f t="shared" si="79"/>
        <v>88</v>
      </c>
      <c r="I1703" s="12">
        <f>VLOOKUP(B1703,Orders!$A$2:$D$1201,3,FALSE)</f>
        <v>46053</v>
      </c>
      <c r="L1703" t="str">
        <f>VLOOKUP(C1703,Products!$A$2:$D$13,2,FALSE)</f>
        <v>Storage Box</v>
      </c>
      <c r="M1703" t="str">
        <f t="shared" si="80"/>
        <v>2026-01</v>
      </c>
    </row>
    <row r="1704" spans="1:13">
      <c r="A1704">
        <v>1703</v>
      </c>
      <c r="B1704">
        <v>1832</v>
      </c>
      <c r="C1704">
        <v>12</v>
      </c>
      <c r="D1704">
        <v>2</v>
      </c>
      <c r="E1704">
        <v>22</v>
      </c>
      <c r="F1704">
        <f t="shared" si="78"/>
        <v>44</v>
      </c>
      <c r="G1704" t="str">
        <f>VLOOKUP(B1704,Orders!$A$2:$D$1201,4,FALSE)</f>
        <v>Delivered</v>
      </c>
      <c r="H1704">
        <f t="shared" si="79"/>
        <v>44</v>
      </c>
      <c r="I1704" s="12">
        <f>VLOOKUP(B1704,Orders!$A$2:$D$1201,3,FALSE)</f>
        <v>46100</v>
      </c>
      <c r="L1704" t="str">
        <f>VLOOKUP(C1704,Products!$A$2:$D$13,2,FALSE)</f>
        <v>Storage Box</v>
      </c>
      <c r="M1704" t="str">
        <f t="shared" si="80"/>
        <v>2026-03</v>
      </c>
    </row>
    <row r="1705" spans="1:13">
      <c r="A1705">
        <v>1704</v>
      </c>
      <c r="B1705">
        <v>1832</v>
      </c>
      <c r="C1705">
        <v>3</v>
      </c>
      <c r="D1705">
        <v>2</v>
      </c>
      <c r="E1705">
        <v>45</v>
      </c>
      <c r="F1705">
        <f t="shared" si="78"/>
        <v>90</v>
      </c>
      <c r="G1705" t="str">
        <f>VLOOKUP(B1705,Orders!$A$2:$D$1201,4,FALSE)</f>
        <v>Delivered</v>
      </c>
      <c r="H1705">
        <f t="shared" si="79"/>
        <v>90</v>
      </c>
      <c r="I1705" s="12">
        <f>VLOOKUP(B1705,Orders!$A$2:$D$1201,3,FALSE)</f>
        <v>46100</v>
      </c>
      <c r="L1705" t="str">
        <f>VLOOKUP(C1705,Products!$A$2:$D$13,2,FALSE)</f>
        <v>Keyboard</v>
      </c>
      <c r="M1705" t="str">
        <f t="shared" si="80"/>
        <v>2026-03</v>
      </c>
    </row>
    <row r="1706" spans="1:13">
      <c r="A1706">
        <v>1705</v>
      </c>
      <c r="B1706">
        <v>1832</v>
      </c>
      <c r="C1706">
        <v>1</v>
      </c>
      <c r="D1706">
        <v>4</v>
      </c>
      <c r="E1706">
        <v>750</v>
      </c>
      <c r="F1706">
        <f t="shared" si="78"/>
        <v>3000</v>
      </c>
      <c r="G1706" t="str">
        <f>VLOOKUP(B1706,Orders!$A$2:$D$1201,4,FALSE)</f>
        <v>Delivered</v>
      </c>
      <c r="H1706">
        <f t="shared" si="79"/>
        <v>3000</v>
      </c>
      <c r="I1706" s="12">
        <f>VLOOKUP(B1706,Orders!$A$2:$D$1201,3,FALSE)</f>
        <v>46100</v>
      </c>
      <c r="L1706" t="str">
        <f>VLOOKUP(C1706,Products!$A$2:$D$13,2,FALSE)</f>
        <v>Laptop</v>
      </c>
      <c r="M1706" t="str">
        <f t="shared" si="80"/>
        <v>2026-03</v>
      </c>
    </row>
    <row r="1707" spans="1:13">
      <c r="A1707">
        <v>1706</v>
      </c>
      <c r="B1707">
        <v>1833</v>
      </c>
      <c r="C1707">
        <v>12</v>
      </c>
      <c r="D1707">
        <v>1</v>
      </c>
      <c r="E1707">
        <v>22</v>
      </c>
      <c r="F1707">
        <f t="shared" si="78"/>
        <v>22</v>
      </c>
      <c r="G1707" t="str">
        <f>VLOOKUP(B1707,Orders!$A$2:$D$1201,4,FALSE)</f>
        <v>Cancelled</v>
      </c>
      <c r="H1707">
        <f t="shared" si="79"/>
        <v>0</v>
      </c>
      <c r="I1707" s="12">
        <f>VLOOKUP(B1707,Orders!$A$2:$D$1201,3,FALSE)</f>
        <v>46111</v>
      </c>
      <c r="L1707" t="str">
        <f>VLOOKUP(C1707,Products!$A$2:$D$13,2,FALSE)</f>
        <v>Storage Box</v>
      </c>
      <c r="M1707" t="str">
        <f t="shared" si="80"/>
        <v>2026-03</v>
      </c>
    </row>
    <row r="1708" spans="1:13">
      <c r="A1708">
        <v>1707</v>
      </c>
      <c r="B1708">
        <v>1833</v>
      </c>
      <c r="C1708">
        <v>2</v>
      </c>
      <c r="D1708">
        <v>4</v>
      </c>
      <c r="E1708">
        <v>220</v>
      </c>
      <c r="F1708">
        <f t="shared" si="78"/>
        <v>880</v>
      </c>
      <c r="G1708" t="str">
        <f>VLOOKUP(B1708,Orders!$A$2:$D$1201,4,FALSE)</f>
        <v>Cancelled</v>
      </c>
      <c r="H1708">
        <f t="shared" si="79"/>
        <v>0</v>
      </c>
      <c r="I1708" s="12">
        <f>VLOOKUP(B1708,Orders!$A$2:$D$1201,3,FALSE)</f>
        <v>46111</v>
      </c>
      <c r="L1708" t="str">
        <f>VLOOKUP(C1708,Products!$A$2:$D$13,2,FALSE)</f>
        <v>Monitor</v>
      </c>
      <c r="M1708" t="str">
        <f t="shared" si="80"/>
        <v>2026-03</v>
      </c>
    </row>
    <row r="1709" spans="1:13">
      <c r="A1709">
        <v>1708</v>
      </c>
      <c r="B1709">
        <v>1833</v>
      </c>
      <c r="C1709">
        <v>7</v>
      </c>
      <c r="D1709">
        <v>4</v>
      </c>
      <c r="E1709">
        <v>65</v>
      </c>
      <c r="F1709">
        <f t="shared" si="78"/>
        <v>260</v>
      </c>
      <c r="G1709" t="str">
        <f>VLOOKUP(B1709,Orders!$A$2:$D$1201,4,FALSE)</f>
        <v>Cancelled</v>
      </c>
      <c r="H1709">
        <f t="shared" si="79"/>
        <v>0</v>
      </c>
      <c r="I1709" s="12">
        <f>VLOOKUP(B1709,Orders!$A$2:$D$1201,3,FALSE)</f>
        <v>46111</v>
      </c>
      <c r="L1709" t="str">
        <f>VLOOKUP(C1709,Products!$A$2:$D$13,2,FALSE)</f>
        <v>Headphones</v>
      </c>
      <c r="M1709" t="str">
        <f t="shared" si="80"/>
        <v>2026-03</v>
      </c>
    </row>
    <row r="1710" spans="1:13">
      <c r="A1710">
        <v>1709</v>
      </c>
      <c r="B1710">
        <v>1834</v>
      </c>
      <c r="C1710">
        <v>3</v>
      </c>
      <c r="D1710">
        <v>3</v>
      </c>
      <c r="E1710">
        <v>45</v>
      </c>
      <c r="F1710">
        <f t="shared" si="78"/>
        <v>135</v>
      </c>
      <c r="G1710" t="str">
        <f>VLOOKUP(B1710,Orders!$A$2:$D$1201,4,FALSE)</f>
        <v>Shipped</v>
      </c>
      <c r="H1710">
        <f t="shared" si="79"/>
        <v>135</v>
      </c>
      <c r="I1710" s="12">
        <f>VLOOKUP(B1710,Orders!$A$2:$D$1201,3,FALSE)</f>
        <v>46157</v>
      </c>
      <c r="L1710" t="str">
        <f>VLOOKUP(C1710,Products!$A$2:$D$13,2,FALSE)</f>
        <v>Keyboard</v>
      </c>
      <c r="M1710" t="str">
        <f t="shared" si="80"/>
        <v>2026-05</v>
      </c>
    </row>
    <row r="1711" spans="1:13">
      <c r="A1711">
        <v>1710</v>
      </c>
      <c r="B1711">
        <v>1835</v>
      </c>
      <c r="C1711">
        <v>12</v>
      </c>
      <c r="D1711">
        <v>2</v>
      </c>
      <c r="E1711">
        <v>22</v>
      </c>
      <c r="F1711">
        <f t="shared" si="78"/>
        <v>44</v>
      </c>
      <c r="G1711" t="str">
        <f>VLOOKUP(B1711,Orders!$A$2:$D$1201,4,FALSE)</f>
        <v>Delivered</v>
      </c>
      <c r="H1711">
        <f t="shared" si="79"/>
        <v>44</v>
      </c>
      <c r="I1711" s="12">
        <f>VLOOKUP(B1711,Orders!$A$2:$D$1201,3,FALSE)</f>
        <v>46097</v>
      </c>
      <c r="L1711" t="str">
        <f>VLOOKUP(C1711,Products!$A$2:$D$13,2,FALSE)</f>
        <v>Storage Box</v>
      </c>
      <c r="M1711" t="str">
        <f t="shared" si="80"/>
        <v>2026-03</v>
      </c>
    </row>
    <row r="1712" spans="1:13">
      <c r="A1712">
        <v>1711</v>
      </c>
      <c r="B1712">
        <v>1836</v>
      </c>
      <c r="C1712">
        <v>9</v>
      </c>
      <c r="D1712">
        <v>4</v>
      </c>
      <c r="E1712">
        <v>30</v>
      </c>
      <c r="F1712">
        <f t="shared" si="78"/>
        <v>120</v>
      </c>
      <c r="G1712" t="str">
        <f>VLOOKUP(B1712,Orders!$A$2:$D$1201,4,FALSE)</f>
        <v>Delivered</v>
      </c>
      <c r="H1712">
        <f t="shared" si="79"/>
        <v>120</v>
      </c>
      <c r="I1712" s="12">
        <f>VLOOKUP(B1712,Orders!$A$2:$D$1201,3,FALSE)</f>
        <v>46042</v>
      </c>
      <c r="L1712" t="str">
        <f>VLOOKUP(C1712,Products!$A$2:$D$13,2,FALSE)</f>
        <v>Lamp</v>
      </c>
      <c r="M1712" t="str">
        <f t="shared" si="80"/>
        <v>2026-01</v>
      </c>
    </row>
    <row r="1713" spans="1:13">
      <c r="A1713">
        <v>1712</v>
      </c>
      <c r="B1713">
        <v>1836</v>
      </c>
      <c r="C1713">
        <v>7</v>
      </c>
      <c r="D1713">
        <v>3</v>
      </c>
      <c r="E1713">
        <v>65</v>
      </c>
      <c r="F1713">
        <f t="shared" si="78"/>
        <v>195</v>
      </c>
      <c r="G1713" t="str">
        <f>VLOOKUP(B1713,Orders!$A$2:$D$1201,4,FALSE)</f>
        <v>Delivered</v>
      </c>
      <c r="H1713">
        <f t="shared" si="79"/>
        <v>195</v>
      </c>
      <c r="I1713" s="12">
        <f>VLOOKUP(B1713,Orders!$A$2:$D$1201,3,FALSE)</f>
        <v>46042</v>
      </c>
      <c r="L1713" t="str">
        <f>VLOOKUP(C1713,Products!$A$2:$D$13,2,FALSE)</f>
        <v>Headphones</v>
      </c>
      <c r="M1713" t="str">
        <f t="shared" si="80"/>
        <v>2026-01</v>
      </c>
    </row>
    <row r="1714" spans="1:13">
      <c r="A1714">
        <v>1713</v>
      </c>
      <c r="B1714">
        <v>1837</v>
      </c>
      <c r="C1714">
        <v>9</v>
      </c>
      <c r="D1714">
        <v>3</v>
      </c>
      <c r="E1714">
        <v>30</v>
      </c>
      <c r="F1714">
        <f t="shared" si="78"/>
        <v>90</v>
      </c>
      <c r="G1714" t="str">
        <f>VLOOKUP(B1714,Orders!$A$2:$D$1201,4,FALSE)</f>
        <v>Delivered</v>
      </c>
      <c r="H1714">
        <f t="shared" si="79"/>
        <v>90</v>
      </c>
      <c r="I1714" s="12">
        <f>VLOOKUP(B1714,Orders!$A$2:$D$1201,3,FALSE)</f>
        <v>46201</v>
      </c>
      <c r="L1714" t="str">
        <f>VLOOKUP(C1714,Products!$A$2:$D$13,2,FALSE)</f>
        <v>Lamp</v>
      </c>
      <c r="M1714" t="str">
        <f t="shared" si="80"/>
        <v>2026-06</v>
      </c>
    </row>
    <row r="1715" spans="1:13">
      <c r="A1715">
        <v>1714</v>
      </c>
      <c r="B1715">
        <v>1837</v>
      </c>
      <c r="C1715">
        <v>12</v>
      </c>
      <c r="D1715">
        <v>3</v>
      </c>
      <c r="E1715">
        <v>22</v>
      </c>
      <c r="F1715">
        <f t="shared" si="78"/>
        <v>66</v>
      </c>
      <c r="G1715" t="str">
        <f>VLOOKUP(B1715,Orders!$A$2:$D$1201,4,FALSE)</f>
        <v>Delivered</v>
      </c>
      <c r="H1715">
        <f t="shared" si="79"/>
        <v>66</v>
      </c>
      <c r="I1715" s="12">
        <f>VLOOKUP(B1715,Orders!$A$2:$D$1201,3,FALSE)</f>
        <v>46201</v>
      </c>
      <c r="L1715" t="str">
        <f>VLOOKUP(C1715,Products!$A$2:$D$13,2,FALSE)</f>
        <v>Storage Box</v>
      </c>
      <c r="M1715" t="str">
        <f t="shared" si="80"/>
        <v>2026-06</v>
      </c>
    </row>
    <row r="1716" spans="1:13">
      <c r="A1716">
        <v>1715</v>
      </c>
      <c r="B1716">
        <v>1838</v>
      </c>
      <c r="C1716">
        <v>5</v>
      </c>
      <c r="D1716">
        <v>1</v>
      </c>
      <c r="E1716">
        <v>180</v>
      </c>
      <c r="F1716">
        <f t="shared" si="78"/>
        <v>180</v>
      </c>
      <c r="G1716" t="str">
        <f>VLOOKUP(B1716,Orders!$A$2:$D$1201,4,FALSE)</f>
        <v>Delivered</v>
      </c>
      <c r="H1716">
        <f t="shared" si="79"/>
        <v>180</v>
      </c>
      <c r="I1716" s="12">
        <f>VLOOKUP(B1716,Orders!$A$2:$D$1201,3,FALSE)</f>
        <v>46066</v>
      </c>
      <c r="L1716" t="str">
        <f>VLOOKUP(C1716,Products!$A$2:$D$13,2,FALSE)</f>
        <v>Desk</v>
      </c>
      <c r="M1716" t="str">
        <f t="shared" si="80"/>
        <v>2026-02</v>
      </c>
    </row>
    <row r="1717" spans="1:13">
      <c r="A1717">
        <v>1716</v>
      </c>
      <c r="B1717">
        <v>1839</v>
      </c>
      <c r="C1717">
        <v>4</v>
      </c>
      <c r="D1717">
        <v>1</v>
      </c>
      <c r="E1717">
        <v>25</v>
      </c>
      <c r="F1717">
        <f t="shared" si="78"/>
        <v>25</v>
      </c>
      <c r="G1717" t="str">
        <f>VLOOKUP(B1717,Orders!$A$2:$D$1201,4,FALSE)</f>
        <v>Cancelled</v>
      </c>
      <c r="H1717">
        <f t="shared" si="79"/>
        <v>0</v>
      </c>
      <c r="I1717" s="12">
        <f>VLOOKUP(B1717,Orders!$A$2:$D$1201,3,FALSE)</f>
        <v>46092</v>
      </c>
      <c r="L1717" t="str">
        <f>VLOOKUP(C1717,Products!$A$2:$D$13,2,FALSE)</f>
        <v>Mouse</v>
      </c>
      <c r="M1717" t="str">
        <f t="shared" si="80"/>
        <v>2026-03</v>
      </c>
    </row>
    <row r="1718" spans="1:13">
      <c r="A1718">
        <v>1717</v>
      </c>
      <c r="B1718">
        <v>1839</v>
      </c>
      <c r="C1718">
        <v>12</v>
      </c>
      <c r="D1718">
        <v>1</v>
      </c>
      <c r="E1718">
        <v>22</v>
      </c>
      <c r="F1718">
        <f t="shared" si="78"/>
        <v>22</v>
      </c>
      <c r="G1718" t="str">
        <f>VLOOKUP(B1718,Orders!$A$2:$D$1201,4,FALSE)</f>
        <v>Cancelled</v>
      </c>
      <c r="H1718">
        <f t="shared" si="79"/>
        <v>0</v>
      </c>
      <c r="I1718" s="12">
        <f>VLOOKUP(B1718,Orders!$A$2:$D$1201,3,FALSE)</f>
        <v>46092</v>
      </c>
      <c r="L1718" t="str">
        <f>VLOOKUP(C1718,Products!$A$2:$D$13,2,FALSE)</f>
        <v>Storage Box</v>
      </c>
      <c r="M1718" t="str">
        <f t="shared" si="80"/>
        <v>2026-03</v>
      </c>
    </row>
    <row r="1719" spans="1:13">
      <c r="A1719">
        <v>1718</v>
      </c>
      <c r="B1719">
        <v>1839</v>
      </c>
      <c r="C1719">
        <v>9</v>
      </c>
      <c r="D1719">
        <v>3</v>
      </c>
      <c r="E1719">
        <v>30</v>
      </c>
      <c r="F1719">
        <f t="shared" si="78"/>
        <v>90</v>
      </c>
      <c r="G1719" t="str">
        <f>VLOOKUP(B1719,Orders!$A$2:$D$1201,4,FALSE)</f>
        <v>Cancelled</v>
      </c>
      <c r="H1719">
        <f t="shared" si="79"/>
        <v>0</v>
      </c>
      <c r="I1719" s="12">
        <f>VLOOKUP(B1719,Orders!$A$2:$D$1201,3,FALSE)</f>
        <v>46092</v>
      </c>
      <c r="L1719" t="str">
        <f>VLOOKUP(C1719,Products!$A$2:$D$13,2,FALSE)</f>
        <v>Lamp</v>
      </c>
      <c r="M1719" t="str">
        <f t="shared" si="80"/>
        <v>2026-03</v>
      </c>
    </row>
    <row r="1720" spans="1:13">
      <c r="A1720">
        <v>1719</v>
      </c>
      <c r="B1720">
        <v>1840</v>
      </c>
      <c r="C1720">
        <v>2</v>
      </c>
      <c r="D1720">
        <v>3</v>
      </c>
      <c r="E1720">
        <v>220</v>
      </c>
      <c r="F1720">
        <f t="shared" si="78"/>
        <v>660</v>
      </c>
      <c r="G1720" t="str">
        <f>VLOOKUP(B1720,Orders!$A$2:$D$1201,4,FALSE)</f>
        <v>Delivered</v>
      </c>
      <c r="H1720">
        <f t="shared" si="79"/>
        <v>660</v>
      </c>
      <c r="I1720" s="12">
        <f>VLOOKUP(B1720,Orders!$A$2:$D$1201,3,FALSE)</f>
        <v>46184</v>
      </c>
      <c r="L1720" t="str">
        <f>VLOOKUP(C1720,Products!$A$2:$D$13,2,FALSE)</f>
        <v>Monitor</v>
      </c>
      <c r="M1720" t="str">
        <f t="shared" si="80"/>
        <v>2026-06</v>
      </c>
    </row>
    <row r="1721" spans="1:13">
      <c r="A1721">
        <v>1720</v>
      </c>
      <c r="B1721">
        <v>1840</v>
      </c>
      <c r="C1721">
        <v>9</v>
      </c>
      <c r="D1721">
        <v>2</v>
      </c>
      <c r="E1721">
        <v>30</v>
      </c>
      <c r="F1721">
        <f t="shared" si="78"/>
        <v>60</v>
      </c>
      <c r="G1721" t="str">
        <f>VLOOKUP(B1721,Orders!$A$2:$D$1201,4,FALSE)</f>
        <v>Delivered</v>
      </c>
      <c r="H1721">
        <f t="shared" si="79"/>
        <v>60</v>
      </c>
      <c r="I1721" s="12">
        <f>VLOOKUP(B1721,Orders!$A$2:$D$1201,3,FALSE)</f>
        <v>46184</v>
      </c>
      <c r="L1721" t="str">
        <f>VLOOKUP(C1721,Products!$A$2:$D$13,2,FALSE)</f>
        <v>Lamp</v>
      </c>
      <c r="M1721" t="str">
        <f t="shared" si="80"/>
        <v>2026-06</v>
      </c>
    </row>
    <row r="1722" spans="1:13">
      <c r="A1722">
        <v>1721</v>
      </c>
      <c r="B1722">
        <v>1841</v>
      </c>
      <c r="C1722">
        <v>12</v>
      </c>
      <c r="D1722">
        <v>3</v>
      </c>
      <c r="E1722">
        <v>22</v>
      </c>
      <c r="F1722">
        <f t="shared" si="78"/>
        <v>66</v>
      </c>
      <c r="G1722" t="str">
        <f>VLOOKUP(B1722,Orders!$A$2:$D$1201,4,FALSE)</f>
        <v>Delivered</v>
      </c>
      <c r="H1722">
        <f t="shared" si="79"/>
        <v>66</v>
      </c>
      <c r="I1722" s="12">
        <f>VLOOKUP(B1722,Orders!$A$2:$D$1201,3,FALSE)</f>
        <v>46183</v>
      </c>
      <c r="L1722" t="str">
        <f>VLOOKUP(C1722,Products!$A$2:$D$13,2,FALSE)</f>
        <v>Storage Box</v>
      </c>
      <c r="M1722" t="str">
        <f t="shared" si="80"/>
        <v>2026-06</v>
      </c>
    </row>
    <row r="1723" spans="1:13">
      <c r="A1723">
        <v>1722</v>
      </c>
      <c r="B1723">
        <v>1842</v>
      </c>
      <c r="C1723">
        <v>5</v>
      </c>
      <c r="D1723">
        <v>2</v>
      </c>
      <c r="E1723">
        <v>180</v>
      </c>
      <c r="F1723">
        <f t="shared" si="78"/>
        <v>360</v>
      </c>
      <c r="G1723" t="str">
        <f>VLOOKUP(B1723,Orders!$A$2:$D$1201,4,FALSE)</f>
        <v>Delivered</v>
      </c>
      <c r="H1723">
        <f t="shared" si="79"/>
        <v>360</v>
      </c>
      <c r="I1723" s="12">
        <f>VLOOKUP(B1723,Orders!$A$2:$D$1201,3,FALSE)</f>
        <v>46050</v>
      </c>
      <c r="L1723" t="str">
        <f>VLOOKUP(C1723,Products!$A$2:$D$13,2,FALSE)</f>
        <v>Desk</v>
      </c>
      <c r="M1723" t="str">
        <f t="shared" si="80"/>
        <v>2026-01</v>
      </c>
    </row>
    <row r="1724" spans="1:13">
      <c r="A1724">
        <v>1723</v>
      </c>
      <c r="B1724">
        <v>1842</v>
      </c>
      <c r="C1724">
        <v>11</v>
      </c>
      <c r="D1724">
        <v>4</v>
      </c>
      <c r="E1724">
        <v>48</v>
      </c>
      <c r="F1724">
        <f t="shared" si="78"/>
        <v>192</v>
      </c>
      <c r="G1724" t="str">
        <f>VLOOKUP(B1724,Orders!$A$2:$D$1201,4,FALSE)</f>
        <v>Delivered</v>
      </c>
      <c r="H1724">
        <f t="shared" si="79"/>
        <v>192</v>
      </c>
      <c r="I1724" s="12">
        <f>VLOOKUP(B1724,Orders!$A$2:$D$1201,3,FALSE)</f>
        <v>46050</v>
      </c>
      <c r="L1724" t="str">
        <f>VLOOKUP(C1724,Products!$A$2:$D$13,2,FALSE)</f>
        <v>Backpack</v>
      </c>
      <c r="M1724" t="str">
        <f t="shared" si="80"/>
        <v>2026-01</v>
      </c>
    </row>
    <row r="1725" spans="1:13">
      <c r="A1725">
        <v>1724</v>
      </c>
      <c r="B1725">
        <v>1842</v>
      </c>
      <c r="C1725">
        <v>10</v>
      </c>
      <c r="D1725">
        <v>2</v>
      </c>
      <c r="E1725">
        <v>8</v>
      </c>
      <c r="F1725">
        <f t="shared" si="78"/>
        <v>16</v>
      </c>
      <c r="G1725" t="str">
        <f>VLOOKUP(B1725,Orders!$A$2:$D$1201,4,FALSE)</f>
        <v>Delivered</v>
      </c>
      <c r="H1725">
        <f t="shared" si="79"/>
        <v>16</v>
      </c>
      <c r="I1725" s="12">
        <f>VLOOKUP(B1725,Orders!$A$2:$D$1201,3,FALSE)</f>
        <v>46050</v>
      </c>
      <c r="L1725" t="str">
        <f>VLOOKUP(C1725,Products!$A$2:$D$13,2,FALSE)</f>
        <v>Notebook</v>
      </c>
      <c r="M1725" t="str">
        <f t="shared" si="80"/>
        <v>2026-01</v>
      </c>
    </row>
    <row r="1726" spans="1:13">
      <c r="A1726">
        <v>1725</v>
      </c>
      <c r="B1726">
        <v>1843</v>
      </c>
      <c r="C1726">
        <v>3</v>
      </c>
      <c r="D1726">
        <v>1</v>
      </c>
      <c r="E1726">
        <v>45</v>
      </c>
      <c r="F1726">
        <f t="shared" si="78"/>
        <v>45</v>
      </c>
      <c r="G1726" t="str">
        <f>VLOOKUP(B1726,Orders!$A$2:$D$1201,4,FALSE)</f>
        <v>Delivered</v>
      </c>
      <c r="H1726">
        <f t="shared" si="79"/>
        <v>45</v>
      </c>
      <c r="I1726" s="12">
        <f>VLOOKUP(B1726,Orders!$A$2:$D$1201,3,FALSE)</f>
        <v>46062</v>
      </c>
      <c r="L1726" t="str">
        <f>VLOOKUP(C1726,Products!$A$2:$D$13,2,FALSE)</f>
        <v>Keyboard</v>
      </c>
      <c r="M1726" t="str">
        <f t="shared" si="80"/>
        <v>2026-02</v>
      </c>
    </row>
    <row r="1727" spans="1:13">
      <c r="A1727">
        <v>1726</v>
      </c>
      <c r="B1727">
        <v>1843</v>
      </c>
      <c r="C1727">
        <v>8</v>
      </c>
      <c r="D1727">
        <v>4</v>
      </c>
      <c r="E1727">
        <v>55</v>
      </c>
      <c r="F1727">
        <f t="shared" si="78"/>
        <v>220</v>
      </c>
      <c r="G1727" t="str">
        <f>VLOOKUP(B1727,Orders!$A$2:$D$1201,4,FALSE)</f>
        <v>Delivered</v>
      </c>
      <c r="H1727">
        <f t="shared" si="79"/>
        <v>220</v>
      </c>
      <c r="I1727" s="12">
        <f>VLOOKUP(B1727,Orders!$A$2:$D$1201,3,FALSE)</f>
        <v>46062</v>
      </c>
      <c r="L1727" t="str">
        <f>VLOOKUP(C1727,Products!$A$2:$D$13,2,FALSE)</f>
        <v>Webcam</v>
      </c>
      <c r="M1727" t="str">
        <f t="shared" si="80"/>
        <v>2026-02</v>
      </c>
    </row>
    <row r="1728" spans="1:13">
      <c r="A1728">
        <v>1727</v>
      </c>
      <c r="B1728">
        <v>1844</v>
      </c>
      <c r="C1728">
        <v>5</v>
      </c>
      <c r="D1728">
        <v>2</v>
      </c>
      <c r="E1728">
        <v>180</v>
      </c>
      <c r="F1728">
        <f t="shared" si="78"/>
        <v>360</v>
      </c>
      <c r="G1728" t="str">
        <f>VLOOKUP(B1728,Orders!$A$2:$D$1201,4,FALSE)</f>
        <v>Delivered</v>
      </c>
      <c r="H1728">
        <f t="shared" si="79"/>
        <v>360</v>
      </c>
      <c r="I1728" s="12">
        <f>VLOOKUP(B1728,Orders!$A$2:$D$1201,3,FALSE)</f>
        <v>46168</v>
      </c>
      <c r="L1728" t="str">
        <f>VLOOKUP(C1728,Products!$A$2:$D$13,2,FALSE)</f>
        <v>Desk</v>
      </c>
      <c r="M1728" t="str">
        <f t="shared" si="80"/>
        <v>2026-05</v>
      </c>
    </row>
    <row r="1729" spans="1:13">
      <c r="A1729">
        <v>1728</v>
      </c>
      <c r="B1729">
        <v>1844</v>
      </c>
      <c r="C1729">
        <v>1</v>
      </c>
      <c r="D1729">
        <v>2</v>
      </c>
      <c r="E1729">
        <v>750</v>
      </c>
      <c r="F1729">
        <f t="shared" si="78"/>
        <v>1500</v>
      </c>
      <c r="G1729" t="str">
        <f>VLOOKUP(B1729,Orders!$A$2:$D$1201,4,FALSE)</f>
        <v>Delivered</v>
      </c>
      <c r="H1729">
        <f t="shared" si="79"/>
        <v>1500</v>
      </c>
      <c r="I1729" s="12">
        <f>VLOOKUP(B1729,Orders!$A$2:$D$1201,3,FALSE)</f>
        <v>46168</v>
      </c>
      <c r="L1729" t="str">
        <f>VLOOKUP(C1729,Products!$A$2:$D$13,2,FALSE)</f>
        <v>Laptop</v>
      </c>
      <c r="M1729" t="str">
        <f t="shared" si="80"/>
        <v>2026-05</v>
      </c>
    </row>
    <row r="1730" spans="1:13">
      <c r="A1730">
        <v>1729</v>
      </c>
      <c r="B1730">
        <v>1844</v>
      </c>
      <c r="C1730">
        <v>12</v>
      </c>
      <c r="D1730">
        <v>4</v>
      </c>
      <c r="E1730">
        <v>22</v>
      </c>
      <c r="F1730">
        <f t="shared" si="78"/>
        <v>88</v>
      </c>
      <c r="G1730" t="str">
        <f>VLOOKUP(B1730,Orders!$A$2:$D$1201,4,FALSE)</f>
        <v>Delivered</v>
      </c>
      <c r="H1730">
        <f t="shared" si="79"/>
        <v>88</v>
      </c>
      <c r="I1730" s="12">
        <f>VLOOKUP(B1730,Orders!$A$2:$D$1201,3,FALSE)</f>
        <v>46168</v>
      </c>
      <c r="L1730" t="str">
        <f>VLOOKUP(C1730,Products!$A$2:$D$13,2,FALSE)</f>
        <v>Storage Box</v>
      </c>
      <c r="M1730" t="str">
        <f t="shared" si="80"/>
        <v>2026-05</v>
      </c>
    </row>
    <row r="1731" spans="1:13">
      <c r="A1731">
        <v>1730</v>
      </c>
      <c r="B1731">
        <v>1845</v>
      </c>
      <c r="C1731">
        <v>12</v>
      </c>
      <c r="D1731">
        <v>2</v>
      </c>
      <c r="E1731">
        <v>22</v>
      </c>
      <c r="F1731">
        <f t="shared" ref="F1731:F1794" si="81">D1731*E1731</f>
        <v>44</v>
      </c>
      <c r="G1731" t="str">
        <f>VLOOKUP(B1731,Orders!$A$2:$D$1201,4,FALSE)</f>
        <v>Delivered</v>
      </c>
      <c r="H1731">
        <f t="shared" ref="H1731:H1794" si="82">IF(G1731="Cancelled",0,F1731)</f>
        <v>44</v>
      </c>
      <c r="I1731" s="12">
        <f>VLOOKUP(B1731,Orders!$A$2:$D$1201,3,FALSE)</f>
        <v>46085</v>
      </c>
      <c r="L1731" t="str">
        <f>VLOOKUP(C1731,Products!$A$2:$D$13,2,FALSE)</f>
        <v>Storage Box</v>
      </c>
      <c r="M1731" t="str">
        <f t="shared" ref="M1731:M1794" si="83">TEXT(I1731,"yyyy-mm")</f>
        <v>2026-03</v>
      </c>
    </row>
    <row r="1732" spans="1:13">
      <c r="A1732">
        <v>1731</v>
      </c>
      <c r="B1732">
        <v>1846</v>
      </c>
      <c r="C1732">
        <v>1</v>
      </c>
      <c r="D1732">
        <v>1</v>
      </c>
      <c r="E1732">
        <v>750</v>
      </c>
      <c r="F1732">
        <f t="shared" si="81"/>
        <v>750</v>
      </c>
      <c r="G1732" t="str">
        <f>VLOOKUP(B1732,Orders!$A$2:$D$1201,4,FALSE)</f>
        <v>Delivered</v>
      </c>
      <c r="H1732">
        <f t="shared" si="82"/>
        <v>750</v>
      </c>
      <c r="I1732" s="12">
        <f>VLOOKUP(B1732,Orders!$A$2:$D$1201,3,FALSE)</f>
        <v>46121</v>
      </c>
      <c r="L1732" t="str">
        <f>VLOOKUP(C1732,Products!$A$2:$D$13,2,FALSE)</f>
        <v>Laptop</v>
      </c>
      <c r="M1732" t="str">
        <f t="shared" si="83"/>
        <v>2026-04</v>
      </c>
    </row>
    <row r="1733" spans="1:13">
      <c r="A1733">
        <v>1732</v>
      </c>
      <c r="B1733">
        <v>1846</v>
      </c>
      <c r="C1733">
        <v>3</v>
      </c>
      <c r="D1733">
        <v>3</v>
      </c>
      <c r="E1733">
        <v>45</v>
      </c>
      <c r="F1733">
        <f t="shared" si="81"/>
        <v>135</v>
      </c>
      <c r="G1733" t="str">
        <f>VLOOKUP(B1733,Orders!$A$2:$D$1201,4,FALSE)</f>
        <v>Delivered</v>
      </c>
      <c r="H1733">
        <f t="shared" si="82"/>
        <v>135</v>
      </c>
      <c r="I1733" s="12">
        <f>VLOOKUP(B1733,Orders!$A$2:$D$1201,3,FALSE)</f>
        <v>46121</v>
      </c>
      <c r="L1733" t="str">
        <f>VLOOKUP(C1733,Products!$A$2:$D$13,2,FALSE)</f>
        <v>Keyboard</v>
      </c>
      <c r="M1733" t="str">
        <f t="shared" si="83"/>
        <v>2026-04</v>
      </c>
    </row>
    <row r="1734" spans="1:13">
      <c r="A1734">
        <v>1733</v>
      </c>
      <c r="B1734">
        <v>1846</v>
      </c>
      <c r="C1734">
        <v>4</v>
      </c>
      <c r="D1734">
        <v>2</v>
      </c>
      <c r="E1734">
        <v>25</v>
      </c>
      <c r="F1734">
        <f t="shared" si="81"/>
        <v>50</v>
      </c>
      <c r="G1734" t="str">
        <f>VLOOKUP(B1734,Orders!$A$2:$D$1201,4,FALSE)</f>
        <v>Delivered</v>
      </c>
      <c r="H1734">
        <f t="shared" si="82"/>
        <v>50</v>
      </c>
      <c r="I1734" s="12">
        <f>VLOOKUP(B1734,Orders!$A$2:$D$1201,3,FALSE)</f>
        <v>46121</v>
      </c>
      <c r="L1734" t="str">
        <f>VLOOKUP(C1734,Products!$A$2:$D$13,2,FALSE)</f>
        <v>Mouse</v>
      </c>
      <c r="M1734" t="str">
        <f t="shared" si="83"/>
        <v>2026-04</v>
      </c>
    </row>
    <row r="1735" spans="1:13">
      <c r="A1735">
        <v>1734</v>
      </c>
      <c r="B1735">
        <v>1847</v>
      </c>
      <c r="C1735">
        <v>2</v>
      </c>
      <c r="D1735">
        <v>4</v>
      </c>
      <c r="E1735">
        <v>220</v>
      </c>
      <c r="F1735">
        <f t="shared" si="81"/>
        <v>880</v>
      </c>
      <c r="G1735" t="str">
        <f>VLOOKUP(B1735,Orders!$A$2:$D$1201,4,FALSE)</f>
        <v>Delivered</v>
      </c>
      <c r="H1735">
        <f t="shared" si="82"/>
        <v>880</v>
      </c>
      <c r="I1735" s="12">
        <f>VLOOKUP(B1735,Orders!$A$2:$D$1201,3,FALSE)</f>
        <v>46050</v>
      </c>
      <c r="L1735" t="str">
        <f>VLOOKUP(C1735,Products!$A$2:$D$13,2,FALSE)</f>
        <v>Monitor</v>
      </c>
      <c r="M1735" t="str">
        <f t="shared" si="83"/>
        <v>2026-01</v>
      </c>
    </row>
    <row r="1736" spans="1:13">
      <c r="A1736">
        <v>1735</v>
      </c>
      <c r="B1736">
        <v>1847</v>
      </c>
      <c r="C1736">
        <v>4</v>
      </c>
      <c r="D1736">
        <v>4</v>
      </c>
      <c r="E1736">
        <v>25</v>
      </c>
      <c r="F1736">
        <f t="shared" si="81"/>
        <v>100</v>
      </c>
      <c r="G1736" t="str">
        <f>VLOOKUP(B1736,Orders!$A$2:$D$1201,4,FALSE)</f>
        <v>Delivered</v>
      </c>
      <c r="H1736">
        <f t="shared" si="82"/>
        <v>100</v>
      </c>
      <c r="I1736" s="12">
        <f>VLOOKUP(B1736,Orders!$A$2:$D$1201,3,FALSE)</f>
        <v>46050</v>
      </c>
      <c r="L1736" t="str">
        <f>VLOOKUP(C1736,Products!$A$2:$D$13,2,FALSE)</f>
        <v>Mouse</v>
      </c>
      <c r="M1736" t="str">
        <f t="shared" si="83"/>
        <v>2026-01</v>
      </c>
    </row>
    <row r="1737" spans="1:13">
      <c r="A1737">
        <v>1736</v>
      </c>
      <c r="B1737">
        <v>1847</v>
      </c>
      <c r="C1737">
        <v>3</v>
      </c>
      <c r="D1737">
        <v>2</v>
      </c>
      <c r="E1737">
        <v>45</v>
      </c>
      <c r="F1737">
        <f t="shared" si="81"/>
        <v>90</v>
      </c>
      <c r="G1737" t="str">
        <f>VLOOKUP(B1737,Orders!$A$2:$D$1201,4,FALSE)</f>
        <v>Delivered</v>
      </c>
      <c r="H1737">
        <f t="shared" si="82"/>
        <v>90</v>
      </c>
      <c r="I1737" s="12">
        <f>VLOOKUP(B1737,Orders!$A$2:$D$1201,3,FALSE)</f>
        <v>46050</v>
      </c>
      <c r="L1737" t="str">
        <f>VLOOKUP(C1737,Products!$A$2:$D$13,2,FALSE)</f>
        <v>Keyboard</v>
      </c>
      <c r="M1737" t="str">
        <f t="shared" si="83"/>
        <v>2026-01</v>
      </c>
    </row>
    <row r="1738" spans="1:13">
      <c r="A1738">
        <v>1737</v>
      </c>
      <c r="B1738">
        <v>1848</v>
      </c>
      <c r="C1738">
        <v>1</v>
      </c>
      <c r="D1738">
        <v>1</v>
      </c>
      <c r="E1738">
        <v>750</v>
      </c>
      <c r="F1738">
        <f t="shared" si="81"/>
        <v>750</v>
      </c>
      <c r="G1738" t="str">
        <f>VLOOKUP(B1738,Orders!$A$2:$D$1201,4,FALSE)</f>
        <v>Delivered</v>
      </c>
      <c r="H1738">
        <f t="shared" si="82"/>
        <v>750</v>
      </c>
      <c r="I1738" s="12">
        <f>VLOOKUP(B1738,Orders!$A$2:$D$1201,3,FALSE)</f>
        <v>46200</v>
      </c>
      <c r="L1738" t="str">
        <f>VLOOKUP(C1738,Products!$A$2:$D$13,2,FALSE)</f>
        <v>Laptop</v>
      </c>
      <c r="M1738" t="str">
        <f t="shared" si="83"/>
        <v>2026-06</v>
      </c>
    </row>
    <row r="1739" spans="1:13">
      <c r="A1739">
        <v>1738</v>
      </c>
      <c r="B1739">
        <v>1849</v>
      </c>
      <c r="C1739">
        <v>4</v>
      </c>
      <c r="D1739">
        <v>4</v>
      </c>
      <c r="E1739">
        <v>25</v>
      </c>
      <c r="F1739">
        <f t="shared" si="81"/>
        <v>100</v>
      </c>
      <c r="G1739" t="str">
        <f>VLOOKUP(B1739,Orders!$A$2:$D$1201,4,FALSE)</f>
        <v>Delivered</v>
      </c>
      <c r="H1739">
        <f t="shared" si="82"/>
        <v>100</v>
      </c>
      <c r="I1739" s="12">
        <f>VLOOKUP(B1739,Orders!$A$2:$D$1201,3,FALSE)</f>
        <v>46059</v>
      </c>
      <c r="L1739" t="str">
        <f>VLOOKUP(C1739,Products!$A$2:$D$13,2,FALSE)</f>
        <v>Mouse</v>
      </c>
      <c r="M1739" t="str">
        <f t="shared" si="83"/>
        <v>2026-02</v>
      </c>
    </row>
    <row r="1740" spans="1:13">
      <c r="A1740">
        <v>1739</v>
      </c>
      <c r="B1740">
        <v>1850</v>
      </c>
      <c r="C1740">
        <v>3</v>
      </c>
      <c r="D1740">
        <v>2</v>
      </c>
      <c r="E1740">
        <v>45</v>
      </c>
      <c r="F1740">
        <f t="shared" si="81"/>
        <v>90</v>
      </c>
      <c r="G1740" t="str">
        <f>VLOOKUP(B1740,Orders!$A$2:$D$1201,4,FALSE)</f>
        <v>Delivered</v>
      </c>
      <c r="H1740">
        <f t="shared" si="82"/>
        <v>90</v>
      </c>
      <c r="I1740" s="12">
        <f>VLOOKUP(B1740,Orders!$A$2:$D$1201,3,FALSE)</f>
        <v>46121</v>
      </c>
      <c r="L1740" t="str">
        <f>VLOOKUP(C1740,Products!$A$2:$D$13,2,FALSE)</f>
        <v>Keyboard</v>
      </c>
      <c r="M1740" t="str">
        <f t="shared" si="83"/>
        <v>2026-04</v>
      </c>
    </row>
    <row r="1741" spans="1:13">
      <c r="A1741">
        <v>1740</v>
      </c>
      <c r="B1741">
        <v>1850</v>
      </c>
      <c r="C1741">
        <v>2</v>
      </c>
      <c r="D1741">
        <v>1</v>
      </c>
      <c r="E1741">
        <v>220</v>
      </c>
      <c r="F1741">
        <f t="shared" si="81"/>
        <v>220</v>
      </c>
      <c r="G1741" t="str">
        <f>VLOOKUP(B1741,Orders!$A$2:$D$1201,4,FALSE)</f>
        <v>Delivered</v>
      </c>
      <c r="H1741">
        <f t="shared" si="82"/>
        <v>220</v>
      </c>
      <c r="I1741" s="12">
        <f>VLOOKUP(B1741,Orders!$A$2:$D$1201,3,FALSE)</f>
        <v>46121</v>
      </c>
      <c r="L1741" t="str">
        <f>VLOOKUP(C1741,Products!$A$2:$D$13,2,FALSE)</f>
        <v>Monitor</v>
      </c>
      <c r="M1741" t="str">
        <f t="shared" si="83"/>
        <v>2026-04</v>
      </c>
    </row>
    <row r="1742" spans="1:13">
      <c r="A1742">
        <v>1741</v>
      </c>
      <c r="B1742">
        <v>1851</v>
      </c>
      <c r="C1742">
        <v>10</v>
      </c>
      <c r="D1742">
        <v>2</v>
      </c>
      <c r="E1742">
        <v>8</v>
      </c>
      <c r="F1742">
        <f t="shared" si="81"/>
        <v>16</v>
      </c>
      <c r="G1742" t="str">
        <f>VLOOKUP(B1742,Orders!$A$2:$D$1201,4,FALSE)</f>
        <v>Delivered</v>
      </c>
      <c r="H1742">
        <f t="shared" si="82"/>
        <v>16</v>
      </c>
      <c r="I1742" s="12">
        <f>VLOOKUP(B1742,Orders!$A$2:$D$1201,3,FALSE)</f>
        <v>46053</v>
      </c>
      <c r="L1742" t="str">
        <f>VLOOKUP(C1742,Products!$A$2:$D$13,2,FALSE)</f>
        <v>Notebook</v>
      </c>
      <c r="M1742" t="str">
        <f t="shared" si="83"/>
        <v>2026-01</v>
      </c>
    </row>
    <row r="1743" spans="1:13">
      <c r="A1743">
        <v>1742</v>
      </c>
      <c r="B1743">
        <v>1852</v>
      </c>
      <c r="C1743">
        <v>5</v>
      </c>
      <c r="D1743">
        <v>3</v>
      </c>
      <c r="E1743">
        <v>180</v>
      </c>
      <c r="F1743">
        <f t="shared" si="81"/>
        <v>540</v>
      </c>
      <c r="G1743" t="str">
        <f>VLOOKUP(B1743,Orders!$A$2:$D$1201,4,FALSE)</f>
        <v>Delivered</v>
      </c>
      <c r="H1743">
        <f t="shared" si="82"/>
        <v>540</v>
      </c>
      <c r="I1743" s="12">
        <f>VLOOKUP(B1743,Orders!$A$2:$D$1201,3,FALSE)</f>
        <v>46131</v>
      </c>
      <c r="L1743" t="str">
        <f>VLOOKUP(C1743,Products!$A$2:$D$13,2,FALSE)</f>
        <v>Desk</v>
      </c>
      <c r="M1743" t="str">
        <f t="shared" si="83"/>
        <v>2026-04</v>
      </c>
    </row>
    <row r="1744" spans="1:13">
      <c r="A1744">
        <v>1743</v>
      </c>
      <c r="B1744">
        <v>1852</v>
      </c>
      <c r="C1744">
        <v>6</v>
      </c>
      <c r="D1744">
        <v>4</v>
      </c>
      <c r="E1744">
        <v>140</v>
      </c>
      <c r="F1744">
        <f t="shared" si="81"/>
        <v>560</v>
      </c>
      <c r="G1744" t="str">
        <f>VLOOKUP(B1744,Orders!$A$2:$D$1201,4,FALSE)</f>
        <v>Delivered</v>
      </c>
      <c r="H1744">
        <f t="shared" si="82"/>
        <v>560</v>
      </c>
      <c r="I1744" s="12">
        <f>VLOOKUP(B1744,Orders!$A$2:$D$1201,3,FALSE)</f>
        <v>46131</v>
      </c>
      <c r="L1744" t="str">
        <f>VLOOKUP(C1744,Products!$A$2:$D$13,2,FALSE)</f>
        <v>Chair</v>
      </c>
      <c r="M1744" t="str">
        <f t="shared" si="83"/>
        <v>2026-04</v>
      </c>
    </row>
    <row r="1745" spans="1:13">
      <c r="A1745">
        <v>1744</v>
      </c>
      <c r="B1745">
        <v>1852</v>
      </c>
      <c r="C1745">
        <v>2</v>
      </c>
      <c r="D1745">
        <v>3</v>
      </c>
      <c r="E1745">
        <v>220</v>
      </c>
      <c r="F1745">
        <f t="shared" si="81"/>
        <v>660</v>
      </c>
      <c r="G1745" t="str">
        <f>VLOOKUP(B1745,Orders!$A$2:$D$1201,4,FALSE)</f>
        <v>Delivered</v>
      </c>
      <c r="H1745">
        <f t="shared" si="82"/>
        <v>660</v>
      </c>
      <c r="I1745" s="12">
        <f>VLOOKUP(B1745,Orders!$A$2:$D$1201,3,FALSE)</f>
        <v>46131</v>
      </c>
      <c r="L1745" t="str">
        <f>VLOOKUP(C1745,Products!$A$2:$D$13,2,FALSE)</f>
        <v>Monitor</v>
      </c>
      <c r="M1745" t="str">
        <f t="shared" si="83"/>
        <v>2026-04</v>
      </c>
    </row>
    <row r="1746" spans="1:13">
      <c r="A1746">
        <v>1745</v>
      </c>
      <c r="B1746">
        <v>1853</v>
      </c>
      <c r="C1746">
        <v>3</v>
      </c>
      <c r="D1746">
        <v>4</v>
      </c>
      <c r="E1746">
        <v>45</v>
      </c>
      <c r="F1746">
        <f t="shared" si="81"/>
        <v>180</v>
      </c>
      <c r="G1746" t="str">
        <f>VLOOKUP(B1746,Orders!$A$2:$D$1201,4,FALSE)</f>
        <v>Cancelled</v>
      </c>
      <c r="H1746">
        <f t="shared" si="82"/>
        <v>0</v>
      </c>
      <c r="I1746" s="12">
        <f>VLOOKUP(B1746,Orders!$A$2:$D$1201,3,FALSE)</f>
        <v>46023</v>
      </c>
      <c r="L1746" t="str">
        <f>VLOOKUP(C1746,Products!$A$2:$D$13,2,FALSE)</f>
        <v>Keyboard</v>
      </c>
      <c r="M1746" t="str">
        <f t="shared" si="83"/>
        <v>2026-01</v>
      </c>
    </row>
    <row r="1747" spans="1:13">
      <c r="A1747">
        <v>1746</v>
      </c>
      <c r="B1747">
        <v>1853</v>
      </c>
      <c r="C1747">
        <v>6</v>
      </c>
      <c r="D1747">
        <v>4</v>
      </c>
      <c r="E1747">
        <v>140</v>
      </c>
      <c r="F1747">
        <f t="shared" si="81"/>
        <v>560</v>
      </c>
      <c r="G1747" t="str">
        <f>VLOOKUP(B1747,Orders!$A$2:$D$1201,4,FALSE)</f>
        <v>Cancelled</v>
      </c>
      <c r="H1747">
        <f t="shared" si="82"/>
        <v>0</v>
      </c>
      <c r="I1747" s="12">
        <f>VLOOKUP(B1747,Orders!$A$2:$D$1201,3,FALSE)</f>
        <v>46023</v>
      </c>
      <c r="L1747" t="str">
        <f>VLOOKUP(C1747,Products!$A$2:$D$13,2,FALSE)</f>
        <v>Chair</v>
      </c>
      <c r="M1747" t="str">
        <f t="shared" si="83"/>
        <v>2026-01</v>
      </c>
    </row>
    <row r="1748" spans="1:13">
      <c r="A1748">
        <v>1747</v>
      </c>
      <c r="B1748">
        <v>1853</v>
      </c>
      <c r="C1748">
        <v>12</v>
      </c>
      <c r="D1748">
        <v>4</v>
      </c>
      <c r="E1748">
        <v>22</v>
      </c>
      <c r="F1748">
        <f t="shared" si="81"/>
        <v>88</v>
      </c>
      <c r="G1748" t="str">
        <f>VLOOKUP(B1748,Orders!$A$2:$D$1201,4,FALSE)</f>
        <v>Cancelled</v>
      </c>
      <c r="H1748">
        <f t="shared" si="82"/>
        <v>0</v>
      </c>
      <c r="I1748" s="12">
        <f>VLOOKUP(B1748,Orders!$A$2:$D$1201,3,FALSE)</f>
        <v>46023</v>
      </c>
      <c r="L1748" t="str">
        <f>VLOOKUP(C1748,Products!$A$2:$D$13,2,FALSE)</f>
        <v>Storage Box</v>
      </c>
      <c r="M1748" t="str">
        <f t="shared" si="83"/>
        <v>2026-01</v>
      </c>
    </row>
    <row r="1749" spans="1:13">
      <c r="A1749">
        <v>1748</v>
      </c>
      <c r="B1749">
        <v>1854</v>
      </c>
      <c r="C1749">
        <v>5</v>
      </c>
      <c r="D1749">
        <v>3</v>
      </c>
      <c r="E1749">
        <v>180</v>
      </c>
      <c r="F1749">
        <f t="shared" si="81"/>
        <v>540</v>
      </c>
      <c r="G1749" t="str">
        <f>VLOOKUP(B1749,Orders!$A$2:$D$1201,4,FALSE)</f>
        <v>Delivered</v>
      </c>
      <c r="H1749">
        <f t="shared" si="82"/>
        <v>540</v>
      </c>
      <c r="I1749" s="12">
        <f>VLOOKUP(B1749,Orders!$A$2:$D$1201,3,FALSE)</f>
        <v>46040</v>
      </c>
      <c r="L1749" t="str">
        <f>VLOOKUP(C1749,Products!$A$2:$D$13,2,FALSE)</f>
        <v>Desk</v>
      </c>
      <c r="M1749" t="str">
        <f t="shared" si="83"/>
        <v>2026-01</v>
      </c>
    </row>
    <row r="1750" spans="1:13">
      <c r="A1750">
        <v>1749</v>
      </c>
      <c r="B1750">
        <v>1854</v>
      </c>
      <c r="C1750">
        <v>3</v>
      </c>
      <c r="D1750">
        <v>2</v>
      </c>
      <c r="E1750">
        <v>45</v>
      </c>
      <c r="F1750">
        <f t="shared" si="81"/>
        <v>90</v>
      </c>
      <c r="G1750" t="str">
        <f>VLOOKUP(B1750,Orders!$A$2:$D$1201,4,FALSE)</f>
        <v>Delivered</v>
      </c>
      <c r="H1750">
        <f t="shared" si="82"/>
        <v>90</v>
      </c>
      <c r="I1750" s="12">
        <f>VLOOKUP(B1750,Orders!$A$2:$D$1201,3,FALSE)</f>
        <v>46040</v>
      </c>
      <c r="L1750" t="str">
        <f>VLOOKUP(C1750,Products!$A$2:$D$13,2,FALSE)</f>
        <v>Keyboard</v>
      </c>
      <c r="M1750" t="str">
        <f t="shared" si="83"/>
        <v>2026-01</v>
      </c>
    </row>
    <row r="1751" spans="1:13">
      <c r="A1751">
        <v>1750</v>
      </c>
      <c r="B1751">
        <v>1854</v>
      </c>
      <c r="C1751">
        <v>2</v>
      </c>
      <c r="D1751">
        <v>2</v>
      </c>
      <c r="E1751">
        <v>220</v>
      </c>
      <c r="F1751">
        <f t="shared" si="81"/>
        <v>440</v>
      </c>
      <c r="G1751" t="str">
        <f>VLOOKUP(B1751,Orders!$A$2:$D$1201,4,FALSE)</f>
        <v>Delivered</v>
      </c>
      <c r="H1751">
        <f t="shared" si="82"/>
        <v>440</v>
      </c>
      <c r="I1751" s="12">
        <f>VLOOKUP(B1751,Orders!$A$2:$D$1201,3,FALSE)</f>
        <v>46040</v>
      </c>
      <c r="L1751" t="str">
        <f>VLOOKUP(C1751,Products!$A$2:$D$13,2,FALSE)</f>
        <v>Monitor</v>
      </c>
      <c r="M1751" t="str">
        <f t="shared" si="83"/>
        <v>2026-01</v>
      </c>
    </row>
    <row r="1752" spans="1:13">
      <c r="A1752">
        <v>1751</v>
      </c>
      <c r="B1752">
        <v>1855</v>
      </c>
      <c r="C1752">
        <v>11</v>
      </c>
      <c r="D1752">
        <v>2</v>
      </c>
      <c r="E1752">
        <v>48</v>
      </c>
      <c r="F1752">
        <f t="shared" si="81"/>
        <v>96</v>
      </c>
      <c r="G1752" t="str">
        <f>VLOOKUP(B1752,Orders!$A$2:$D$1201,4,FALSE)</f>
        <v>Pending</v>
      </c>
      <c r="H1752">
        <f t="shared" si="82"/>
        <v>96</v>
      </c>
      <c r="I1752" s="12">
        <f>VLOOKUP(B1752,Orders!$A$2:$D$1201,3,FALSE)</f>
        <v>46200</v>
      </c>
      <c r="L1752" t="str">
        <f>VLOOKUP(C1752,Products!$A$2:$D$13,2,FALSE)</f>
        <v>Backpack</v>
      </c>
      <c r="M1752" t="str">
        <f t="shared" si="83"/>
        <v>2026-06</v>
      </c>
    </row>
    <row r="1753" spans="1:13">
      <c r="A1753">
        <v>1752</v>
      </c>
      <c r="B1753">
        <v>1856</v>
      </c>
      <c r="C1753">
        <v>8</v>
      </c>
      <c r="D1753">
        <v>2</v>
      </c>
      <c r="E1753">
        <v>55</v>
      </c>
      <c r="F1753">
        <f t="shared" si="81"/>
        <v>110</v>
      </c>
      <c r="G1753" t="str">
        <f>VLOOKUP(B1753,Orders!$A$2:$D$1201,4,FALSE)</f>
        <v>Delivered</v>
      </c>
      <c r="H1753">
        <f t="shared" si="82"/>
        <v>110</v>
      </c>
      <c r="I1753" s="12">
        <f>VLOOKUP(B1753,Orders!$A$2:$D$1201,3,FALSE)</f>
        <v>46130</v>
      </c>
      <c r="L1753" t="str">
        <f>VLOOKUP(C1753,Products!$A$2:$D$13,2,FALSE)</f>
        <v>Webcam</v>
      </c>
      <c r="M1753" t="str">
        <f t="shared" si="83"/>
        <v>2026-04</v>
      </c>
    </row>
    <row r="1754" spans="1:13">
      <c r="A1754">
        <v>1753</v>
      </c>
      <c r="B1754">
        <v>1856</v>
      </c>
      <c r="C1754">
        <v>9</v>
      </c>
      <c r="D1754">
        <v>4</v>
      </c>
      <c r="E1754">
        <v>30</v>
      </c>
      <c r="F1754">
        <f t="shared" si="81"/>
        <v>120</v>
      </c>
      <c r="G1754" t="str">
        <f>VLOOKUP(B1754,Orders!$A$2:$D$1201,4,FALSE)</f>
        <v>Delivered</v>
      </c>
      <c r="H1754">
        <f t="shared" si="82"/>
        <v>120</v>
      </c>
      <c r="I1754" s="12">
        <f>VLOOKUP(B1754,Orders!$A$2:$D$1201,3,FALSE)</f>
        <v>46130</v>
      </c>
      <c r="L1754" t="str">
        <f>VLOOKUP(C1754,Products!$A$2:$D$13,2,FALSE)</f>
        <v>Lamp</v>
      </c>
      <c r="M1754" t="str">
        <f t="shared" si="83"/>
        <v>2026-04</v>
      </c>
    </row>
    <row r="1755" spans="1:13">
      <c r="A1755">
        <v>1754</v>
      </c>
      <c r="B1755">
        <v>1856</v>
      </c>
      <c r="C1755">
        <v>11</v>
      </c>
      <c r="D1755">
        <v>1</v>
      </c>
      <c r="E1755">
        <v>48</v>
      </c>
      <c r="F1755">
        <f t="shared" si="81"/>
        <v>48</v>
      </c>
      <c r="G1755" t="str">
        <f>VLOOKUP(B1755,Orders!$A$2:$D$1201,4,FALSE)</f>
        <v>Delivered</v>
      </c>
      <c r="H1755">
        <f t="shared" si="82"/>
        <v>48</v>
      </c>
      <c r="I1755" s="12">
        <f>VLOOKUP(B1755,Orders!$A$2:$D$1201,3,FALSE)</f>
        <v>46130</v>
      </c>
      <c r="L1755" t="str">
        <f>VLOOKUP(C1755,Products!$A$2:$D$13,2,FALSE)</f>
        <v>Backpack</v>
      </c>
      <c r="M1755" t="str">
        <f t="shared" si="83"/>
        <v>2026-04</v>
      </c>
    </row>
    <row r="1756" spans="1:13">
      <c r="A1756">
        <v>1755</v>
      </c>
      <c r="B1756">
        <v>1857</v>
      </c>
      <c r="C1756">
        <v>1</v>
      </c>
      <c r="D1756">
        <v>1</v>
      </c>
      <c r="E1756">
        <v>750</v>
      </c>
      <c r="F1756">
        <f t="shared" si="81"/>
        <v>750</v>
      </c>
      <c r="G1756" t="str">
        <f>VLOOKUP(B1756,Orders!$A$2:$D$1201,4,FALSE)</f>
        <v>Delivered</v>
      </c>
      <c r="H1756">
        <f t="shared" si="82"/>
        <v>750</v>
      </c>
      <c r="I1756" s="12">
        <f>VLOOKUP(B1756,Orders!$A$2:$D$1201,3,FALSE)</f>
        <v>46079</v>
      </c>
      <c r="L1756" t="str">
        <f>VLOOKUP(C1756,Products!$A$2:$D$13,2,FALSE)</f>
        <v>Laptop</v>
      </c>
      <c r="M1756" t="str">
        <f t="shared" si="83"/>
        <v>2026-02</v>
      </c>
    </row>
    <row r="1757" spans="1:13">
      <c r="A1757">
        <v>1756</v>
      </c>
      <c r="B1757">
        <v>1857</v>
      </c>
      <c r="C1757">
        <v>4</v>
      </c>
      <c r="D1757">
        <v>3</v>
      </c>
      <c r="E1757">
        <v>25</v>
      </c>
      <c r="F1757">
        <f t="shared" si="81"/>
        <v>75</v>
      </c>
      <c r="G1757" t="str">
        <f>VLOOKUP(B1757,Orders!$A$2:$D$1201,4,FALSE)</f>
        <v>Delivered</v>
      </c>
      <c r="H1757">
        <f t="shared" si="82"/>
        <v>75</v>
      </c>
      <c r="I1757" s="12">
        <f>VLOOKUP(B1757,Orders!$A$2:$D$1201,3,FALSE)</f>
        <v>46079</v>
      </c>
      <c r="L1757" t="str">
        <f>VLOOKUP(C1757,Products!$A$2:$D$13,2,FALSE)</f>
        <v>Mouse</v>
      </c>
      <c r="M1757" t="str">
        <f t="shared" si="83"/>
        <v>2026-02</v>
      </c>
    </row>
    <row r="1758" spans="1:13">
      <c r="A1758">
        <v>1757</v>
      </c>
      <c r="B1758">
        <v>1858</v>
      </c>
      <c r="C1758">
        <v>8</v>
      </c>
      <c r="D1758">
        <v>4</v>
      </c>
      <c r="E1758">
        <v>55</v>
      </c>
      <c r="F1758">
        <f t="shared" si="81"/>
        <v>220</v>
      </c>
      <c r="G1758" t="str">
        <f>VLOOKUP(B1758,Orders!$A$2:$D$1201,4,FALSE)</f>
        <v>Delivered</v>
      </c>
      <c r="H1758">
        <f t="shared" si="82"/>
        <v>220</v>
      </c>
      <c r="I1758" s="12">
        <f>VLOOKUP(B1758,Orders!$A$2:$D$1201,3,FALSE)</f>
        <v>46112</v>
      </c>
      <c r="L1758" t="str">
        <f>VLOOKUP(C1758,Products!$A$2:$D$13,2,FALSE)</f>
        <v>Webcam</v>
      </c>
      <c r="M1758" t="str">
        <f t="shared" si="83"/>
        <v>2026-03</v>
      </c>
    </row>
    <row r="1759" spans="1:13">
      <c r="A1759">
        <v>1758</v>
      </c>
      <c r="B1759">
        <v>1858</v>
      </c>
      <c r="C1759">
        <v>3</v>
      </c>
      <c r="D1759">
        <v>2</v>
      </c>
      <c r="E1759">
        <v>45</v>
      </c>
      <c r="F1759">
        <f t="shared" si="81"/>
        <v>90</v>
      </c>
      <c r="G1759" t="str">
        <f>VLOOKUP(B1759,Orders!$A$2:$D$1201,4,FALSE)</f>
        <v>Delivered</v>
      </c>
      <c r="H1759">
        <f t="shared" si="82"/>
        <v>90</v>
      </c>
      <c r="I1759" s="12">
        <f>VLOOKUP(B1759,Orders!$A$2:$D$1201,3,FALSE)</f>
        <v>46112</v>
      </c>
      <c r="L1759" t="str">
        <f>VLOOKUP(C1759,Products!$A$2:$D$13,2,FALSE)</f>
        <v>Keyboard</v>
      </c>
      <c r="M1759" t="str">
        <f t="shared" si="83"/>
        <v>2026-03</v>
      </c>
    </row>
    <row r="1760" spans="1:13">
      <c r="A1760">
        <v>1759</v>
      </c>
      <c r="B1760">
        <v>1859</v>
      </c>
      <c r="C1760">
        <v>1</v>
      </c>
      <c r="D1760">
        <v>1</v>
      </c>
      <c r="E1760">
        <v>750</v>
      </c>
      <c r="F1760">
        <f t="shared" si="81"/>
        <v>750</v>
      </c>
      <c r="G1760" t="str">
        <f>VLOOKUP(B1760,Orders!$A$2:$D$1201,4,FALSE)</f>
        <v>Delivered</v>
      </c>
      <c r="H1760">
        <f t="shared" si="82"/>
        <v>750</v>
      </c>
      <c r="I1760" s="12">
        <f>VLOOKUP(B1760,Orders!$A$2:$D$1201,3,FALSE)</f>
        <v>46201</v>
      </c>
      <c r="L1760" t="str">
        <f>VLOOKUP(C1760,Products!$A$2:$D$13,2,FALSE)</f>
        <v>Laptop</v>
      </c>
      <c r="M1760" t="str">
        <f t="shared" si="83"/>
        <v>2026-06</v>
      </c>
    </row>
    <row r="1761" spans="1:13">
      <c r="A1761">
        <v>1760</v>
      </c>
      <c r="B1761">
        <v>1859</v>
      </c>
      <c r="C1761">
        <v>7</v>
      </c>
      <c r="D1761">
        <v>1</v>
      </c>
      <c r="E1761">
        <v>65</v>
      </c>
      <c r="F1761">
        <f t="shared" si="81"/>
        <v>65</v>
      </c>
      <c r="G1761" t="str">
        <f>VLOOKUP(B1761,Orders!$A$2:$D$1201,4,FALSE)</f>
        <v>Delivered</v>
      </c>
      <c r="H1761">
        <f t="shared" si="82"/>
        <v>65</v>
      </c>
      <c r="I1761" s="12">
        <f>VLOOKUP(B1761,Orders!$A$2:$D$1201,3,FALSE)</f>
        <v>46201</v>
      </c>
      <c r="L1761" t="str">
        <f>VLOOKUP(C1761,Products!$A$2:$D$13,2,FALSE)</f>
        <v>Headphones</v>
      </c>
      <c r="M1761" t="str">
        <f t="shared" si="83"/>
        <v>2026-06</v>
      </c>
    </row>
    <row r="1762" spans="1:13">
      <c r="A1762">
        <v>1761</v>
      </c>
      <c r="B1762">
        <v>1859</v>
      </c>
      <c r="C1762">
        <v>6</v>
      </c>
      <c r="D1762">
        <v>1</v>
      </c>
      <c r="E1762">
        <v>140</v>
      </c>
      <c r="F1762">
        <f t="shared" si="81"/>
        <v>140</v>
      </c>
      <c r="G1762" t="str">
        <f>VLOOKUP(B1762,Orders!$A$2:$D$1201,4,FALSE)</f>
        <v>Delivered</v>
      </c>
      <c r="H1762">
        <f t="shared" si="82"/>
        <v>140</v>
      </c>
      <c r="I1762" s="12">
        <f>VLOOKUP(B1762,Orders!$A$2:$D$1201,3,FALSE)</f>
        <v>46201</v>
      </c>
      <c r="L1762" t="str">
        <f>VLOOKUP(C1762,Products!$A$2:$D$13,2,FALSE)</f>
        <v>Chair</v>
      </c>
      <c r="M1762" t="str">
        <f t="shared" si="83"/>
        <v>2026-06</v>
      </c>
    </row>
    <row r="1763" spans="1:13">
      <c r="A1763">
        <v>1762</v>
      </c>
      <c r="B1763">
        <v>1860</v>
      </c>
      <c r="C1763">
        <v>1</v>
      </c>
      <c r="D1763">
        <v>4</v>
      </c>
      <c r="E1763">
        <v>750</v>
      </c>
      <c r="F1763">
        <f t="shared" si="81"/>
        <v>3000</v>
      </c>
      <c r="G1763" t="str">
        <f>VLOOKUP(B1763,Orders!$A$2:$D$1201,4,FALSE)</f>
        <v>Delivered</v>
      </c>
      <c r="H1763">
        <f t="shared" si="82"/>
        <v>3000</v>
      </c>
      <c r="I1763" s="12">
        <f>VLOOKUP(B1763,Orders!$A$2:$D$1201,3,FALSE)</f>
        <v>46116</v>
      </c>
      <c r="L1763" t="str">
        <f>VLOOKUP(C1763,Products!$A$2:$D$13,2,FALSE)</f>
        <v>Laptop</v>
      </c>
      <c r="M1763" t="str">
        <f t="shared" si="83"/>
        <v>2026-04</v>
      </c>
    </row>
    <row r="1764" spans="1:13">
      <c r="A1764">
        <v>1763</v>
      </c>
      <c r="B1764">
        <v>1861</v>
      </c>
      <c r="C1764">
        <v>7</v>
      </c>
      <c r="D1764">
        <v>4</v>
      </c>
      <c r="E1764">
        <v>65</v>
      </c>
      <c r="F1764">
        <f t="shared" si="81"/>
        <v>260</v>
      </c>
      <c r="G1764" t="str">
        <f>VLOOKUP(B1764,Orders!$A$2:$D$1201,4,FALSE)</f>
        <v>Delivered</v>
      </c>
      <c r="H1764">
        <f t="shared" si="82"/>
        <v>260</v>
      </c>
      <c r="I1764" s="12">
        <f>VLOOKUP(B1764,Orders!$A$2:$D$1201,3,FALSE)</f>
        <v>46158</v>
      </c>
      <c r="L1764" t="str">
        <f>VLOOKUP(C1764,Products!$A$2:$D$13,2,FALSE)</f>
        <v>Headphones</v>
      </c>
      <c r="M1764" t="str">
        <f t="shared" si="83"/>
        <v>2026-05</v>
      </c>
    </row>
    <row r="1765" spans="1:13">
      <c r="A1765">
        <v>1764</v>
      </c>
      <c r="B1765">
        <v>1861</v>
      </c>
      <c r="C1765">
        <v>6</v>
      </c>
      <c r="D1765">
        <v>1</v>
      </c>
      <c r="E1765">
        <v>140</v>
      </c>
      <c r="F1765">
        <f t="shared" si="81"/>
        <v>140</v>
      </c>
      <c r="G1765" t="str">
        <f>VLOOKUP(B1765,Orders!$A$2:$D$1201,4,FALSE)</f>
        <v>Delivered</v>
      </c>
      <c r="H1765">
        <f t="shared" si="82"/>
        <v>140</v>
      </c>
      <c r="I1765" s="12">
        <f>VLOOKUP(B1765,Orders!$A$2:$D$1201,3,FALSE)</f>
        <v>46158</v>
      </c>
      <c r="L1765" t="str">
        <f>VLOOKUP(C1765,Products!$A$2:$D$13,2,FALSE)</f>
        <v>Chair</v>
      </c>
      <c r="M1765" t="str">
        <f t="shared" si="83"/>
        <v>2026-05</v>
      </c>
    </row>
    <row r="1766" spans="1:13">
      <c r="A1766">
        <v>1765</v>
      </c>
      <c r="B1766">
        <v>1862</v>
      </c>
      <c r="C1766">
        <v>1</v>
      </c>
      <c r="D1766">
        <v>4</v>
      </c>
      <c r="E1766">
        <v>750</v>
      </c>
      <c r="F1766">
        <f t="shared" si="81"/>
        <v>3000</v>
      </c>
      <c r="G1766" t="str">
        <f>VLOOKUP(B1766,Orders!$A$2:$D$1201,4,FALSE)</f>
        <v>Delivered</v>
      </c>
      <c r="H1766">
        <f t="shared" si="82"/>
        <v>3000</v>
      </c>
      <c r="I1766" s="12">
        <f>VLOOKUP(B1766,Orders!$A$2:$D$1201,3,FALSE)</f>
        <v>46177</v>
      </c>
      <c r="L1766" t="str">
        <f>VLOOKUP(C1766,Products!$A$2:$D$13,2,FALSE)</f>
        <v>Laptop</v>
      </c>
      <c r="M1766" t="str">
        <f t="shared" si="83"/>
        <v>2026-06</v>
      </c>
    </row>
    <row r="1767" spans="1:13">
      <c r="A1767">
        <v>1766</v>
      </c>
      <c r="B1767">
        <v>1863</v>
      </c>
      <c r="C1767">
        <v>12</v>
      </c>
      <c r="D1767">
        <v>4</v>
      </c>
      <c r="E1767">
        <v>22</v>
      </c>
      <c r="F1767">
        <f t="shared" si="81"/>
        <v>88</v>
      </c>
      <c r="G1767" t="str">
        <f>VLOOKUP(B1767,Orders!$A$2:$D$1201,4,FALSE)</f>
        <v>Shipped</v>
      </c>
      <c r="H1767">
        <f t="shared" si="82"/>
        <v>88</v>
      </c>
      <c r="I1767" s="12">
        <f>VLOOKUP(B1767,Orders!$A$2:$D$1201,3,FALSE)</f>
        <v>46089</v>
      </c>
      <c r="L1767" t="str">
        <f>VLOOKUP(C1767,Products!$A$2:$D$13,2,FALSE)</f>
        <v>Storage Box</v>
      </c>
      <c r="M1767" t="str">
        <f t="shared" si="83"/>
        <v>2026-03</v>
      </c>
    </row>
    <row r="1768" spans="1:13">
      <c r="A1768">
        <v>1767</v>
      </c>
      <c r="B1768">
        <v>1863</v>
      </c>
      <c r="C1768">
        <v>4</v>
      </c>
      <c r="D1768">
        <v>2</v>
      </c>
      <c r="E1768">
        <v>25</v>
      </c>
      <c r="F1768">
        <f t="shared" si="81"/>
        <v>50</v>
      </c>
      <c r="G1768" t="str">
        <f>VLOOKUP(B1768,Orders!$A$2:$D$1201,4,FALSE)</f>
        <v>Shipped</v>
      </c>
      <c r="H1768">
        <f t="shared" si="82"/>
        <v>50</v>
      </c>
      <c r="I1768" s="12">
        <f>VLOOKUP(B1768,Orders!$A$2:$D$1201,3,FALSE)</f>
        <v>46089</v>
      </c>
      <c r="L1768" t="str">
        <f>VLOOKUP(C1768,Products!$A$2:$D$13,2,FALSE)</f>
        <v>Mouse</v>
      </c>
      <c r="M1768" t="str">
        <f t="shared" si="83"/>
        <v>2026-03</v>
      </c>
    </row>
    <row r="1769" spans="1:13">
      <c r="A1769">
        <v>1768</v>
      </c>
      <c r="B1769">
        <v>1864</v>
      </c>
      <c r="C1769">
        <v>4</v>
      </c>
      <c r="D1769">
        <v>1</v>
      </c>
      <c r="E1769">
        <v>25</v>
      </c>
      <c r="F1769">
        <f t="shared" si="81"/>
        <v>25</v>
      </c>
      <c r="G1769" t="str">
        <f>VLOOKUP(B1769,Orders!$A$2:$D$1201,4,FALSE)</f>
        <v>Delivered</v>
      </c>
      <c r="H1769">
        <f t="shared" si="82"/>
        <v>25</v>
      </c>
      <c r="I1769" s="12">
        <f>VLOOKUP(B1769,Orders!$A$2:$D$1201,3,FALSE)</f>
        <v>46156</v>
      </c>
      <c r="L1769" t="str">
        <f>VLOOKUP(C1769,Products!$A$2:$D$13,2,FALSE)</f>
        <v>Mouse</v>
      </c>
      <c r="M1769" t="str">
        <f t="shared" si="83"/>
        <v>2026-05</v>
      </c>
    </row>
    <row r="1770" spans="1:13">
      <c r="A1770">
        <v>1769</v>
      </c>
      <c r="B1770">
        <v>1864</v>
      </c>
      <c r="C1770">
        <v>7</v>
      </c>
      <c r="D1770">
        <v>2</v>
      </c>
      <c r="E1770">
        <v>65</v>
      </c>
      <c r="F1770">
        <f t="shared" si="81"/>
        <v>130</v>
      </c>
      <c r="G1770" t="str">
        <f>VLOOKUP(B1770,Orders!$A$2:$D$1201,4,FALSE)</f>
        <v>Delivered</v>
      </c>
      <c r="H1770">
        <f t="shared" si="82"/>
        <v>130</v>
      </c>
      <c r="I1770" s="12">
        <f>VLOOKUP(B1770,Orders!$A$2:$D$1201,3,FALSE)</f>
        <v>46156</v>
      </c>
      <c r="L1770" t="str">
        <f>VLOOKUP(C1770,Products!$A$2:$D$13,2,FALSE)</f>
        <v>Headphones</v>
      </c>
      <c r="M1770" t="str">
        <f t="shared" si="83"/>
        <v>2026-05</v>
      </c>
    </row>
    <row r="1771" spans="1:13">
      <c r="A1771">
        <v>1770</v>
      </c>
      <c r="B1771">
        <v>1864</v>
      </c>
      <c r="C1771">
        <v>10</v>
      </c>
      <c r="D1771">
        <v>4</v>
      </c>
      <c r="E1771">
        <v>8</v>
      </c>
      <c r="F1771">
        <f t="shared" si="81"/>
        <v>32</v>
      </c>
      <c r="G1771" t="str">
        <f>VLOOKUP(B1771,Orders!$A$2:$D$1201,4,FALSE)</f>
        <v>Delivered</v>
      </c>
      <c r="H1771">
        <f t="shared" si="82"/>
        <v>32</v>
      </c>
      <c r="I1771" s="12">
        <f>VLOOKUP(B1771,Orders!$A$2:$D$1201,3,FALSE)</f>
        <v>46156</v>
      </c>
      <c r="L1771" t="str">
        <f>VLOOKUP(C1771,Products!$A$2:$D$13,2,FALSE)</f>
        <v>Notebook</v>
      </c>
      <c r="M1771" t="str">
        <f t="shared" si="83"/>
        <v>2026-05</v>
      </c>
    </row>
    <row r="1772" spans="1:13">
      <c r="A1772">
        <v>1771</v>
      </c>
      <c r="B1772">
        <v>1865</v>
      </c>
      <c r="C1772">
        <v>11</v>
      </c>
      <c r="D1772">
        <v>2</v>
      </c>
      <c r="E1772">
        <v>48</v>
      </c>
      <c r="F1772">
        <f t="shared" si="81"/>
        <v>96</v>
      </c>
      <c r="G1772" t="str">
        <f>VLOOKUP(B1772,Orders!$A$2:$D$1201,4,FALSE)</f>
        <v>Delivered</v>
      </c>
      <c r="H1772">
        <f t="shared" si="82"/>
        <v>96</v>
      </c>
      <c r="I1772" s="12">
        <f>VLOOKUP(B1772,Orders!$A$2:$D$1201,3,FALSE)</f>
        <v>46200</v>
      </c>
      <c r="L1772" t="str">
        <f>VLOOKUP(C1772,Products!$A$2:$D$13,2,FALSE)</f>
        <v>Backpack</v>
      </c>
      <c r="M1772" t="str">
        <f t="shared" si="83"/>
        <v>2026-06</v>
      </c>
    </row>
    <row r="1773" spans="1:13">
      <c r="A1773">
        <v>1772</v>
      </c>
      <c r="B1773">
        <v>1865</v>
      </c>
      <c r="C1773">
        <v>7</v>
      </c>
      <c r="D1773">
        <v>1</v>
      </c>
      <c r="E1773">
        <v>65</v>
      </c>
      <c r="F1773">
        <f t="shared" si="81"/>
        <v>65</v>
      </c>
      <c r="G1773" t="str">
        <f>VLOOKUP(B1773,Orders!$A$2:$D$1201,4,FALSE)</f>
        <v>Delivered</v>
      </c>
      <c r="H1773">
        <f t="shared" si="82"/>
        <v>65</v>
      </c>
      <c r="I1773" s="12">
        <f>VLOOKUP(B1773,Orders!$A$2:$D$1201,3,FALSE)</f>
        <v>46200</v>
      </c>
      <c r="L1773" t="str">
        <f>VLOOKUP(C1773,Products!$A$2:$D$13,2,FALSE)</f>
        <v>Headphones</v>
      </c>
      <c r="M1773" t="str">
        <f t="shared" si="83"/>
        <v>2026-06</v>
      </c>
    </row>
    <row r="1774" spans="1:13">
      <c r="A1774">
        <v>1773</v>
      </c>
      <c r="B1774">
        <v>1865</v>
      </c>
      <c r="C1774">
        <v>12</v>
      </c>
      <c r="D1774">
        <v>3</v>
      </c>
      <c r="E1774">
        <v>22</v>
      </c>
      <c r="F1774">
        <f t="shared" si="81"/>
        <v>66</v>
      </c>
      <c r="G1774" t="str">
        <f>VLOOKUP(B1774,Orders!$A$2:$D$1201,4,FALSE)</f>
        <v>Delivered</v>
      </c>
      <c r="H1774">
        <f t="shared" si="82"/>
        <v>66</v>
      </c>
      <c r="I1774" s="12">
        <f>VLOOKUP(B1774,Orders!$A$2:$D$1201,3,FALSE)</f>
        <v>46200</v>
      </c>
      <c r="L1774" t="str">
        <f>VLOOKUP(C1774,Products!$A$2:$D$13,2,FALSE)</f>
        <v>Storage Box</v>
      </c>
      <c r="M1774" t="str">
        <f t="shared" si="83"/>
        <v>2026-06</v>
      </c>
    </row>
    <row r="1775" spans="1:13">
      <c r="A1775">
        <v>1774</v>
      </c>
      <c r="B1775">
        <v>1866</v>
      </c>
      <c r="C1775">
        <v>4</v>
      </c>
      <c r="D1775">
        <v>3</v>
      </c>
      <c r="E1775">
        <v>25</v>
      </c>
      <c r="F1775">
        <f t="shared" si="81"/>
        <v>75</v>
      </c>
      <c r="G1775" t="str">
        <f>VLOOKUP(B1775,Orders!$A$2:$D$1201,4,FALSE)</f>
        <v>Delivered</v>
      </c>
      <c r="H1775">
        <f t="shared" si="82"/>
        <v>75</v>
      </c>
      <c r="I1775" s="12">
        <f>VLOOKUP(B1775,Orders!$A$2:$D$1201,3,FALSE)</f>
        <v>46115</v>
      </c>
      <c r="L1775" t="str">
        <f>VLOOKUP(C1775,Products!$A$2:$D$13,2,FALSE)</f>
        <v>Mouse</v>
      </c>
      <c r="M1775" t="str">
        <f t="shared" si="83"/>
        <v>2026-04</v>
      </c>
    </row>
    <row r="1776" spans="1:13">
      <c r="A1776">
        <v>1775</v>
      </c>
      <c r="B1776">
        <v>1867</v>
      </c>
      <c r="C1776">
        <v>1</v>
      </c>
      <c r="D1776">
        <v>1</v>
      </c>
      <c r="E1776">
        <v>750</v>
      </c>
      <c r="F1776">
        <f t="shared" si="81"/>
        <v>750</v>
      </c>
      <c r="G1776" t="str">
        <f>VLOOKUP(B1776,Orders!$A$2:$D$1201,4,FALSE)</f>
        <v>Delivered</v>
      </c>
      <c r="H1776">
        <f t="shared" si="82"/>
        <v>750</v>
      </c>
      <c r="I1776" s="12">
        <f>VLOOKUP(B1776,Orders!$A$2:$D$1201,3,FALSE)</f>
        <v>46102</v>
      </c>
      <c r="L1776" t="str">
        <f>VLOOKUP(C1776,Products!$A$2:$D$13,2,FALSE)</f>
        <v>Laptop</v>
      </c>
      <c r="M1776" t="str">
        <f t="shared" si="83"/>
        <v>2026-03</v>
      </c>
    </row>
    <row r="1777" spans="1:13">
      <c r="A1777">
        <v>1776</v>
      </c>
      <c r="B1777">
        <v>1867</v>
      </c>
      <c r="C1777">
        <v>4</v>
      </c>
      <c r="D1777">
        <v>1</v>
      </c>
      <c r="E1777">
        <v>25</v>
      </c>
      <c r="F1777">
        <f t="shared" si="81"/>
        <v>25</v>
      </c>
      <c r="G1777" t="str">
        <f>VLOOKUP(B1777,Orders!$A$2:$D$1201,4,FALSE)</f>
        <v>Delivered</v>
      </c>
      <c r="H1777">
        <f t="shared" si="82"/>
        <v>25</v>
      </c>
      <c r="I1777" s="12">
        <f>VLOOKUP(B1777,Orders!$A$2:$D$1201,3,FALSE)</f>
        <v>46102</v>
      </c>
      <c r="L1777" t="str">
        <f>VLOOKUP(C1777,Products!$A$2:$D$13,2,FALSE)</f>
        <v>Mouse</v>
      </c>
      <c r="M1777" t="str">
        <f t="shared" si="83"/>
        <v>2026-03</v>
      </c>
    </row>
    <row r="1778" spans="1:13">
      <c r="A1778">
        <v>1777</v>
      </c>
      <c r="B1778">
        <v>1867</v>
      </c>
      <c r="C1778">
        <v>5</v>
      </c>
      <c r="D1778">
        <v>4</v>
      </c>
      <c r="E1778">
        <v>180</v>
      </c>
      <c r="F1778">
        <f t="shared" si="81"/>
        <v>720</v>
      </c>
      <c r="G1778" t="str">
        <f>VLOOKUP(B1778,Orders!$A$2:$D$1201,4,FALSE)</f>
        <v>Delivered</v>
      </c>
      <c r="H1778">
        <f t="shared" si="82"/>
        <v>720</v>
      </c>
      <c r="I1778" s="12">
        <f>VLOOKUP(B1778,Orders!$A$2:$D$1201,3,FALSE)</f>
        <v>46102</v>
      </c>
      <c r="L1778" t="str">
        <f>VLOOKUP(C1778,Products!$A$2:$D$13,2,FALSE)</f>
        <v>Desk</v>
      </c>
      <c r="M1778" t="str">
        <f t="shared" si="83"/>
        <v>2026-03</v>
      </c>
    </row>
    <row r="1779" spans="1:13">
      <c r="A1779">
        <v>1778</v>
      </c>
      <c r="B1779">
        <v>1868</v>
      </c>
      <c r="C1779">
        <v>4</v>
      </c>
      <c r="D1779">
        <v>3</v>
      </c>
      <c r="E1779">
        <v>25</v>
      </c>
      <c r="F1779">
        <f t="shared" si="81"/>
        <v>75</v>
      </c>
      <c r="G1779" t="str">
        <f>VLOOKUP(B1779,Orders!$A$2:$D$1201,4,FALSE)</f>
        <v>Delivered</v>
      </c>
      <c r="H1779">
        <f t="shared" si="82"/>
        <v>75</v>
      </c>
      <c r="I1779" s="12">
        <f>VLOOKUP(B1779,Orders!$A$2:$D$1201,3,FALSE)</f>
        <v>46114</v>
      </c>
      <c r="L1779" t="str">
        <f>VLOOKUP(C1779,Products!$A$2:$D$13,2,FALSE)</f>
        <v>Mouse</v>
      </c>
      <c r="M1779" t="str">
        <f t="shared" si="83"/>
        <v>2026-04</v>
      </c>
    </row>
    <row r="1780" spans="1:13">
      <c r="A1780">
        <v>1779</v>
      </c>
      <c r="B1780">
        <v>1868</v>
      </c>
      <c r="C1780">
        <v>6</v>
      </c>
      <c r="D1780">
        <v>2</v>
      </c>
      <c r="E1780">
        <v>140</v>
      </c>
      <c r="F1780">
        <f t="shared" si="81"/>
        <v>280</v>
      </c>
      <c r="G1780" t="str">
        <f>VLOOKUP(B1780,Orders!$A$2:$D$1201,4,FALSE)</f>
        <v>Delivered</v>
      </c>
      <c r="H1780">
        <f t="shared" si="82"/>
        <v>280</v>
      </c>
      <c r="I1780" s="12">
        <f>VLOOKUP(B1780,Orders!$A$2:$D$1201,3,FALSE)</f>
        <v>46114</v>
      </c>
      <c r="L1780" t="str">
        <f>VLOOKUP(C1780,Products!$A$2:$D$13,2,FALSE)</f>
        <v>Chair</v>
      </c>
      <c r="M1780" t="str">
        <f t="shared" si="83"/>
        <v>2026-04</v>
      </c>
    </row>
    <row r="1781" spans="1:13">
      <c r="A1781">
        <v>1780</v>
      </c>
      <c r="B1781">
        <v>1868</v>
      </c>
      <c r="C1781">
        <v>7</v>
      </c>
      <c r="D1781">
        <v>1</v>
      </c>
      <c r="E1781">
        <v>65</v>
      </c>
      <c r="F1781">
        <f t="shared" si="81"/>
        <v>65</v>
      </c>
      <c r="G1781" t="str">
        <f>VLOOKUP(B1781,Orders!$A$2:$D$1201,4,FALSE)</f>
        <v>Delivered</v>
      </c>
      <c r="H1781">
        <f t="shared" si="82"/>
        <v>65</v>
      </c>
      <c r="I1781" s="12">
        <f>VLOOKUP(B1781,Orders!$A$2:$D$1201,3,FALSE)</f>
        <v>46114</v>
      </c>
      <c r="L1781" t="str">
        <f>VLOOKUP(C1781,Products!$A$2:$D$13,2,FALSE)</f>
        <v>Headphones</v>
      </c>
      <c r="M1781" t="str">
        <f t="shared" si="83"/>
        <v>2026-04</v>
      </c>
    </row>
    <row r="1782" spans="1:13">
      <c r="A1782">
        <v>1781</v>
      </c>
      <c r="B1782">
        <v>1869</v>
      </c>
      <c r="C1782">
        <v>10</v>
      </c>
      <c r="D1782">
        <v>3</v>
      </c>
      <c r="E1782">
        <v>8</v>
      </c>
      <c r="F1782">
        <f t="shared" si="81"/>
        <v>24</v>
      </c>
      <c r="G1782" t="str">
        <f>VLOOKUP(B1782,Orders!$A$2:$D$1201,4,FALSE)</f>
        <v>Delivered</v>
      </c>
      <c r="H1782">
        <f t="shared" si="82"/>
        <v>24</v>
      </c>
      <c r="I1782" s="12">
        <f>VLOOKUP(B1782,Orders!$A$2:$D$1201,3,FALSE)</f>
        <v>46061</v>
      </c>
      <c r="L1782" t="str">
        <f>VLOOKUP(C1782,Products!$A$2:$D$13,2,FALSE)</f>
        <v>Notebook</v>
      </c>
      <c r="M1782" t="str">
        <f t="shared" si="83"/>
        <v>2026-02</v>
      </c>
    </row>
    <row r="1783" spans="1:13">
      <c r="A1783">
        <v>1782</v>
      </c>
      <c r="B1783">
        <v>1869</v>
      </c>
      <c r="C1783">
        <v>1</v>
      </c>
      <c r="D1783">
        <v>2</v>
      </c>
      <c r="E1783">
        <v>750</v>
      </c>
      <c r="F1783">
        <f t="shared" si="81"/>
        <v>1500</v>
      </c>
      <c r="G1783" t="str">
        <f>VLOOKUP(B1783,Orders!$A$2:$D$1201,4,FALSE)</f>
        <v>Delivered</v>
      </c>
      <c r="H1783">
        <f t="shared" si="82"/>
        <v>1500</v>
      </c>
      <c r="I1783" s="12">
        <f>VLOOKUP(B1783,Orders!$A$2:$D$1201,3,FALSE)</f>
        <v>46061</v>
      </c>
      <c r="L1783" t="str">
        <f>VLOOKUP(C1783,Products!$A$2:$D$13,2,FALSE)</f>
        <v>Laptop</v>
      </c>
      <c r="M1783" t="str">
        <f t="shared" si="83"/>
        <v>2026-02</v>
      </c>
    </row>
    <row r="1784" spans="1:13">
      <c r="A1784">
        <v>1783</v>
      </c>
      <c r="B1784">
        <v>1870</v>
      </c>
      <c r="C1784">
        <v>3</v>
      </c>
      <c r="D1784">
        <v>3</v>
      </c>
      <c r="E1784">
        <v>45</v>
      </c>
      <c r="F1784">
        <f t="shared" si="81"/>
        <v>135</v>
      </c>
      <c r="G1784" t="str">
        <f>VLOOKUP(B1784,Orders!$A$2:$D$1201,4,FALSE)</f>
        <v>Cancelled</v>
      </c>
      <c r="H1784">
        <f t="shared" si="82"/>
        <v>0</v>
      </c>
      <c r="I1784" s="12">
        <f>VLOOKUP(B1784,Orders!$A$2:$D$1201,3,FALSE)</f>
        <v>46082</v>
      </c>
      <c r="L1784" t="str">
        <f>VLOOKUP(C1784,Products!$A$2:$D$13,2,FALSE)</f>
        <v>Keyboard</v>
      </c>
      <c r="M1784" t="str">
        <f t="shared" si="83"/>
        <v>2026-03</v>
      </c>
    </row>
    <row r="1785" spans="1:13">
      <c r="A1785">
        <v>1784</v>
      </c>
      <c r="B1785">
        <v>1870</v>
      </c>
      <c r="C1785">
        <v>9</v>
      </c>
      <c r="D1785">
        <v>4</v>
      </c>
      <c r="E1785">
        <v>30</v>
      </c>
      <c r="F1785">
        <f t="shared" si="81"/>
        <v>120</v>
      </c>
      <c r="G1785" t="str">
        <f>VLOOKUP(B1785,Orders!$A$2:$D$1201,4,FALSE)</f>
        <v>Cancelled</v>
      </c>
      <c r="H1785">
        <f t="shared" si="82"/>
        <v>0</v>
      </c>
      <c r="I1785" s="12">
        <f>VLOOKUP(B1785,Orders!$A$2:$D$1201,3,FALSE)</f>
        <v>46082</v>
      </c>
      <c r="L1785" t="str">
        <f>VLOOKUP(C1785,Products!$A$2:$D$13,2,FALSE)</f>
        <v>Lamp</v>
      </c>
      <c r="M1785" t="str">
        <f t="shared" si="83"/>
        <v>2026-03</v>
      </c>
    </row>
    <row r="1786" spans="1:13">
      <c r="A1786">
        <v>1785</v>
      </c>
      <c r="B1786">
        <v>1870</v>
      </c>
      <c r="C1786">
        <v>11</v>
      </c>
      <c r="D1786">
        <v>2</v>
      </c>
      <c r="E1786">
        <v>48</v>
      </c>
      <c r="F1786">
        <f t="shared" si="81"/>
        <v>96</v>
      </c>
      <c r="G1786" t="str">
        <f>VLOOKUP(B1786,Orders!$A$2:$D$1201,4,FALSE)</f>
        <v>Cancelled</v>
      </c>
      <c r="H1786">
        <f t="shared" si="82"/>
        <v>0</v>
      </c>
      <c r="I1786" s="12">
        <f>VLOOKUP(B1786,Orders!$A$2:$D$1201,3,FALSE)</f>
        <v>46082</v>
      </c>
      <c r="L1786" t="str">
        <f>VLOOKUP(C1786,Products!$A$2:$D$13,2,FALSE)</f>
        <v>Backpack</v>
      </c>
      <c r="M1786" t="str">
        <f t="shared" si="83"/>
        <v>2026-03</v>
      </c>
    </row>
    <row r="1787" spans="1:13">
      <c r="A1787">
        <v>1786</v>
      </c>
      <c r="B1787">
        <v>1871</v>
      </c>
      <c r="C1787">
        <v>12</v>
      </c>
      <c r="D1787">
        <v>4</v>
      </c>
      <c r="E1787">
        <v>22</v>
      </c>
      <c r="F1787">
        <f t="shared" si="81"/>
        <v>88</v>
      </c>
      <c r="G1787" t="str">
        <f>VLOOKUP(B1787,Orders!$A$2:$D$1201,4,FALSE)</f>
        <v>Delivered</v>
      </c>
      <c r="H1787">
        <f t="shared" si="82"/>
        <v>88</v>
      </c>
      <c r="I1787" s="12">
        <f>VLOOKUP(B1787,Orders!$A$2:$D$1201,3,FALSE)</f>
        <v>46109</v>
      </c>
      <c r="L1787" t="str">
        <f>VLOOKUP(C1787,Products!$A$2:$D$13,2,FALSE)</f>
        <v>Storage Box</v>
      </c>
      <c r="M1787" t="str">
        <f t="shared" si="83"/>
        <v>2026-03</v>
      </c>
    </row>
    <row r="1788" spans="1:13">
      <c r="A1788">
        <v>1787</v>
      </c>
      <c r="B1788">
        <v>1872</v>
      </c>
      <c r="C1788">
        <v>1</v>
      </c>
      <c r="D1788">
        <v>2</v>
      </c>
      <c r="E1788">
        <v>750</v>
      </c>
      <c r="F1788">
        <f t="shared" si="81"/>
        <v>1500</v>
      </c>
      <c r="G1788" t="str">
        <f>VLOOKUP(B1788,Orders!$A$2:$D$1201,4,FALSE)</f>
        <v>Delivered</v>
      </c>
      <c r="H1788">
        <f t="shared" si="82"/>
        <v>1500</v>
      </c>
      <c r="I1788" s="12">
        <f>VLOOKUP(B1788,Orders!$A$2:$D$1201,3,FALSE)</f>
        <v>46168</v>
      </c>
      <c r="L1788" t="str">
        <f>VLOOKUP(C1788,Products!$A$2:$D$13,2,FALSE)</f>
        <v>Laptop</v>
      </c>
      <c r="M1788" t="str">
        <f t="shared" si="83"/>
        <v>2026-05</v>
      </c>
    </row>
    <row r="1789" spans="1:13">
      <c r="A1789">
        <v>1788</v>
      </c>
      <c r="B1789">
        <v>1873</v>
      </c>
      <c r="C1789">
        <v>5</v>
      </c>
      <c r="D1789">
        <v>2</v>
      </c>
      <c r="E1789">
        <v>180</v>
      </c>
      <c r="F1789">
        <f t="shared" si="81"/>
        <v>360</v>
      </c>
      <c r="G1789" t="str">
        <f>VLOOKUP(B1789,Orders!$A$2:$D$1201,4,FALSE)</f>
        <v>Delivered</v>
      </c>
      <c r="H1789">
        <f t="shared" si="82"/>
        <v>360</v>
      </c>
      <c r="I1789" s="12">
        <f>VLOOKUP(B1789,Orders!$A$2:$D$1201,3,FALSE)</f>
        <v>46150</v>
      </c>
      <c r="L1789" t="str">
        <f>VLOOKUP(C1789,Products!$A$2:$D$13,2,FALSE)</f>
        <v>Desk</v>
      </c>
      <c r="M1789" t="str">
        <f t="shared" si="83"/>
        <v>2026-05</v>
      </c>
    </row>
    <row r="1790" spans="1:13">
      <c r="A1790">
        <v>1789</v>
      </c>
      <c r="B1790">
        <v>1874</v>
      </c>
      <c r="C1790">
        <v>8</v>
      </c>
      <c r="D1790">
        <v>4</v>
      </c>
      <c r="E1790">
        <v>55</v>
      </c>
      <c r="F1790">
        <f t="shared" si="81"/>
        <v>220</v>
      </c>
      <c r="G1790" t="str">
        <f>VLOOKUP(B1790,Orders!$A$2:$D$1201,4,FALSE)</f>
        <v>Delivered</v>
      </c>
      <c r="H1790">
        <f t="shared" si="82"/>
        <v>220</v>
      </c>
      <c r="I1790" s="12">
        <f>VLOOKUP(B1790,Orders!$A$2:$D$1201,3,FALSE)</f>
        <v>46068</v>
      </c>
      <c r="L1790" t="str">
        <f>VLOOKUP(C1790,Products!$A$2:$D$13,2,FALSE)</f>
        <v>Webcam</v>
      </c>
      <c r="M1790" t="str">
        <f t="shared" si="83"/>
        <v>2026-02</v>
      </c>
    </row>
    <row r="1791" spans="1:13">
      <c r="A1791">
        <v>1790</v>
      </c>
      <c r="B1791">
        <v>1874</v>
      </c>
      <c r="C1791">
        <v>5</v>
      </c>
      <c r="D1791">
        <v>2</v>
      </c>
      <c r="E1791">
        <v>180</v>
      </c>
      <c r="F1791">
        <f t="shared" si="81"/>
        <v>360</v>
      </c>
      <c r="G1791" t="str">
        <f>VLOOKUP(B1791,Orders!$A$2:$D$1201,4,FALSE)</f>
        <v>Delivered</v>
      </c>
      <c r="H1791">
        <f t="shared" si="82"/>
        <v>360</v>
      </c>
      <c r="I1791" s="12">
        <f>VLOOKUP(B1791,Orders!$A$2:$D$1201,3,FALSE)</f>
        <v>46068</v>
      </c>
      <c r="L1791" t="str">
        <f>VLOOKUP(C1791,Products!$A$2:$D$13,2,FALSE)</f>
        <v>Desk</v>
      </c>
      <c r="M1791" t="str">
        <f t="shared" si="83"/>
        <v>2026-02</v>
      </c>
    </row>
    <row r="1792" spans="1:13">
      <c r="A1792">
        <v>1791</v>
      </c>
      <c r="B1792">
        <v>1875</v>
      </c>
      <c r="C1792">
        <v>6</v>
      </c>
      <c r="D1792">
        <v>3</v>
      </c>
      <c r="E1792">
        <v>140</v>
      </c>
      <c r="F1792">
        <f t="shared" si="81"/>
        <v>420</v>
      </c>
      <c r="G1792" t="str">
        <f>VLOOKUP(B1792,Orders!$A$2:$D$1201,4,FALSE)</f>
        <v>Delivered</v>
      </c>
      <c r="H1792">
        <f t="shared" si="82"/>
        <v>420</v>
      </c>
      <c r="I1792" s="12">
        <f>VLOOKUP(B1792,Orders!$A$2:$D$1201,3,FALSE)</f>
        <v>46096</v>
      </c>
      <c r="L1792" t="str">
        <f>VLOOKUP(C1792,Products!$A$2:$D$13,2,FALSE)</f>
        <v>Chair</v>
      </c>
      <c r="M1792" t="str">
        <f t="shared" si="83"/>
        <v>2026-03</v>
      </c>
    </row>
    <row r="1793" spans="1:13">
      <c r="A1793">
        <v>1792</v>
      </c>
      <c r="B1793">
        <v>1875</v>
      </c>
      <c r="C1793">
        <v>9</v>
      </c>
      <c r="D1793">
        <v>3</v>
      </c>
      <c r="E1793">
        <v>30</v>
      </c>
      <c r="F1793">
        <f t="shared" si="81"/>
        <v>90</v>
      </c>
      <c r="G1793" t="str">
        <f>VLOOKUP(B1793,Orders!$A$2:$D$1201,4,FALSE)</f>
        <v>Delivered</v>
      </c>
      <c r="H1793">
        <f t="shared" si="82"/>
        <v>90</v>
      </c>
      <c r="I1793" s="12">
        <f>VLOOKUP(B1793,Orders!$A$2:$D$1201,3,FALSE)</f>
        <v>46096</v>
      </c>
      <c r="L1793" t="str">
        <f>VLOOKUP(C1793,Products!$A$2:$D$13,2,FALSE)</f>
        <v>Lamp</v>
      </c>
      <c r="M1793" t="str">
        <f t="shared" si="83"/>
        <v>2026-03</v>
      </c>
    </row>
    <row r="1794" spans="1:13">
      <c r="A1794">
        <v>1793</v>
      </c>
      <c r="B1794">
        <v>1876</v>
      </c>
      <c r="C1794">
        <v>4</v>
      </c>
      <c r="D1794">
        <v>2</v>
      </c>
      <c r="E1794">
        <v>25</v>
      </c>
      <c r="F1794">
        <f t="shared" si="81"/>
        <v>50</v>
      </c>
      <c r="G1794" t="str">
        <f>VLOOKUP(B1794,Orders!$A$2:$D$1201,4,FALSE)</f>
        <v>Delivered</v>
      </c>
      <c r="H1794">
        <f t="shared" si="82"/>
        <v>50</v>
      </c>
      <c r="I1794" s="12">
        <f>VLOOKUP(B1794,Orders!$A$2:$D$1201,3,FALSE)</f>
        <v>46033</v>
      </c>
      <c r="L1794" t="str">
        <f>VLOOKUP(C1794,Products!$A$2:$D$13,2,FALSE)</f>
        <v>Mouse</v>
      </c>
      <c r="M1794" t="str">
        <f t="shared" si="83"/>
        <v>2026-01</v>
      </c>
    </row>
    <row r="1795" spans="1:13">
      <c r="A1795">
        <v>1794</v>
      </c>
      <c r="B1795">
        <v>1876</v>
      </c>
      <c r="C1795">
        <v>9</v>
      </c>
      <c r="D1795">
        <v>1</v>
      </c>
      <c r="E1795">
        <v>30</v>
      </c>
      <c r="F1795">
        <f t="shared" ref="F1795:F1858" si="84">D1795*E1795</f>
        <v>30</v>
      </c>
      <c r="G1795" t="str">
        <f>VLOOKUP(B1795,Orders!$A$2:$D$1201,4,FALSE)</f>
        <v>Delivered</v>
      </c>
      <c r="H1795">
        <f t="shared" ref="H1795:H1858" si="85">IF(G1795="Cancelled",0,F1795)</f>
        <v>30</v>
      </c>
      <c r="I1795" s="12">
        <f>VLOOKUP(B1795,Orders!$A$2:$D$1201,3,FALSE)</f>
        <v>46033</v>
      </c>
      <c r="L1795" t="str">
        <f>VLOOKUP(C1795,Products!$A$2:$D$13,2,FALSE)</f>
        <v>Lamp</v>
      </c>
      <c r="M1795" t="str">
        <f t="shared" ref="M1795:M1858" si="86">TEXT(I1795,"yyyy-mm")</f>
        <v>2026-01</v>
      </c>
    </row>
    <row r="1796" spans="1:13">
      <c r="A1796">
        <v>1795</v>
      </c>
      <c r="B1796">
        <v>1876</v>
      </c>
      <c r="C1796">
        <v>1</v>
      </c>
      <c r="D1796">
        <v>3</v>
      </c>
      <c r="E1796">
        <v>750</v>
      </c>
      <c r="F1796">
        <f t="shared" si="84"/>
        <v>2250</v>
      </c>
      <c r="G1796" t="str">
        <f>VLOOKUP(B1796,Orders!$A$2:$D$1201,4,FALSE)</f>
        <v>Delivered</v>
      </c>
      <c r="H1796">
        <f t="shared" si="85"/>
        <v>2250</v>
      </c>
      <c r="I1796" s="12">
        <f>VLOOKUP(B1796,Orders!$A$2:$D$1201,3,FALSE)</f>
        <v>46033</v>
      </c>
      <c r="L1796" t="str">
        <f>VLOOKUP(C1796,Products!$A$2:$D$13,2,FALSE)</f>
        <v>Laptop</v>
      </c>
      <c r="M1796" t="str">
        <f t="shared" si="86"/>
        <v>2026-01</v>
      </c>
    </row>
    <row r="1797" spans="1:13">
      <c r="A1797">
        <v>1796</v>
      </c>
      <c r="B1797">
        <v>1877</v>
      </c>
      <c r="C1797">
        <v>8</v>
      </c>
      <c r="D1797">
        <v>4</v>
      </c>
      <c r="E1797">
        <v>55</v>
      </c>
      <c r="F1797">
        <f t="shared" si="84"/>
        <v>220</v>
      </c>
      <c r="G1797" t="str">
        <f>VLOOKUP(B1797,Orders!$A$2:$D$1201,4,FALSE)</f>
        <v>Cancelled</v>
      </c>
      <c r="H1797">
        <f t="shared" si="85"/>
        <v>0</v>
      </c>
      <c r="I1797" s="12">
        <f>VLOOKUP(B1797,Orders!$A$2:$D$1201,3,FALSE)</f>
        <v>46122</v>
      </c>
      <c r="L1797" t="str">
        <f>VLOOKUP(C1797,Products!$A$2:$D$13,2,FALSE)</f>
        <v>Webcam</v>
      </c>
      <c r="M1797" t="str">
        <f t="shared" si="86"/>
        <v>2026-04</v>
      </c>
    </row>
    <row r="1798" spans="1:13">
      <c r="A1798">
        <v>1797</v>
      </c>
      <c r="B1798">
        <v>1877</v>
      </c>
      <c r="C1798">
        <v>12</v>
      </c>
      <c r="D1798">
        <v>1</v>
      </c>
      <c r="E1798">
        <v>22</v>
      </c>
      <c r="F1798">
        <f t="shared" si="84"/>
        <v>22</v>
      </c>
      <c r="G1798" t="str">
        <f>VLOOKUP(B1798,Orders!$A$2:$D$1201,4,FALSE)</f>
        <v>Cancelled</v>
      </c>
      <c r="H1798">
        <f t="shared" si="85"/>
        <v>0</v>
      </c>
      <c r="I1798" s="12">
        <f>VLOOKUP(B1798,Orders!$A$2:$D$1201,3,FALSE)</f>
        <v>46122</v>
      </c>
      <c r="L1798" t="str">
        <f>VLOOKUP(C1798,Products!$A$2:$D$13,2,FALSE)</f>
        <v>Storage Box</v>
      </c>
      <c r="M1798" t="str">
        <f t="shared" si="86"/>
        <v>2026-04</v>
      </c>
    </row>
    <row r="1799" spans="1:13">
      <c r="A1799">
        <v>1798</v>
      </c>
      <c r="B1799">
        <v>1878</v>
      </c>
      <c r="C1799">
        <v>7</v>
      </c>
      <c r="D1799">
        <v>4</v>
      </c>
      <c r="E1799">
        <v>65</v>
      </c>
      <c r="F1799">
        <f t="shared" si="84"/>
        <v>260</v>
      </c>
      <c r="G1799" t="str">
        <f>VLOOKUP(B1799,Orders!$A$2:$D$1201,4,FALSE)</f>
        <v>Delivered</v>
      </c>
      <c r="H1799">
        <f t="shared" si="85"/>
        <v>260</v>
      </c>
      <c r="I1799" s="12">
        <f>VLOOKUP(B1799,Orders!$A$2:$D$1201,3,FALSE)</f>
        <v>46044</v>
      </c>
      <c r="L1799" t="str">
        <f>VLOOKUP(C1799,Products!$A$2:$D$13,2,FALSE)</f>
        <v>Headphones</v>
      </c>
      <c r="M1799" t="str">
        <f t="shared" si="86"/>
        <v>2026-01</v>
      </c>
    </row>
    <row r="1800" spans="1:13">
      <c r="A1800">
        <v>1799</v>
      </c>
      <c r="B1800">
        <v>1878</v>
      </c>
      <c r="C1800">
        <v>4</v>
      </c>
      <c r="D1800">
        <v>3</v>
      </c>
      <c r="E1800">
        <v>25</v>
      </c>
      <c r="F1800">
        <f t="shared" si="84"/>
        <v>75</v>
      </c>
      <c r="G1800" t="str">
        <f>VLOOKUP(B1800,Orders!$A$2:$D$1201,4,FALSE)</f>
        <v>Delivered</v>
      </c>
      <c r="H1800">
        <f t="shared" si="85"/>
        <v>75</v>
      </c>
      <c r="I1800" s="12">
        <f>VLOOKUP(B1800,Orders!$A$2:$D$1201,3,FALSE)</f>
        <v>46044</v>
      </c>
      <c r="L1800" t="str">
        <f>VLOOKUP(C1800,Products!$A$2:$D$13,2,FALSE)</f>
        <v>Mouse</v>
      </c>
      <c r="M1800" t="str">
        <f t="shared" si="86"/>
        <v>2026-01</v>
      </c>
    </row>
    <row r="1801" spans="1:13">
      <c r="A1801">
        <v>1800</v>
      </c>
      <c r="B1801">
        <v>1879</v>
      </c>
      <c r="C1801">
        <v>8</v>
      </c>
      <c r="D1801">
        <v>2</v>
      </c>
      <c r="E1801">
        <v>55</v>
      </c>
      <c r="F1801">
        <f t="shared" si="84"/>
        <v>110</v>
      </c>
      <c r="G1801" t="str">
        <f>VLOOKUP(B1801,Orders!$A$2:$D$1201,4,FALSE)</f>
        <v>Delivered</v>
      </c>
      <c r="H1801">
        <f t="shared" si="85"/>
        <v>110</v>
      </c>
      <c r="I1801" s="12">
        <f>VLOOKUP(B1801,Orders!$A$2:$D$1201,3,FALSE)</f>
        <v>46202</v>
      </c>
      <c r="L1801" t="str">
        <f>VLOOKUP(C1801,Products!$A$2:$D$13,2,FALSE)</f>
        <v>Webcam</v>
      </c>
      <c r="M1801" t="str">
        <f t="shared" si="86"/>
        <v>2026-06</v>
      </c>
    </row>
    <row r="1802" spans="1:13">
      <c r="A1802">
        <v>1801</v>
      </c>
      <c r="B1802">
        <v>1879</v>
      </c>
      <c r="C1802">
        <v>1</v>
      </c>
      <c r="D1802">
        <v>4</v>
      </c>
      <c r="E1802">
        <v>750</v>
      </c>
      <c r="F1802">
        <f t="shared" si="84"/>
        <v>3000</v>
      </c>
      <c r="G1802" t="str">
        <f>VLOOKUP(B1802,Orders!$A$2:$D$1201,4,FALSE)</f>
        <v>Delivered</v>
      </c>
      <c r="H1802">
        <f t="shared" si="85"/>
        <v>3000</v>
      </c>
      <c r="I1802" s="12">
        <f>VLOOKUP(B1802,Orders!$A$2:$D$1201,3,FALSE)</f>
        <v>46202</v>
      </c>
      <c r="L1802" t="str">
        <f>VLOOKUP(C1802,Products!$A$2:$D$13,2,FALSE)</f>
        <v>Laptop</v>
      </c>
      <c r="M1802" t="str">
        <f t="shared" si="86"/>
        <v>2026-06</v>
      </c>
    </row>
    <row r="1803" spans="1:13">
      <c r="A1803">
        <v>1802</v>
      </c>
      <c r="B1803">
        <v>1880</v>
      </c>
      <c r="C1803">
        <v>8</v>
      </c>
      <c r="D1803">
        <v>1</v>
      </c>
      <c r="E1803">
        <v>55</v>
      </c>
      <c r="F1803">
        <f t="shared" si="84"/>
        <v>55</v>
      </c>
      <c r="G1803" t="str">
        <f>VLOOKUP(B1803,Orders!$A$2:$D$1201,4,FALSE)</f>
        <v>Delivered</v>
      </c>
      <c r="H1803">
        <f t="shared" si="85"/>
        <v>55</v>
      </c>
      <c r="I1803" s="12">
        <f>VLOOKUP(B1803,Orders!$A$2:$D$1201,3,FALSE)</f>
        <v>46120</v>
      </c>
      <c r="L1803" t="str">
        <f>VLOOKUP(C1803,Products!$A$2:$D$13,2,FALSE)</f>
        <v>Webcam</v>
      </c>
      <c r="M1803" t="str">
        <f t="shared" si="86"/>
        <v>2026-04</v>
      </c>
    </row>
    <row r="1804" spans="1:13">
      <c r="A1804">
        <v>1803</v>
      </c>
      <c r="B1804">
        <v>1880</v>
      </c>
      <c r="C1804">
        <v>4</v>
      </c>
      <c r="D1804">
        <v>2</v>
      </c>
      <c r="E1804">
        <v>25</v>
      </c>
      <c r="F1804">
        <f t="shared" si="84"/>
        <v>50</v>
      </c>
      <c r="G1804" t="str">
        <f>VLOOKUP(B1804,Orders!$A$2:$D$1201,4,FALSE)</f>
        <v>Delivered</v>
      </c>
      <c r="H1804">
        <f t="shared" si="85"/>
        <v>50</v>
      </c>
      <c r="I1804" s="12">
        <f>VLOOKUP(B1804,Orders!$A$2:$D$1201,3,FALSE)</f>
        <v>46120</v>
      </c>
      <c r="L1804" t="str">
        <f>VLOOKUP(C1804,Products!$A$2:$D$13,2,FALSE)</f>
        <v>Mouse</v>
      </c>
      <c r="M1804" t="str">
        <f t="shared" si="86"/>
        <v>2026-04</v>
      </c>
    </row>
    <row r="1805" spans="1:13">
      <c r="A1805">
        <v>1804</v>
      </c>
      <c r="B1805">
        <v>1881</v>
      </c>
      <c r="C1805">
        <v>2</v>
      </c>
      <c r="D1805">
        <v>3</v>
      </c>
      <c r="E1805">
        <v>220</v>
      </c>
      <c r="F1805">
        <f t="shared" si="84"/>
        <v>660</v>
      </c>
      <c r="G1805" t="str">
        <f>VLOOKUP(B1805,Orders!$A$2:$D$1201,4,FALSE)</f>
        <v>Delivered</v>
      </c>
      <c r="H1805">
        <f t="shared" si="85"/>
        <v>660</v>
      </c>
      <c r="I1805" s="12">
        <f>VLOOKUP(B1805,Orders!$A$2:$D$1201,3,FALSE)</f>
        <v>46087</v>
      </c>
      <c r="L1805" t="str">
        <f>VLOOKUP(C1805,Products!$A$2:$D$13,2,FALSE)</f>
        <v>Monitor</v>
      </c>
      <c r="M1805" t="str">
        <f t="shared" si="86"/>
        <v>2026-03</v>
      </c>
    </row>
    <row r="1806" spans="1:13">
      <c r="A1806">
        <v>1805</v>
      </c>
      <c r="B1806">
        <v>1882</v>
      </c>
      <c r="C1806">
        <v>1</v>
      </c>
      <c r="D1806">
        <v>1</v>
      </c>
      <c r="E1806">
        <v>750</v>
      </c>
      <c r="F1806">
        <f t="shared" si="84"/>
        <v>750</v>
      </c>
      <c r="G1806" t="str">
        <f>VLOOKUP(B1806,Orders!$A$2:$D$1201,4,FALSE)</f>
        <v>Delivered</v>
      </c>
      <c r="H1806">
        <f t="shared" si="85"/>
        <v>750</v>
      </c>
      <c r="I1806" s="12">
        <f>VLOOKUP(B1806,Orders!$A$2:$D$1201,3,FALSE)</f>
        <v>46157</v>
      </c>
      <c r="L1806" t="str">
        <f>VLOOKUP(C1806,Products!$A$2:$D$13,2,FALSE)</f>
        <v>Laptop</v>
      </c>
      <c r="M1806" t="str">
        <f t="shared" si="86"/>
        <v>2026-05</v>
      </c>
    </row>
    <row r="1807" spans="1:13">
      <c r="A1807">
        <v>1806</v>
      </c>
      <c r="B1807">
        <v>1883</v>
      </c>
      <c r="C1807">
        <v>8</v>
      </c>
      <c r="D1807">
        <v>2</v>
      </c>
      <c r="E1807">
        <v>55</v>
      </c>
      <c r="F1807">
        <f t="shared" si="84"/>
        <v>110</v>
      </c>
      <c r="G1807" t="str">
        <f>VLOOKUP(B1807,Orders!$A$2:$D$1201,4,FALSE)</f>
        <v>Delivered</v>
      </c>
      <c r="H1807">
        <f t="shared" si="85"/>
        <v>110</v>
      </c>
      <c r="I1807" s="12">
        <f>VLOOKUP(B1807,Orders!$A$2:$D$1201,3,FALSE)</f>
        <v>46065</v>
      </c>
      <c r="L1807" t="str">
        <f>VLOOKUP(C1807,Products!$A$2:$D$13,2,FALSE)</f>
        <v>Webcam</v>
      </c>
      <c r="M1807" t="str">
        <f t="shared" si="86"/>
        <v>2026-02</v>
      </c>
    </row>
    <row r="1808" spans="1:13">
      <c r="A1808">
        <v>1807</v>
      </c>
      <c r="B1808">
        <v>1883</v>
      </c>
      <c r="C1808">
        <v>9</v>
      </c>
      <c r="D1808">
        <v>4</v>
      </c>
      <c r="E1808">
        <v>30</v>
      </c>
      <c r="F1808">
        <f t="shared" si="84"/>
        <v>120</v>
      </c>
      <c r="G1808" t="str">
        <f>VLOOKUP(B1808,Orders!$A$2:$D$1201,4,FALSE)</f>
        <v>Delivered</v>
      </c>
      <c r="H1808">
        <f t="shared" si="85"/>
        <v>120</v>
      </c>
      <c r="I1808" s="12">
        <f>VLOOKUP(B1808,Orders!$A$2:$D$1201,3,FALSE)</f>
        <v>46065</v>
      </c>
      <c r="L1808" t="str">
        <f>VLOOKUP(C1808,Products!$A$2:$D$13,2,FALSE)</f>
        <v>Lamp</v>
      </c>
      <c r="M1808" t="str">
        <f t="shared" si="86"/>
        <v>2026-02</v>
      </c>
    </row>
    <row r="1809" spans="1:13">
      <c r="A1809">
        <v>1808</v>
      </c>
      <c r="B1809">
        <v>1884</v>
      </c>
      <c r="C1809">
        <v>12</v>
      </c>
      <c r="D1809">
        <v>2</v>
      </c>
      <c r="E1809">
        <v>22</v>
      </c>
      <c r="F1809">
        <f t="shared" si="84"/>
        <v>44</v>
      </c>
      <c r="G1809" t="str">
        <f>VLOOKUP(B1809,Orders!$A$2:$D$1201,4,FALSE)</f>
        <v>Delivered</v>
      </c>
      <c r="H1809">
        <f t="shared" si="85"/>
        <v>44</v>
      </c>
      <c r="I1809" s="12">
        <f>VLOOKUP(B1809,Orders!$A$2:$D$1201,3,FALSE)</f>
        <v>46166</v>
      </c>
      <c r="L1809" t="str">
        <f>VLOOKUP(C1809,Products!$A$2:$D$13,2,FALSE)</f>
        <v>Storage Box</v>
      </c>
      <c r="M1809" t="str">
        <f t="shared" si="86"/>
        <v>2026-05</v>
      </c>
    </row>
    <row r="1810" spans="1:13">
      <c r="A1810">
        <v>1809</v>
      </c>
      <c r="B1810">
        <v>1885</v>
      </c>
      <c r="C1810">
        <v>8</v>
      </c>
      <c r="D1810">
        <v>3</v>
      </c>
      <c r="E1810">
        <v>55</v>
      </c>
      <c r="F1810">
        <f t="shared" si="84"/>
        <v>165</v>
      </c>
      <c r="G1810" t="str">
        <f>VLOOKUP(B1810,Orders!$A$2:$D$1201,4,FALSE)</f>
        <v>Delivered</v>
      </c>
      <c r="H1810">
        <f t="shared" si="85"/>
        <v>165</v>
      </c>
      <c r="I1810" s="12">
        <f>VLOOKUP(B1810,Orders!$A$2:$D$1201,3,FALSE)</f>
        <v>46104</v>
      </c>
      <c r="L1810" t="str">
        <f>VLOOKUP(C1810,Products!$A$2:$D$13,2,FALSE)</f>
        <v>Webcam</v>
      </c>
      <c r="M1810" t="str">
        <f t="shared" si="86"/>
        <v>2026-03</v>
      </c>
    </row>
    <row r="1811" spans="1:13">
      <c r="A1811">
        <v>1810</v>
      </c>
      <c r="B1811">
        <v>1886</v>
      </c>
      <c r="C1811">
        <v>8</v>
      </c>
      <c r="D1811">
        <v>1</v>
      </c>
      <c r="E1811">
        <v>55</v>
      </c>
      <c r="F1811">
        <f t="shared" si="84"/>
        <v>55</v>
      </c>
      <c r="G1811" t="str">
        <f>VLOOKUP(B1811,Orders!$A$2:$D$1201,4,FALSE)</f>
        <v>Pending</v>
      </c>
      <c r="H1811">
        <f t="shared" si="85"/>
        <v>55</v>
      </c>
      <c r="I1811" s="12">
        <f>VLOOKUP(B1811,Orders!$A$2:$D$1201,3,FALSE)</f>
        <v>46023</v>
      </c>
      <c r="L1811" t="str">
        <f>VLOOKUP(C1811,Products!$A$2:$D$13,2,FALSE)</f>
        <v>Webcam</v>
      </c>
      <c r="M1811" t="str">
        <f t="shared" si="86"/>
        <v>2026-01</v>
      </c>
    </row>
    <row r="1812" spans="1:13">
      <c r="A1812">
        <v>1811</v>
      </c>
      <c r="B1812">
        <v>1886</v>
      </c>
      <c r="C1812">
        <v>11</v>
      </c>
      <c r="D1812">
        <v>1</v>
      </c>
      <c r="E1812">
        <v>48</v>
      </c>
      <c r="F1812">
        <f t="shared" si="84"/>
        <v>48</v>
      </c>
      <c r="G1812" t="str">
        <f>VLOOKUP(B1812,Orders!$A$2:$D$1201,4,FALSE)</f>
        <v>Pending</v>
      </c>
      <c r="H1812">
        <f t="shared" si="85"/>
        <v>48</v>
      </c>
      <c r="I1812" s="12">
        <f>VLOOKUP(B1812,Orders!$A$2:$D$1201,3,FALSE)</f>
        <v>46023</v>
      </c>
      <c r="L1812" t="str">
        <f>VLOOKUP(C1812,Products!$A$2:$D$13,2,FALSE)</f>
        <v>Backpack</v>
      </c>
      <c r="M1812" t="str">
        <f t="shared" si="86"/>
        <v>2026-01</v>
      </c>
    </row>
    <row r="1813" spans="1:13">
      <c r="A1813">
        <v>1812</v>
      </c>
      <c r="B1813">
        <v>1886</v>
      </c>
      <c r="C1813">
        <v>10</v>
      </c>
      <c r="D1813">
        <v>2</v>
      </c>
      <c r="E1813">
        <v>8</v>
      </c>
      <c r="F1813">
        <f t="shared" si="84"/>
        <v>16</v>
      </c>
      <c r="G1813" t="str">
        <f>VLOOKUP(B1813,Orders!$A$2:$D$1201,4,FALSE)</f>
        <v>Pending</v>
      </c>
      <c r="H1813">
        <f t="shared" si="85"/>
        <v>16</v>
      </c>
      <c r="I1813" s="12">
        <f>VLOOKUP(B1813,Orders!$A$2:$D$1201,3,FALSE)</f>
        <v>46023</v>
      </c>
      <c r="L1813" t="str">
        <f>VLOOKUP(C1813,Products!$A$2:$D$13,2,FALSE)</f>
        <v>Notebook</v>
      </c>
      <c r="M1813" t="str">
        <f t="shared" si="86"/>
        <v>2026-01</v>
      </c>
    </row>
    <row r="1814" spans="1:13">
      <c r="A1814">
        <v>1813</v>
      </c>
      <c r="B1814">
        <v>1887</v>
      </c>
      <c r="C1814">
        <v>10</v>
      </c>
      <c r="D1814">
        <v>4</v>
      </c>
      <c r="E1814">
        <v>8</v>
      </c>
      <c r="F1814">
        <f t="shared" si="84"/>
        <v>32</v>
      </c>
      <c r="G1814" t="str">
        <f>VLOOKUP(B1814,Orders!$A$2:$D$1201,4,FALSE)</f>
        <v>Delivered</v>
      </c>
      <c r="H1814">
        <f t="shared" si="85"/>
        <v>32</v>
      </c>
      <c r="I1814" s="12">
        <f>VLOOKUP(B1814,Orders!$A$2:$D$1201,3,FALSE)</f>
        <v>46071</v>
      </c>
      <c r="L1814" t="str">
        <f>VLOOKUP(C1814,Products!$A$2:$D$13,2,FALSE)</f>
        <v>Notebook</v>
      </c>
      <c r="M1814" t="str">
        <f t="shared" si="86"/>
        <v>2026-02</v>
      </c>
    </row>
    <row r="1815" spans="1:13">
      <c r="A1815">
        <v>1814</v>
      </c>
      <c r="B1815">
        <v>1888</v>
      </c>
      <c r="C1815">
        <v>1</v>
      </c>
      <c r="D1815">
        <v>3</v>
      </c>
      <c r="E1815">
        <v>750</v>
      </c>
      <c r="F1815">
        <f t="shared" si="84"/>
        <v>2250</v>
      </c>
      <c r="G1815" t="str">
        <f>VLOOKUP(B1815,Orders!$A$2:$D$1201,4,FALSE)</f>
        <v>Shipped</v>
      </c>
      <c r="H1815">
        <f t="shared" si="85"/>
        <v>2250</v>
      </c>
      <c r="I1815" s="12">
        <f>VLOOKUP(B1815,Orders!$A$2:$D$1201,3,FALSE)</f>
        <v>46170</v>
      </c>
      <c r="L1815" t="str">
        <f>VLOOKUP(C1815,Products!$A$2:$D$13,2,FALSE)</f>
        <v>Laptop</v>
      </c>
      <c r="M1815" t="str">
        <f t="shared" si="86"/>
        <v>2026-05</v>
      </c>
    </row>
    <row r="1816" spans="1:13">
      <c r="A1816">
        <v>1815</v>
      </c>
      <c r="B1816">
        <v>1888</v>
      </c>
      <c r="C1816">
        <v>5</v>
      </c>
      <c r="D1816">
        <v>1</v>
      </c>
      <c r="E1816">
        <v>180</v>
      </c>
      <c r="F1816">
        <f t="shared" si="84"/>
        <v>180</v>
      </c>
      <c r="G1816" t="str">
        <f>VLOOKUP(B1816,Orders!$A$2:$D$1201,4,FALSE)</f>
        <v>Shipped</v>
      </c>
      <c r="H1816">
        <f t="shared" si="85"/>
        <v>180</v>
      </c>
      <c r="I1816" s="12">
        <f>VLOOKUP(B1816,Orders!$A$2:$D$1201,3,FALSE)</f>
        <v>46170</v>
      </c>
      <c r="L1816" t="str">
        <f>VLOOKUP(C1816,Products!$A$2:$D$13,2,FALSE)</f>
        <v>Desk</v>
      </c>
      <c r="M1816" t="str">
        <f t="shared" si="86"/>
        <v>2026-05</v>
      </c>
    </row>
    <row r="1817" spans="1:13">
      <c r="A1817">
        <v>1816</v>
      </c>
      <c r="B1817">
        <v>1889</v>
      </c>
      <c r="C1817">
        <v>9</v>
      </c>
      <c r="D1817">
        <v>3</v>
      </c>
      <c r="E1817">
        <v>30</v>
      </c>
      <c r="F1817">
        <f t="shared" si="84"/>
        <v>90</v>
      </c>
      <c r="G1817" t="str">
        <f>VLOOKUP(B1817,Orders!$A$2:$D$1201,4,FALSE)</f>
        <v>Delivered</v>
      </c>
      <c r="H1817">
        <f t="shared" si="85"/>
        <v>90</v>
      </c>
      <c r="I1817" s="12">
        <f>VLOOKUP(B1817,Orders!$A$2:$D$1201,3,FALSE)</f>
        <v>46139</v>
      </c>
      <c r="L1817" t="str">
        <f>VLOOKUP(C1817,Products!$A$2:$D$13,2,FALSE)</f>
        <v>Lamp</v>
      </c>
      <c r="M1817" t="str">
        <f t="shared" si="86"/>
        <v>2026-04</v>
      </c>
    </row>
    <row r="1818" spans="1:13">
      <c r="A1818">
        <v>1817</v>
      </c>
      <c r="B1818">
        <v>1889</v>
      </c>
      <c r="C1818">
        <v>7</v>
      </c>
      <c r="D1818">
        <v>1</v>
      </c>
      <c r="E1818">
        <v>65</v>
      </c>
      <c r="F1818">
        <f t="shared" si="84"/>
        <v>65</v>
      </c>
      <c r="G1818" t="str">
        <f>VLOOKUP(B1818,Orders!$A$2:$D$1201,4,FALSE)</f>
        <v>Delivered</v>
      </c>
      <c r="H1818">
        <f t="shared" si="85"/>
        <v>65</v>
      </c>
      <c r="I1818" s="12">
        <f>VLOOKUP(B1818,Orders!$A$2:$D$1201,3,FALSE)</f>
        <v>46139</v>
      </c>
      <c r="L1818" t="str">
        <f>VLOOKUP(C1818,Products!$A$2:$D$13,2,FALSE)</f>
        <v>Headphones</v>
      </c>
      <c r="M1818" t="str">
        <f t="shared" si="86"/>
        <v>2026-04</v>
      </c>
    </row>
    <row r="1819" spans="1:13">
      <c r="A1819">
        <v>1818</v>
      </c>
      <c r="B1819">
        <v>1890</v>
      </c>
      <c r="C1819">
        <v>5</v>
      </c>
      <c r="D1819">
        <v>4</v>
      </c>
      <c r="E1819">
        <v>180</v>
      </c>
      <c r="F1819">
        <f t="shared" si="84"/>
        <v>720</v>
      </c>
      <c r="G1819" t="str">
        <f>VLOOKUP(B1819,Orders!$A$2:$D$1201,4,FALSE)</f>
        <v>Delivered</v>
      </c>
      <c r="H1819">
        <f t="shared" si="85"/>
        <v>720</v>
      </c>
      <c r="I1819" s="12">
        <f>VLOOKUP(B1819,Orders!$A$2:$D$1201,3,FALSE)</f>
        <v>46175</v>
      </c>
      <c r="L1819" t="str">
        <f>VLOOKUP(C1819,Products!$A$2:$D$13,2,FALSE)</f>
        <v>Desk</v>
      </c>
      <c r="M1819" t="str">
        <f t="shared" si="86"/>
        <v>2026-06</v>
      </c>
    </row>
    <row r="1820" spans="1:13">
      <c r="A1820">
        <v>1819</v>
      </c>
      <c r="B1820">
        <v>1890</v>
      </c>
      <c r="C1820">
        <v>11</v>
      </c>
      <c r="D1820">
        <v>3</v>
      </c>
      <c r="E1820">
        <v>48</v>
      </c>
      <c r="F1820">
        <f t="shared" si="84"/>
        <v>144</v>
      </c>
      <c r="G1820" t="str">
        <f>VLOOKUP(B1820,Orders!$A$2:$D$1201,4,FALSE)</f>
        <v>Delivered</v>
      </c>
      <c r="H1820">
        <f t="shared" si="85"/>
        <v>144</v>
      </c>
      <c r="I1820" s="12">
        <f>VLOOKUP(B1820,Orders!$A$2:$D$1201,3,FALSE)</f>
        <v>46175</v>
      </c>
      <c r="L1820" t="str">
        <f>VLOOKUP(C1820,Products!$A$2:$D$13,2,FALSE)</f>
        <v>Backpack</v>
      </c>
      <c r="M1820" t="str">
        <f t="shared" si="86"/>
        <v>2026-06</v>
      </c>
    </row>
    <row r="1821" spans="1:13">
      <c r="A1821">
        <v>1820</v>
      </c>
      <c r="B1821">
        <v>1891</v>
      </c>
      <c r="C1821">
        <v>11</v>
      </c>
      <c r="D1821">
        <v>1</v>
      </c>
      <c r="E1821">
        <v>48</v>
      </c>
      <c r="F1821">
        <f t="shared" si="84"/>
        <v>48</v>
      </c>
      <c r="G1821" t="str">
        <f>VLOOKUP(B1821,Orders!$A$2:$D$1201,4,FALSE)</f>
        <v>Delivered</v>
      </c>
      <c r="H1821">
        <f t="shared" si="85"/>
        <v>48</v>
      </c>
      <c r="I1821" s="12">
        <f>VLOOKUP(B1821,Orders!$A$2:$D$1201,3,FALSE)</f>
        <v>46045</v>
      </c>
      <c r="L1821" t="str">
        <f>VLOOKUP(C1821,Products!$A$2:$D$13,2,FALSE)</f>
        <v>Backpack</v>
      </c>
      <c r="M1821" t="str">
        <f t="shared" si="86"/>
        <v>2026-01</v>
      </c>
    </row>
    <row r="1822" spans="1:13">
      <c r="A1822">
        <v>1821</v>
      </c>
      <c r="B1822">
        <v>1892</v>
      </c>
      <c r="C1822">
        <v>10</v>
      </c>
      <c r="D1822">
        <v>4</v>
      </c>
      <c r="E1822">
        <v>8</v>
      </c>
      <c r="F1822">
        <f t="shared" si="84"/>
        <v>32</v>
      </c>
      <c r="G1822" t="str">
        <f>VLOOKUP(B1822,Orders!$A$2:$D$1201,4,FALSE)</f>
        <v>Delivered</v>
      </c>
      <c r="H1822">
        <f t="shared" si="85"/>
        <v>32</v>
      </c>
      <c r="I1822" s="12">
        <f>VLOOKUP(B1822,Orders!$A$2:$D$1201,3,FALSE)</f>
        <v>46162</v>
      </c>
      <c r="L1822" t="str">
        <f>VLOOKUP(C1822,Products!$A$2:$D$13,2,FALSE)</f>
        <v>Notebook</v>
      </c>
      <c r="M1822" t="str">
        <f t="shared" si="86"/>
        <v>2026-05</v>
      </c>
    </row>
    <row r="1823" spans="1:13">
      <c r="A1823">
        <v>1822</v>
      </c>
      <c r="B1823">
        <v>1892</v>
      </c>
      <c r="C1823">
        <v>1</v>
      </c>
      <c r="D1823">
        <v>2</v>
      </c>
      <c r="E1823">
        <v>750</v>
      </c>
      <c r="F1823">
        <f t="shared" si="84"/>
        <v>1500</v>
      </c>
      <c r="G1823" t="str">
        <f>VLOOKUP(B1823,Orders!$A$2:$D$1201,4,FALSE)</f>
        <v>Delivered</v>
      </c>
      <c r="H1823">
        <f t="shared" si="85"/>
        <v>1500</v>
      </c>
      <c r="I1823" s="12">
        <f>VLOOKUP(B1823,Orders!$A$2:$D$1201,3,FALSE)</f>
        <v>46162</v>
      </c>
      <c r="L1823" t="str">
        <f>VLOOKUP(C1823,Products!$A$2:$D$13,2,FALSE)</f>
        <v>Laptop</v>
      </c>
      <c r="M1823" t="str">
        <f t="shared" si="86"/>
        <v>2026-05</v>
      </c>
    </row>
    <row r="1824" spans="1:13">
      <c r="A1824">
        <v>1823</v>
      </c>
      <c r="B1824">
        <v>1892</v>
      </c>
      <c r="C1824">
        <v>5</v>
      </c>
      <c r="D1824">
        <v>2</v>
      </c>
      <c r="E1824">
        <v>180</v>
      </c>
      <c r="F1824">
        <f t="shared" si="84"/>
        <v>360</v>
      </c>
      <c r="G1824" t="str">
        <f>VLOOKUP(B1824,Orders!$A$2:$D$1201,4,FALSE)</f>
        <v>Delivered</v>
      </c>
      <c r="H1824">
        <f t="shared" si="85"/>
        <v>360</v>
      </c>
      <c r="I1824" s="12">
        <f>VLOOKUP(B1824,Orders!$A$2:$D$1201,3,FALSE)</f>
        <v>46162</v>
      </c>
      <c r="L1824" t="str">
        <f>VLOOKUP(C1824,Products!$A$2:$D$13,2,FALSE)</f>
        <v>Desk</v>
      </c>
      <c r="M1824" t="str">
        <f t="shared" si="86"/>
        <v>2026-05</v>
      </c>
    </row>
    <row r="1825" spans="1:13">
      <c r="A1825">
        <v>1824</v>
      </c>
      <c r="B1825">
        <v>1893</v>
      </c>
      <c r="C1825">
        <v>11</v>
      </c>
      <c r="D1825">
        <v>1</v>
      </c>
      <c r="E1825">
        <v>48</v>
      </c>
      <c r="F1825">
        <f t="shared" si="84"/>
        <v>48</v>
      </c>
      <c r="G1825" t="str">
        <f>VLOOKUP(B1825,Orders!$A$2:$D$1201,4,FALSE)</f>
        <v>Delivered</v>
      </c>
      <c r="H1825">
        <f t="shared" si="85"/>
        <v>48</v>
      </c>
      <c r="I1825" s="12">
        <f>VLOOKUP(B1825,Orders!$A$2:$D$1201,3,FALSE)</f>
        <v>46054</v>
      </c>
      <c r="L1825" t="str">
        <f>VLOOKUP(C1825,Products!$A$2:$D$13,2,FALSE)</f>
        <v>Backpack</v>
      </c>
      <c r="M1825" t="str">
        <f t="shared" si="86"/>
        <v>2026-02</v>
      </c>
    </row>
    <row r="1826" spans="1:13">
      <c r="A1826">
        <v>1825</v>
      </c>
      <c r="B1826">
        <v>1893</v>
      </c>
      <c r="C1826">
        <v>7</v>
      </c>
      <c r="D1826">
        <v>3</v>
      </c>
      <c r="E1826">
        <v>65</v>
      </c>
      <c r="F1826">
        <f t="shared" si="84"/>
        <v>195</v>
      </c>
      <c r="G1826" t="str">
        <f>VLOOKUP(B1826,Orders!$A$2:$D$1201,4,FALSE)</f>
        <v>Delivered</v>
      </c>
      <c r="H1826">
        <f t="shared" si="85"/>
        <v>195</v>
      </c>
      <c r="I1826" s="12">
        <f>VLOOKUP(B1826,Orders!$A$2:$D$1201,3,FALSE)</f>
        <v>46054</v>
      </c>
      <c r="L1826" t="str">
        <f>VLOOKUP(C1826,Products!$A$2:$D$13,2,FALSE)</f>
        <v>Headphones</v>
      </c>
      <c r="M1826" t="str">
        <f t="shared" si="86"/>
        <v>2026-02</v>
      </c>
    </row>
    <row r="1827" spans="1:13">
      <c r="A1827">
        <v>1826</v>
      </c>
      <c r="B1827">
        <v>1894</v>
      </c>
      <c r="C1827">
        <v>4</v>
      </c>
      <c r="D1827">
        <v>1</v>
      </c>
      <c r="E1827">
        <v>25</v>
      </c>
      <c r="F1827">
        <f t="shared" si="84"/>
        <v>25</v>
      </c>
      <c r="G1827" t="str">
        <f>VLOOKUP(B1827,Orders!$A$2:$D$1201,4,FALSE)</f>
        <v>Delivered</v>
      </c>
      <c r="H1827">
        <f t="shared" si="85"/>
        <v>25</v>
      </c>
      <c r="I1827" s="12">
        <f>VLOOKUP(B1827,Orders!$A$2:$D$1201,3,FALSE)</f>
        <v>46090</v>
      </c>
      <c r="L1827" t="str">
        <f>VLOOKUP(C1827,Products!$A$2:$D$13,2,FALSE)</f>
        <v>Mouse</v>
      </c>
      <c r="M1827" t="str">
        <f t="shared" si="86"/>
        <v>2026-03</v>
      </c>
    </row>
    <row r="1828" spans="1:13">
      <c r="A1828">
        <v>1827</v>
      </c>
      <c r="B1828">
        <v>1894</v>
      </c>
      <c r="C1828">
        <v>1</v>
      </c>
      <c r="D1828">
        <v>1</v>
      </c>
      <c r="E1828">
        <v>750</v>
      </c>
      <c r="F1828">
        <f t="shared" si="84"/>
        <v>750</v>
      </c>
      <c r="G1828" t="str">
        <f>VLOOKUP(B1828,Orders!$A$2:$D$1201,4,FALSE)</f>
        <v>Delivered</v>
      </c>
      <c r="H1828">
        <f t="shared" si="85"/>
        <v>750</v>
      </c>
      <c r="I1828" s="12">
        <f>VLOOKUP(B1828,Orders!$A$2:$D$1201,3,FALSE)</f>
        <v>46090</v>
      </c>
      <c r="L1828" t="str">
        <f>VLOOKUP(C1828,Products!$A$2:$D$13,2,FALSE)</f>
        <v>Laptop</v>
      </c>
      <c r="M1828" t="str">
        <f t="shared" si="86"/>
        <v>2026-03</v>
      </c>
    </row>
    <row r="1829" spans="1:13">
      <c r="A1829">
        <v>1828</v>
      </c>
      <c r="B1829">
        <v>1894</v>
      </c>
      <c r="C1829">
        <v>7</v>
      </c>
      <c r="D1829">
        <v>1</v>
      </c>
      <c r="E1829">
        <v>65</v>
      </c>
      <c r="F1829">
        <f t="shared" si="84"/>
        <v>65</v>
      </c>
      <c r="G1829" t="str">
        <f>VLOOKUP(B1829,Orders!$A$2:$D$1201,4,FALSE)</f>
        <v>Delivered</v>
      </c>
      <c r="H1829">
        <f t="shared" si="85"/>
        <v>65</v>
      </c>
      <c r="I1829" s="12">
        <f>VLOOKUP(B1829,Orders!$A$2:$D$1201,3,FALSE)</f>
        <v>46090</v>
      </c>
      <c r="L1829" t="str">
        <f>VLOOKUP(C1829,Products!$A$2:$D$13,2,FALSE)</f>
        <v>Headphones</v>
      </c>
      <c r="M1829" t="str">
        <f t="shared" si="86"/>
        <v>2026-03</v>
      </c>
    </row>
    <row r="1830" spans="1:13">
      <c r="A1830">
        <v>1829</v>
      </c>
      <c r="B1830">
        <v>1895</v>
      </c>
      <c r="C1830">
        <v>7</v>
      </c>
      <c r="D1830">
        <v>4</v>
      </c>
      <c r="E1830">
        <v>65</v>
      </c>
      <c r="F1830">
        <f t="shared" si="84"/>
        <v>260</v>
      </c>
      <c r="G1830" t="str">
        <f>VLOOKUP(B1830,Orders!$A$2:$D$1201,4,FALSE)</f>
        <v>Delivered</v>
      </c>
      <c r="H1830">
        <f t="shared" si="85"/>
        <v>260</v>
      </c>
      <c r="I1830" s="12">
        <f>VLOOKUP(B1830,Orders!$A$2:$D$1201,3,FALSE)</f>
        <v>46176</v>
      </c>
      <c r="L1830" t="str">
        <f>VLOOKUP(C1830,Products!$A$2:$D$13,2,FALSE)</f>
        <v>Headphones</v>
      </c>
      <c r="M1830" t="str">
        <f t="shared" si="86"/>
        <v>2026-06</v>
      </c>
    </row>
    <row r="1831" spans="1:13">
      <c r="A1831">
        <v>1830</v>
      </c>
      <c r="B1831">
        <v>1895</v>
      </c>
      <c r="C1831">
        <v>4</v>
      </c>
      <c r="D1831">
        <v>2</v>
      </c>
      <c r="E1831">
        <v>25</v>
      </c>
      <c r="F1831">
        <f t="shared" si="84"/>
        <v>50</v>
      </c>
      <c r="G1831" t="str">
        <f>VLOOKUP(B1831,Orders!$A$2:$D$1201,4,FALSE)</f>
        <v>Delivered</v>
      </c>
      <c r="H1831">
        <f t="shared" si="85"/>
        <v>50</v>
      </c>
      <c r="I1831" s="12">
        <f>VLOOKUP(B1831,Orders!$A$2:$D$1201,3,FALSE)</f>
        <v>46176</v>
      </c>
      <c r="L1831" t="str">
        <f>VLOOKUP(C1831,Products!$A$2:$D$13,2,FALSE)</f>
        <v>Mouse</v>
      </c>
      <c r="M1831" t="str">
        <f t="shared" si="86"/>
        <v>2026-06</v>
      </c>
    </row>
    <row r="1832" spans="1:13">
      <c r="A1832">
        <v>1831</v>
      </c>
      <c r="B1832">
        <v>1895</v>
      </c>
      <c r="C1832">
        <v>9</v>
      </c>
      <c r="D1832">
        <v>4</v>
      </c>
      <c r="E1832">
        <v>30</v>
      </c>
      <c r="F1832">
        <f t="shared" si="84"/>
        <v>120</v>
      </c>
      <c r="G1832" t="str">
        <f>VLOOKUP(B1832,Orders!$A$2:$D$1201,4,FALSE)</f>
        <v>Delivered</v>
      </c>
      <c r="H1832">
        <f t="shared" si="85"/>
        <v>120</v>
      </c>
      <c r="I1832" s="12">
        <f>VLOOKUP(B1832,Orders!$A$2:$D$1201,3,FALSE)</f>
        <v>46176</v>
      </c>
      <c r="L1832" t="str">
        <f>VLOOKUP(C1832,Products!$A$2:$D$13,2,FALSE)</f>
        <v>Lamp</v>
      </c>
      <c r="M1832" t="str">
        <f t="shared" si="86"/>
        <v>2026-06</v>
      </c>
    </row>
    <row r="1833" spans="1:13">
      <c r="A1833">
        <v>1832</v>
      </c>
      <c r="B1833">
        <v>1896</v>
      </c>
      <c r="C1833">
        <v>6</v>
      </c>
      <c r="D1833">
        <v>2</v>
      </c>
      <c r="E1833">
        <v>140</v>
      </c>
      <c r="F1833">
        <f t="shared" si="84"/>
        <v>280</v>
      </c>
      <c r="G1833" t="str">
        <f>VLOOKUP(B1833,Orders!$A$2:$D$1201,4,FALSE)</f>
        <v>Delivered</v>
      </c>
      <c r="H1833">
        <f t="shared" si="85"/>
        <v>280</v>
      </c>
      <c r="I1833" s="12">
        <f>VLOOKUP(B1833,Orders!$A$2:$D$1201,3,FALSE)</f>
        <v>46185</v>
      </c>
      <c r="L1833" t="str">
        <f>VLOOKUP(C1833,Products!$A$2:$D$13,2,FALSE)</f>
        <v>Chair</v>
      </c>
      <c r="M1833" t="str">
        <f t="shared" si="86"/>
        <v>2026-06</v>
      </c>
    </row>
    <row r="1834" spans="1:13">
      <c r="A1834">
        <v>1833</v>
      </c>
      <c r="B1834">
        <v>1896</v>
      </c>
      <c r="C1834">
        <v>9</v>
      </c>
      <c r="D1834">
        <v>4</v>
      </c>
      <c r="E1834">
        <v>30</v>
      </c>
      <c r="F1834">
        <f t="shared" si="84"/>
        <v>120</v>
      </c>
      <c r="G1834" t="str">
        <f>VLOOKUP(B1834,Orders!$A$2:$D$1201,4,FALSE)</f>
        <v>Delivered</v>
      </c>
      <c r="H1834">
        <f t="shared" si="85"/>
        <v>120</v>
      </c>
      <c r="I1834" s="12">
        <f>VLOOKUP(B1834,Orders!$A$2:$D$1201,3,FALSE)</f>
        <v>46185</v>
      </c>
      <c r="L1834" t="str">
        <f>VLOOKUP(C1834,Products!$A$2:$D$13,2,FALSE)</f>
        <v>Lamp</v>
      </c>
      <c r="M1834" t="str">
        <f t="shared" si="86"/>
        <v>2026-06</v>
      </c>
    </row>
    <row r="1835" spans="1:13">
      <c r="A1835">
        <v>1834</v>
      </c>
      <c r="B1835">
        <v>1897</v>
      </c>
      <c r="C1835">
        <v>5</v>
      </c>
      <c r="D1835">
        <v>3</v>
      </c>
      <c r="E1835">
        <v>180</v>
      </c>
      <c r="F1835">
        <f t="shared" si="84"/>
        <v>540</v>
      </c>
      <c r="G1835" t="str">
        <f>VLOOKUP(B1835,Orders!$A$2:$D$1201,4,FALSE)</f>
        <v>Delivered</v>
      </c>
      <c r="H1835">
        <f t="shared" si="85"/>
        <v>540</v>
      </c>
      <c r="I1835" s="12">
        <f>VLOOKUP(B1835,Orders!$A$2:$D$1201,3,FALSE)</f>
        <v>46184</v>
      </c>
      <c r="L1835" t="str">
        <f>VLOOKUP(C1835,Products!$A$2:$D$13,2,FALSE)</f>
        <v>Desk</v>
      </c>
      <c r="M1835" t="str">
        <f t="shared" si="86"/>
        <v>2026-06</v>
      </c>
    </row>
    <row r="1836" spans="1:13">
      <c r="A1836">
        <v>1835</v>
      </c>
      <c r="B1836">
        <v>1897</v>
      </c>
      <c r="C1836">
        <v>9</v>
      </c>
      <c r="D1836">
        <v>2</v>
      </c>
      <c r="E1836">
        <v>30</v>
      </c>
      <c r="F1836">
        <f t="shared" si="84"/>
        <v>60</v>
      </c>
      <c r="G1836" t="str">
        <f>VLOOKUP(B1836,Orders!$A$2:$D$1201,4,FALSE)</f>
        <v>Delivered</v>
      </c>
      <c r="H1836">
        <f t="shared" si="85"/>
        <v>60</v>
      </c>
      <c r="I1836" s="12">
        <f>VLOOKUP(B1836,Orders!$A$2:$D$1201,3,FALSE)</f>
        <v>46184</v>
      </c>
      <c r="L1836" t="str">
        <f>VLOOKUP(C1836,Products!$A$2:$D$13,2,FALSE)</f>
        <v>Lamp</v>
      </c>
      <c r="M1836" t="str">
        <f t="shared" si="86"/>
        <v>2026-06</v>
      </c>
    </row>
    <row r="1837" spans="1:13">
      <c r="A1837">
        <v>1836</v>
      </c>
      <c r="B1837">
        <v>1897</v>
      </c>
      <c r="C1837">
        <v>3</v>
      </c>
      <c r="D1837">
        <v>1</v>
      </c>
      <c r="E1837">
        <v>45</v>
      </c>
      <c r="F1837">
        <f t="shared" si="84"/>
        <v>45</v>
      </c>
      <c r="G1837" t="str">
        <f>VLOOKUP(B1837,Orders!$A$2:$D$1201,4,FALSE)</f>
        <v>Delivered</v>
      </c>
      <c r="H1837">
        <f t="shared" si="85"/>
        <v>45</v>
      </c>
      <c r="I1837" s="12">
        <f>VLOOKUP(B1837,Orders!$A$2:$D$1201,3,FALSE)</f>
        <v>46184</v>
      </c>
      <c r="L1837" t="str">
        <f>VLOOKUP(C1837,Products!$A$2:$D$13,2,FALSE)</f>
        <v>Keyboard</v>
      </c>
      <c r="M1837" t="str">
        <f t="shared" si="86"/>
        <v>2026-06</v>
      </c>
    </row>
    <row r="1838" spans="1:13">
      <c r="A1838">
        <v>1837</v>
      </c>
      <c r="B1838">
        <v>1898</v>
      </c>
      <c r="C1838">
        <v>10</v>
      </c>
      <c r="D1838">
        <v>4</v>
      </c>
      <c r="E1838">
        <v>8</v>
      </c>
      <c r="F1838">
        <f t="shared" si="84"/>
        <v>32</v>
      </c>
      <c r="G1838" t="str">
        <f>VLOOKUP(B1838,Orders!$A$2:$D$1201,4,FALSE)</f>
        <v>Delivered</v>
      </c>
      <c r="H1838">
        <f t="shared" si="85"/>
        <v>32</v>
      </c>
      <c r="I1838" s="12">
        <f>VLOOKUP(B1838,Orders!$A$2:$D$1201,3,FALSE)</f>
        <v>46062</v>
      </c>
      <c r="L1838" t="str">
        <f>VLOOKUP(C1838,Products!$A$2:$D$13,2,FALSE)</f>
        <v>Notebook</v>
      </c>
      <c r="M1838" t="str">
        <f t="shared" si="86"/>
        <v>2026-02</v>
      </c>
    </row>
    <row r="1839" spans="1:13">
      <c r="A1839">
        <v>1838</v>
      </c>
      <c r="B1839">
        <v>1899</v>
      </c>
      <c r="C1839">
        <v>11</v>
      </c>
      <c r="D1839">
        <v>2</v>
      </c>
      <c r="E1839">
        <v>48</v>
      </c>
      <c r="F1839">
        <f t="shared" si="84"/>
        <v>96</v>
      </c>
      <c r="G1839" t="str">
        <f>VLOOKUP(B1839,Orders!$A$2:$D$1201,4,FALSE)</f>
        <v>Delivered</v>
      </c>
      <c r="H1839">
        <f t="shared" si="85"/>
        <v>96</v>
      </c>
      <c r="I1839" s="12">
        <f>VLOOKUP(B1839,Orders!$A$2:$D$1201,3,FALSE)</f>
        <v>46184</v>
      </c>
      <c r="L1839" t="str">
        <f>VLOOKUP(C1839,Products!$A$2:$D$13,2,FALSE)</f>
        <v>Backpack</v>
      </c>
      <c r="M1839" t="str">
        <f t="shared" si="86"/>
        <v>2026-06</v>
      </c>
    </row>
    <row r="1840" spans="1:13">
      <c r="A1840">
        <v>1839</v>
      </c>
      <c r="B1840">
        <v>1900</v>
      </c>
      <c r="C1840">
        <v>3</v>
      </c>
      <c r="D1840">
        <v>1</v>
      </c>
      <c r="E1840">
        <v>45</v>
      </c>
      <c r="F1840">
        <f t="shared" si="84"/>
        <v>45</v>
      </c>
      <c r="G1840" t="str">
        <f>VLOOKUP(B1840,Orders!$A$2:$D$1201,4,FALSE)</f>
        <v>Delivered</v>
      </c>
      <c r="H1840">
        <f t="shared" si="85"/>
        <v>45</v>
      </c>
      <c r="I1840" s="12">
        <f>VLOOKUP(B1840,Orders!$A$2:$D$1201,3,FALSE)</f>
        <v>46089</v>
      </c>
      <c r="L1840" t="str">
        <f>VLOOKUP(C1840,Products!$A$2:$D$13,2,FALSE)</f>
        <v>Keyboard</v>
      </c>
      <c r="M1840" t="str">
        <f t="shared" si="86"/>
        <v>2026-03</v>
      </c>
    </row>
    <row r="1841" spans="1:13">
      <c r="A1841">
        <v>1840</v>
      </c>
      <c r="B1841">
        <v>1901</v>
      </c>
      <c r="C1841">
        <v>5</v>
      </c>
      <c r="D1841">
        <v>1</v>
      </c>
      <c r="E1841">
        <v>180</v>
      </c>
      <c r="F1841">
        <f t="shared" si="84"/>
        <v>180</v>
      </c>
      <c r="G1841" t="str">
        <f>VLOOKUP(B1841,Orders!$A$2:$D$1201,4,FALSE)</f>
        <v>Delivered</v>
      </c>
      <c r="H1841">
        <f t="shared" si="85"/>
        <v>180</v>
      </c>
      <c r="I1841" s="12">
        <f>VLOOKUP(B1841,Orders!$A$2:$D$1201,3,FALSE)</f>
        <v>46175</v>
      </c>
      <c r="L1841" t="str">
        <f>VLOOKUP(C1841,Products!$A$2:$D$13,2,FALSE)</f>
        <v>Desk</v>
      </c>
      <c r="M1841" t="str">
        <f t="shared" si="86"/>
        <v>2026-06</v>
      </c>
    </row>
    <row r="1842" spans="1:13">
      <c r="A1842">
        <v>1841</v>
      </c>
      <c r="B1842">
        <v>1901</v>
      </c>
      <c r="C1842">
        <v>3</v>
      </c>
      <c r="D1842">
        <v>1</v>
      </c>
      <c r="E1842">
        <v>45</v>
      </c>
      <c r="F1842">
        <f t="shared" si="84"/>
        <v>45</v>
      </c>
      <c r="G1842" t="str">
        <f>VLOOKUP(B1842,Orders!$A$2:$D$1201,4,FALSE)</f>
        <v>Delivered</v>
      </c>
      <c r="H1842">
        <f t="shared" si="85"/>
        <v>45</v>
      </c>
      <c r="I1842" s="12">
        <f>VLOOKUP(B1842,Orders!$A$2:$D$1201,3,FALSE)</f>
        <v>46175</v>
      </c>
      <c r="L1842" t="str">
        <f>VLOOKUP(C1842,Products!$A$2:$D$13,2,FALSE)</f>
        <v>Keyboard</v>
      </c>
      <c r="M1842" t="str">
        <f t="shared" si="86"/>
        <v>2026-06</v>
      </c>
    </row>
    <row r="1843" spans="1:13">
      <c r="A1843">
        <v>1842</v>
      </c>
      <c r="B1843">
        <v>1902</v>
      </c>
      <c r="C1843">
        <v>2</v>
      </c>
      <c r="D1843">
        <v>1</v>
      </c>
      <c r="E1843">
        <v>220</v>
      </c>
      <c r="F1843">
        <f t="shared" si="84"/>
        <v>220</v>
      </c>
      <c r="G1843" t="str">
        <f>VLOOKUP(B1843,Orders!$A$2:$D$1201,4,FALSE)</f>
        <v>Delivered</v>
      </c>
      <c r="H1843">
        <f t="shared" si="85"/>
        <v>220</v>
      </c>
      <c r="I1843" s="12">
        <f>VLOOKUP(B1843,Orders!$A$2:$D$1201,3,FALSE)</f>
        <v>46048</v>
      </c>
      <c r="L1843" t="str">
        <f>VLOOKUP(C1843,Products!$A$2:$D$13,2,FALSE)</f>
        <v>Monitor</v>
      </c>
      <c r="M1843" t="str">
        <f t="shared" si="86"/>
        <v>2026-01</v>
      </c>
    </row>
    <row r="1844" spans="1:13">
      <c r="A1844">
        <v>1843</v>
      </c>
      <c r="B1844">
        <v>1902</v>
      </c>
      <c r="C1844">
        <v>8</v>
      </c>
      <c r="D1844">
        <v>2</v>
      </c>
      <c r="E1844">
        <v>55</v>
      </c>
      <c r="F1844">
        <f t="shared" si="84"/>
        <v>110</v>
      </c>
      <c r="G1844" t="str">
        <f>VLOOKUP(B1844,Orders!$A$2:$D$1201,4,FALSE)</f>
        <v>Delivered</v>
      </c>
      <c r="H1844">
        <f t="shared" si="85"/>
        <v>110</v>
      </c>
      <c r="I1844" s="12">
        <f>VLOOKUP(B1844,Orders!$A$2:$D$1201,3,FALSE)</f>
        <v>46048</v>
      </c>
      <c r="L1844" t="str">
        <f>VLOOKUP(C1844,Products!$A$2:$D$13,2,FALSE)</f>
        <v>Webcam</v>
      </c>
      <c r="M1844" t="str">
        <f t="shared" si="86"/>
        <v>2026-01</v>
      </c>
    </row>
    <row r="1845" spans="1:13">
      <c r="A1845">
        <v>1844</v>
      </c>
      <c r="B1845">
        <v>1903</v>
      </c>
      <c r="C1845">
        <v>11</v>
      </c>
      <c r="D1845">
        <v>1</v>
      </c>
      <c r="E1845">
        <v>48</v>
      </c>
      <c r="F1845">
        <f t="shared" si="84"/>
        <v>48</v>
      </c>
      <c r="G1845" t="str">
        <f>VLOOKUP(B1845,Orders!$A$2:$D$1201,4,FALSE)</f>
        <v>Delivered</v>
      </c>
      <c r="H1845">
        <f t="shared" si="85"/>
        <v>48</v>
      </c>
      <c r="I1845" s="12">
        <f>VLOOKUP(B1845,Orders!$A$2:$D$1201,3,FALSE)</f>
        <v>46064</v>
      </c>
      <c r="L1845" t="str">
        <f>VLOOKUP(C1845,Products!$A$2:$D$13,2,FALSE)</f>
        <v>Backpack</v>
      </c>
      <c r="M1845" t="str">
        <f t="shared" si="86"/>
        <v>2026-02</v>
      </c>
    </row>
    <row r="1846" spans="1:13">
      <c r="A1846">
        <v>1845</v>
      </c>
      <c r="B1846">
        <v>1904</v>
      </c>
      <c r="C1846">
        <v>12</v>
      </c>
      <c r="D1846">
        <v>2</v>
      </c>
      <c r="E1846">
        <v>22</v>
      </c>
      <c r="F1846">
        <f t="shared" si="84"/>
        <v>44</v>
      </c>
      <c r="G1846" t="str">
        <f>VLOOKUP(B1846,Orders!$A$2:$D$1201,4,FALSE)</f>
        <v>Delivered</v>
      </c>
      <c r="H1846">
        <f t="shared" si="85"/>
        <v>44</v>
      </c>
      <c r="I1846" s="12">
        <f>VLOOKUP(B1846,Orders!$A$2:$D$1201,3,FALSE)</f>
        <v>46176</v>
      </c>
      <c r="L1846" t="str">
        <f>VLOOKUP(C1846,Products!$A$2:$D$13,2,FALSE)</f>
        <v>Storage Box</v>
      </c>
      <c r="M1846" t="str">
        <f t="shared" si="86"/>
        <v>2026-06</v>
      </c>
    </row>
    <row r="1847" spans="1:13">
      <c r="A1847">
        <v>1846</v>
      </c>
      <c r="B1847">
        <v>1904</v>
      </c>
      <c r="C1847">
        <v>5</v>
      </c>
      <c r="D1847">
        <v>1</v>
      </c>
      <c r="E1847">
        <v>180</v>
      </c>
      <c r="F1847">
        <f t="shared" si="84"/>
        <v>180</v>
      </c>
      <c r="G1847" t="str">
        <f>VLOOKUP(B1847,Orders!$A$2:$D$1201,4,FALSE)</f>
        <v>Delivered</v>
      </c>
      <c r="H1847">
        <f t="shared" si="85"/>
        <v>180</v>
      </c>
      <c r="I1847" s="12">
        <f>VLOOKUP(B1847,Orders!$A$2:$D$1201,3,FALSE)</f>
        <v>46176</v>
      </c>
      <c r="L1847" t="str">
        <f>VLOOKUP(C1847,Products!$A$2:$D$13,2,FALSE)</f>
        <v>Desk</v>
      </c>
      <c r="M1847" t="str">
        <f t="shared" si="86"/>
        <v>2026-06</v>
      </c>
    </row>
    <row r="1848" spans="1:13">
      <c r="A1848">
        <v>1847</v>
      </c>
      <c r="B1848">
        <v>1904</v>
      </c>
      <c r="C1848">
        <v>2</v>
      </c>
      <c r="D1848">
        <v>1</v>
      </c>
      <c r="E1848">
        <v>220</v>
      </c>
      <c r="F1848">
        <f t="shared" si="84"/>
        <v>220</v>
      </c>
      <c r="G1848" t="str">
        <f>VLOOKUP(B1848,Orders!$A$2:$D$1201,4,FALSE)</f>
        <v>Delivered</v>
      </c>
      <c r="H1848">
        <f t="shared" si="85"/>
        <v>220</v>
      </c>
      <c r="I1848" s="12">
        <f>VLOOKUP(B1848,Orders!$A$2:$D$1201,3,FALSE)</f>
        <v>46176</v>
      </c>
      <c r="L1848" t="str">
        <f>VLOOKUP(C1848,Products!$A$2:$D$13,2,FALSE)</f>
        <v>Monitor</v>
      </c>
      <c r="M1848" t="str">
        <f t="shared" si="86"/>
        <v>2026-06</v>
      </c>
    </row>
    <row r="1849" spans="1:13">
      <c r="A1849">
        <v>1848</v>
      </c>
      <c r="B1849">
        <v>1905</v>
      </c>
      <c r="C1849">
        <v>3</v>
      </c>
      <c r="D1849">
        <v>1</v>
      </c>
      <c r="E1849">
        <v>45</v>
      </c>
      <c r="F1849">
        <f t="shared" si="84"/>
        <v>45</v>
      </c>
      <c r="G1849" t="str">
        <f>VLOOKUP(B1849,Orders!$A$2:$D$1201,4,FALSE)</f>
        <v>Cancelled</v>
      </c>
      <c r="H1849">
        <f t="shared" si="85"/>
        <v>0</v>
      </c>
      <c r="I1849" s="12">
        <f>VLOOKUP(B1849,Orders!$A$2:$D$1201,3,FALSE)</f>
        <v>46052</v>
      </c>
      <c r="L1849" t="str">
        <f>VLOOKUP(C1849,Products!$A$2:$D$13,2,FALSE)</f>
        <v>Keyboard</v>
      </c>
      <c r="M1849" t="str">
        <f t="shared" si="86"/>
        <v>2026-01</v>
      </c>
    </row>
    <row r="1850" spans="1:13">
      <c r="A1850">
        <v>1849</v>
      </c>
      <c r="B1850">
        <v>1905</v>
      </c>
      <c r="C1850">
        <v>4</v>
      </c>
      <c r="D1850">
        <v>2</v>
      </c>
      <c r="E1850">
        <v>25</v>
      </c>
      <c r="F1850">
        <f t="shared" si="84"/>
        <v>50</v>
      </c>
      <c r="G1850" t="str">
        <f>VLOOKUP(B1850,Orders!$A$2:$D$1201,4,FALSE)</f>
        <v>Cancelled</v>
      </c>
      <c r="H1850">
        <f t="shared" si="85"/>
        <v>0</v>
      </c>
      <c r="I1850" s="12">
        <f>VLOOKUP(B1850,Orders!$A$2:$D$1201,3,FALSE)</f>
        <v>46052</v>
      </c>
      <c r="L1850" t="str">
        <f>VLOOKUP(C1850,Products!$A$2:$D$13,2,FALSE)</f>
        <v>Mouse</v>
      </c>
      <c r="M1850" t="str">
        <f t="shared" si="86"/>
        <v>2026-01</v>
      </c>
    </row>
    <row r="1851" spans="1:13">
      <c r="A1851">
        <v>1850</v>
      </c>
      <c r="B1851">
        <v>1906</v>
      </c>
      <c r="C1851">
        <v>6</v>
      </c>
      <c r="D1851">
        <v>3</v>
      </c>
      <c r="E1851">
        <v>140</v>
      </c>
      <c r="F1851">
        <f t="shared" si="84"/>
        <v>420</v>
      </c>
      <c r="G1851" t="str">
        <f>VLOOKUP(B1851,Orders!$A$2:$D$1201,4,FALSE)</f>
        <v>Delivered</v>
      </c>
      <c r="H1851">
        <f t="shared" si="85"/>
        <v>420</v>
      </c>
      <c r="I1851" s="12">
        <f>VLOOKUP(B1851,Orders!$A$2:$D$1201,3,FALSE)</f>
        <v>46091</v>
      </c>
      <c r="L1851" t="str">
        <f>VLOOKUP(C1851,Products!$A$2:$D$13,2,FALSE)</f>
        <v>Chair</v>
      </c>
      <c r="M1851" t="str">
        <f t="shared" si="86"/>
        <v>2026-03</v>
      </c>
    </row>
    <row r="1852" spans="1:13">
      <c r="A1852">
        <v>1851</v>
      </c>
      <c r="B1852">
        <v>1907</v>
      </c>
      <c r="C1852">
        <v>12</v>
      </c>
      <c r="D1852">
        <v>1</v>
      </c>
      <c r="E1852">
        <v>22</v>
      </c>
      <c r="F1852">
        <f t="shared" si="84"/>
        <v>22</v>
      </c>
      <c r="G1852" t="str">
        <f>VLOOKUP(B1852,Orders!$A$2:$D$1201,4,FALSE)</f>
        <v>Delivered</v>
      </c>
      <c r="H1852">
        <f t="shared" si="85"/>
        <v>22</v>
      </c>
      <c r="I1852" s="12">
        <f>VLOOKUP(B1852,Orders!$A$2:$D$1201,3,FALSE)</f>
        <v>46072</v>
      </c>
      <c r="L1852" t="str">
        <f>VLOOKUP(C1852,Products!$A$2:$D$13,2,FALSE)</f>
        <v>Storage Box</v>
      </c>
      <c r="M1852" t="str">
        <f t="shared" si="86"/>
        <v>2026-02</v>
      </c>
    </row>
    <row r="1853" spans="1:13">
      <c r="A1853">
        <v>1852</v>
      </c>
      <c r="B1853">
        <v>1907</v>
      </c>
      <c r="C1853">
        <v>5</v>
      </c>
      <c r="D1853">
        <v>3</v>
      </c>
      <c r="E1853">
        <v>180</v>
      </c>
      <c r="F1853">
        <f t="shared" si="84"/>
        <v>540</v>
      </c>
      <c r="G1853" t="str">
        <f>VLOOKUP(B1853,Orders!$A$2:$D$1201,4,FALSE)</f>
        <v>Delivered</v>
      </c>
      <c r="H1853">
        <f t="shared" si="85"/>
        <v>540</v>
      </c>
      <c r="I1853" s="12">
        <f>VLOOKUP(B1853,Orders!$A$2:$D$1201,3,FALSE)</f>
        <v>46072</v>
      </c>
      <c r="L1853" t="str">
        <f>VLOOKUP(C1853,Products!$A$2:$D$13,2,FALSE)</f>
        <v>Desk</v>
      </c>
      <c r="M1853" t="str">
        <f t="shared" si="86"/>
        <v>2026-02</v>
      </c>
    </row>
    <row r="1854" spans="1:13">
      <c r="A1854">
        <v>1853</v>
      </c>
      <c r="B1854">
        <v>1907</v>
      </c>
      <c r="C1854">
        <v>7</v>
      </c>
      <c r="D1854">
        <v>2</v>
      </c>
      <c r="E1854">
        <v>65</v>
      </c>
      <c r="F1854">
        <f t="shared" si="84"/>
        <v>130</v>
      </c>
      <c r="G1854" t="str">
        <f>VLOOKUP(B1854,Orders!$A$2:$D$1201,4,FALSE)</f>
        <v>Delivered</v>
      </c>
      <c r="H1854">
        <f t="shared" si="85"/>
        <v>130</v>
      </c>
      <c r="I1854" s="12">
        <f>VLOOKUP(B1854,Orders!$A$2:$D$1201,3,FALSE)</f>
        <v>46072</v>
      </c>
      <c r="L1854" t="str">
        <f>VLOOKUP(C1854,Products!$A$2:$D$13,2,FALSE)</f>
        <v>Headphones</v>
      </c>
      <c r="M1854" t="str">
        <f t="shared" si="86"/>
        <v>2026-02</v>
      </c>
    </row>
    <row r="1855" spans="1:13">
      <c r="A1855">
        <v>1854</v>
      </c>
      <c r="B1855">
        <v>1908</v>
      </c>
      <c r="C1855">
        <v>10</v>
      </c>
      <c r="D1855">
        <v>4</v>
      </c>
      <c r="E1855">
        <v>8</v>
      </c>
      <c r="F1855">
        <f t="shared" si="84"/>
        <v>32</v>
      </c>
      <c r="G1855" t="str">
        <f>VLOOKUP(B1855,Orders!$A$2:$D$1201,4,FALSE)</f>
        <v>Delivered</v>
      </c>
      <c r="H1855">
        <f t="shared" si="85"/>
        <v>32</v>
      </c>
      <c r="I1855" s="12">
        <f>VLOOKUP(B1855,Orders!$A$2:$D$1201,3,FALSE)</f>
        <v>46131</v>
      </c>
      <c r="L1855" t="str">
        <f>VLOOKUP(C1855,Products!$A$2:$D$13,2,FALSE)</f>
        <v>Notebook</v>
      </c>
      <c r="M1855" t="str">
        <f t="shared" si="86"/>
        <v>2026-04</v>
      </c>
    </row>
    <row r="1856" spans="1:13">
      <c r="A1856">
        <v>1855</v>
      </c>
      <c r="B1856">
        <v>1908</v>
      </c>
      <c r="C1856">
        <v>2</v>
      </c>
      <c r="D1856">
        <v>4</v>
      </c>
      <c r="E1856">
        <v>220</v>
      </c>
      <c r="F1856">
        <f t="shared" si="84"/>
        <v>880</v>
      </c>
      <c r="G1856" t="str">
        <f>VLOOKUP(B1856,Orders!$A$2:$D$1201,4,FALSE)</f>
        <v>Delivered</v>
      </c>
      <c r="H1856">
        <f t="shared" si="85"/>
        <v>880</v>
      </c>
      <c r="I1856" s="12">
        <f>VLOOKUP(B1856,Orders!$A$2:$D$1201,3,FALSE)</f>
        <v>46131</v>
      </c>
      <c r="L1856" t="str">
        <f>VLOOKUP(C1856,Products!$A$2:$D$13,2,FALSE)</f>
        <v>Monitor</v>
      </c>
      <c r="M1856" t="str">
        <f t="shared" si="86"/>
        <v>2026-04</v>
      </c>
    </row>
    <row r="1857" spans="1:13">
      <c r="A1857">
        <v>1856</v>
      </c>
      <c r="B1857">
        <v>1909</v>
      </c>
      <c r="C1857">
        <v>5</v>
      </c>
      <c r="D1857">
        <v>3</v>
      </c>
      <c r="E1857">
        <v>180</v>
      </c>
      <c r="F1857">
        <f t="shared" si="84"/>
        <v>540</v>
      </c>
      <c r="G1857" t="str">
        <f>VLOOKUP(B1857,Orders!$A$2:$D$1201,4,FALSE)</f>
        <v>Delivered</v>
      </c>
      <c r="H1857">
        <f t="shared" si="85"/>
        <v>540</v>
      </c>
      <c r="I1857" s="12">
        <f>VLOOKUP(B1857,Orders!$A$2:$D$1201,3,FALSE)</f>
        <v>46138</v>
      </c>
      <c r="L1857" t="str">
        <f>VLOOKUP(C1857,Products!$A$2:$D$13,2,FALSE)</f>
        <v>Desk</v>
      </c>
      <c r="M1857" t="str">
        <f t="shared" si="86"/>
        <v>2026-04</v>
      </c>
    </row>
    <row r="1858" spans="1:13">
      <c r="A1858">
        <v>1857</v>
      </c>
      <c r="B1858">
        <v>1909</v>
      </c>
      <c r="C1858">
        <v>10</v>
      </c>
      <c r="D1858">
        <v>3</v>
      </c>
      <c r="E1858">
        <v>8</v>
      </c>
      <c r="F1858">
        <f t="shared" si="84"/>
        <v>24</v>
      </c>
      <c r="G1858" t="str">
        <f>VLOOKUP(B1858,Orders!$A$2:$D$1201,4,FALSE)</f>
        <v>Delivered</v>
      </c>
      <c r="H1858">
        <f t="shared" si="85"/>
        <v>24</v>
      </c>
      <c r="I1858" s="12">
        <f>VLOOKUP(B1858,Orders!$A$2:$D$1201,3,FALSE)</f>
        <v>46138</v>
      </c>
      <c r="L1858" t="str">
        <f>VLOOKUP(C1858,Products!$A$2:$D$13,2,FALSE)</f>
        <v>Notebook</v>
      </c>
      <c r="M1858" t="str">
        <f t="shared" si="86"/>
        <v>2026-04</v>
      </c>
    </row>
    <row r="1859" spans="1:13">
      <c r="A1859">
        <v>1858</v>
      </c>
      <c r="B1859">
        <v>1909</v>
      </c>
      <c r="C1859">
        <v>7</v>
      </c>
      <c r="D1859">
        <v>4</v>
      </c>
      <c r="E1859">
        <v>65</v>
      </c>
      <c r="F1859">
        <f t="shared" ref="F1859:F1922" si="87">D1859*E1859</f>
        <v>260</v>
      </c>
      <c r="G1859" t="str">
        <f>VLOOKUP(B1859,Orders!$A$2:$D$1201,4,FALSE)</f>
        <v>Delivered</v>
      </c>
      <c r="H1859">
        <f t="shared" ref="H1859:H1922" si="88">IF(G1859="Cancelled",0,F1859)</f>
        <v>260</v>
      </c>
      <c r="I1859" s="12">
        <f>VLOOKUP(B1859,Orders!$A$2:$D$1201,3,FALSE)</f>
        <v>46138</v>
      </c>
      <c r="L1859" t="str">
        <f>VLOOKUP(C1859,Products!$A$2:$D$13,2,FALSE)</f>
        <v>Headphones</v>
      </c>
      <c r="M1859" t="str">
        <f t="shared" ref="M1859:M1922" si="89">TEXT(I1859,"yyyy-mm")</f>
        <v>2026-04</v>
      </c>
    </row>
    <row r="1860" spans="1:13">
      <c r="A1860">
        <v>1859</v>
      </c>
      <c r="B1860">
        <v>1910</v>
      </c>
      <c r="C1860">
        <v>6</v>
      </c>
      <c r="D1860">
        <v>3</v>
      </c>
      <c r="E1860">
        <v>140</v>
      </c>
      <c r="F1860">
        <f t="shared" si="87"/>
        <v>420</v>
      </c>
      <c r="G1860" t="str">
        <f>VLOOKUP(B1860,Orders!$A$2:$D$1201,4,FALSE)</f>
        <v>Delivered</v>
      </c>
      <c r="H1860">
        <f t="shared" si="88"/>
        <v>420</v>
      </c>
      <c r="I1860" s="12">
        <f>VLOOKUP(B1860,Orders!$A$2:$D$1201,3,FALSE)</f>
        <v>46114</v>
      </c>
      <c r="L1860" t="str">
        <f>VLOOKUP(C1860,Products!$A$2:$D$13,2,FALSE)</f>
        <v>Chair</v>
      </c>
      <c r="M1860" t="str">
        <f t="shared" si="89"/>
        <v>2026-04</v>
      </c>
    </row>
    <row r="1861" spans="1:13">
      <c r="A1861">
        <v>1860</v>
      </c>
      <c r="B1861">
        <v>1910</v>
      </c>
      <c r="C1861">
        <v>12</v>
      </c>
      <c r="D1861">
        <v>1</v>
      </c>
      <c r="E1861">
        <v>22</v>
      </c>
      <c r="F1861">
        <f t="shared" si="87"/>
        <v>22</v>
      </c>
      <c r="G1861" t="str">
        <f>VLOOKUP(B1861,Orders!$A$2:$D$1201,4,FALSE)</f>
        <v>Delivered</v>
      </c>
      <c r="H1861">
        <f t="shared" si="88"/>
        <v>22</v>
      </c>
      <c r="I1861" s="12">
        <f>VLOOKUP(B1861,Orders!$A$2:$D$1201,3,FALSE)</f>
        <v>46114</v>
      </c>
      <c r="L1861" t="str">
        <f>VLOOKUP(C1861,Products!$A$2:$D$13,2,FALSE)</f>
        <v>Storage Box</v>
      </c>
      <c r="M1861" t="str">
        <f t="shared" si="89"/>
        <v>2026-04</v>
      </c>
    </row>
    <row r="1862" spans="1:13">
      <c r="A1862">
        <v>1861</v>
      </c>
      <c r="B1862">
        <v>1910</v>
      </c>
      <c r="C1862">
        <v>3</v>
      </c>
      <c r="D1862">
        <v>1</v>
      </c>
      <c r="E1862">
        <v>45</v>
      </c>
      <c r="F1862">
        <f t="shared" si="87"/>
        <v>45</v>
      </c>
      <c r="G1862" t="str">
        <f>VLOOKUP(B1862,Orders!$A$2:$D$1201,4,FALSE)</f>
        <v>Delivered</v>
      </c>
      <c r="H1862">
        <f t="shared" si="88"/>
        <v>45</v>
      </c>
      <c r="I1862" s="12">
        <f>VLOOKUP(B1862,Orders!$A$2:$D$1201,3,FALSE)</f>
        <v>46114</v>
      </c>
      <c r="L1862" t="str">
        <f>VLOOKUP(C1862,Products!$A$2:$D$13,2,FALSE)</f>
        <v>Keyboard</v>
      </c>
      <c r="M1862" t="str">
        <f t="shared" si="89"/>
        <v>2026-04</v>
      </c>
    </row>
    <row r="1863" spans="1:13">
      <c r="A1863">
        <v>1862</v>
      </c>
      <c r="B1863">
        <v>1911</v>
      </c>
      <c r="C1863">
        <v>2</v>
      </c>
      <c r="D1863">
        <v>2</v>
      </c>
      <c r="E1863">
        <v>220</v>
      </c>
      <c r="F1863">
        <f t="shared" si="87"/>
        <v>440</v>
      </c>
      <c r="G1863" t="str">
        <f>VLOOKUP(B1863,Orders!$A$2:$D$1201,4,FALSE)</f>
        <v>Delivered</v>
      </c>
      <c r="H1863">
        <f t="shared" si="88"/>
        <v>440</v>
      </c>
      <c r="I1863" s="12">
        <f>VLOOKUP(B1863,Orders!$A$2:$D$1201,3,FALSE)</f>
        <v>46168</v>
      </c>
      <c r="L1863" t="str">
        <f>VLOOKUP(C1863,Products!$A$2:$D$13,2,FALSE)</f>
        <v>Monitor</v>
      </c>
      <c r="M1863" t="str">
        <f t="shared" si="89"/>
        <v>2026-05</v>
      </c>
    </row>
    <row r="1864" spans="1:13">
      <c r="A1864">
        <v>1863</v>
      </c>
      <c r="B1864">
        <v>1911</v>
      </c>
      <c r="C1864">
        <v>7</v>
      </c>
      <c r="D1864">
        <v>2</v>
      </c>
      <c r="E1864">
        <v>65</v>
      </c>
      <c r="F1864">
        <f t="shared" si="87"/>
        <v>130</v>
      </c>
      <c r="G1864" t="str">
        <f>VLOOKUP(B1864,Orders!$A$2:$D$1201,4,FALSE)</f>
        <v>Delivered</v>
      </c>
      <c r="H1864">
        <f t="shared" si="88"/>
        <v>130</v>
      </c>
      <c r="I1864" s="12">
        <f>VLOOKUP(B1864,Orders!$A$2:$D$1201,3,FALSE)</f>
        <v>46168</v>
      </c>
      <c r="L1864" t="str">
        <f>VLOOKUP(C1864,Products!$A$2:$D$13,2,FALSE)</f>
        <v>Headphones</v>
      </c>
      <c r="M1864" t="str">
        <f t="shared" si="89"/>
        <v>2026-05</v>
      </c>
    </row>
    <row r="1865" spans="1:13">
      <c r="A1865">
        <v>1864</v>
      </c>
      <c r="B1865">
        <v>1911</v>
      </c>
      <c r="C1865">
        <v>5</v>
      </c>
      <c r="D1865">
        <v>1</v>
      </c>
      <c r="E1865">
        <v>180</v>
      </c>
      <c r="F1865">
        <f t="shared" si="87"/>
        <v>180</v>
      </c>
      <c r="G1865" t="str">
        <f>VLOOKUP(B1865,Orders!$A$2:$D$1201,4,FALSE)</f>
        <v>Delivered</v>
      </c>
      <c r="H1865">
        <f t="shared" si="88"/>
        <v>180</v>
      </c>
      <c r="I1865" s="12">
        <f>VLOOKUP(B1865,Orders!$A$2:$D$1201,3,FALSE)</f>
        <v>46168</v>
      </c>
      <c r="L1865" t="str">
        <f>VLOOKUP(C1865,Products!$A$2:$D$13,2,FALSE)</f>
        <v>Desk</v>
      </c>
      <c r="M1865" t="str">
        <f t="shared" si="89"/>
        <v>2026-05</v>
      </c>
    </row>
    <row r="1866" spans="1:13">
      <c r="A1866">
        <v>1865</v>
      </c>
      <c r="B1866">
        <v>1912</v>
      </c>
      <c r="C1866">
        <v>7</v>
      </c>
      <c r="D1866">
        <v>2</v>
      </c>
      <c r="E1866">
        <v>65</v>
      </c>
      <c r="F1866">
        <f t="shared" si="87"/>
        <v>130</v>
      </c>
      <c r="G1866" t="str">
        <f>VLOOKUP(B1866,Orders!$A$2:$D$1201,4,FALSE)</f>
        <v>Delivered</v>
      </c>
      <c r="H1866">
        <f t="shared" si="88"/>
        <v>130</v>
      </c>
      <c r="I1866" s="12">
        <f>VLOOKUP(B1866,Orders!$A$2:$D$1201,3,FALSE)</f>
        <v>46042</v>
      </c>
      <c r="L1866" t="str">
        <f>VLOOKUP(C1866,Products!$A$2:$D$13,2,FALSE)</f>
        <v>Headphones</v>
      </c>
      <c r="M1866" t="str">
        <f t="shared" si="89"/>
        <v>2026-01</v>
      </c>
    </row>
    <row r="1867" spans="1:13">
      <c r="A1867">
        <v>1866</v>
      </c>
      <c r="B1867">
        <v>1912</v>
      </c>
      <c r="C1867">
        <v>6</v>
      </c>
      <c r="D1867">
        <v>2</v>
      </c>
      <c r="E1867">
        <v>140</v>
      </c>
      <c r="F1867">
        <f t="shared" si="87"/>
        <v>280</v>
      </c>
      <c r="G1867" t="str">
        <f>VLOOKUP(B1867,Orders!$A$2:$D$1201,4,FALSE)</f>
        <v>Delivered</v>
      </c>
      <c r="H1867">
        <f t="shared" si="88"/>
        <v>280</v>
      </c>
      <c r="I1867" s="12">
        <f>VLOOKUP(B1867,Orders!$A$2:$D$1201,3,FALSE)</f>
        <v>46042</v>
      </c>
      <c r="L1867" t="str">
        <f>VLOOKUP(C1867,Products!$A$2:$D$13,2,FALSE)</f>
        <v>Chair</v>
      </c>
      <c r="M1867" t="str">
        <f t="shared" si="89"/>
        <v>2026-01</v>
      </c>
    </row>
    <row r="1868" spans="1:13">
      <c r="A1868">
        <v>1867</v>
      </c>
      <c r="B1868">
        <v>1912</v>
      </c>
      <c r="C1868">
        <v>11</v>
      </c>
      <c r="D1868">
        <v>1</v>
      </c>
      <c r="E1868">
        <v>48</v>
      </c>
      <c r="F1868">
        <f t="shared" si="87"/>
        <v>48</v>
      </c>
      <c r="G1868" t="str">
        <f>VLOOKUP(B1868,Orders!$A$2:$D$1201,4,FALSE)</f>
        <v>Delivered</v>
      </c>
      <c r="H1868">
        <f t="shared" si="88"/>
        <v>48</v>
      </c>
      <c r="I1868" s="12">
        <f>VLOOKUP(B1868,Orders!$A$2:$D$1201,3,FALSE)</f>
        <v>46042</v>
      </c>
      <c r="L1868" t="str">
        <f>VLOOKUP(C1868,Products!$A$2:$D$13,2,FALSE)</f>
        <v>Backpack</v>
      </c>
      <c r="M1868" t="str">
        <f t="shared" si="89"/>
        <v>2026-01</v>
      </c>
    </row>
    <row r="1869" spans="1:13">
      <c r="A1869">
        <v>1868</v>
      </c>
      <c r="B1869">
        <v>1913</v>
      </c>
      <c r="C1869">
        <v>6</v>
      </c>
      <c r="D1869">
        <v>2</v>
      </c>
      <c r="E1869">
        <v>140</v>
      </c>
      <c r="F1869">
        <f t="shared" si="87"/>
        <v>280</v>
      </c>
      <c r="G1869" t="str">
        <f>VLOOKUP(B1869,Orders!$A$2:$D$1201,4,FALSE)</f>
        <v>Delivered</v>
      </c>
      <c r="H1869">
        <f t="shared" si="88"/>
        <v>280</v>
      </c>
      <c r="I1869" s="12">
        <f>VLOOKUP(B1869,Orders!$A$2:$D$1201,3,FALSE)</f>
        <v>46053</v>
      </c>
      <c r="L1869" t="str">
        <f>VLOOKUP(C1869,Products!$A$2:$D$13,2,FALSE)</f>
        <v>Chair</v>
      </c>
      <c r="M1869" t="str">
        <f t="shared" si="89"/>
        <v>2026-01</v>
      </c>
    </row>
    <row r="1870" spans="1:13">
      <c r="A1870">
        <v>1869</v>
      </c>
      <c r="B1870">
        <v>1913</v>
      </c>
      <c r="C1870">
        <v>10</v>
      </c>
      <c r="D1870">
        <v>1</v>
      </c>
      <c r="E1870">
        <v>8</v>
      </c>
      <c r="F1870">
        <f t="shared" si="87"/>
        <v>8</v>
      </c>
      <c r="G1870" t="str">
        <f>VLOOKUP(B1870,Orders!$A$2:$D$1201,4,FALSE)</f>
        <v>Delivered</v>
      </c>
      <c r="H1870">
        <f t="shared" si="88"/>
        <v>8</v>
      </c>
      <c r="I1870" s="12">
        <f>VLOOKUP(B1870,Orders!$A$2:$D$1201,3,FALSE)</f>
        <v>46053</v>
      </c>
      <c r="L1870" t="str">
        <f>VLOOKUP(C1870,Products!$A$2:$D$13,2,FALSE)</f>
        <v>Notebook</v>
      </c>
      <c r="M1870" t="str">
        <f t="shared" si="89"/>
        <v>2026-01</v>
      </c>
    </row>
    <row r="1871" spans="1:13">
      <c r="A1871">
        <v>1870</v>
      </c>
      <c r="B1871">
        <v>1913</v>
      </c>
      <c r="C1871">
        <v>7</v>
      </c>
      <c r="D1871">
        <v>3</v>
      </c>
      <c r="E1871">
        <v>65</v>
      </c>
      <c r="F1871">
        <f t="shared" si="87"/>
        <v>195</v>
      </c>
      <c r="G1871" t="str">
        <f>VLOOKUP(B1871,Orders!$A$2:$D$1201,4,FALSE)</f>
        <v>Delivered</v>
      </c>
      <c r="H1871">
        <f t="shared" si="88"/>
        <v>195</v>
      </c>
      <c r="I1871" s="12">
        <f>VLOOKUP(B1871,Orders!$A$2:$D$1201,3,FALSE)</f>
        <v>46053</v>
      </c>
      <c r="L1871" t="str">
        <f>VLOOKUP(C1871,Products!$A$2:$D$13,2,FALSE)</f>
        <v>Headphones</v>
      </c>
      <c r="M1871" t="str">
        <f t="shared" si="89"/>
        <v>2026-01</v>
      </c>
    </row>
    <row r="1872" spans="1:13">
      <c r="A1872">
        <v>1871</v>
      </c>
      <c r="B1872">
        <v>1914</v>
      </c>
      <c r="C1872">
        <v>9</v>
      </c>
      <c r="D1872">
        <v>1</v>
      </c>
      <c r="E1872">
        <v>30</v>
      </c>
      <c r="F1872">
        <f t="shared" si="87"/>
        <v>30</v>
      </c>
      <c r="G1872" t="str">
        <f>VLOOKUP(B1872,Orders!$A$2:$D$1201,4,FALSE)</f>
        <v>Delivered</v>
      </c>
      <c r="H1872">
        <f t="shared" si="88"/>
        <v>30</v>
      </c>
      <c r="I1872" s="12">
        <f>VLOOKUP(B1872,Orders!$A$2:$D$1201,3,FALSE)</f>
        <v>46141</v>
      </c>
      <c r="L1872" t="str">
        <f>VLOOKUP(C1872,Products!$A$2:$D$13,2,FALSE)</f>
        <v>Lamp</v>
      </c>
      <c r="M1872" t="str">
        <f t="shared" si="89"/>
        <v>2026-04</v>
      </c>
    </row>
    <row r="1873" spans="1:13">
      <c r="A1873">
        <v>1872</v>
      </c>
      <c r="B1873">
        <v>1915</v>
      </c>
      <c r="C1873">
        <v>2</v>
      </c>
      <c r="D1873">
        <v>3</v>
      </c>
      <c r="E1873">
        <v>220</v>
      </c>
      <c r="F1873">
        <f t="shared" si="87"/>
        <v>660</v>
      </c>
      <c r="G1873" t="str">
        <f>VLOOKUP(B1873,Orders!$A$2:$D$1201,4,FALSE)</f>
        <v>Delivered</v>
      </c>
      <c r="H1873">
        <f t="shared" si="88"/>
        <v>660</v>
      </c>
      <c r="I1873" s="12">
        <f>VLOOKUP(B1873,Orders!$A$2:$D$1201,3,FALSE)</f>
        <v>46100</v>
      </c>
      <c r="L1873" t="str">
        <f>VLOOKUP(C1873,Products!$A$2:$D$13,2,FALSE)</f>
        <v>Monitor</v>
      </c>
      <c r="M1873" t="str">
        <f t="shared" si="89"/>
        <v>2026-03</v>
      </c>
    </row>
    <row r="1874" spans="1:13">
      <c r="A1874">
        <v>1873</v>
      </c>
      <c r="B1874">
        <v>1915</v>
      </c>
      <c r="C1874">
        <v>9</v>
      </c>
      <c r="D1874">
        <v>4</v>
      </c>
      <c r="E1874">
        <v>30</v>
      </c>
      <c r="F1874">
        <f t="shared" si="87"/>
        <v>120</v>
      </c>
      <c r="G1874" t="str">
        <f>VLOOKUP(B1874,Orders!$A$2:$D$1201,4,FALSE)</f>
        <v>Delivered</v>
      </c>
      <c r="H1874">
        <f t="shared" si="88"/>
        <v>120</v>
      </c>
      <c r="I1874" s="12">
        <f>VLOOKUP(B1874,Orders!$A$2:$D$1201,3,FALSE)</f>
        <v>46100</v>
      </c>
      <c r="L1874" t="str">
        <f>VLOOKUP(C1874,Products!$A$2:$D$13,2,FALSE)</f>
        <v>Lamp</v>
      </c>
      <c r="M1874" t="str">
        <f t="shared" si="89"/>
        <v>2026-03</v>
      </c>
    </row>
    <row r="1875" spans="1:13">
      <c r="A1875">
        <v>1874</v>
      </c>
      <c r="B1875">
        <v>1916</v>
      </c>
      <c r="C1875">
        <v>10</v>
      </c>
      <c r="D1875">
        <v>1</v>
      </c>
      <c r="E1875">
        <v>8</v>
      </c>
      <c r="F1875">
        <f t="shared" si="87"/>
        <v>8</v>
      </c>
      <c r="G1875" t="str">
        <f>VLOOKUP(B1875,Orders!$A$2:$D$1201,4,FALSE)</f>
        <v>Delivered</v>
      </c>
      <c r="H1875">
        <f t="shared" si="88"/>
        <v>8</v>
      </c>
      <c r="I1875" s="12">
        <f>VLOOKUP(B1875,Orders!$A$2:$D$1201,3,FALSE)</f>
        <v>46149</v>
      </c>
      <c r="L1875" t="str">
        <f>VLOOKUP(C1875,Products!$A$2:$D$13,2,FALSE)</f>
        <v>Notebook</v>
      </c>
      <c r="M1875" t="str">
        <f t="shared" si="89"/>
        <v>2026-05</v>
      </c>
    </row>
    <row r="1876" spans="1:13">
      <c r="A1876">
        <v>1875</v>
      </c>
      <c r="B1876">
        <v>1916</v>
      </c>
      <c r="C1876">
        <v>2</v>
      </c>
      <c r="D1876">
        <v>2</v>
      </c>
      <c r="E1876">
        <v>220</v>
      </c>
      <c r="F1876">
        <f t="shared" si="87"/>
        <v>440</v>
      </c>
      <c r="G1876" t="str">
        <f>VLOOKUP(B1876,Orders!$A$2:$D$1201,4,FALSE)</f>
        <v>Delivered</v>
      </c>
      <c r="H1876">
        <f t="shared" si="88"/>
        <v>440</v>
      </c>
      <c r="I1876" s="12">
        <f>VLOOKUP(B1876,Orders!$A$2:$D$1201,3,FALSE)</f>
        <v>46149</v>
      </c>
      <c r="L1876" t="str">
        <f>VLOOKUP(C1876,Products!$A$2:$D$13,2,FALSE)</f>
        <v>Monitor</v>
      </c>
      <c r="M1876" t="str">
        <f t="shared" si="89"/>
        <v>2026-05</v>
      </c>
    </row>
    <row r="1877" spans="1:13">
      <c r="A1877">
        <v>1876</v>
      </c>
      <c r="B1877">
        <v>1917</v>
      </c>
      <c r="C1877">
        <v>2</v>
      </c>
      <c r="D1877">
        <v>2</v>
      </c>
      <c r="E1877">
        <v>220</v>
      </c>
      <c r="F1877">
        <f t="shared" si="87"/>
        <v>440</v>
      </c>
      <c r="G1877" t="str">
        <f>VLOOKUP(B1877,Orders!$A$2:$D$1201,4,FALSE)</f>
        <v>Delivered</v>
      </c>
      <c r="H1877">
        <f t="shared" si="88"/>
        <v>440</v>
      </c>
      <c r="I1877" s="12">
        <f>VLOOKUP(B1877,Orders!$A$2:$D$1201,3,FALSE)</f>
        <v>46199</v>
      </c>
      <c r="L1877" t="str">
        <f>VLOOKUP(C1877,Products!$A$2:$D$13,2,FALSE)</f>
        <v>Monitor</v>
      </c>
      <c r="M1877" t="str">
        <f t="shared" si="89"/>
        <v>2026-06</v>
      </c>
    </row>
    <row r="1878" spans="1:13">
      <c r="A1878">
        <v>1877</v>
      </c>
      <c r="B1878">
        <v>1918</v>
      </c>
      <c r="C1878">
        <v>1</v>
      </c>
      <c r="D1878">
        <v>1</v>
      </c>
      <c r="E1878">
        <v>750</v>
      </c>
      <c r="F1878">
        <f t="shared" si="87"/>
        <v>750</v>
      </c>
      <c r="G1878" t="str">
        <f>VLOOKUP(B1878,Orders!$A$2:$D$1201,4,FALSE)</f>
        <v>Shipped</v>
      </c>
      <c r="H1878">
        <f t="shared" si="88"/>
        <v>750</v>
      </c>
      <c r="I1878" s="12">
        <f>VLOOKUP(B1878,Orders!$A$2:$D$1201,3,FALSE)</f>
        <v>46024</v>
      </c>
      <c r="L1878" t="str">
        <f>VLOOKUP(C1878,Products!$A$2:$D$13,2,FALSE)</f>
        <v>Laptop</v>
      </c>
      <c r="M1878" t="str">
        <f t="shared" si="89"/>
        <v>2026-01</v>
      </c>
    </row>
    <row r="1879" spans="1:13">
      <c r="A1879">
        <v>1878</v>
      </c>
      <c r="B1879">
        <v>1918</v>
      </c>
      <c r="C1879">
        <v>2</v>
      </c>
      <c r="D1879">
        <v>3</v>
      </c>
      <c r="E1879">
        <v>220</v>
      </c>
      <c r="F1879">
        <f t="shared" si="87"/>
        <v>660</v>
      </c>
      <c r="G1879" t="str">
        <f>VLOOKUP(B1879,Orders!$A$2:$D$1201,4,FALSE)</f>
        <v>Shipped</v>
      </c>
      <c r="H1879">
        <f t="shared" si="88"/>
        <v>660</v>
      </c>
      <c r="I1879" s="12">
        <f>VLOOKUP(B1879,Orders!$A$2:$D$1201,3,FALSE)</f>
        <v>46024</v>
      </c>
      <c r="L1879" t="str">
        <f>VLOOKUP(C1879,Products!$A$2:$D$13,2,FALSE)</f>
        <v>Monitor</v>
      </c>
      <c r="M1879" t="str">
        <f t="shared" si="89"/>
        <v>2026-01</v>
      </c>
    </row>
    <row r="1880" spans="1:13">
      <c r="A1880">
        <v>1879</v>
      </c>
      <c r="B1880">
        <v>1919</v>
      </c>
      <c r="C1880">
        <v>12</v>
      </c>
      <c r="D1880">
        <v>2</v>
      </c>
      <c r="E1880">
        <v>22</v>
      </c>
      <c r="F1880">
        <f t="shared" si="87"/>
        <v>44</v>
      </c>
      <c r="G1880" t="str">
        <f>VLOOKUP(B1880,Orders!$A$2:$D$1201,4,FALSE)</f>
        <v>Delivered</v>
      </c>
      <c r="H1880">
        <f t="shared" si="88"/>
        <v>44</v>
      </c>
      <c r="I1880" s="12">
        <f>VLOOKUP(B1880,Orders!$A$2:$D$1201,3,FALSE)</f>
        <v>46199</v>
      </c>
      <c r="L1880" t="str">
        <f>VLOOKUP(C1880,Products!$A$2:$D$13,2,FALSE)</f>
        <v>Storage Box</v>
      </c>
      <c r="M1880" t="str">
        <f t="shared" si="89"/>
        <v>2026-06</v>
      </c>
    </row>
    <row r="1881" spans="1:13">
      <c r="A1881">
        <v>1880</v>
      </c>
      <c r="B1881">
        <v>1919</v>
      </c>
      <c r="C1881">
        <v>3</v>
      </c>
      <c r="D1881">
        <v>4</v>
      </c>
      <c r="E1881">
        <v>45</v>
      </c>
      <c r="F1881">
        <f t="shared" si="87"/>
        <v>180</v>
      </c>
      <c r="G1881" t="str">
        <f>VLOOKUP(B1881,Orders!$A$2:$D$1201,4,FALSE)</f>
        <v>Delivered</v>
      </c>
      <c r="H1881">
        <f t="shared" si="88"/>
        <v>180</v>
      </c>
      <c r="I1881" s="12">
        <f>VLOOKUP(B1881,Orders!$A$2:$D$1201,3,FALSE)</f>
        <v>46199</v>
      </c>
      <c r="L1881" t="str">
        <f>VLOOKUP(C1881,Products!$A$2:$D$13,2,FALSE)</f>
        <v>Keyboard</v>
      </c>
      <c r="M1881" t="str">
        <f t="shared" si="89"/>
        <v>2026-06</v>
      </c>
    </row>
    <row r="1882" spans="1:13">
      <c r="A1882">
        <v>1881</v>
      </c>
      <c r="B1882">
        <v>1920</v>
      </c>
      <c r="C1882">
        <v>9</v>
      </c>
      <c r="D1882">
        <v>4</v>
      </c>
      <c r="E1882">
        <v>30</v>
      </c>
      <c r="F1882">
        <f t="shared" si="87"/>
        <v>120</v>
      </c>
      <c r="G1882" t="str">
        <f>VLOOKUP(B1882,Orders!$A$2:$D$1201,4,FALSE)</f>
        <v>Delivered</v>
      </c>
      <c r="H1882">
        <f t="shared" si="88"/>
        <v>120</v>
      </c>
      <c r="I1882" s="12">
        <f>VLOOKUP(B1882,Orders!$A$2:$D$1201,3,FALSE)</f>
        <v>46128</v>
      </c>
      <c r="L1882" t="str">
        <f>VLOOKUP(C1882,Products!$A$2:$D$13,2,FALSE)</f>
        <v>Lamp</v>
      </c>
      <c r="M1882" t="str">
        <f t="shared" si="89"/>
        <v>2026-04</v>
      </c>
    </row>
    <row r="1883" spans="1:13">
      <c r="A1883">
        <v>1882</v>
      </c>
      <c r="B1883">
        <v>1920</v>
      </c>
      <c r="C1883">
        <v>4</v>
      </c>
      <c r="D1883">
        <v>4</v>
      </c>
      <c r="E1883">
        <v>25</v>
      </c>
      <c r="F1883">
        <f t="shared" si="87"/>
        <v>100</v>
      </c>
      <c r="G1883" t="str">
        <f>VLOOKUP(B1883,Orders!$A$2:$D$1201,4,FALSE)</f>
        <v>Delivered</v>
      </c>
      <c r="H1883">
        <f t="shared" si="88"/>
        <v>100</v>
      </c>
      <c r="I1883" s="12">
        <f>VLOOKUP(B1883,Orders!$A$2:$D$1201,3,FALSE)</f>
        <v>46128</v>
      </c>
      <c r="L1883" t="str">
        <f>VLOOKUP(C1883,Products!$A$2:$D$13,2,FALSE)</f>
        <v>Mouse</v>
      </c>
      <c r="M1883" t="str">
        <f t="shared" si="89"/>
        <v>2026-04</v>
      </c>
    </row>
    <row r="1884" spans="1:13">
      <c r="A1884">
        <v>1883</v>
      </c>
      <c r="B1884">
        <v>1920</v>
      </c>
      <c r="C1884">
        <v>10</v>
      </c>
      <c r="D1884">
        <v>3</v>
      </c>
      <c r="E1884">
        <v>8</v>
      </c>
      <c r="F1884">
        <f t="shared" si="87"/>
        <v>24</v>
      </c>
      <c r="G1884" t="str">
        <f>VLOOKUP(B1884,Orders!$A$2:$D$1201,4,FALSE)</f>
        <v>Delivered</v>
      </c>
      <c r="H1884">
        <f t="shared" si="88"/>
        <v>24</v>
      </c>
      <c r="I1884" s="12">
        <f>VLOOKUP(B1884,Orders!$A$2:$D$1201,3,FALSE)</f>
        <v>46128</v>
      </c>
      <c r="L1884" t="str">
        <f>VLOOKUP(C1884,Products!$A$2:$D$13,2,FALSE)</f>
        <v>Notebook</v>
      </c>
      <c r="M1884" t="str">
        <f t="shared" si="89"/>
        <v>2026-04</v>
      </c>
    </row>
    <row r="1885" spans="1:13">
      <c r="A1885">
        <v>1884</v>
      </c>
      <c r="B1885">
        <v>1921</v>
      </c>
      <c r="C1885">
        <v>4</v>
      </c>
      <c r="D1885">
        <v>1</v>
      </c>
      <c r="E1885">
        <v>25</v>
      </c>
      <c r="F1885">
        <f t="shared" si="87"/>
        <v>25</v>
      </c>
      <c r="G1885" t="str">
        <f>VLOOKUP(B1885,Orders!$A$2:$D$1201,4,FALSE)</f>
        <v>Delivered</v>
      </c>
      <c r="H1885">
        <f t="shared" si="88"/>
        <v>25</v>
      </c>
      <c r="I1885" s="12">
        <f>VLOOKUP(B1885,Orders!$A$2:$D$1201,3,FALSE)</f>
        <v>46098</v>
      </c>
      <c r="L1885" t="str">
        <f>VLOOKUP(C1885,Products!$A$2:$D$13,2,FALSE)</f>
        <v>Mouse</v>
      </c>
      <c r="M1885" t="str">
        <f t="shared" si="89"/>
        <v>2026-03</v>
      </c>
    </row>
    <row r="1886" spans="1:13">
      <c r="A1886">
        <v>1885</v>
      </c>
      <c r="B1886">
        <v>1921</v>
      </c>
      <c r="C1886">
        <v>11</v>
      </c>
      <c r="D1886">
        <v>1</v>
      </c>
      <c r="E1886">
        <v>48</v>
      </c>
      <c r="F1886">
        <f t="shared" si="87"/>
        <v>48</v>
      </c>
      <c r="G1886" t="str">
        <f>VLOOKUP(B1886,Orders!$A$2:$D$1201,4,FALSE)</f>
        <v>Delivered</v>
      </c>
      <c r="H1886">
        <f t="shared" si="88"/>
        <v>48</v>
      </c>
      <c r="I1886" s="12">
        <f>VLOOKUP(B1886,Orders!$A$2:$D$1201,3,FALSE)</f>
        <v>46098</v>
      </c>
      <c r="L1886" t="str">
        <f>VLOOKUP(C1886,Products!$A$2:$D$13,2,FALSE)</f>
        <v>Backpack</v>
      </c>
      <c r="M1886" t="str">
        <f t="shared" si="89"/>
        <v>2026-03</v>
      </c>
    </row>
    <row r="1887" spans="1:13">
      <c r="A1887">
        <v>1886</v>
      </c>
      <c r="B1887">
        <v>1921</v>
      </c>
      <c r="C1887">
        <v>12</v>
      </c>
      <c r="D1887">
        <v>4</v>
      </c>
      <c r="E1887">
        <v>22</v>
      </c>
      <c r="F1887">
        <f t="shared" si="87"/>
        <v>88</v>
      </c>
      <c r="G1887" t="str">
        <f>VLOOKUP(B1887,Orders!$A$2:$D$1201,4,FALSE)</f>
        <v>Delivered</v>
      </c>
      <c r="H1887">
        <f t="shared" si="88"/>
        <v>88</v>
      </c>
      <c r="I1887" s="12">
        <f>VLOOKUP(B1887,Orders!$A$2:$D$1201,3,FALSE)</f>
        <v>46098</v>
      </c>
      <c r="L1887" t="str">
        <f>VLOOKUP(C1887,Products!$A$2:$D$13,2,FALSE)</f>
        <v>Storage Box</v>
      </c>
      <c r="M1887" t="str">
        <f t="shared" si="89"/>
        <v>2026-03</v>
      </c>
    </row>
    <row r="1888" spans="1:13">
      <c r="A1888">
        <v>1887</v>
      </c>
      <c r="B1888">
        <v>1922</v>
      </c>
      <c r="C1888">
        <v>10</v>
      </c>
      <c r="D1888">
        <v>3</v>
      </c>
      <c r="E1888">
        <v>8</v>
      </c>
      <c r="F1888">
        <f t="shared" si="87"/>
        <v>24</v>
      </c>
      <c r="G1888" t="str">
        <f>VLOOKUP(B1888,Orders!$A$2:$D$1201,4,FALSE)</f>
        <v>Delivered</v>
      </c>
      <c r="H1888">
        <f t="shared" si="88"/>
        <v>24</v>
      </c>
      <c r="I1888" s="12">
        <f>VLOOKUP(B1888,Orders!$A$2:$D$1201,3,FALSE)</f>
        <v>46071</v>
      </c>
      <c r="L1888" t="str">
        <f>VLOOKUP(C1888,Products!$A$2:$D$13,2,FALSE)</f>
        <v>Notebook</v>
      </c>
      <c r="M1888" t="str">
        <f t="shared" si="89"/>
        <v>2026-02</v>
      </c>
    </row>
    <row r="1889" spans="1:13">
      <c r="A1889">
        <v>1888</v>
      </c>
      <c r="B1889">
        <v>1923</v>
      </c>
      <c r="C1889">
        <v>6</v>
      </c>
      <c r="D1889">
        <v>4</v>
      </c>
      <c r="E1889">
        <v>140</v>
      </c>
      <c r="F1889">
        <f t="shared" si="87"/>
        <v>560</v>
      </c>
      <c r="G1889" t="str">
        <f>VLOOKUP(B1889,Orders!$A$2:$D$1201,4,FALSE)</f>
        <v>Delivered</v>
      </c>
      <c r="H1889">
        <f t="shared" si="88"/>
        <v>560</v>
      </c>
      <c r="I1889" s="12">
        <f>VLOOKUP(B1889,Orders!$A$2:$D$1201,3,FALSE)</f>
        <v>46152</v>
      </c>
      <c r="L1889" t="str">
        <f>VLOOKUP(C1889,Products!$A$2:$D$13,2,FALSE)</f>
        <v>Chair</v>
      </c>
      <c r="M1889" t="str">
        <f t="shared" si="89"/>
        <v>2026-05</v>
      </c>
    </row>
    <row r="1890" spans="1:13">
      <c r="A1890">
        <v>1889</v>
      </c>
      <c r="B1890">
        <v>1924</v>
      </c>
      <c r="C1890">
        <v>11</v>
      </c>
      <c r="D1890">
        <v>3</v>
      </c>
      <c r="E1890">
        <v>48</v>
      </c>
      <c r="F1890">
        <f t="shared" si="87"/>
        <v>144</v>
      </c>
      <c r="G1890" t="str">
        <f>VLOOKUP(B1890,Orders!$A$2:$D$1201,4,FALSE)</f>
        <v>Delivered</v>
      </c>
      <c r="H1890">
        <f t="shared" si="88"/>
        <v>144</v>
      </c>
      <c r="I1890" s="12">
        <f>VLOOKUP(B1890,Orders!$A$2:$D$1201,3,FALSE)</f>
        <v>46071</v>
      </c>
      <c r="L1890" t="str">
        <f>VLOOKUP(C1890,Products!$A$2:$D$13,2,FALSE)</f>
        <v>Backpack</v>
      </c>
      <c r="M1890" t="str">
        <f t="shared" si="89"/>
        <v>2026-02</v>
      </c>
    </row>
    <row r="1891" spans="1:13">
      <c r="A1891">
        <v>1890</v>
      </c>
      <c r="B1891">
        <v>1925</v>
      </c>
      <c r="C1891">
        <v>8</v>
      </c>
      <c r="D1891">
        <v>2</v>
      </c>
      <c r="E1891">
        <v>55</v>
      </c>
      <c r="F1891">
        <f t="shared" si="87"/>
        <v>110</v>
      </c>
      <c r="G1891" t="str">
        <f>VLOOKUP(B1891,Orders!$A$2:$D$1201,4,FALSE)</f>
        <v>Delivered</v>
      </c>
      <c r="H1891">
        <f t="shared" si="88"/>
        <v>110</v>
      </c>
      <c r="I1891" s="12">
        <f>VLOOKUP(B1891,Orders!$A$2:$D$1201,3,FALSE)</f>
        <v>46050</v>
      </c>
      <c r="L1891" t="str">
        <f>VLOOKUP(C1891,Products!$A$2:$D$13,2,FALSE)</f>
        <v>Webcam</v>
      </c>
      <c r="M1891" t="str">
        <f t="shared" si="89"/>
        <v>2026-01</v>
      </c>
    </row>
    <row r="1892" spans="1:13">
      <c r="A1892">
        <v>1891</v>
      </c>
      <c r="B1892">
        <v>1926</v>
      </c>
      <c r="C1892">
        <v>6</v>
      </c>
      <c r="D1892">
        <v>4</v>
      </c>
      <c r="E1892">
        <v>140</v>
      </c>
      <c r="F1892">
        <f t="shared" si="87"/>
        <v>560</v>
      </c>
      <c r="G1892" t="str">
        <f>VLOOKUP(B1892,Orders!$A$2:$D$1201,4,FALSE)</f>
        <v>Delivered</v>
      </c>
      <c r="H1892">
        <f t="shared" si="88"/>
        <v>560</v>
      </c>
      <c r="I1892" s="12">
        <f>VLOOKUP(B1892,Orders!$A$2:$D$1201,3,FALSE)</f>
        <v>46090</v>
      </c>
      <c r="L1892" t="str">
        <f>VLOOKUP(C1892,Products!$A$2:$D$13,2,FALSE)</f>
        <v>Chair</v>
      </c>
      <c r="M1892" t="str">
        <f t="shared" si="89"/>
        <v>2026-03</v>
      </c>
    </row>
    <row r="1893" spans="1:13">
      <c r="A1893">
        <v>1892</v>
      </c>
      <c r="B1893">
        <v>1927</v>
      </c>
      <c r="C1893">
        <v>1</v>
      </c>
      <c r="D1893">
        <v>4</v>
      </c>
      <c r="E1893">
        <v>750</v>
      </c>
      <c r="F1893">
        <f t="shared" si="87"/>
        <v>3000</v>
      </c>
      <c r="G1893" t="str">
        <f>VLOOKUP(B1893,Orders!$A$2:$D$1201,4,FALSE)</f>
        <v>Delivered</v>
      </c>
      <c r="H1893">
        <f t="shared" si="88"/>
        <v>3000</v>
      </c>
      <c r="I1893" s="12">
        <f>VLOOKUP(B1893,Orders!$A$2:$D$1201,3,FALSE)</f>
        <v>46036</v>
      </c>
      <c r="L1893" t="str">
        <f>VLOOKUP(C1893,Products!$A$2:$D$13,2,FALSE)</f>
        <v>Laptop</v>
      </c>
      <c r="M1893" t="str">
        <f t="shared" si="89"/>
        <v>2026-01</v>
      </c>
    </row>
    <row r="1894" spans="1:13">
      <c r="A1894">
        <v>1893</v>
      </c>
      <c r="B1894">
        <v>1928</v>
      </c>
      <c r="C1894">
        <v>8</v>
      </c>
      <c r="D1894">
        <v>1</v>
      </c>
      <c r="E1894">
        <v>55</v>
      </c>
      <c r="F1894">
        <f t="shared" si="87"/>
        <v>55</v>
      </c>
      <c r="G1894" t="str">
        <f>VLOOKUP(B1894,Orders!$A$2:$D$1201,4,FALSE)</f>
        <v>Delivered</v>
      </c>
      <c r="H1894">
        <f t="shared" si="88"/>
        <v>55</v>
      </c>
      <c r="I1894" s="12">
        <f>VLOOKUP(B1894,Orders!$A$2:$D$1201,3,FALSE)</f>
        <v>46068</v>
      </c>
      <c r="L1894" t="str">
        <f>VLOOKUP(C1894,Products!$A$2:$D$13,2,FALSE)</f>
        <v>Webcam</v>
      </c>
      <c r="M1894" t="str">
        <f t="shared" si="89"/>
        <v>2026-02</v>
      </c>
    </row>
    <row r="1895" spans="1:13">
      <c r="A1895">
        <v>1894</v>
      </c>
      <c r="B1895">
        <v>1928</v>
      </c>
      <c r="C1895">
        <v>9</v>
      </c>
      <c r="D1895">
        <v>1</v>
      </c>
      <c r="E1895">
        <v>30</v>
      </c>
      <c r="F1895">
        <f t="shared" si="87"/>
        <v>30</v>
      </c>
      <c r="G1895" t="str">
        <f>VLOOKUP(B1895,Orders!$A$2:$D$1201,4,FALSE)</f>
        <v>Delivered</v>
      </c>
      <c r="H1895">
        <f t="shared" si="88"/>
        <v>30</v>
      </c>
      <c r="I1895" s="12">
        <f>VLOOKUP(B1895,Orders!$A$2:$D$1201,3,FALSE)</f>
        <v>46068</v>
      </c>
      <c r="L1895" t="str">
        <f>VLOOKUP(C1895,Products!$A$2:$D$13,2,FALSE)</f>
        <v>Lamp</v>
      </c>
      <c r="M1895" t="str">
        <f t="shared" si="89"/>
        <v>2026-02</v>
      </c>
    </row>
    <row r="1896" spans="1:13">
      <c r="A1896">
        <v>1895</v>
      </c>
      <c r="B1896">
        <v>1928</v>
      </c>
      <c r="C1896">
        <v>7</v>
      </c>
      <c r="D1896">
        <v>2</v>
      </c>
      <c r="E1896">
        <v>65</v>
      </c>
      <c r="F1896">
        <f t="shared" si="87"/>
        <v>130</v>
      </c>
      <c r="G1896" t="str">
        <f>VLOOKUP(B1896,Orders!$A$2:$D$1201,4,FALSE)</f>
        <v>Delivered</v>
      </c>
      <c r="H1896">
        <f t="shared" si="88"/>
        <v>130</v>
      </c>
      <c r="I1896" s="12">
        <f>VLOOKUP(B1896,Orders!$A$2:$D$1201,3,FALSE)</f>
        <v>46068</v>
      </c>
      <c r="L1896" t="str">
        <f>VLOOKUP(C1896,Products!$A$2:$D$13,2,FALSE)</f>
        <v>Headphones</v>
      </c>
      <c r="M1896" t="str">
        <f t="shared" si="89"/>
        <v>2026-02</v>
      </c>
    </row>
    <row r="1897" spans="1:13">
      <c r="A1897">
        <v>1896</v>
      </c>
      <c r="B1897">
        <v>1929</v>
      </c>
      <c r="C1897">
        <v>2</v>
      </c>
      <c r="D1897">
        <v>4</v>
      </c>
      <c r="E1897">
        <v>220</v>
      </c>
      <c r="F1897">
        <f t="shared" si="87"/>
        <v>880</v>
      </c>
      <c r="G1897" t="str">
        <f>VLOOKUP(B1897,Orders!$A$2:$D$1201,4,FALSE)</f>
        <v>Delivered</v>
      </c>
      <c r="H1897">
        <f t="shared" si="88"/>
        <v>880</v>
      </c>
      <c r="I1897" s="12">
        <f>VLOOKUP(B1897,Orders!$A$2:$D$1201,3,FALSE)</f>
        <v>46170</v>
      </c>
      <c r="L1897" t="str">
        <f>VLOOKUP(C1897,Products!$A$2:$D$13,2,FALSE)</f>
        <v>Monitor</v>
      </c>
      <c r="M1897" t="str">
        <f t="shared" si="89"/>
        <v>2026-05</v>
      </c>
    </row>
    <row r="1898" spans="1:13">
      <c r="A1898">
        <v>1897</v>
      </c>
      <c r="B1898">
        <v>1929</v>
      </c>
      <c r="C1898">
        <v>5</v>
      </c>
      <c r="D1898">
        <v>4</v>
      </c>
      <c r="E1898">
        <v>180</v>
      </c>
      <c r="F1898">
        <f t="shared" si="87"/>
        <v>720</v>
      </c>
      <c r="G1898" t="str">
        <f>VLOOKUP(B1898,Orders!$A$2:$D$1201,4,FALSE)</f>
        <v>Delivered</v>
      </c>
      <c r="H1898">
        <f t="shared" si="88"/>
        <v>720</v>
      </c>
      <c r="I1898" s="12">
        <f>VLOOKUP(B1898,Orders!$A$2:$D$1201,3,FALSE)</f>
        <v>46170</v>
      </c>
      <c r="L1898" t="str">
        <f>VLOOKUP(C1898,Products!$A$2:$D$13,2,FALSE)</f>
        <v>Desk</v>
      </c>
      <c r="M1898" t="str">
        <f t="shared" si="89"/>
        <v>2026-05</v>
      </c>
    </row>
    <row r="1899" spans="1:13">
      <c r="A1899">
        <v>1898</v>
      </c>
      <c r="B1899">
        <v>1929</v>
      </c>
      <c r="C1899">
        <v>4</v>
      </c>
      <c r="D1899">
        <v>4</v>
      </c>
      <c r="E1899">
        <v>25</v>
      </c>
      <c r="F1899">
        <f t="shared" si="87"/>
        <v>100</v>
      </c>
      <c r="G1899" t="str">
        <f>VLOOKUP(B1899,Orders!$A$2:$D$1201,4,FALSE)</f>
        <v>Delivered</v>
      </c>
      <c r="H1899">
        <f t="shared" si="88"/>
        <v>100</v>
      </c>
      <c r="I1899" s="12">
        <f>VLOOKUP(B1899,Orders!$A$2:$D$1201,3,FALSE)</f>
        <v>46170</v>
      </c>
      <c r="L1899" t="str">
        <f>VLOOKUP(C1899,Products!$A$2:$D$13,2,FALSE)</f>
        <v>Mouse</v>
      </c>
      <c r="M1899" t="str">
        <f t="shared" si="89"/>
        <v>2026-05</v>
      </c>
    </row>
    <row r="1900" spans="1:13">
      <c r="A1900">
        <v>1899</v>
      </c>
      <c r="B1900">
        <v>1930</v>
      </c>
      <c r="C1900">
        <v>11</v>
      </c>
      <c r="D1900">
        <v>3</v>
      </c>
      <c r="E1900">
        <v>48</v>
      </c>
      <c r="F1900">
        <f t="shared" si="87"/>
        <v>144</v>
      </c>
      <c r="G1900" t="str">
        <f>VLOOKUP(B1900,Orders!$A$2:$D$1201,4,FALSE)</f>
        <v>Delivered</v>
      </c>
      <c r="H1900">
        <f t="shared" si="88"/>
        <v>144</v>
      </c>
      <c r="I1900" s="12">
        <f>VLOOKUP(B1900,Orders!$A$2:$D$1201,3,FALSE)</f>
        <v>46149</v>
      </c>
      <c r="L1900" t="str">
        <f>VLOOKUP(C1900,Products!$A$2:$D$13,2,FALSE)</f>
        <v>Backpack</v>
      </c>
      <c r="M1900" t="str">
        <f t="shared" si="89"/>
        <v>2026-05</v>
      </c>
    </row>
    <row r="1901" spans="1:13">
      <c r="A1901">
        <v>1900</v>
      </c>
      <c r="B1901">
        <v>1930</v>
      </c>
      <c r="C1901">
        <v>5</v>
      </c>
      <c r="D1901">
        <v>1</v>
      </c>
      <c r="E1901">
        <v>180</v>
      </c>
      <c r="F1901">
        <f t="shared" si="87"/>
        <v>180</v>
      </c>
      <c r="G1901" t="str">
        <f>VLOOKUP(B1901,Orders!$A$2:$D$1201,4,FALSE)</f>
        <v>Delivered</v>
      </c>
      <c r="H1901">
        <f t="shared" si="88"/>
        <v>180</v>
      </c>
      <c r="I1901" s="12">
        <f>VLOOKUP(B1901,Orders!$A$2:$D$1201,3,FALSE)</f>
        <v>46149</v>
      </c>
      <c r="L1901" t="str">
        <f>VLOOKUP(C1901,Products!$A$2:$D$13,2,FALSE)</f>
        <v>Desk</v>
      </c>
      <c r="M1901" t="str">
        <f t="shared" si="89"/>
        <v>2026-05</v>
      </c>
    </row>
    <row r="1902" spans="1:13">
      <c r="A1902">
        <v>1901</v>
      </c>
      <c r="B1902">
        <v>1931</v>
      </c>
      <c r="C1902">
        <v>6</v>
      </c>
      <c r="D1902">
        <v>1</v>
      </c>
      <c r="E1902">
        <v>140</v>
      </c>
      <c r="F1902">
        <f t="shared" si="87"/>
        <v>140</v>
      </c>
      <c r="G1902" t="str">
        <f>VLOOKUP(B1902,Orders!$A$2:$D$1201,4,FALSE)</f>
        <v>Cancelled</v>
      </c>
      <c r="H1902">
        <f t="shared" si="88"/>
        <v>0</v>
      </c>
      <c r="I1902" s="12">
        <f>VLOOKUP(B1902,Orders!$A$2:$D$1201,3,FALSE)</f>
        <v>46101</v>
      </c>
      <c r="L1902" t="str">
        <f>VLOOKUP(C1902,Products!$A$2:$D$13,2,FALSE)</f>
        <v>Chair</v>
      </c>
      <c r="M1902" t="str">
        <f t="shared" si="89"/>
        <v>2026-03</v>
      </c>
    </row>
    <row r="1903" spans="1:13">
      <c r="A1903">
        <v>1902</v>
      </c>
      <c r="B1903">
        <v>1932</v>
      </c>
      <c r="C1903">
        <v>1</v>
      </c>
      <c r="D1903">
        <v>4</v>
      </c>
      <c r="E1903">
        <v>750</v>
      </c>
      <c r="F1903">
        <f t="shared" si="87"/>
        <v>3000</v>
      </c>
      <c r="G1903" t="str">
        <f>VLOOKUP(B1903,Orders!$A$2:$D$1201,4,FALSE)</f>
        <v>Delivered</v>
      </c>
      <c r="H1903">
        <f t="shared" si="88"/>
        <v>3000</v>
      </c>
      <c r="I1903" s="12">
        <f>VLOOKUP(B1903,Orders!$A$2:$D$1201,3,FALSE)</f>
        <v>46065</v>
      </c>
      <c r="L1903" t="str">
        <f>VLOOKUP(C1903,Products!$A$2:$D$13,2,FALSE)</f>
        <v>Laptop</v>
      </c>
      <c r="M1903" t="str">
        <f t="shared" si="89"/>
        <v>2026-02</v>
      </c>
    </row>
    <row r="1904" spans="1:13">
      <c r="A1904">
        <v>1903</v>
      </c>
      <c r="B1904">
        <v>1933</v>
      </c>
      <c r="C1904">
        <v>6</v>
      </c>
      <c r="D1904">
        <v>1</v>
      </c>
      <c r="E1904">
        <v>140</v>
      </c>
      <c r="F1904">
        <f t="shared" si="87"/>
        <v>140</v>
      </c>
      <c r="G1904" t="str">
        <f>VLOOKUP(B1904,Orders!$A$2:$D$1201,4,FALSE)</f>
        <v>Delivered</v>
      </c>
      <c r="H1904">
        <f t="shared" si="88"/>
        <v>140</v>
      </c>
      <c r="I1904" s="12">
        <f>VLOOKUP(B1904,Orders!$A$2:$D$1201,3,FALSE)</f>
        <v>46066</v>
      </c>
      <c r="L1904" t="str">
        <f>VLOOKUP(C1904,Products!$A$2:$D$13,2,FALSE)</f>
        <v>Chair</v>
      </c>
      <c r="M1904" t="str">
        <f t="shared" si="89"/>
        <v>2026-02</v>
      </c>
    </row>
    <row r="1905" spans="1:13">
      <c r="A1905">
        <v>1904</v>
      </c>
      <c r="B1905">
        <v>1933</v>
      </c>
      <c r="C1905">
        <v>8</v>
      </c>
      <c r="D1905">
        <v>4</v>
      </c>
      <c r="E1905">
        <v>55</v>
      </c>
      <c r="F1905">
        <f t="shared" si="87"/>
        <v>220</v>
      </c>
      <c r="G1905" t="str">
        <f>VLOOKUP(B1905,Orders!$A$2:$D$1201,4,FALSE)</f>
        <v>Delivered</v>
      </c>
      <c r="H1905">
        <f t="shared" si="88"/>
        <v>220</v>
      </c>
      <c r="I1905" s="12">
        <f>VLOOKUP(B1905,Orders!$A$2:$D$1201,3,FALSE)</f>
        <v>46066</v>
      </c>
      <c r="L1905" t="str">
        <f>VLOOKUP(C1905,Products!$A$2:$D$13,2,FALSE)</f>
        <v>Webcam</v>
      </c>
      <c r="M1905" t="str">
        <f t="shared" si="89"/>
        <v>2026-02</v>
      </c>
    </row>
    <row r="1906" spans="1:13">
      <c r="A1906">
        <v>1905</v>
      </c>
      <c r="B1906">
        <v>1933</v>
      </c>
      <c r="C1906">
        <v>10</v>
      </c>
      <c r="D1906">
        <v>2</v>
      </c>
      <c r="E1906">
        <v>8</v>
      </c>
      <c r="F1906">
        <f t="shared" si="87"/>
        <v>16</v>
      </c>
      <c r="G1906" t="str">
        <f>VLOOKUP(B1906,Orders!$A$2:$D$1201,4,FALSE)</f>
        <v>Delivered</v>
      </c>
      <c r="H1906">
        <f t="shared" si="88"/>
        <v>16</v>
      </c>
      <c r="I1906" s="12">
        <f>VLOOKUP(B1906,Orders!$A$2:$D$1201,3,FALSE)</f>
        <v>46066</v>
      </c>
      <c r="L1906" t="str">
        <f>VLOOKUP(C1906,Products!$A$2:$D$13,2,FALSE)</f>
        <v>Notebook</v>
      </c>
      <c r="M1906" t="str">
        <f t="shared" si="89"/>
        <v>2026-02</v>
      </c>
    </row>
    <row r="1907" spans="1:13">
      <c r="A1907">
        <v>1906</v>
      </c>
      <c r="B1907">
        <v>1934</v>
      </c>
      <c r="C1907">
        <v>3</v>
      </c>
      <c r="D1907">
        <v>1</v>
      </c>
      <c r="E1907">
        <v>45</v>
      </c>
      <c r="F1907">
        <f t="shared" si="87"/>
        <v>45</v>
      </c>
      <c r="G1907" t="str">
        <f>VLOOKUP(B1907,Orders!$A$2:$D$1201,4,FALSE)</f>
        <v>Delivered</v>
      </c>
      <c r="H1907">
        <f t="shared" si="88"/>
        <v>45</v>
      </c>
      <c r="I1907" s="12">
        <f>VLOOKUP(B1907,Orders!$A$2:$D$1201,3,FALSE)</f>
        <v>46097</v>
      </c>
      <c r="L1907" t="str">
        <f>VLOOKUP(C1907,Products!$A$2:$D$13,2,FALSE)</f>
        <v>Keyboard</v>
      </c>
      <c r="M1907" t="str">
        <f t="shared" si="89"/>
        <v>2026-03</v>
      </c>
    </row>
    <row r="1908" spans="1:13">
      <c r="A1908">
        <v>1907</v>
      </c>
      <c r="B1908">
        <v>1934</v>
      </c>
      <c r="C1908">
        <v>12</v>
      </c>
      <c r="D1908">
        <v>3</v>
      </c>
      <c r="E1908">
        <v>22</v>
      </c>
      <c r="F1908">
        <f t="shared" si="87"/>
        <v>66</v>
      </c>
      <c r="G1908" t="str">
        <f>VLOOKUP(B1908,Orders!$A$2:$D$1201,4,FALSE)</f>
        <v>Delivered</v>
      </c>
      <c r="H1908">
        <f t="shared" si="88"/>
        <v>66</v>
      </c>
      <c r="I1908" s="12">
        <f>VLOOKUP(B1908,Orders!$A$2:$D$1201,3,FALSE)</f>
        <v>46097</v>
      </c>
      <c r="L1908" t="str">
        <f>VLOOKUP(C1908,Products!$A$2:$D$13,2,FALSE)</f>
        <v>Storage Box</v>
      </c>
      <c r="M1908" t="str">
        <f t="shared" si="89"/>
        <v>2026-03</v>
      </c>
    </row>
    <row r="1909" spans="1:13">
      <c r="A1909">
        <v>1908</v>
      </c>
      <c r="B1909">
        <v>1934</v>
      </c>
      <c r="C1909">
        <v>2</v>
      </c>
      <c r="D1909">
        <v>3</v>
      </c>
      <c r="E1909">
        <v>220</v>
      </c>
      <c r="F1909">
        <f t="shared" si="87"/>
        <v>660</v>
      </c>
      <c r="G1909" t="str">
        <f>VLOOKUP(B1909,Orders!$A$2:$D$1201,4,FALSE)</f>
        <v>Delivered</v>
      </c>
      <c r="H1909">
        <f t="shared" si="88"/>
        <v>660</v>
      </c>
      <c r="I1909" s="12">
        <f>VLOOKUP(B1909,Orders!$A$2:$D$1201,3,FALSE)</f>
        <v>46097</v>
      </c>
      <c r="L1909" t="str">
        <f>VLOOKUP(C1909,Products!$A$2:$D$13,2,FALSE)</f>
        <v>Monitor</v>
      </c>
      <c r="M1909" t="str">
        <f t="shared" si="89"/>
        <v>2026-03</v>
      </c>
    </row>
    <row r="1910" spans="1:13">
      <c r="A1910">
        <v>1909</v>
      </c>
      <c r="B1910">
        <v>1935</v>
      </c>
      <c r="C1910">
        <v>1</v>
      </c>
      <c r="D1910">
        <v>3</v>
      </c>
      <c r="E1910">
        <v>750</v>
      </c>
      <c r="F1910">
        <f t="shared" si="87"/>
        <v>2250</v>
      </c>
      <c r="G1910" t="str">
        <f>VLOOKUP(B1910,Orders!$A$2:$D$1201,4,FALSE)</f>
        <v>Delivered</v>
      </c>
      <c r="H1910">
        <f t="shared" si="88"/>
        <v>2250</v>
      </c>
      <c r="I1910" s="12">
        <f>VLOOKUP(B1910,Orders!$A$2:$D$1201,3,FALSE)</f>
        <v>46192</v>
      </c>
      <c r="L1910" t="str">
        <f>VLOOKUP(C1910,Products!$A$2:$D$13,2,FALSE)</f>
        <v>Laptop</v>
      </c>
      <c r="M1910" t="str">
        <f t="shared" si="89"/>
        <v>2026-06</v>
      </c>
    </row>
    <row r="1911" spans="1:13">
      <c r="A1911">
        <v>1910</v>
      </c>
      <c r="B1911">
        <v>1935</v>
      </c>
      <c r="C1911">
        <v>6</v>
      </c>
      <c r="D1911">
        <v>3</v>
      </c>
      <c r="E1911">
        <v>140</v>
      </c>
      <c r="F1911">
        <f t="shared" si="87"/>
        <v>420</v>
      </c>
      <c r="G1911" t="str">
        <f>VLOOKUP(B1911,Orders!$A$2:$D$1201,4,FALSE)</f>
        <v>Delivered</v>
      </c>
      <c r="H1911">
        <f t="shared" si="88"/>
        <v>420</v>
      </c>
      <c r="I1911" s="12">
        <f>VLOOKUP(B1911,Orders!$A$2:$D$1201,3,FALSE)</f>
        <v>46192</v>
      </c>
      <c r="L1911" t="str">
        <f>VLOOKUP(C1911,Products!$A$2:$D$13,2,FALSE)</f>
        <v>Chair</v>
      </c>
      <c r="M1911" t="str">
        <f t="shared" si="89"/>
        <v>2026-06</v>
      </c>
    </row>
    <row r="1912" spans="1:13">
      <c r="A1912">
        <v>1911</v>
      </c>
      <c r="B1912">
        <v>1936</v>
      </c>
      <c r="C1912">
        <v>11</v>
      </c>
      <c r="D1912">
        <v>4</v>
      </c>
      <c r="E1912">
        <v>48</v>
      </c>
      <c r="F1912">
        <f t="shared" si="87"/>
        <v>192</v>
      </c>
      <c r="G1912" t="str">
        <f>VLOOKUP(B1912,Orders!$A$2:$D$1201,4,FALSE)</f>
        <v>Delivered</v>
      </c>
      <c r="H1912">
        <f t="shared" si="88"/>
        <v>192</v>
      </c>
      <c r="I1912" s="12">
        <f>VLOOKUP(B1912,Orders!$A$2:$D$1201,3,FALSE)</f>
        <v>46146</v>
      </c>
      <c r="L1912" t="str">
        <f>VLOOKUP(C1912,Products!$A$2:$D$13,2,FALSE)</f>
        <v>Backpack</v>
      </c>
      <c r="M1912" t="str">
        <f t="shared" si="89"/>
        <v>2026-05</v>
      </c>
    </row>
    <row r="1913" spans="1:13">
      <c r="A1913">
        <v>1912</v>
      </c>
      <c r="B1913">
        <v>1936</v>
      </c>
      <c r="C1913">
        <v>1</v>
      </c>
      <c r="D1913">
        <v>2</v>
      </c>
      <c r="E1913">
        <v>750</v>
      </c>
      <c r="F1913">
        <f t="shared" si="87"/>
        <v>1500</v>
      </c>
      <c r="G1913" t="str">
        <f>VLOOKUP(B1913,Orders!$A$2:$D$1201,4,FALSE)</f>
        <v>Delivered</v>
      </c>
      <c r="H1913">
        <f t="shared" si="88"/>
        <v>1500</v>
      </c>
      <c r="I1913" s="12">
        <f>VLOOKUP(B1913,Orders!$A$2:$D$1201,3,FALSE)</f>
        <v>46146</v>
      </c>
      <c r="L1913" t="str">
        <f>VLOOKUP(C1913,Products!$A$2:$D$13,2,FALSE)</f>
        <v>Laptop</v>
      </c>
      <c r="M1913" t="str">
        <f t="shared" si="89"/>
        <v>2026-05</v>
      </c>
    </row>
    <row r="1914" spans="1:13">
      <c r="A1914">
        <v>1913</v>
      </c>
      <c r="B1914">
        <v>1936</v>
      </c>
      <c r="C1914">
        <v>3</v>
      </c>
      <c r="D1914">
        <v>2</v>
      </c>
      <c r="E1914">
        <v>45</v>
      </c>
      <c r="F1914">
        <f t="shared" si="87"/>
        <v>90</v>
      </c>
      <c r="G1914" t="str">
        <f>VLOOKUP(B1914,Orders!$A$2:$D$1201,4,FALSE)</f>
        <v>Delivered</v>
      </c>
      <c r="H1914">
        <f t="shared" si="88"/>
        <v>90</v>
      </c>
      <c r="I1914" s="12">
        <f>VLOOKUP(B1914,Orders!$A$2:$D$1201,3,FALSE)</f>
        <v>46146</v>
      </c>
      <c r="L1914" t="str">
        <f>VLOOKUP(C1914,Products!$A$2:$D$13,2,FALSE)</f>
        <v>Keyboard</v>
      </c>
      <c r="M1914" t="str">
        <f t="shared" si="89"/>
        <v>2026-05</v>
      </c>
    </row>
    <row r="1915" spans="1:13">
      <c r="A1915">
        <v>1914</v>
      </c>
      <c r="B1915">
        <v>1937</v>
      </c>
      <c r="C1915">
        <v>7</v>
      </c>
      <c r="D1915">
        <v>1</v>
      </c>
      <c r="E1915">
        <v>65</v>
      </c>
      <c r="F1915">
        <f t="shared" si="87"/>
        <v>65</v>
      </c>
      <c r="G1915" t="str">
        <f>VLOOKUP(B1915,Orders!$A$2:$D$1201,4,FALSE)</f>
        <v>Delivered</v>
      </c>
      <c r="H1915">
        <f t="shared" si="88"/>
        <v>65</v>
      </c>
      <c r="I1915" s="12">
        <f>VLOOKUP(B1915,Orders!$A$2:$D$1201,3,FALSE)</f>
        <v>46133</v>
      </c>
      <c r="L1915" t="str">
        <f>VLOOKUP(C1915,Products!$A$2:$D$13,2,FALSE)</f>
        <v>Headphones</v>
      </c>
      <c r="M1915" t="str">
        <f t="shared" si="89"/>
        <v>2026-04</v>
      </c>
    </row>
    <row r="1916" spans="1:13">
      <c r="A1916">
        <v>1915</v>
      </c>
      <c r="B1916">
        <v>1938</v>
      </c>
      <c r="C1916">
        <v>7</v>
      </c>
      <c r="D1916">
        <v>4</v>
      </c>
      <c r="E1916">
        <v>65</v>
      </c>
      <c r="F1916">
        <f t="shared" si="87"/>
        <v>260</v>
      </c>
      <c r="G1916" t="str">
        <f>VLOOKUP(B1916,Orders!$A$2:$D$1201,4,FALSE)</f>
        <v>Delivered</v>
      </c>
      <c r="H1916">
        <f t="shared" si="88"/>
        <v>260</v>
      </c>
      <c r="I1916" s="12">
        <f>VLOOKUP(B1916,Orders!$A$2:$D$1201,3,FALSE)</f>
        <v>46157</v>
      </c>
      <c r="L1916" t="str">
        <f>VLOOKUP(C1916,Products!$A$2:$D$13,2,FALSE)</f>
        <v>Headphones</v>
      </c>
      <c r="M1916" t="str">
        <f t="shared" si="89"/>
        <v>2026-05</v>
      </c>
    </row>
    <row r="1917" spans="1:13">
      <c r="A1917">
        <v>1916</v>
      </c>
      <c r="B1917">
        <v>1938</v>
      </c>
      <c r="C1917">
        <v>10</v>
      </c>
      <c r="D1917">
        <v>3</v>
      </c>
      <c r="E1917">
        <v>8</v>
      </c>
      <c r="F1917">
        <f t="shared" si="87"/>
        <v>24</v>
      </c>
      <c r="G1917" t="str">
        <f>VLOOKUP(B1917,Orders!$A$2:$D$1201,4,FALSE)</f>
        <v>Delivered</v>
      </c>
      <c r="H1917">
        <f t="shared" si="88"/>
        <v>24</v>
      </c>
      <c r="I1917" s="12">
        <f>VLOOKUP(B1917,Orders!$A$2:$D$1201,3,FALSE)</f>
        <v>46157</v>
      </c>
      <c r="L1917" t="str">
        <f>VLOOKUP(C1917,Products!$A$2:$D$13,2,FALSE)</f>
        <v>Notebook</v>
      </c>
      <c r="M1917" t="str">
        <f t="shared" si="89"/>
        <v>2026-05</v>
      </c>
    </row>
    <row r="1918" spans="1:13">
      <c r="A1918">
        <v>1917</v>
      </c>
      <c r="B1918">
        <v>1939</v>
      </c>
      <c r="C1918">
        <v>6</v>
      </c>
      <c r="D1918">
        <v>1</v>
      </c>
      <c r="E1918">
        <v>140</v>
      </c>
      <c r="F1918">
        <f t="shared" si="87"/>
        <v>140</v>
      </c>
      <c r="G1918" t="str">
        <f>VLOOKUP(B1918,Orders!$A$2:$D$1201,4,FALSE)</f>
        <v>Delivered</v>
      </c>
      <c r="H1918">
        <f t="shared" si="88"/>
        <v>140</v>
      </c>
      <c r="I1918" s="12">
        <f>VLOOKUP(B1918,Orders!$A$2:$D$1201,3,FALSE)</f>
        <v>46179</v>
      </c>
      <c r="L1918" t="str">
        <f>VLOOKUP(C1918,Products!$A$2:$D$13,2,FALSE)</f>
        <v>Chair</v>
      </c>
      <c r="M1918" t="str">
        <f t="shared" si="89"/>
        <v>2026-06</v>
      </c>
    </row>
    <row r="1919" spans="1:13">
      <c r="A1919">
        <v>1918</v>
      </c>
      <c r="B1919">
        <v>1939</v>
      </c>
      <c r="C1919">
        <v>5</v>
      </c>
      <c r="D1919">
        <v>4</v>
      </c>
      <c r="E1919">
        <v>180</v>
      </c>
      <c r="F1919">
        <f t="shared" si="87"/>
        <v>720</v>
      </c>
      <c r="G1919" t="str">
        <f>VLOOKUP(B1919,Orders!$A$2:$D$1201,4,FALSE)</f>
        <v>Delivered</v>
      </c>
      <c r="H1919">
        <f t="shared" si="88"/>
        <v>720</v>
      </c>
      <c r="I1919" s="12">
        <f>VLOOKUP(B1919,Orders!$A$2:$D$1201,3,FALSE)</f>
        <v>46179</v>
      </c>
      <c r="L1919" t="str">
        <f>VLOOKUP(C1919,Products!$A$2:$D$13,2,FALSE)</f>
        <v>Desk</v>
      </c>
      <c r="M1919" t="str">
        <f t="shared" si="89"/>
        <v>2026-06</v>
      </c>
    </row>
    <row r="1920" spans="1:13">
      <c r="A1920">
        <v>1919</v>
      </c>
      <c r="B1920">
        <v>1939</v>
      </c>
      <c r="C1920">
        <v>2</v>
      </c>
      <c r="D1920">
        <v>2</v>
      </c>
      <c r="E1920">
        <v>220</v>
      </c>
      <c r="F1920">
        <f t="shared" si="87"/>
        <v>440</v>
      </c>
      <c r="G1920" t="str">
        <f>VLOOKUP(B1920,Orders!$A$2:$D$1201,4,FALSE)</f>
        <v>Delivered</v>
      </c>
      <c r="H1920">
        <f t="shared" si="88"/>
        <v>440</v>
      </c>
      <c r="I1920" s="12">
        <f>VLOOKUP(B1920,Orders!$A$2:$D$1201,3,FALSE)</f>
        <v>46179</v>
      </c>
      <c r="L1920" t="str">
        <f>VLOOKUP(C1920,Products!$A$2:$D$13,2,FALSE)</f>
        <v>Monitor</v>
      </c>
      <c r="M1920" t="str">
        <f t="shared" si="89"/>
        <v>2026-06</v>
      </c>
    </row>
    <row r="1921" spans="1:13">
      <c r="A1921">
        <v>1920</v>
      </c>
      <c r="B1921">
        <v>1940</v>
      </c>
      <c r="C1921">
        <v>5</v>
      </c>
      <c r="D1921">
        <v>3</v>
      </c>
      <c r="E1921">
        <v>180</v>
      </c>
      <c r="F1921">
        <f t="shared" si="87"/>
        <v>540</v>
      </c>
      <c r="G1921" t="str">
        <f>VLOOKUP(B1921,Orders!$A$2:$D$1201,4,FALSE)</f>
        <v>Delivered</v>
      </c>
      <c r="H1921">
        <f t="shared" si="88"/>
        <v>540</v>
      </c>
      <c r="I1921" s="12">
        <f>VLOOKUP(B1921,Orders!$A$2:$D$1201,3,FALSE)</f>
        <v>46165</v>
      </c>
      <c r="L1921" t="str">
        <f>VLOOKUP(C1921,Products!$A$2:$D$13,2,FALSE)</f>
        <v>Desk</v>
      </c>
      <c r="M1921" t="str">
        <f t="shared" si="89"/>
        <v>2026-05</v>
      </c>
    </row>
    <row r="1922" spans="1:13">
      <c r="A1922">
        <v>1921</v>
      </c>
      <c r="B1922">
        <v>1940</v>
      </c>
      <c r="C1922">
        <v>2</v>
      </c>
      <c r="D1922">
        <v>1</v>
      </c>
      <c r="E1922">
        <v>220</v>
      </c>
      <c r="F1922">
        <f t="shared" si="87"/>
        <v>220</v>
      </c>
      <c r="G1922" t="str">
        <f>VLOOKUP(B1922,Orders!$A$2:$D$1201,4,FALSE)</f>
        <v>Delivered</v>
      </c>
      <c r="H1922">
        <f t="shared" si="88"/>
        <v>220</v>
      </c>
      <c r="I1922" s="12">
        <f>VLOOKUP(B1922,Orders!$A$2:$D$1201,3,FALSE)</f>
        <v>46165</v>
      </c>
      <c r="L1922" t="str">
        <f>VLOOKUP(C1922,Products!$A$2:$D$13,2,FALSE)</f>
        <v>Monitor</v>
      </c>
      <c r="M1922" t="str">
        <f t="shared" si="89"/>
        <v>2026-05</v>
      </c>
    </row>
    <row r="1923" spans="1:13">
      <c r="A1923">
        <v>1922</v>
      </c>
      <c r="B1923">
        <v>1941</v>
      </c>
      <c r="C1923">
        <v>6</v>
      </c>
      <c r="D1923">
        <v>1</v>
      </c>
      <c r="E1923">
        <v>140</v>
      </c>
      <c r="F1923">
        <f t="shared" ref="F1923:F1986" si="90">D1923*E1923</f>
        <v>140</v>
      </c>
      <c r="G1923" t="str">
        <f>VLOOKUP(B1923,Orders!$A$2:$D$1201,4,FALSE)</f>
        <v>Delivered</v>
      </c>
      <c r="H1923">
        <f t="shared" ref="H1923:H1986" si="91">IF(G1923="Cancelled",0,F1923)</f>
        <v>140</v>
      </c>
      <c r="I1923" s="12">
        <f>VLOOKUP(B1923,Orders!$A$2:$D$1201,3,FALSE)</f>
        <v>46036</v>
      </c>
      <c r="L1923" t="str">
        <f>VLOOKUP(C1923,Products!$A$2:$D$13,2,FALSE)</f>
        <v>Chair</v>
      </c>
      <c r="M1923" t="str">
        <f t="shared" ref="M1923:M1986" si="92">TEXT(I1923,"yyyy-mm")</f>
        <v>2026-01</v>
      </c>
    </row>
    <row r="1924" spans="1:13">
      <c r="A1924">
        <v>1923</v>
      </c>
      <c r="B1924">
        <v>1941</v>
      </c>
      <c r="C1924">
        <v>11</v>
      </c>
      <c r="D1924">
        <v>1</v>
      </c>
      <c r="E1924">
        <v>48</v>
      </c>
      <c r="F1924">
        <f t="shared" si="90"/>
        <v>48</v>
      </c>
      <c r="G1924" t="str">
        <f>VLOOKUP(B1924,Orders!$A$2:$D$1201,4,FALSE)</f>
        <v>Delivered</v>
      </c>
      <c r="H1924">
        <f t="shared" si="91"/>
        <v>48</v>
      </c>
      <c r="I1924" s="12">
        <f>VLOOKUP(B1924,Orders!$A$2:$D$1201,3,FALSE)</f>
        <v>46036</v>
      </c>
      <c r="L1924" t="str">
        <f>VLOOKUP(C1924,Products!$A$2:$D$13,2,FALSE)</f>
        <v>Backpack</v>
      </c>
      <c r="M1924" t="str">
        <f t="shared" si="92"/>
        <v>2026-01</v>
      </c>
    </row>
    <row r="1925" spans="1:13">
      <c r="A1925">
        <v>1924</v>
      </c>
      <c r="B1925">
        <v>1942</v>
      </c>
      <c r="C1925">
        <v>2</v>
      </c>
      <c r="D1925">
        <v>3</v>
      </c>
      <c r="E1925">
        <v>220</v>
      </c>
      <c r="F1925">
        <f t="shared" si="90"/>
        <v>660</v>
      </c>
      <c r="G1925" t="str">
        <f>VLOOKUP(B1925,Orders!$A$2:$D$1201,4,FALSE)</f>
        <v>Shipped</v>
      </c>
      <c r="H1925">
        <f t="shared" si="91"/>
        <v>660</v>
      </c>
      <c r="I1925" s="12">
        <f>VLOOKUP(B1925,Orders!$A$2:$D$1201,3,FALSE)</f>
        <v>46193</v>
      </c>
      <c r="L1925" t="str">
        <f>VLOOKUP(C1925,Products!$A$2:$D$13,2,FALSE)</f>
        <v>Monitor</v>
      </c>
      <c r="M1925" t="str">
        <f t="shared" si="92"/>
        <v>2026-06</v>
      </c>
    </row>
    <row r="1926" spans="1:13">
      <c r="A1926">
        <v>1925</v>
      </c>
      <c r="B1926">
        <v>1943</v>
      </c>
      <c r="C1926">
        <v>4</v>
      </c>
      <c r="D1926">
        <v>4</v>
      </c>
      <c r="E1926">
        <v>25</v>
      </c>
      <c r="F1926">
        <f t="shared" si="90"/>
        <v>100</v>
      </c>
      <c r="G1926" t="str">
        <f>VLOOKUP(B1926,Orders!$A$2:$D$1201,4,FALSE)</f>
        <v>Delivered</v>
      </c>
      <c r="H1926">
        <f t="shared" si="91"/>
        <v>100</v>
      </c>
      <c r="I1926" s="12">
        <f>VLOOKUP(B1926,Orders!$A$2:$D$1201,3,FALSE)</f>
        <v>46073</v>
      </c>
      <c r="L1926" t="str">
        <f>VLOOKUP(C1926,Products!$A$2:$D$13,2,FALSE)</f>
        <v>Mouse</v>
      </c>
      <c r="M1926" t="str">
        <f t="shared" si="92"/>
        <v>2026-02</v>
      </c>
    </row>
    <row r="1927" spans="1:13">
      <c r="A1927">
        <v>1926</v>
      </c>
      <c r="B1927">
        <v>1943</v>
      </c>
      <c r="C1927">
        <v>1</v>
      </c>
      <c r="D1927">
        <v>3</v>
      </c>
      <c r="E1927">
        <v>750</v>
      </c>
      <c r="F1927">
        <f t="shared" si="90"/>
        <v>2250</v>
      </c>
      <c r="G1927" t="str">
        <f>VLOOKUP(B1927,Orders!$A$2:$D$1201,4,FALSE)</f>
        <v>Delivered</v>
      </c>
      <c r="H1927">
        <f t="shared" si="91"/>
        <v>2250</v>
      </c>
      <c r="I1927" s="12">
        <f>VLOOKUP(B1927,Orders!$A$2:$D$1201,3,FALSE)</f>
        <v>46073</v>
      </c>
      <c r="L1927" t="str">
        <f>VLOOKUP(C1927,Products!$A$2:$D$13,2,FALSE)</f>
        <v>Laptop</v>
      </c>
      <c r="M1927" t="str">
        <f t="shared" si="92"/>
        <v>2026-02</v>
      </c>
    </row>
    <row r="1928" spans="1:13">
      <c r="A1928">
        <v>1927</v>
      </c>
      <c r="B1928">
        <v>1944</v>
      </c>
      <c r="C1928">
        <v>5</v>
      </c>
      <c r="D1928">
        <v>4</v>
      </c>
      <c r="E1928">
        <v>180</v>
      </c>
      <c r="F1928">
        <f t="shared" si="90"/>
        <v>720</v>
      </c>
      <c r="G1928" t="str">
        <f>VLOOKUP(B1928,Orders!$A$2:$D$1201,4,FALSE)</f>
        <v>Cancelled</v>
      </c>
      <c r="H1928">
        <f t="shared" si="91"/>
        <v>0</v>
      </c>
      <c r="I1928" s="12">
        <f>VLOOKUP(B1928,Orders!$A$2:$D$1201,3,FALSE)</f>
        <v>46048</v>
      </c>
      <c r="L1928" t="str">
        <f>VLOOKUP(C1928,Products!$A$2:$D$13,2,FALSE)</f>
        <v>Desk</v>
      </c>
      <c r="M1928" t="str">
        <f t="shared" si="92"/>
        <v>2026-01</v>
      </c>
    </row>
    <row r="1929" spans="1:13">
      <c r="A1929">
        <v>1928</v>
      </c>
      <c r="B1929">
        <v>1944</v>
      </c>
      <c r="C1929">
        <v>3</v>
      </c>
      <c r="D1929">
        <v>3</v>
      </c>
      <c r="E1929">
        <v>45</v>
      </c>
      <c r="F1929">
        <f t="shared" si="90"/>
        <v>135</v>
      </c>
      <c r="G1929" t="str">
        <f>VLOOKUP(B1929,Orders!$A$2:$D$1201,4,FALSE)</f>
        <v>Cancelled</v>
      </c>
      <c r="H1929">
        <f t="shared" si="91"/>
        <v>0</v>
      </c>
      <c r="I1929" s="12">
        <f>VLOOKUP(B1929,Orders!$A$2:$D$1201,3,FALSE)</f>
        <v>46048</v>
      </c>
      <c r="L1929" t="str">
        <f>VLOOKUP(C1929,Products!$A$2:$D$13,2,FALSE)</f>
        <v>Keyboard</v>
      </c>
      <c r="M1929" t="str">
        <f t="shared" si="92"/>
        <v>2026-01</v>
      </c>
    </row>
    <row r="1930" spans="1:13">
      <c r="A1930">
        <v>1929</v>
      </c>
      <c r="B1930">
        <v>1944</v>
      </c>
      <c r="C1930">
        <v>10</v>
      </c>
      <c r="D1930">
        <v>2</v>
      </c>
      <c r="E1930">
        <v>8</v>
      </c>
      <c r="F1930">
        <f t="shared" si="90"/>
        <v>16</v>
      </c>
      <c r="G1930" t="str">
        <f>VLOOKUP(B1930,Orders!$A$2:$D$1201,4,FALSE)</f>
        <v>Cancelled</v>
      </c>
      <c r="H1930">
        <f t="shared" si="91"/>
        <v>0</v>
      </c>
      <c r="I1930" s="12">
        <f>VLOOKUP(B1930,Orders!$A$2:$D$1201,3,FALSE)</f>
        <v>46048</v>
      </c>
      <c r="L1930" t="str">
        <f>VLOOKUP(C1930,Products!$A$2:$D$13,2,FALSE)</f>
        <v>Notebook</v>
      </c>
      <c r="M1930" t="str">
        <f t="shared" si="92"/>
        <v>2026-01</v>
      </c>
    </row>
    <row r="1931" spans="1:13">
      <c r="A1931">
        <v>1930</v>
      </c>
      <c r="B1931">
        <v>1945</v>
      </c>
      <c r="C1931">
        <v>7</v>
      </c>
      <c r="D1931">
        <v>2</v>
      </c>
      <c r="E1931">
        <v>65</v>
      </c>
      <c r="F1931">
        <f t="shared" si="90"/>
        <v>130</v>
      </c>
      <c r="G1931" t="str">
        <f>VLOOKUP(B1931,Orders!$A$2:$D$1201,4,FALSE)</f>
        <v>Delivered</v>
      </c>
      <c r="H1931">
        <f t="shared" si="91"/>
        <v>130</v>
      </c>
      <c r="I1931" s="12">
        <f>VLOOKUP(B1931,Orders!$A$2:$D$1201,3,FALSE)</f>
        <v>46197</v>
      </c>
      <c r="L1931" t="str">
        <f>VLOOKUP(C1931,Products!$A$2:$D$13,2,FALSE)</f>
        <v>Headphones</v>
      </c>
      <c r="M1931" t="str">
        <f t="shared" si="92"/>
        <v>2026-06</v>
      </c>
    </row>
    <row r="1932" spans="1:13">
      <c r="A1932">
        <v>1931</v>
      </c>
      <c r="B1932">
        <v>1946</v>
      </c>
      <c r="C1932">
        <v>2</v>
      </c>
      <c r="D1932">
        <v>4</v>
      </c>
      <c r="E1932">
        <v>220</v>
      </c>
      <c r="F1932">
        <f t="shared" si="90"/>
        <v>880</v>
      </c>
      <c r="G1932" t="str">
        <f>VLOOKUP(B1932,Orders!$A$2:$D$1201,4,FALSE)</f>
        <v>Delivered</v>
      </c>
      <c r="H1932">
        <f t="shared" si="91"/>
        <v>880</v>
      </c>
      <c r="I1932" s="12">
        <f>VLOOKUP(B1932,Orders!$A$2:$D$1201,3,FALSE)</f>
        <v>46141</v>
      </c>
      <c r="L1932" t="str">
        <f>VLOOKUP(C1932,Products!$A$2:$D$13,2,FALSE)</f>
        <v>Monitor</v>
      </c>
      <c r="M1932" t="str">
        <f t="shared" si="92"/>
        <v>2026-04</v>
      </c>
    </row>
    <row r="1933" spans="1:13">
      <c r="A1933">
        <v>1932</v>
      </c>
      <c r="B1933">
        <v>1946</v>
      </c>
      <c r="C1933">
        <v>3</v>
      </c>
      <c r="D1933">
        <v>3</v>
      </c>
      <c r="E1933">
        <v>45</v>
      </c>
      <c r="F1933">
        <f t="shared" si="90"/>
        <v>135</v>
      </c>
      <c r="G1933" t="str">
        <f>VLOOKUP(B1933,Orders!$A$2:$D$1201,4,FALSE)</f>
        <v>Delivered</v>
      </c>
      <c r="H1933">
        <f t="shared" si="91"/>
        <v>135</v>
      </c>
      <c r="I1933" s="12">
        <f>VLOOKUP(B1933,Orders!$A$2:$D$1201,3,FALSE)</f>
        <v>46141</v>
      </c>
      <c r="L1933" t="str">
        <f>VLOOKUP(C1933,Products!$A$2:$D$13,2,FALSE)</f>
        <v>Keyboard</v>
      </c>
      <c r="M1933" t="str">
        <f t="shared" si="92"/>
        <v>2026-04</v>
      </c>
    </row>
    <row r="1934" spans="1:13">
      <c r="A1934">
        <v>1933</v>
      </c>
      <c r="B1934">
        <v>1947</v>
      </c>
      <c r="C1934">
        <v>1</v>
      </c>
      <c r="D1934">
        <v>1</v>
      </c>
      <c r="E1934">
        <v>750</v>
      </c>
      <c r="F1934">
        <f t="shared" si="90"/>
        <v>750</v>
      </c>
      <c r="G1934" t="str">
        <f>VLOOKUP(B1934,Orders!$A$2:$D$1201,4,FALSE)</f>
        <v>Delivered</v>
      </c>
      <c r="H1934">
        <f t="shared" si="91"/>
        <v>750</v>
      </c>
      <c r="I1934" s="12">
        <f>VLOOKUP(B1934,Orders!$A$2:$D$1201,3,FALSE)</f>
        <v>46132</v>
      </c>
      <c r="L1934" t="str">
        <f>VLOOKUP(C1934,Products!$A$2:$D$13,2,FALSE)</f>
        <v>Laptop</v>
      </c>
      <c r="M1934" t="str">
        <f t="shared" si="92"/>
        <v>2026-04</v>
      </c>
    </row>
    <row r="1935" spans="1:13">
      <c r="A1935">
        <v>1934</v>
      </c>
      <c r="B1935">
        <v>1947</v>
      </c>
      <c r="C1935">
        <v>9</v>
      </c>
      <c r="D1935">
        <v>4</v>
      </c>
      <c r="E1935">
        <v>30</v>
      </c>
      <c r="F1935">
        <f t="shared" si="90"/>
        <v>120</v>
      </c>
      <c r="G1935" t="str">
        <f>VLOOKUP(B1935,Orders!$A$2:$D$1201,4,FALSE)</f>
        <v>Delivered</v>
      </c>
      <c r="H1935">
        <f t="shared" si="91"/>
        <v>120</v>
      </c>
      <c r="I1935" s="12">
        <f>VLOOKUP(B1935,Orders!$A$2:$D$1201,3,FALSE)</f>
        <v>46132</v>
      </c>
      <c r="L1935" t="str">
        <f>VLOOKUP(C1935,Products!$A$2:$D$13,2,FALSE)</f>
        <v>Lamp</v>
      </c>
      <c r="M1935" t="str">
        <f t="shared" si="92"/>
        <v>2026-04</v>
      </c>
    </row>
    <row r="1936" spans="1:13">
      <c r="A1936">
        <v>1935</v>
      </c>
      <c r="B1936">
        <v>1948</v>
      </c>
      <c r="C1936">
        <v>9</v>
      </c>
      <c r="D1936">
        <v>1</v>
      </c>
      <c r="E1936">
        <v>30</v>
      </c>
      <c r="F1936">
        <f t="shared" si="90"/>
        <v>30</v>
      </c>
      <c r="G1936" t="str">
        <f>VLOOKUP(B1936,Orders!$A$2:$D$1201,4,FALSE)</f>
        <v>Delivered</v>
      </c>
      <c r="H1936">
        <f t="shared" si="91"/>
        <v>30</v>
      </c>
      <c r="I1936" s="12">
        <f>VLOOKUP(B1936,Orders!$A$2:$D$1201,3,FALSE)</f>
        <v>46171</v>
      </c>
      <c r="L1936" t="str">
        <f>VLOOKUP(C1936,Products!$A$2:$D$13,2,FALSE)</f>
        <v>Lamp</v>
      </c>
      <c r="M1936" t="str">
        <f t="shared" si="92"/>
        <v>2026-05</v>
      </c>
    </row>
    <row r="1937" spans="1:13">
      <c r="A1937">
        <v>1936</v>
      </c>
      <c r="B1937">
        <v>1948</v>
      </c>
      <c r="C1937">
        <v>10</v>
      </c>
      <c r="D1937">
        <v>4</v>
      </c>
      <c r="E1937">
        <v>8</v>
      </c>
      <c r="F1937">
        <f t="shared" si="90"/>
        <v>32</v>
      </c>
      <c r="G1937" t="str">
        <f>VLOOKUP(B1937,Orders!$A$2:$D$1201,4,FALSE)</f>
        <v>Delivered</v>
      </c>
      <c r="H1937">
        <f t="shared" si="91"/>
        <v>32</v>
      </c>
      <c r="I1937" s="12">
        <f>VLOOKUP(B1937,Orders!$A$2:$D$1201,3,FALSE)</f>
        <v>46171</v>
      </c>
      <c r="L1937" t="str">
        <f>VLOOKUP(C1937,Products!$A$2:$D$13,2,FALSE)</f>
        <v>Notebook</v>
      </c>
      <c r="M1937" t="str">
        <f t="shared" si="92"/>
        <v>2026-05</v>
      </c>
    </row>
    <row r="1938" spans="1:13">
      <c r="A1938">
        <v>1937</v>
      </c>
      <c r="B1938">
        <v>1948</v>
      </c>
      <c r="C1938">
        <v>5</v>
      </c>
      <c r="D1938">
        <v>2</v>
      </c>
      <c r="E1938">
        <v>180</v>
      </c>
      <c r="F1938">
        <f t="shared" si="90"/>
        <v>360</v>
      </c>
      <c r="G1938" t="str">
        <f>VLOOKUP(B1938,Orders!$A$2:$D$1201,4,FALSE)</f>
        <v>Delivered</v>
      </c>
      <c r="H1938">
        <f t="shared" si="91"/>
        <v>360</v>
      </c>
      <c r="I1938" s="12">
        <f>VLOOKUP(B1938,Orders!$A$2:$D$1201,3,FALSE)</f>
        <v>46171</v>
      </c>
      <c r="L1938" t="str">
        <f>VLOOKUP(C1938,Products!$A$2:$D$13,2,FALSE)</f>
        <v>Desk</v>
      </c>
      <c r="M1938" t="str">
        <f t="shared" si="92"/>
        <v>2026-05</v>
      </c>
    </row>
    <row r="1939" spans="1:13">
      <c r="A1939">
        <v>1938</v>
      </c>
      <c r="B1939">
        <v>1949</v>
      </c>
      <c r="C1939">
        <v>5</v>
      </c>
      <c r="D1939">
        <v>1</v>
      </c>
      <c r="E1939">
        <v>180</v>
      </c>
      <c r="F1939">
        <f t="shared" si="90"/>
        <v>180</v>
      </c>
      <c r="G1939" t="str">
        <f>VLOOKUP(B1939,Orders!$A$2:$D$1201,4,FALSE)</f>
        <v>Delivered</v>
      </c>
      <c r="H1939">
        <f t="shared" si="91"/>
        <v>180</v>
      </c>
      <c r="I1939" s="12">
        <f>VLOOKUP(B1939,Orders!$A$2:$D$1201,3,FALSE)</f>
        <v>46140</v>
      </c>
      <c r="L1939" t="str">
        <f>VLOOKUP(C1939,Products!$A$2:$D$13,2,FALSE)</f>
        <v>Desk</v>
      </c>
      <c r="M1939" t="str">
        <f t="shared" si="92"/>
        <v>2026-04</v>
      </c>
    </row>
    <row r="1940" spans="1:13">
      <c r="A1940">
        <v>1939</v>
      </c>
      <c r="B1940">
        <v>1950</v>
      </c>
      <c r="C1940">
        <v>12</v>
      </c>
      <c r="D1940">
        <v>1</v>
      </c>
      <c r="E1940">
        <v>22</v>
      </c>
      <c r="F1940">
        <f t="shared" si="90"/>
        <v>22</v>
      </c>
      <c r="G1940" t="str">
        <f>VLOOKUP(B1940,Orders!$A$2:$D$1201,4,FALSE)</f>
        <v>Delivered</v>
      </c>
      <c r="H1940">
        <f t="shared" si="91"/>
        <v>22</v>
      </c>
      <c r="I1940" s="12">
        <f>VLOOKUP(B1940,Orders!$A$2:$D$1201,3,FALSE)</f>
        <v>46199</v>
      </c>
      <c r="L1940" t="str">
        <f>VLOOKUP(C1940,Products!$A$2:$D$13,2,FALSE)</f>
        <v>Storage Box</v>
      </c>
      <c r="M1940" t="str">
        <f t="shared" si="92"/>
        <v>2026-06</v>
      </c>
    </row>
    <row r="1941" spans="1:13">
      <c r="A1941">
        <v>1940</v>
      </c>
      <c r="B1941">
        <v>1951</v>
      </c>
      <c r="C1941">
        <v>11</v>
      </c>
      <c r="D1941">
        <v>1</v>
      </c>
      <c r="E1941">
        <v>48</v>
      </c>
      <c r="F1941">
        <f t="shared" si="90"/>
        <v>48</v>
      </c>
      <c r="G1941" t="str">
        <f>VLOOKUP(B1941,Orders!$A$2:$D$1201,4,FALSE)</f>
        <v>Delivered</v>
      </c>
      <c r="H1941">
        <f t="shared" si="91"/>
        <v>48</v>
      </c>
      <c r="I1941" s="12">
        <f>VLOOKUP(B1941,Orders!$A$2:$D$1201,3,FALSE)</f>
        <v>46057</v>
      </c>
      <c r="L1941" t="str">
        <f>VLOOKUP(C1941,Products!$A$2:$D$13,2,FALSE)</f>
        <v>Backpack</v>
      </c>
      <c r="M1941" t="str">
        <f t="shared" si="92"/>
        <v>2026-02</v>
      </c>
    </row>
    <row r="1942" spans="1:13">
      <c r="A1942">
        <v>1941</v>
      </c>
      <c r="B1942">
        <v>1951</v>
      </c>
      <c r="C1942">
        <v>5</v>
      </c>
      <c r="D1942">
        <v>4</v>
      </c>
      <c r="E1942">
        <v>180</v>
      </c>
      <c r="F1942">
        <f t="shared" si="90"/>
        <v>720</v>
      </c>
      <c r="G1942" t="str">
        <f>VLOOKUP(B1942,Orders!$A$2:$D$1201,4,FALSE)</f>
        <v>Delivered</v>
      </c>
      <c r="H1942">
        <f t="shared" si="91"/>
        <v>720</v>
      </c>
      <c r="I1942" s="12">
        <f>VLOOKUP(B1942,Orders!$A$2:$D$1201,3,FALSE)</f>
        <v>46057</v>
      </c>
      <c r="L1942" t="str">
        <f>VLOOKUP(C1942,Products!$A$2:$D$13,2,FALSE)</f>
        <v>Desk</v>
      </c>
      <c r="M1942" t="str">
        <f t="shared" si="92"/>
        <v>2026-02</v>
      </c>
    </row>
    <row r="1943" spans="1:13">
      <c r="A1943">
        <v>1942</v>
      </c>
      <c r="B1943">
        <v>1952</v>
      </c>
      <c r="C1943">
        <v>4</v>
      </c>
      <c r="D1943">
        <v>2</v>
      </c>
      <c r="E1943">
        <v>25</v>
      </c>
      <c r="F1943">
        <f t="shared" si="90"/>
        <v>50</v>
      </c>
      <c r="G1943" t="str">
        <f>VLOOKUP(B1943,Orders!$A$2:$D$1201,4,FALSE)</f>
        <v>Cancelled</v>
      </c>
      <c r="H1943">
        <f t="shared" si="91"/>
        <v>0</v>
      </c>
      <c r="I1943" s="12">
        <f>VLOOKUP(B1943,Orders!$A$2:$D$1201,3,FALSE)</f>
        <v>46177</v>
      </c>
      <c r="L1943" t="str">
        <f>VLOOKUP(C1943,Products!$A$2:$D$13,2,FALSE)</f>
        <v>Mouse</v>
      </c>
      <c r="M1943" t="str">
        <f t="shared" si="92"/>
        <v>2026-06</v>
      </c>
    </row>
    <row r="1944" spans="1:13">
      <c r="A1944">
        <v>1943</v>
      </c>
      <c r="B1944">
        <v>1953</v>
      </c>
      <c r="C1944">
        <v>7</v>
      </c>
      <c r="D1944">
        <v>1</v>
      </c>
      <c r="E1944">
        <v>65</v>
      </c>
      <c r="F1944">
        <f t="shared" si="90"/>
        <v>65</v>
      </c>
      <c r="G1944" t="str">
        <f>VLOOKUP(B1944,Orders!$A$2:$D$1201,4,FALSE)</f>
        <v>Delivered</v>
      </c>
      <c r="H1944">
        <f t="shared" si="91"/>
        <v>65</v>
      </c>
      <c r="I1944" s="12">
        <f>VLOOKUP(B1944,Orders!$A$2:$D$1201,3,FALSE)</f>
        <v>46049</v>
      </c>
      <c r="L1944" t="str">
        <f>VLOOKUP(C1944,Products!$A$2:$D$13,2,FALSE)</f>
        <v>Headphones</v>
      </c>
      <c r="M1944" t="str">
        <f t="shared" si="92"/>
        <v>2026-01</v>
      </c>
    </row>
    <row r="1945" spans="1:13">
      <c r="A1945">
        <v>1944</v>
      </c>
      <c r="B1945">
        <v>1953</v>
      </c>
      <c r="C1945">
        <v>1</v>
      </c>
      <c r="D1945">
        <v>3</v>
      </c>
      <c r="E1945">
        <v>750</v>
      </c>
      <c r="F1945">
        <f t="shared" si="90"/>
        <v>2250</v>
      </c>
      <c r="G1945" t="str">
        <f>VLOOKUP(B1945,Orders!$A$2:$D$1201,4,FALSE)</f>
        <v>Delivered</v>
      </c>
      <c r="H1945">
        <f t="shared" si="91"/>
        <v>2250</v>
      </c>
      <c r="I1945" s="12">
        <f>VLOOKUP(B1945,Orders!$A$2:$D$1201,3,FALSE)</f>
        <v>46049</v>
      </c>
      <c r="L1945" t="str">
        <f>VLOOKUP(C1945,Products!$A$2:$D$13,2,FALSE)</f>
        <v>Laptop</v>
      </c>
      <c r="M1945" t="str">
        <f t="shared" si="92"/>
        <v>2026-01</v>
      </c>
    </row>
    <row r="1946" spans="1:13">
      <c r="A1946">
        <v>1945</v>
      </c>
      <c r="B1946">
        <v>1954</v>
      </c>
      <c r="C1946">
        <v>10</v>
      </c>
      <c r="D1946">
        <v>2</v>
      </c>
      <c r="E1946">
        <v>8</v>
      </c>
      <c r="F1946">
        <f t="shared" si="90"/>
        <v>16</v>
      </c>
      <c r="G1946" t="str">
        <f>VLOOKUP(B1946,Orders!$A$2:$D$1201,4,FALSE)</f>
        <v>Delivered</v>
      </c>
      <c r="H1946">
        <f t="shared" si="91"/>
        <v>16</v>
      </c>
      <c r="I1946" s="12">
        <f>VLOOKUP(B1946,Orders!$A$2:$D$1201,3,FALSE)</f>
        <v>46089</v>
      </c>
      <c r="L1946" t="str">
        <f>VLOOKUP(C1946,Products!$A$2:$D$13,2,FALSE)</f>
        <v>Notebook</v>
      </c>
      <c r="M1946" t="str">
        <f t="shared" si="92"/>
        <v>2026-03</v>
      </c>
    </row>
    <row r="1947" spans="1:13">
      <c r="A1947">
        <v>1946</v>
      </c>
      <c r="B1947">
        <v>1954</v>
      </c>
      <c r="C1947">
        <v>2</v>
      </c>
      <c r="D1947">
        <v>1</v>
      </c>
      <c r="E1947">
        <v>220</v>
      </c>
      <c r="F1947">
        <f t="shared" si="90"/>
        <v>220</v>
      </c>
      <c r="G1947" t="str">
        <f>VLOOKUP(B1947,Orders!$A$2:$D$1201,4,FALSE)</f>
        <v>Delivered</v>
      </c>
      <c r="H1947">
        <f t="shared" si="91"/>
        <v>220</v>
      </c>
      <c r="I1947" s="12">
        <f>VLOOKUP(B1947,Orders!$A$2:$D$1201,3,FALSE)</f>
        <v>46089</v>
      </c>
      <c r="L1947" t="str">
        <f>VLOOKUP(C1947,Products!$A$2:$D$13,2,FALSE)</f>
        <v>Monitor</v>
      </c>
      <c r="M1947" t="str">
        <f t="shared" si="92"/>
        <v>2026-03</v>
      </c>
    </row>
    <row r="1948" spans="1:13">
      <c r="A1948">
        <v>1947</v>
      </c>
      <c r="B1948">
        <v>1954</v>
      </c>
      <c r="C1948">
        <v>7</v>
      </c>
      <c r="D1948">
        <v>2</v>
      </c>
      <c r="E1948">
        <v>65</v>
      </c>
      <c r="F1948">
        <f t="shared" si="90"/>
        <v>130</v>
      </c>
      <c r="G1948" t="str">
        <f>VLOOKUP(B1948,Orders!$A$2:$D$1201,4,FALSE)</f>
        <v>Delivered</v>
      </c>
      <c r="H1948">
        <f t="shared" si="91"/>
        <v>130</v>
      </c>
      <c r="I1948" s="12">
        <f>VLOOKUP(B1948,Orders!$A$2:$D$1201,3,FALSE)</f>
        <v>46089</v>
      </c>
      <c r="L1948" t="str">
        <f>VLOOKUP(C1948,Products!$A$2:$D$13,2,FALSE)</f>
        <v>Headphones</v>
      </c>
      <c r="M1948" t="str">
        <f t="shared" si="92"/>
        <v>2026-03</v>
      </c>
    </row>
    <row r="1949" spans="1:13">
      <c r="A1949">
        <v>1948</v>
      </c>
      <c r="B1949">
        <v>1955</v>
      </c>
      <c r="C1949">
        <v>5</v>
      </c>
      <c r="D1949">
        <v>1</v>
      </c>
      <c r="E1949">
        <v>180</v>
      </c>
      <c r="F1949">
        <f t="shared" si="90"/>
        <v>180</v>
      </c>
      <c r="G1949" t="str">
        <f>VLOOKUP(B1949,Orders!$A$2:$D$1201,4,FALSE)</f>
        <v>Delivered</v>
      </c>
      <c r="H1949">
        <f t="shared" si="91"/>
        <v>180</v>
      </c>
      <c r="I1949" s="12">
        <f>VLOOKUP(B1949,Orders!$A$2:$D$1201,3,FALSE)</f>
        <v>46202</v>
      </c>
      <c r="L1949" t="str">
        <f>VLOOKUP(C1949,Products!$A$2:$D$13,2,FALSE)</f>
        <v>Desk</v>
      </c>
      <c r="M1949" t="str">
        <f t="shared" si="92"/>
        <v>2026-06</v>
      </c>
    </row>
    <row r="1950" spans="1:13">
      <c r="A1950">
        <v>1949</v>
      </c>
      <c r="B1950">
        <v>1955</v>
      </c>
      <c r="C1950">
        <v>12</v>
      </c>
      <c r="D1950">
        <v>4</v>
      </c>
      <c r="E1950">
        <v>22</v>
      </c>
      <c r="F1950">
        <f t="shared" si="90"/>
        <v>88</v>
      </c>
      <c r="G1950" t="str">
        <f>VLOOKUP(B1950,Orders!$A$2:$D$1201,4,FALSE)</f>
        <v>Delivered</v>
      </c>
      <c r="H1950">
        <f t="shared" si="91"/>
        <v>88</v>
      </c>
      <c r="I1950" s="12">
        <f>VLOOKUP(B1950,Orders!$A$2:$D$1201,3,FALSE)</f>
        <v>46202</v>
      </c>
      <c r="L1950" t="str">
        <f>VLOOKUP(C1950,Products!$A$2:$D$13,2,FALSE)</f>
        <v>Storage Box</v>
      </c>
      <c r="M1950" t="str">
        <f t="shared" si="92"/>
        <v>2026-06</v>
      </c>
    </row>
    <row r="1951" spans="1:13">
      <c r="A1951">
        <v>1950</v>
      </c>
      <c r="B1951">
        <v>1956</v>
      </c>
      <c r="C1951">
        <v>1</v>
      </c>
      <c r="D1951">
        <v>3</v>
      </c>
      <c r="E1951">
        <v>750</v>
      </c>
      <c r="F1951">
        <f t="shared" si="90"/>
        <v>2250</v>
      </c>
      <c r="G1951" t="str">
        <f>VLOOKUP(B1951,Orders!$A$2:$D$1201,4,FALSE)</f>
        <v>Delivered</v>
      </c>
      <c r="H1951">
        <f t="shared" si="91"/>
        <v>2250</v>
      </c>
      <c r="I1951" s="12">
        <f>VLOOKUP(B1951,Orders!$A$2:$D$1201,3,FALSE)</f>
        <v>46141</v>
      </c>
      <c r="L1951" t="str">
        <f>VLOOKUP(C1951,Products!$A$2:$D$13,2,FALSE)</f>
        <v>Laptop</v>
      </c>
      <c r="M1951" t="str">
        <f t="shared" si="92"/>
        <v>2026-04</v>
      </c>
    </row>
    <row r="1952" spans="1:13">
      <c r="A1952">
        <v>1951</v>
      </c>
      <c r="B1952">
        <v>1957</v>
      </c>
      <c r="C1952">
        <v>6</v>
      </c>
      <c r="D1952">
        <v>2</v>
      </c>
      <c r="E1952">
        <v>140</v>
      </c>
      <c r="F1952">
        <f t="shared" si="90"/>
        <v>280</v>
      </c>
      <c r="G1952" t="str">
        <f>VLOOKUP(B1952,Orders!$A$2:$D$1201,4,FALSE)</f>
        <v>Delivered</v>
      </c>
      <c r="H1952">
        <f t="shared" si="91"/>
        <v>280</v>
      </c>
      <c r="I1952" s="12">
        <f>VLOOKUP(B1952,Orders!$A$2:$D$1201,3,FALSE)</f>
        <v>46031</v>
      </c>
      <c r="L1952" t="str">
        <f>VLOOKUP(C1952,Products!$A$2:$D$13,2,FALSE)</f>
        <v>Chair</v>
      </c>
      <c r="M1952" t="str">
        <f t="shared" si="92"/>
        <v>2026-01</v>
      </c>
    </row>
    <row r="1953" spans="1:13">
      <c r="A1953">
        <v>1952</v>
      </c>
      <c r="B1953">
        <v>1958</v>
      </c>
      <c r="C1953">
        <v>6</v>
      </c>
      <c r="D1953">
        <v>4</v>
      </c>
      <c r="E1953">
        <v>140</v>
      </c>
      <c r="F1953">
        <f t="shared" si="90"/>
        <v>560</v>
      </c>
      <c r="G1953" t="str">
        <f>VLOOKUP(B1953,Orders!$A$2:$D$1201,4,FALSE)</f>
        <v>Delivered</v>
      </c>
      <c r="H1953">
        <f t="shared" si="91"/>
        <v>560</v>
      </c>
      <c r="I1953" s="12">
        <f>VLOOKUP(B1953,Orders!$A$2:$D$1201,3,FALSE)</f>
        <v>46114</v>
      </c>
      <c r="L1953" t="str">
        <f>VLOOKUP(C1953,Products!$A$2:$D$13,2,FALSE)</f>
        <v>Chair</v>
      </c>
      <c r="M1953" t="str">
        <f t="shared" si="92"/>
        <v>2026-04</v>
      </c>
    </row>
    <row r="1954" spans="1:13">
      <c r="A1954">
        <v>1953</v>
      </c>
      <c r="B1954">
        <v>1959</v>
      </c>
      <c r="C1954">
        <v>11</v>
      </c>
      <c r="D1954">
        <v>4</v>
      </c>
      <c r="E1954">
        <v>48</v>
      </c>
      <c r="F1954">
        <f t="shared" si="90"/>
        <v>192</v>
      </c>
      <c r="G1954" t="str">
        <f>VLOOKUP(B1954,Orders!$A$2:$D$1201,4,FALSE)</f>
        <v>Delivered</v>
      </c>
      <c r="H1954">
        <f t="shared" si="91"/>
        <v>192</v>
      </c>
      <c r="I1954" s="12">
        <f>VLOOKUP(B1954,Orders!$A$2:$D$1201,3,FALSE)</f>
        <v>46167</v>
      </c>
      <c r="L1954" t="str">
        <f>VLOOKUP(C1954,Products!$A$2:$D$13,2,FALSE)</f>
        <v>Backpack</v>
      </c>
      <c r="M1954" t="str">
        <f t="shared" si="92"/>
        <v>2026-05</v>
      </c>
    </row>
    <row r="1955" spans="1:13">
      <c r="A1955">
        <v>1954</v>
      </c>
      <c r="B1955">
        <v>1959</v>
      </c>
      <c r="C1955">
        <v>5</v>
      </c>
      <c r="D1955">
        <v>1</v>
      </c>
      <c r="E1955">
        <v>180</v>
      </c>
      <c r="F1955">
        <f t="shared" si="90"/>
        <v>180</v>
      </c>
      <c r="G1955" t="str">
        <f>VLOOKUP(B1955,Orders!$A$2:$D$1201,4,FALSE)</f>
        <v>Delivered</v>
      </c>
      <c r="H1955">
        <f t="shared" si="91"/>
        <v>180</v>
      </c>
      <c r="I1955" s="12">
        <f>VLOOKUP(B1955,Orders!$A$2:$D$1201,3,FALSE)</f>
        <v>46167</v>
      </c>
      <c r="L1955" t="str">
        <f>VLOOKUP(C1955,Products!$A$2:$D$13,2,FALSE)</f>
        <v>Desk</v>
      </c>
      <c r="M1955" t="str">
        <f t="shared" si="92"/>
        <v>2026-05</v>
      </c>
    </row>
    <row r="1956" spans="1:13">
      <c r="A1956">
        <v>1955</v>
      </c>
      <c r="B1956">
        <v>1960</v>
      </c>
      <c r="C1956">
        <v>9</v>
      </c>
      <c r="D1956">
        <v>3</v>
      </c>
      <c r="E1956">
        <v>30</v>
      </c>
      <c r="F1956">
        <f t="shared" si="90"/>
        <v>90</v>
      </c>
      <c r="G1956" t="str">
        <f>VLOOKUP(B1956,Orders!$A$2:$D$1201,4,FALSE)</f>
        <v>Delivered</v>
      </c>
      <c r="H1956">
        <f t="shared" si="91"/>
        <v>90</v>
      </c>
      <c r="I1956" s="12">
        <f>VLOOKUP(B1956,Orders!$A$2:$D$1201,3,FALSE)</f>
        <v>46178</v>
      </c>
      <c r="L1956" t="str">
        <f>VLOOKUP(C1956,Products!$A$2:$D$13,2,FALSE)</f>
        <v>Lamp</v>
      </c>
      <c r="M1956" t="str">
        <f t="shared" si="92"/>
        <v>2026-06</v>
      </c>
    </row>
    <row r="1957" spans="1:13">
      <c r="A1957">
        <v>1956</v>
      </c>
      <c r="B1957">
        <v>1960</v>
      </c>
      <c r="C1957">
        <v>11</v>
      </c>
      <c r="D1957">
        <v>2</v>
      </c>
      <c r="E1957">
        <v>48</v>
      </c>
      <c r="F1957">
        <f t="shared" si="90"/>
        <v>96</v>
      </c>
      <c r="G1957" t="str">
        <f>VLOOKUP(B1957,Orders!$A$2:$D$1201,4,FALSE)</f>
        <v>Delivered</v>
      </c>
      <c r="H1957">
        <f t="shared" si="91"/>
        <v>96</v>
      </c>
      <c r="I1957" s="12">
        <f>VLOOKUP(B1957,Orders!$A$2:$D$1201,3,FALSE)</f>
        <v>46178</v>
      </c>
      <c r="L1957" t="str">
        <f>VLOOKUP(C1957,Products!$A$2:$D$13,2,FALSE)</f>
        <v>Backpack</v>
      </c>
      <c r="M1957" t="str">
        <f t="shared" si="92"/>
        <v>2026-06</v>
      </c>
    </row>
    <row r="1958" spans="1:13">
      <c r="A1958">
        <v>1957</v>
      </c>
      <c r="B1958">
        <v>1960</v>
      </c>
      <c r="C1958">
        <v>12</v>
      </c>
      <c r="D1958">
        <v>3</v>
      </c>
      <c r="E1958">
        <v>22</v>
      </c>
      <c r="F1958">
        <f t="shared" si="90"/>
        <v>66</v>
      </c>
      <c r="G1958" t="str">
        <f>VLOOKUP(B1958,Orders!$A$2:$D$1201,4,FALSE)</f>
        <v>Delivered</v>
      </c>
      <c r="H1958">
        <f t="shared" si="91"/>
        <v>66</v>
      </c>
      <c r="I1958" s="12">
        <f>VLOOKUP(B1958,Orders!$A$2:$D$1201,3,FALSE)</f>
        <v>46178</v>
      </c>
      <c r="L1958" t="str">
        <f>VLOOKUP(C1958,Products!$A$2:$D$13,2,FALSE)</f>
        <v>Storage Box</v>
      </c>
      <c r="M1958" t="str">
        <f t="shared" si="92"/>
        <v>2026-06</v>
      </c>
    </row>
    <row r="1959" spans="1:13">
      <c r="A1959">
        <v>1958</v>
      </c>
      <c r="B1959">
        <v>1961</v>
      </c>
      <c r="C1959">
        <v>2</v>
      </c>
      <c r="D1959">
        <v>1</v>
      </c>
      <c r="E1959">
        <v>220</v>
      </c>
      <c r="F1959">
        <f t="shared" si="90"/>
        <v>220</v>
      </c>
      <c r="G1959" t="str">
        <f>VLOOKUP(B1959,Orders!$A$2:$D$1201,4,FALSE)</f>
        <v>Delivered</v>
      </c>
      <c r="H1959">
        <f t="shared" si="91"/>
        <v>220</v>
      </c>
      <c r="I1959" s="12">
        <f>VLOOKUP(B1959,Orders!$A$2:$D$1201,3,FALSE)</f>
        <v>46040</v>
      </c>
      <c r="L1959" t="str">
        <f>VLOOKUP(C1959,Products!$A$2:$D$13,2,FALSE)</f>
        <v>Monitor</v>
      </c>
      <c r="M1959" t="str">
        <f t="shared" si="92"/>
        <v>2026-01</v>
      </c>
    </row>
    <row r="1960" spans="1:13">
      <c r="A1960">
        <v>1959</v>
      </c>
      <c r="B1960">
        <v>1962</v>
      </c>
      <c r="C1960">
        <v>7</v>
      </c>
      <c r="D1960">
        <v>1</v>
      </c>
      <c r="E1960">
        <v>65</v>
      </c>
      <c r="F1960">
        <f t="shared" si="90"/>
        <v>65</v>
      </c>
      <c r="G1960" t="str">
        <f>VLOOKUP(B1960,Orders!$A$2:$D$1201,4,FALSE)</f>
        <v>Delivered</v>
      </c>
      <c r="H1960">
        <f t="shared" si="91"/>
        <v>65</v>
      </c>
      <c r="I1960" s="12">
        <f>VLOOKUP(B1960,Orders!$A$2:$D$1201,3,FALSE)</f>
        <v>46083</v>
      </c>
      <c r="L1960" t="str">
        <f>VLOOKUP(C1960,Products!$A$2:$D$13,2,FALSE)</f>
        <v>Headphones</v>
      </c>
      <c r="M1960" t="str">
        <f t="shared" si="92"/>
        <v>2026-03</v>
      </c>
    </row>
    <row r="1961" spans="1:13">
      <c r="A1961">
        <v>1960</v>
      </c>
      <c r="B1961">
        <v>1962</v>
      </c>
      <c r="C1961">
        <v>12</v>
      </c>
      <c r="D1961">
        <v>3</v>
      </c>
      <c r="E1961">
        <v>22</v>
      </c>
      <c r="F1961">
        <f t="shared" si="90"/>
        <v>66</v>
      </c>
      <c r="G1961" t="str">
        <f>VLOOKUP(B1961,Orders!$A$2:$D$1201,4,FALSE)</f>
        <v>Delivered</v>
      </c>
      <c r="H1961">
        <f t="shared" si="91"/>
        <v>66</v>
      </c>
      <c r="I1961" s="12">
        <f>VLOOKUP(B1961,Orders!$A$2:$D$1201,3,FALSE)</f>
        <v>46083</v>
      </c>
      <c r="L1961" t="str">
        <f>VLOOKUP(C1961,Products!$A$2:$D$13,2,FALSE)</f>
        <v>Storage Box</v>
      </c>
      <c r="M1961" t="str">
        <f t="shared" si="92"/>
        <v>2026-03</v>
      </c>
    </row>
    <row r="1962" spans="1:13">
      <c r="A1962">
        <v>1961</v>
      </c>
      <c r="B1962">
        <v>1962</v>
      </c>
      <c r="C1962">
        <v>2</v>
      </c>
      <c r="D1962">
        <v>1</v>
      </c>
      <c r="E1962">
        <v>220</v>
      </c>
      <c r="F1962">
        <f t="shared" si="90"/>
        <v>220</v>
      </c>
      <c r="G1962" t="str">
        <f>VLOOKUP(B1962,Orders!$A$2:$D$1201,4,FALSE)</f>
        <v>Delivered</v>
      </c>
      <c r="H1962">
        <f t="shared" si="91"/>
        <v>220</v>
      </c>
      <c r="I1962" s="12">
        <f>VLOOKUP(B1962,Orders!$A$2:$D$1201,3,FALSE)</f>
        <v>46083</v>
      </c>
      <c r="L1962" t="str">
        <f>VLOOKUP(C1962,Products!$A$2:$D$13,2,FALSE)</f>
        <v>Monitor</v>
      </c>
      <c r="M1962" t="str">
        <f t="shared" si="92"/>
        <v>2026-03</v>
      </c>
    </row>
    <row r="1963" spans="1:13">
      <c r="A1963">
        <v>1962</v>
      </c>
      <c r="B1963">
        <v>1963</v>
      </c>
      <c r="C1963">
        <v>6</v>
      </c>
      <c r="D1963">
        <v>1</v>
      </c>
      <c r="E1963">
        <v>140</v>
      </c>
      <c r="F1963">
        <f t="shared" si="90"/>
        <v>140</v>
      </c>
      <c r="G1963" t="str">
        <f>VLOOKUP(B1963,Orders!$A$2:$D$1201,4,FALSE)</f>
        <v>Delivered</v>
      </c>
      <c r="H1963">
        <f t="shared" si="91"/>
        <v>140</v>
      </c>
      <c r="I1963" s="12">
        <f>VLOOKUP(B1963,Orders!$A$2:$D$1201,3,FALSE)</f>
        <v>46178</v>
      </c>
      <c r="L1963" t="str">
        <f>VLOOKUP(C1963,Products!$A$2:$D$13,2,FALSE)</f>
        <v>Chair</v>
      </c>
      <c r="M1963" t="str">
        <f t="shared" si="92"/>
        <v>2026-06</v>
      </c>
    </row>
    <row r="1964" spans="1:13">
      <c r="A1964">
        <v>1963</v>
      </c>
      <c r="B1964">
        <v>1964</v>
      </c>
      <c r="C1964">
        <v>8</v>
      </c>
      <c r="D1964">
        <v>3</v>
      </c>
      <c r="E1964">
        <v>55</v>
      </c>
      <c r="F1964">
        <f t="shared" si="90"/>
        <v>165</v>
      </c>
      <c r="G1964" t="str">
        <f>VLOOKUP(B1964,Orders!$A$2:$D$1201,4,FALSE)</f>
        <v>Delivered</v>
      </c>
      <c r="H1964">
        <f t="shared" si="91"/>
        <v>165</v>
      </c>
      <c r="I1964" s="12">
        <f>VLOOKUP(B1964,Orders!$A$2:$D$1201,3,FALSE)</f>
        <v>46165</v>
      </c>
      <c r="L1964" t="str">
        <f>VLOOKUP(C1964,Products!$A$2:$D$13,2,FALSE)</f>
        <v>Webcam</v>
      </c>
      <c r="M1964" t="str">
        <f t="shared" si="92"/>
        <v>2026-05</v>
      </c>
    </row>
    <row r="1965" spans="1:13">
      <c r="A1965">
        <v>1964</v>
      </c>
      <c r="B1965">
        <v>1964</v>
      </c>
      <c r="C1965">
        <v>11</v>
      </c>
      <c r="D1965">
        <v>2</v>
      </c>
      <c r="E1965">
        <v>48</v>
      </c>
      <c r="F1965">
        <f t="shared" si="90"/>
        <v>96</v>
      </c>
      <c r="G1965" t="str">
        <f>VLOOKUP(B1965,Orders!$A$2:$D$1201,4,FALSE)</f>
        <v>Delivered</v>
      </c>
      <c r="H1965">
        <f t="shared" si="91"/>
        <v>96</v>
      </c>
      <c r="I1965" s="12">
        <f>VLOOKUP(B1965,Orders!$A$2:$D$1201,3,FALSE)</f>
        <v>46165</v>
      </c>
      <c r="L1965" t="str">
        <f>VLOOKUP(C1965,Products!$A$2:$D$13,2,FALSE)</f>
        <v>Backpack</v>
      </c>
      <c r="M1965" t="str">
        <f t="shared" si="92"/>
        <v>2026-05</v>
      </c>
    </row>
    <row r="1966" spans="1:13">
      <c r="A1966">
        <v>1965</v>
      </c>
      <c r="B1966">
        <v>1965</v>
      </c>
      <c r="C1966">
        <v>1</v>
      </c>
      <c r="D1966">
        <v>2</v>
      </c>
      <c r="E1966">
        <v>750</v>
      </c>
      <c r="F1966">
        <f t="shared" si="90"/>
        <v>1500</v>
      </c>
      <c r="G1966" t="str">
        <f>VLOOKUP(B1966,Orders!$A$2:$D$1201,4,FALSE)</f>
        <v>Delivered</v>
      </c>
      <c r="H1966">
        <f t="shared" si="91"/>
        <v>1500</v>
      </c>
      <c r="I1966" s="12">
        <f>VLOOKUP(B1966,Orders!$A$2:$D$1201,3,FALSE)</f>
        <v>46045</v>
      </c>
      <c r="L1966" t="str">
        <f>VLOOKUP(C1966,Products!$A$2:$D$13,2,FALSE)</f>
        <v>Laptop</v>
      </c>
      <c r="M1966" t="str">
        <f t="shared" si="92"/>
        <v>2026-01</v>
      </c>
    </row>
    <row r="1967" spans="1:13">
      <c r="A1967">
        <v>1966</v>
      </c>
      <c r="B1967">
        <v>1966</v>
      </c>
      <c r="C1967">
        <v>4</v>
      </c>
      <c r="D1967">
        <v>4</v>
      </c>
      <c r="E1967">
        <v>25</v>
      </c>
      <c r="F1967">
        <f t="shared" si="90"/>
        <v>100</v>
      </c>
      <c r="G1967" t="str">
        <f>VLOOKUP(B1967,Orders!$A$2:$D$1201,4,FALSE)</f>
        <v>Delivered</v>
      </c>
      <c r="H1967">
        <f t="shared" si="91"/>
        <v>100</v>
      </c>
      <c r="I1967" s="12">
        <f>VLOOKUP(B1967,Orders!$A$2:$D$1201,3,FALSE)</f>
        <v>46041</v>
      </c>
      <c r="L1967" t="str">
        <f>VLOOKUP(C1967,Products!$A$2:$D$13,2,FALSE)</f>
        <v>Mouse</v>
      </c>
      <c r="M1967" t="str">
        <f t="shared" si="92"/>
        <v>2026-01</v>
      </c>
    </row>
    <row r="1968" spans="1:13">
      <c r="A1968">
        <v>1967</v>
      </c>
      <c r="B1968">
        <v>1966</v>
      </c>
      <c r="C1968">
        <v>12</v>
      </c>
      <c r="D1968">
        <v>3</v>
      </c>
      <c r="E1968">
        <v>22</v>
      </c>
      <c r="F1968">
        <f t="shared" si="90"/>
        <v>66</v>
      </c>
      <c r="G1968" t="str">
        <f>VLOOKUP(B1968,Orders!$A$2:$D$1201,4,FALSE)</f>
        <v>Delivered</v>
      </c>
      <c r="H1968">
        <f t="shared" si="91"/>
        <v>66</v>
      </c>
      <c r="I1968" s="12">
        <f>VLOOKUP(B1968,Orders!$A$2:$D$1201,3,FALSE)</f>
        <v>46041</v>
      </c>
      <c r="L1968" t="str">
        <f>VLOOKUP(C1968,Products!$A$2:$D$13,2,FALSE)</f>
        <v>Storage Box</v>
      </c>
      <c r="M1968" t="str">
        <f t="shared" si="92"/>
        <v>2026-01</v>
      </c>
    </row>
    <row r="1969" spans="1:13">
      <c r="A1969">
        <v>1968</v>
      </c>
      <c r="B1969">
        <v>1967</v>
      </c>
      <c r="C1969">
        <v>10</v>
      </c>
      <c r="D1969">
        <v>1</v>
      </c>
      <c r="E1969">
        <v>8</v>
      </c>
      <c r="F1969">
        <f t="shared" si="90"/>
        <v>8</v>
      </c>
      <c r="G1969" t="str">
        <f>VLOOKUP(B1969,Orders!$A$2:$D$1201,4,FALSE)</f>
        <v>Delivered</v>
      </c>
      <c r="H1969">
        <f t="shared" si="91"/>
        <v>8</v>
      </c>
      <c r="I1969" s="12">
        <f>VLOOKUP(B1969,Orders!$A$2:$D$1201,3,FALSE)</f>
        <v>46135</v>
      </c>
      <c r="L1969" t="str">
        <f>VLOOKUP(C1969,Products!$A$2:$D$13,2,FALSE)</f>
        <v>Notebook</v>
      </c>
      <c r="M1969" t="str">
        <f t="shared" si="92"/>
        <v>2026-04</v>
      </c>
    </row>
    <row r="1970" spans="1:13">
      <c r="A1970">
        <v>1969</v>
      </c>
      <c r="B1970">
        <v>1968</v>
      </c>
      <c r="C1970">
        <v>1</v>
      </c>
      <c r="D1970">
        <v>3</v>
      </c>
      <c r="E1970">
        <v>750</v>
      </c>
      <c r="F1970">
        <f t="shared" si="90"/>
        <v>2250</v>
      </c>
      <c r="G1970" t="str">
        <f>VLOOKUP(B1970,Orders!$A$2:$D$1201,4,FALSE)</f>
        <v>Delivered</v>
      </c>
      <c r="H1970">
        <f t="shared" si="91"/>
        <v>2250</v>
      </c>
      <c r="I1970" s="12">
        <f>VLOOKUP(B1970,Orders!$A$2:$D$1201,3,FALSE)</f>
        <v>46082</v>
      </c>
      <c r="L1970" t="str">
        <f>VLOOKUP(C1970,Products!$A$2:$D$13,2,FALSE)</f>
        <v>Laptop</v>
      </c>
      <c r="M1970" t="str">
        <f t="shared" si="92"/>
        <v>2026-03</v>
      </c>
    </row>
    <row r="1971" spans="1:13">
      <c r="A1971">
        <v>1970</v>
      </c>
      <c r="B1971">
        <v>1968</v>
      </c>
      <c r="C1971">
        <v>4</v>
      </c>
      <c r="D1971">
        <v>3</v>
      </c>
      <c r="E1971">
        <v>25</v>
      </c>
      <c r="F1971">
        <f t="shared" si="90"/>
        <v>75</v>
      </c>
      <c r="G1971" t="str">
        <f>VLOOKUP(B1971,Orders!$A$2:$D$1201,4,FALSE)</f>
        <v>Delivered</v>
      </c>
      <c r="H1971">
        <f t="shared" si="91"/>
        <v>75</v>
      </c>
      <c r="I1971" s="12">
        <f>VLOOKUP(B1971,Orders!$A$2:$D$1201,3,FALSE)</f>
        <v>46082</v>
      </c>
      <c r="L1971" t="str">
        <f>VLOOKUP(C1971,Products!$A$2:$D$13,2,FALSE)</f>
        <v>Mouse</v>
      </c>
      <c r="M1971" t="str">
        <f t="shared" si="92"/>
        <v>2026-03</v>
      </c>
    </row>
    <row r="1972" spans="1:13">
      <c r="A1972">
        <v>1971</v>
      </c>
      <c r="B1972">
        <v>1969</v>
      </c>
      <c r="C1972">
        <v>9</v>
      </c>
      <c r="D1972">
        <v>3</v>
      </c>
      <c r="E1972">
        <v>30</v>
      </c>
      <c r="F1972">
        <f t="shared" si="90"/>
        <v>90</v>
      </c>
      <c r="G1972" t="str">
        <f>VLOOKUP(B1972,Orders!$A$2:$D$1201,4,FALSE)</f>
        <v>Delivered</v>
      </c>
      <c r="H1972">
        <f t="shared" si="91"/>
        <v>90</v>
      </c>
      <c r="I1972" s="12">
        <f>VLOOKUP(B1972,Orders!$A$2:$D$1201,3,FALSE)</f>
        <v>46096</v>
      </c>
      <c r="L1972" t="str">
        <f>VLOOKUP(C1972,Products!$A$2:$D$13,2,FALSE)</f>
        <v>Lamp</v>
      </c>
      <c r="M1972" t="str">
        <f t="shared" si="92"/>
        <v>2026-03</v>
      </c>
    </row>
    <row r="1973" spans="1:13">
      <c r="A1973">
        <v>1972</v>
      </c>
      <c r="B1973">
        <v>1970</v>
      </c>
      <c r="C1973">
        <v>1</v>
      </c>
      <c r="D1973">
        <v>4</v>
      </c>
      <c r="E1973">
        <v>750</v>
      </c>
      <c r="F1973">
        <f t="shared" si="90"/>
        <v>3000</v>
      </c>
      <c r="G1973" t="str">
        <f>VLOOKUP(B1973,Orders!$A$2:$D$1201,4,FALSE)</f>
        <v>Delivered</v>
      </c>
      <c r="H1973">
        <f t="shared" si="91"/>
        <v>3000</v>
      </c>
      <c r="I1973" s="12">
        <f>VLOOKUP(B1973,Orders!$A$2:$D$1201,3,FALSE)</f>
        <v>46172</v>
      </c>
      <c r="L1973" t="str">
        <f>VLOOKUP(C1973,Products!$A$2:$D$13,2,FALSE)</f>
        <v>Laptop</v>
      </c>
      <c r="M1973" t="str">
        <f t="shared" si="92"/>
        <v>2026-05</v>
      </c>
    </row>
    <row r="1974" spans="1:13">
      <c r="A1974">
        <v>1973</v>
      </c>
      <c r="B1974">
        <v>1970</v>
      </c>
      <c r="C1974">
        <v>12</v>
      </c>
      <c r="D1974">
        <v>3</v>
      </c>
      <c r="E1974">
        <v>22</v>
      </c>
      <c r="F1974">
        <f t="shared" si="90"/>
        <v>66</v>
      </c>
      <c r="G1974" t="str">
        <f>VLOOKUP(B1974,Orders!$A$2:$D$1201,4,FALSE)</f>
        <v>Delivered</v>
      </c>
      <c r="H1974">
        <f t="shared" si="91"/>
        <v>66</v>
      </c>
      <c r="I1974" s="12">
        <f>VLOOKUP(B1974,Orders!$A$2:$D$1201,3,FALSE)</f>
        <v>46172</v>
      </c>
      <c r="L1974" t="str">
        <f>VLOOKUP(C1974,Products!$A$2:$D$13,2,FALSE)</f>
        <v>Storage Box</v>
      </c>
      <c r="M1974" t="str">
        <f t="shared" si="92"/>
        <v>2026-05</v>
      </c>
    </row>
    <row r="1975" spans="1:13">
      <c r="A1975">
        <v>1974</v>
      </c>
      <c r="B1975">
        <v>1970</v>
      </c>
      <c r="C1975">
        <v>6</v>
      </c>
      <c r="D1975">
        <v>2</v>
      </c>
      <c r="E1975">
        <v>140</v>
      </c>
      <c r="F1975">
        <f t="shared" si="90"/>
        <v>280</v>
      </c>
      <c r="G1975" t="str">
        <f>VLOOKUP(B1975,Orders!$A$2:$D$1201,4,FALSE)</f>
        <v>Delivered</v>
      </c>
      <c r="H1975">
        <f t="shared" si="91"/>
        <v>280</v>
      </c>
      <c r="I1975" s="12">
        <f>VLOOKUP(B1975,Orders!$A$2:$D$1201,3,FALSE)</f>
        <v>46172</v>
      </c>
      <c r="L1975" t="str">
        <f>VLOOKUP(C1975,Products!$A$2:$D$13,2,FALSE)</f>
        <v>Chair</v>
      </c>
      <c r="M1975" t="str">
        <f t="shared" si="92"/>
        <v>2026-05</v>
      </c>
    </row>
    <row r="1976" spans="1:13">
      <c r="A1976">
        <v>1975</v>
      </c>
      <c r="B1976">
        <v>1971</v>
      </c>
      <c r="C1976">
        <v>8</v>
      </c>
      <c r="D1976">
        <v>1</v>
      </c>
      <c r="E1976">
        <v>55</v>
      </c>
      <c r="F1976">
        <f t="shared" si="90"/>
        <v>55</v>
      </c>
      <c r="G1976" t="str">
        <f>VLOOKUP(B1976,Orders!$A$2:$D$1201,4,FALSE)</f>
        <v>Shipped</v>
      </c>
      <c r="H1976">
        <f t="shared" si="91"/>
        <v>55</v>
      </c>
      <c r="I1976" s="12">
        <f>VLOOKUP(B1976,Orders!$A$2:$D$1201,3,FALSE)</f>
        <v>46107</v>
      </c>
      <c r="L1976" t="str">
        <f>VLOOKUP(C1976,Products!$A$2:$D$13,2,FALSE)</f>
        <v>Webcam</v>
      </c>
      <c r="M1976" t="str">
        <f t="shared" si="92"/>
        <v>2026-03</v>
      </c>
    </row>
    <row r="1977" spans="1:13">
      <c r="A1977">
        <v>1976</v>
      </c>
      <c r="B1977">
        <v>1972</v>
      </c>
      <c r="C1977">
        <v>2</v>
      </c>
      <c r="D1977">
        <v>1</v>
      </c>
      <c r="E1977">
        <v>220</v>
      </c>
      <c r="F1977">
        <f t="shared" si="90"/>
        <v>220</v>
      </c>
      <c r="G1977" t="str">
        <f>VLOOKUP(B1977,Orders!$A$2:$D$1201,4,FALSE)</f>
        <v>Delivered</v>
      </c>
      <c r="H1977">
        <f t="shared" si="91"/>
        <v>220</v>
      </c>
      <c r="I1977" s="12">
        <f>VLOOKUP(B1977,Orders!$A$2:$D$1201,3,FALSE)</f>
        <v>46179</v>
      </c>
      <c r="L1977" t="str">
        <f>VLOOKUP(C1977,Products!$A$2:$D$13,2,FALSE)</f>
        <v>Monitor</v>
      </c>
      <c r="M1977" t="str">
        <f t="shared" si="92"/>
        <v>2026-06</v>
      </c>
    </row>
    <row r="1978" spans="1:13">
      <c r="A1978">
        <v>1977</v>
      </c>
      <c r="B1978">
        <v>1972</v>
      </c>
      <c r="C1978">
        <v>7</v>
      </c>
      <c r="D1978">
        <v>4</v>
      </c>
      <c r="E1978">
        <v>65</v>
      </c>
      <c r="F1978">
        <f t="shared" si="90"/>
        <v>260</v>
      </c>
      <c r="G1978" t="str">
        <f>VLOOKUP(B1978,Orders!$A$2:$D$1201,4,FALSE)</f>
        <v>Delivered</v>
      </c>
      <c r="H1978">
        <f t="shared" si="91"/>
        <v>260</v>
      </c>
      <c r="I1978" s="12">
        <f>VLOOKUP(B1978,Orders!$A$2:$D$1201,3,FALSE)</f>
        <v>46179</v>
      </c>
      <c r="L1978" t="str">
        <f>VLOOKUP(C1978,Products!$A$2:$D$13,2,FALSE)</f>
        <v>Headphones</v>
      </c>
      <c r="M1978" t="str">
        <f t="shared" si="92"/>
        <v>2026-06</v>
      </c>
    </row>
    <row r="1979" spans="1:13">
      <c r="A1979">
        <v>1978</v>
      </c>
      <c r="B1979">
        <v>1973</v>
      </c>
      <c r="C1979">
        <v>8</v>
      </c>
      <c r="D1979">
        <v>2</v>
      </c>
      <c r="E1979">
        <v>55</v>
      </c>
      <c r="F1979">
        <f t="shared" si="90"/>
        <v>110</v>
      </c>
      <c r="G1979" t="str">
        <f>VLOOKUP(B1979,Orders!$A$2:$D$1201,4,FALSE)</f>
        <v>Delivered</v>
      </c>
      <c r="H1979">
        <f t="shared" si="91"/>
        <v>110</v>
      </c>
      <c r="I1979" s="12">
        <f>VLOOKUP(B1979,Orders!$A$2:$D$1201,3,FALSE)</f>
        <v>46150</v>
      </c>
      <c r="L1979" t="str">
        <f>VLOOKUP(C1979,Products!$A$2:$D$13,2,FALSE)</f>
        <v>Webcam</v>
      </c>
      <c r="M1979" t="str">
        <f t="shared" si="92"/>
        <v>2026-05</v>
      </c>
    </row>
    <row r="1980" spans="1:13">
      <c r="A1980">
        <v>1979</v>
      </c>
      <c r="B1980">
        <v>1973</v>
      </c>
      <c r="C1980">
        <v>5</v>
      </c>
      <c r="D1980">
        <v>1</v>
      </c>
      <c r="E1980">
        <v>180</v>
      </c>
      <c r="F1980">
        <f t="shared" si="90"/>
        <v>180</v>
      </c>
      <c r="G1980" t="str">
        <f>VLOOKUP(B1980,Orders!$A$2:$D$1201,4,FALSE)</f>
        <v>Delivered</v>
      </c>
      <c r="H1980">
        <f t="shared" si="91"/>
        <v>180</v>
      </c>
      <c r="I1980" s="12">
        <f>VLOOKUP(B1980,Orders!$A$2:$D$1201,3,FALSE)</f>
        <v>46150</v>
      </c>
      <c r="L1980" t="str">
        <f>VLOOKUP(C1980,Products!$A$2:$D$13,2,FALSE)</f>
        <v>Desk</v>
      </c>
      <c r="M1980" t="str">
        <f t="shared" si="92"/>
        <v>2026-05</v>
      </c>
    </row>
    <row r="1981" spans="1:13">
      <c r="A1981">
        <v>1980</v>
      </c>
      <c r="B1981">
        <v>1974</v>
      </c>
      <c r="C1981">
        <v>11</v>
      </c>
      <c r="D1981">
        <v>4</v>
      </c>
      <c r="E1981">
        <v>48</v>
      </c>
      <c r="F1981">
        <f t="shared" si="90"/>
        <v>192</v>
      </c>
      <c r="G1981" t="str">
        <f>VLOOKUP(B1981,Orders!$A$2:$D$1201,4,FALSE)</f>
        <v>Delivered</v>
      </c>
      <c r="H1981">
        <f t="shared" si="91"/>
        <v>192</v>
      </c>
      <c r="I1981" s="12">
        <f>VLOOKUP(B1981,Orders!$A$2:$D$1201,3,FALSE)</f>
        <v>46159</v>
      </c>
      <c r="L1981" t="str">
        <f>VLOOKUP(C1981,Products!$A$2:$D$13,2,FALSE)</f>
        <v>Backpack</v>
      </c>
      <c r="M1981" t="str">
        <f t="shared" si="92"/>
        <v>2026-05</v>
      </c>
    </row>
    <row r="1982" spans="1:13">
      <c r="A1982">
        <v>1981</v>
      </c>
      <c r="B1982">
        <v>1974</v>
      </c>
      <c r="C1982">
        <v>1</v>
      </c>
      <c r="D1982">
        <v>1</v>
      </c>
      <c r="E1982">
        <v>750</v>
      </c>
      <c r="F1982">
        <f t="shared" si="90"/>
        <v>750</v>
      </c>
      <c r="G1982" t="str">
        <f>VLOOKUP(B1982,Orders!$A$2:$D$1201,4,FALSE)</f>
        <v>Delivered</v>
      </c>
      <c r="H1982">
        <f t="shared" si="91"/>
        <v>750</v>
      </c>
      <c r="I1982" s="12">
        <f>VLOOKUP(B1982,Orders!$A$2:$D$1201,3,FALSE)</f>
        <v>46159</v>
      </c>
      <c r="L1982" t="str">
        <f>VLOOKUP(C1982,Products!$A$2:$D$13,2,FALSE)</f>
        <v>Laptop</v>
      </c>
      <c r="M1982" t="str">
        <f t="shared" si="92"/>
        <v>2026-05</v>
      </c>
    </row>
    <row r="1983" spans="1:13">
      <c r="A1983">
        <v>1982</v>
      </c>
      <c r="B1983">
        <v>1974</v>
      </c>
      <c r="C1983">
        <v>9</v>
      </c>
      <c r="D1983">
        <v>4</v>
      </c>
      <c r="E1983">
        <v>30</v>
      </c>
      <c r="F1983">
        <f t="shared" si="90"/>
        <v>120</v>
      </c>
      <c r="G1983" t="str">
        <f>VLOOKUP(B1983,Orders!$A$2:$D$1201,4,FALSE)</f>
        <v>Delivered</v>
      </c>
      <c r="H1983">
        <f t="shared" si="91"/>
        <v>120</v>
      </c>
      <c r="I1983" s="12">
        <f>VLOOKUP(B1983,Orders!$A$2:$D$1201,3,FALSE)</f>
        <v>46159</v>
      </c>
      <c r="L1983" t="str">
        <f>VLOOKUP(C1983,Products!$A$2:$D$13,2,FALSE)</f>
        <v>Lamp</v>
      </c>
      <c r="M1983" t="str">
        <f t="shared" si="92"/>
        <v>2026-05</v>
      </c>
    </row>
    <row r="1984" spans="1:13">
      <c r="A1984">
        <v>1983</v>
      </c>
      <c r="B1984">
        <v>1975</v>
      </c>
      <c r="C1984">
        <v>10</v>
      </c>
      <c r="D1984">
        <v>3</v>
      </c>
      <c r="E1984">
        <v>8</v>
      </c>
      <c r="F1984">
        <f t="shared" si="90"/>
        <v>24</v>
      </c>
      <c r="G1984" t="str">
        <f>VLOOKUP(B1984,Orders!$A$2:$D$1201,4,FALSE)</f>
        <v>Delivered</v>
      </c>
      <c r="H1984">
        <f t="shared" si="91"/>
        <v>24</v>
      </c>
      <c r="I1984" s="12">
        <f>VLOOKUP(B1984,Orders!$A$2:$D$1201,3,FALSE)</f>
        <v>46163</v>
      </c>
      <c r="L1984" t="str">
        <f>VLOOKUP(C1984,Products!$A$2:$D$13,2,FALSE)</f>
        <v>Notebook</v>
      </c>
      <c r="M1984" t="str">
        <f t="shared" si="92"/>
        <v>2026-05</v>
      </c>
    </row>
    <row r="1985" spans="1:13">
      <c r="A1985">
        <v>1984</v>
      </c>
      <c r="B1985">
        <v>1976</v>
      </c>
      <c r="C1985">
        <v>7</v>
      </c>
      <c r="D1985">
        <v>1</v>
      </c>
      <c r="E1985">
        <v>65</v>
      </c>
      <c r="F1985">
        <f t="shared" si="90"/>
        <v>65</v>
      </c>
      <c r="G1985" t="str">
        <f>VLOOKUP(B1985,Orders!$A$2:$D$1201,4,FALSE)</f>
        <v>Delivered</v>
      </c>
      <c r="H1985">
        <f t="shared" si="91"/>
        <v>65</v>
      </c>
      <c r="I1985" s="12">
        <f>VLOOKUP(B1985,Orders!$A$2:$D$1201,3,FALSE)</f>
        <v>46082</v>
      </c>
      <c r="L1985" t="str">
        <f>VLOOKUP(C1985,Products!$A$2:$D$13,2,FALSE)</f>
        <v>Headphones</v>
      </c>
      <c r="M1985" t="str">
        <f t="shared" si="92"/>
        <v>2026-03</v>
      </c>
    </row>
    <row r="1986" spans="1:13">
      <c r="A1986">
        <v>1985</v>
      </c>
      <c r="B1986">
        <v>1977</v>
      </c>
      <c r="C1986">
        <v>5</v>
      </c>
      <c r="D1986">
        <v>1</v>
      </c>
      <c r="E1986">
        <v>180</v>
      </c>
      <c r="F1986">
        <f t="shared" si="90"/>
        <v>180</v>
      </c>
      <c r="G1986" t="str">
        <f>VLOOKUP(B1986,Orders!$A$2:$D$1201,4,FALSE)</f>
        <v>Delivered</v>
      </c>
      <c r="H1986">
        <f t="shared" si="91"/>
        <v>180</v>
      </c>
      <c r="I1986" s="12">
        <f>VLOOKUP(B1986,Orders!$A$2:$D$1201,3,FALSE)</f>
        <v>46042</v>
      </c>
      <c r="L1986" t="str">
        <f>VLOOKUP(C1986,Products!$A$2:$D$13,2,FALSE)</f>
        <v>Desk</v>
      </c>
      <c r="M1986" t="str">
        <f t="shared" si="92"/>
        <v>2026-01</v>
      </c>
    </row>
    <row r="1987" spans="1:13">
      <c r="A1987">
        <v>1986</v>
      </c>
      <c r="B1987">
        <v>1978</v>
      </c>
      <c r="C1987">
        <v>2</v>
      </c>
      <c r="D1987">
        <v>1</v>
      </c>
      <c r="E1987">
        <v>220</v>
      </c>
      <c r="F1987">
        <f t="shared" ref="F1987:F2050" si="93">D1987*E1987</f>
        <v>220</v>
      </c>
      <c r="G1987" t="str">
        <f>VLOOKUP(B1987,Orders!$A$2:$D$1201,4,FALSE)</f>
        <v>Delivered</v>
      </c>
      <c r="H1987">
        <f t="shared" ref="H1987:H2050" si="94">IF(G1987="Cancelled",0,F1987)</f>
        <v>220</v>
      </c>
      <c r="I1987" s="12">
        <f>VLOOKUP(B1987,Orders!$A$2:$D$1201,3,FALSE)</f>
        <v>46056</v>
      </c>
      <c r="L1987" t="str">
        <f>VLOOKUP(C1987,Products!$A$2:$D$13,2,FALSE)</f>
        <v>Monitor</v>
      </c>
      <c r="M1987" t="str">
        <f t="shared" ref="M1987:M2050" si="95">TEXT(I1987,"yyyy-mm")</f>
        <v>2026-02</v>
      </c>
    </row>
    <row r="1988" spans="1:13">
      <c r="A1988">
        <v>1987</v>
      </c>
      <c r="B1988">
        <v>1978</v>
      </c>
      <c r="C1988">
        <v>11</v>
      </c>
      <c r="D1988">
        <v>3</v>
      </c>
      <c r="E1988">
        <v>48</v>
      </c>
      <c r="F1988">
        <f t="shared" si="93"/>
        <v>144</v>
      </c>
      <c r="G1988" t="str">
        <f>VLOOKUP(B1988,Orders!$A$2:$D$1201,4,FALSE)</f>
        <v>Delivered</v>
      </c>
      <c r="H1988">
        <f t="shared" si="94"/>
        <v>144</v>
      </c>
      <c r="I1988" s="12">
        <f>VLOOKUP(B1988,Orders!$A$2:$D$1201,3,FALSE)</f>
        <v>46056</v>
      </c>
      <c r="L1988" t="str">
        <f>VLOOKUP(C1988,Products!$A$2:$D$13,2,FALSE)</f>
        <v>Backpack</v>
      </c>
      <c r="M1988" t="str">
        <f t="shared" si="95"/>
        <v>2026-02</v>
      </c>
    </row>
    <row r="1989" spans="1:13">
      <c r="A1989">
        <v>1988</v>
      </c>
      <c r="B1989">
        <v>1978</v>
      </c>
      <c r="C1989">
        <v>12</v>
      </c>
      <c r="D1989">
        <v>2</v>
      </c>
      <c r="E1989">
        <v>22</v>
      </c>
      <c r="F1989">
        <f t="shared" si="93"/>
        <v>44</v>
      </c>
      <c r="G1989" t="str">
        <f>VLOOKUP(B1989,Orders!$A$2:$D$1201,4,FALSE)</f>
        <v>Delivered</v>
      </c>
      <c r="H1989">
        <f t="shared" si="94"/>
        <v>44</v>
      </c>
      <c r="I1989" s="12">
        <f>VLOOKUP(B1989,Orders!$A$2:$D$1201,3,FALSE)</f>
        <v>46056</v>
      </c>
      <c r="L1989" t="str">
        <f>VLOOKUP(C1989,Products!$A$2:$D$13,2,FALSE)</f>
        <v>Storage Box</v>
      </c>
      <c r="M1989" t="str">
        <f t="shared" si="95"/>
        <v>2026-02</v>
      </c>
    </row>
    <row r="1990" spans="1:13">
      <c r="A1990">
        <v>1989</v>
      </c>
      <c r="B1990">
        <v>1979</v>
      </c>
      <c r="C1990">
        <v>5</v>
      </c>
      <c r="D1990">
        <v>3</v>
      </c>
      <c r="E1990">
        <v>180</v>
      </c>
      <c r="F1990">
        <f t="shared" si="93"/>
        <v>540</v>
      </c>
      <c r="G1990" t="str">
        <f>VLOOKUP(B1990,Orders!$A$2:$D$1201,4,FALSE)</f>
        <v>Delivered</v>
      </c>
      <c r="H1990">
        <f t="shared" si="94"/>
        <v>540</v>
      </c>
      <c r="I1990" s="12">
        <f>VLOOKUP(B1990,Orders!$A$2:$D$1201,3,FALSE)</f>
        <v>46136</v>
      </c>
      <c r="L1990" t="str">
        <f>VLOOKUP(C1990,Products!$A$2:$D$13,2,FALSE)</f>
        <v>Desk</v>
      </c>
      <c r="M1990" t="str">
        <f t="shared" si="95"/>
        <v>2026-04</v>
      </c>
    </row>
    <row r="1991" spans="1:13">
      <c r="A1991">
        <v>1990</v>
      </c>
      <c r="B1991">
        <v>1979</v>
      </c>
      <c r="C1991">
        <v>11</v>
      </c>
      <c r="D1991">
        <v>3</v>
      </c>
      <c r="E1991">
        <v>48</v>
      </c>
      <c r="F1991">
        <f t="shared" si="93"/>
        <v>144</v>
      </c>
      <c r="G1991" t="str">
        <f>VLOOKUP(B1991,Orders!$A$2:$D$1201,4,FALSE)</f>
        <v>Delivered</v>
      </c>
      <c r="H1991">
        <f t="shared" si="94"/>
        <v>144</v>
      </c>
      <c r="I1991" s="12">
        <f>VLOOKUP(B1991,Orders!$A$2:$D$1201,3,FALSE)</f>
        <v>46136</v>
      </c>
      <c r="L1991" t="str">
        <f>VLOOKUP(C1991,Products!$A$2:$D$13,2,FALSE)</f>
        <v>Backpack</v>
      </c>
      <c r="M1991" t="str">
        <f t="shared" si="95"/>
        <v>2026-04</v>
      </c>
    </row>
    <row r="1992" spans="1:13">
      <c r="A1992">
        <v>1991</v>
      </c>
      <c r="B1992">
        <v>1979</v>
      </c>
      <c r="C1992">
        <v>4</v>
      </c>
      <c r="D1992">
        <v>1</v>
      </c>
      <c r="E1992">
        <v>25</v>
      </c>
      <c r="F1992">
        <f t="shared" si="93"/>
        <v>25</v>
      </c>
      <c r="G1992" t="str">
        <f>VLOOKUP(B1992,Orders!$A$2:$D$1201,4,FALSE)</f>
        <v>Delivered</v>
      </c>
      <c r="H1992">
        <f t="shared" si="94"/>
        <v>25</v>
      </c>
      <c r="I1992" s="12">
        <f>VLOOKUP(B1992,Orders!$A$2:$D$1201,3,FALSE)</f>
        <v>46136</v>
      </c>
      <c r="L1992" t="str">
        <f>VLOOKUP(C1992,Products!$A$2:$D$13,2,FALSE)</f>
        <v>Mouse</v>
      </c>
      <c r="M1992" t="str">
        <f t="shared" si="95"/>
        <v>2026-04</v>
      </c>
    </row>
    <row r="1993" spans="1:13">
      <c r="A1993">
        <v>1992</v>
      </c>
      <c r="B1993">
        <v>1980</v>
      </c>
      <c r="C1993">
        <v>9</v>
      </c>
      <c r="D1993">
        <v>2</v>
      </c>
      <c r="E1993">
        <v>30</v>
      </c>
      <c r="F1993">
        <f t="shared" si="93"/>
        <v>60</v>
      </c>
      <c r="G1993" t="str">
        <f>VLOOKUP(B1993,Orders!$A$2:$D$1201,4,FALSE)</f>
        <v>Delivered</v>
      </c>
      <c r="H1993">
        <f t="shared" si="94"/>
        <v>60</v>
      </c>
      <c r="I1993" s="12">
        <f>VLOOKUP(B1993,Orders!$A$2:$D$1201,3,FALSE)</f>
        <v>46147</v>
      </c>
      <c r="L1993" t="str">
        <f>VLOOKUP(C1993,Products!$A$2:$D$13,2,FALSE)</f>
        <v>Lamp</v>
      </c>
      <c r="M1993" t="str">
        <f t="shared" si="95"/>
        <v>2026-05</v>
      </c>
    </row>
    <row r="1994" spans="1:13">
      <c r="A1994">
        <v>1993</v>
      </c>
      <c r="B1994">
        <v>1981</v>
      </c>
      <c r="C1994">
        <v>8</v>
      </c>
      <c r="D1994">
        <v>1</v>
      </c>
      <c r="E1994">
        <v>55</v>
      </c>
      <c r="F1994">
        <f t="shared" si="93"/>
        <v>55</v>
      </c>
      <c r="G1994" t="str">
        <f>VLOOKUP(B1994,Orders!$A$2:$D$1201,4,FALSE)</f>
        <v>Delivered</v>
      </c>
      <c r="H1994">
        <f t="shared" si="94"/>
        <v>55</v>
      </c>
      <c r="I1994" s="12">
        <f>VLOOKUP(B1994,Orders!$A$2:$D$1201,3,FALSE)</f>
        <v>46059</v>
      </c>
      <c r="L1994" t="str">
        <f>VLOOKUP(C1994,Products!$A$2:$D$13,2,FALSE)</f>
        <v>Webcam</v>
      </c>
      <c r="M1994" t="str">
        <f t="shared" si="95"/>
        <v>2026-02</v>
      </c>
    </row>
    <row r="1995" spans="1:13">
      <c r="A1995">
        <v>1994</v>
      </c>
      <c r="B1995">
        <v>1981</v>
      </c>
      <c r="C1995">
        <v>11</v>
      </c>
      <c r="D1995">
        <v>1</v>
      </c>
      <c r="E1995">
        <v>48</v>
      </c>
      <c r="F1995">
        <f t="shared" si="93"/>
        <v>48</v>
      </c>
      <c r="G1995" t="str">
        <f>VLOOKUP(B1995,Orders!$A$2:$D$1201,4,FALSE)</f>
        <v>Delivered</v>
      </c>
      <c r="H1995">
        <f t="shared" si="94"/>
        <v>48</v>
      </c>
      <c r="I1995" s="12">
        <f>VLOOKUP(B1995,Orders!$A$2:$D$1201,3,FALSE)</f>
        <v>46059</v>
      </c>
      <c r="L1995" t="str">
        <f>VLOOKUP(C1995,Products!$A$2:$D$13,2,FALSE)</f>
        <v>Backpack</v>
      </c>
      <c r="M1995" t="str">
        <f t="shared" si="95"/>
        <v>2026-02</v>
      </c>
    </row>
    <row r="1996" spans="1:13">
      <c r="A1996">
        <v>1995</v>
      </c>
      <c r="B1996">
        <v>1981</v>
      </c>
      <c r="C1996">
        <v>12</v>
      </c>
      <c r="D1996">
        <v>4</v>
      </c>
      <c r="E1996">
        <v>22</v>
      </c>
      <c r="F1996">
        <f t="shared" si="93"/>
        <v>88</v>
      </c>
      <c r="G1996" t="str">
        <f>VLOOKUP(B1996,Orders!$A$2:$D$1201,4,FALSE)</f>
        <v>Delivered</v>
      </c>
      <c r="H1996">
        <f t="shared" si="94"/>
        <v>88</v>
      </c>
      <c r="I1996" s="12">
        <f>VLOOKUP(B1996,Orders!$A$2:$D$1201,3,FALSE)</f>
        <v>46059</v>
      </c>
      <c r="L1996" t="str">
        <f>VLOOKUP(C1996,Products!$A$2:$D$13,2,FALSE)</f>
        <v>Storage Box</v>
      </c>
      <c r="M1996" t="str">
        <f t="shared" si="95"/>
        <v>2026-02</v>
      </c>
    </row>
    <row r="1997" spans="1:13">
      <c r="A1997">
        <v>1996</v>
      </c>
      <c r="B1997">
        <v>1982</v>
      </c>
      <c r="C1997">
        <v>1</v>
      </c>
      <c r="D1997">
        <v>4</v>
      </c>
      <c r="E1997">
        <v>750</v>
      </c>
      <c r="F1997">
        <f t="shared" si="93"/>
        <v>3000</v>
      </c>
      <c r="G1997" t="str">
        <f>VLOOKUP(B1997,Orders!$A$2:$D$1201,4,FALSE)</f>
        <v>Delivered</v>
      </c>
      <c r="H1997">
        <f t="shared" si="94"/>
        <v>3000</v>
      </c>
      <c r="I1997" s="12">
        <f>VLOOKUP(B1997,Orders!$A$2:$D$1201,3,FALSE)</f>
        <v>46044</v>
      </c>
      <c r="L1997" t="str">
        <f>VLOOKUP(C1997,Products!$A$2:$D$13,2,FALSE)</f>
        <v>Laptop</v>
      </c>
      <c r="M1997" t="str">
        <f t="shared" si="95"/>
        <v>2026-01</v>
      </c>
    </row>
    <row r="1998" spans="1:13">
      <c r="A1998">
        <v>1997</v>
      </c>
      <c r="B1998">
        <v>1982</v>
      </c>
      <c r="C1998">
        <v>7</v>
      </c>
      <c r="D1998">
        <v>4</v>
      </c>
      <c r="E1998">
        <v>65</v>
      </c>
      <c r="F1998">
        <f t="shared" si="93"/>
        <v>260</v>
      </c>
      <c r="G1998" t="str">
        <f>VLOOKUP(B1998,Orders!$A$2:$D$1201,4,FALSE)</f>
        <v>Delivered</v>
      </c>
      <c r="H1998">
        <f t="shared" si="94"/>
        <v>260</v>
      </c>
      <c r="I1998" s="12">
        <f>VLOOKUP(B1998,Orders!$A$2:$D$1201,3,FALSE)</f>
        <v>46044</v>
      </c>
      <c r="L1998" t="str">
        <f>VLOOKUP(C1998,Products!$A$2:$D$13,2,FALSE)</f>
        <v>Headphones</v>
      </c>
      <c r="M1998" t="str">
        <f t="shared" si="95"/>
        <v>2026-01</v>
      </c>
    </row>
    <row r="1999" spans="1:13">
      <c r="A1999">
        <v>1998</v>
      </c>
      <c r="B1999">
        <v>1983</v>
      </c>
      <c r="C1999">
        <v>9</v>
      </c>
      <c r="D1999">
        <v>3</v>
      </c>
      <c r="E1999">
        <v>30</v>
      </c>
      <c r="F1999">
        <f t="shared" si="93"/>
        <v>90</v>
      </c>
      <c r="G1999" t="str">
        <f>VLOOKUP(B1999,Orders!$A$2:$D$1201,4,FALSE)</f>
        <v>Delivered</v>
      </c>
      <c r="H1999">
        <f t="shared" si="94"/>
        <v>90</v>
      </c>
      <c r="I1999" s="12">
        <f>VLOOKUP(B1999,Orders!$A$2:$D$1201,3,FALSE)</f>
        <v>46159</v>
      </c>
      <c r="L1999" t="str">
        <f>VLOOKUP(C1999,Products!$A$2:$D$13,2,FALSE)</f>
        <v>Lamp</v>
      </c>
      <c r="M1999" t="str">
        <f t="shared" si="95"/>
        <v>2026-05</v>
      </c>
    </row>
    <row r="2000" spans="1:13">
      <c r="A2000">
        <v>1999</v>
      </c>
      <c r="B2000">
        <v>1984</v>
      </c>
      <c r="C2000">
        <v>6</v>
      </c>
      <c r="D2000">
        <v>4</v>
      </c>
      <c r="E2000">
        <v>140</v>
      </c>
      <c r="F2000">
        <f t="shared" si="93"/>
        <v>560</v>
      </c>
      <c r="G2000" t="str">
        <f>VLOOKUP(B2000,Orders!$A$2:$D$1201,4,FALSE)</f>
        <v>Delivered</v>
      </c>
      <c r="H2000">
        <f t="shared" si="94"/>
        <v>560</v>
      </c>
      <c r="I2000" s="12">
        <f>VLOOKUP(B2000,Orders!$A$2:$D$1201,3,FALSE)</f>
        <v>46090</v>
      </c>
      <c r="L2000" t="str">
        <f>VLOOKUP(C2000,Products!$A$2:$D$13,2,FALSE)</f>
        <v>Chair</v>
      </c>
      <c r="M2000" t="str">
        <f t="shared" si="95"/>
        <v>2026-03</v>
      </c>
    </row>
    <row r="2001" spans="1:13">
      <c r="A2001">
        <v>2000</v>
      </c>
      <c r="B2001">
        <v>1985</v>
      </c>
      <c r="C2001">
        <v>8</v>
      </c>
      <c r="D2001">
        <v>3</v>
      </c>
      <c r="E2001">
        <v>55</v>
      </c>
      <c r="F2001">
        <f t="shared" si="93"/>
        <v>165</v>
      </c>
      <c r="G2001" t="str">
        <f>VLOOKUP(B2001,Orders!$A$2:$D$1201,4,FALSE)</f>
        <v>Delivered</v>
      </c>
      <c r="H2001">
        <f t="shared" si="94"/>
        <v>165</v>
      </c>
      <c r="I2001" s="12">
        <f>VLOOKUP(B2001,Orders!$A$2:$D$1201,3,FALSE)</f>
        <v>46050</v>
      </c>
      <c r="L2001" t="str">
        <f>VLOOKUP(C2001,Products!$A$2:$D$13,2,FALSE)</f>
        <v>Webcam</v>
      </c>
      <c r="M2001" t="str">
        <f t="shared" si="95"/>
        <v>2026-01</v>
      </c>
    </row>
    <row r="2002" spans="1:13">
      <c r="A2002">
        <v>2001</v>
      </c>
      <c r="B2002">
        <v>1985</v>
      </c>
      <c r="C2002">
        <v>7</v>
      </c>
      <c r="D2002">
        <v>2</v>
      </c>
      <c r="E2002">
        <v>65</v>
      </c>
      <c r="F2002">
        <f t="shared" si="93"/>
        <v>130</v>
      </c>
      <c r="G2002" t="str">
        <f>VLOOKUP(B2002,Orders!$A$2:$D$1201,4,FALSE)</f>
        <v>Delivered</v>
      </c>
      <c r="H2002">
        <f t="shared" si="94"/>
        <v>130</v>
      </c>
      <c r="I2002" s="12">
        <f>VLOOKUP(B2002,Orders!$A$2:$D$1201,3,FALSE)</f>
        <v>46050</v>
      </c>
      <c r="L2002" t="str">
        <f>VLOOKUP(C2002,Products!$A$2:$D$13,2,FALSE)</f>
        <v>Headphones</v>
      </c>
      <c r="M2002" t="str">
        <f t="shared" si="95"/>
        <v>2026-01</v>
      </c>
    </row>
    <row r="2003" spans="1:13">
      <c r="A2003">
        <v>2002</v>
      </c>
      <c r="B2003">
        <v>1985</v>
      </c>
      <c r="C2003">
        <v>10</v>
      </c>
      <c r="D2003">
        <v>4</v>
      </c>
      <c r="E2003">
        <v>8</v>
      </c>
      <c r="F2003">
        <f t="shared" si="93"/>
        <v>32</v>
      </c>
      <c r="G2003" t="str">
        <f>VLOOKUP(B2003,Orders!$A$2:$D$1201,4,FALSE)</f>
        <v>Delivered</v>
      </c>
      <c r="H2003">
        <f t="shared" si="94"/>
        <v>32</v>
      </c>
      <c r="I2003" s="12">
        <f>VLOOKUP(B2003,Orders!$A$2:$D$1201,3,FALSE)</f>
        <v>46050</v>
      </c>
      <c r="L2003" t="str">
        <f>VLOOKUP(C2003,Products!$A$2:$D$13,2,FALSE)</f>
        <v>Notebook</v>
      </c>
      <c r="M2003" t="str">
        <f t="shared" si="95"/>
        <v>2026-01</v>
      </c>
    </row>
    <row r="2004" spans="1:13">
      <c r="A2004">
        <v>2003</v>
      </c>
      <c r="B2004">
        <v>1986</v>
      </c>
      <c r="C2004">
        <v>4</v>
      </c>
      <c r="D2004">
        <v>3</v>
      </c>
      <c r="E2004">
        <v>25</v>
      </c>
      <c r="F2004">
        <f t="shared" si="93"/>
        <v>75</v>
      </c>
      <c r="G2004" t="str">
        <f>VLOOKUP(B2004,Orders!$A$2:$D$1201,4,FALSE)</f>
        <v>Delivered</v>
      </c>
      <c r="H2004">
        <f t="shared" si="94"/>
        <v>75</v>
      </c>
      <c r="I2004" s="12">
        <f>VLOOKUP(B2004,Orders!$A$2:$D$1201,3,FALSE)</f>
        <v>46094</v>
      </c>
      <c r="L2004" t="str">
        <f>VLOOKUP(C2004,Products!$A$2:$D$13,2,FALSE)</f>
        <v>Mouse</v>
      </c>
      <c r="M2004" t="str">
        <f t="shared" si="95"/>
        <v>2026-03</v>
      </c>
    </row>
    <row r="2005" spans="1:13">
      <c r="A2005">
        <v>2004</v>
      </c>
      <c r="B2005">
        <v>1987</v>
      </c>
      <c r="C2005">
        <v>5</v>
      </c>
      <c r="D2005">
        <v>3</v>
      </c>
      <c r="E2005">
        <v>180</v>
      </c>
      <c r="F2005">
        <f t="shared" si="93"/>
        <v>540</v>
      </c>
      <c r="G2005" t="str">
        <f>VLOOKUP(B2005,Orders!$A$2:$D$1201,4,FALSE)</f>
        <v>Delivered</v>
      </c>
      <c r="H2005">
        <f t="shared" si="94"/>
        <v>540</v>
      </c>
      <c r="I2005" s="12">
        <f>VLOOKUP(B2005,Orders!$A$2:$D$1201,3,FALSE)</f>
        <v>46091</v>
      </c>
      <c r="L2005" t="str">
        <f>VLOOKUP(C2005,Products!$A$2:$D$13,2,FALSE)</f>
        <v>Desk</v>
      </c>
      <c r="M2005" t="str">
        <f t="shared" si="95"/>
        <v>2026-03</v>
      </c>
    </row>
    <row r="2006" spans="1:13">
      <c r="A2006">
        <v>2005</v>
      </c>
      <c r="B2006">
        <v>1988</v>
      </c>
      <c r="C2006">
        <v>8</v>
      </c>
      <c r="D2006">
        <v>2</v>
      </c>
      <c r="E2006">
        <v>55</v>
      </c>
      <c r="F2006">
        <f t="shared" si="93"/>
        <v>110</v>
      </c>
      <c r="G2006" t="str">
        <f>VLOOKUP(B2006,Orders!$A$2:$D$1201,4,FALSE)</f>
        <v>Delivered</v>
      </c>
      <c r="H2006">
        <f t="shared" si="94"/>
        <v>110</v>
      </c>
      <c r="I2006" s="12">
        <f>VLOOKUP(B2006,Orders!$A$2:$D$1201,3,FALSE)</f>
        <v>46135</v>
      </c>
      <c r="L2006" t="str">
        <f>VLOOKUP(C2006,Products!$A$2:$D$13,2,FALSE)</f>
        <v>Webcam</v>
      </c>
      <c r="M2006" t="str">
        <f t="shared" si="95"/>
        <v>2026-04</v>
      </c>
    </row>
    <row r="2007" spans="1:13">
      <c r="A2007">
        <v>2006</v>
      </c>
      <c r="B2007">
        <v>1988</v>
      </c>
      <c r="C2007">
        <v>11</v>
      </c>
      <c r="D2007">
        <v>4</v>
      </c>
      <c r="E2007">
        <v>48</v>
      </c>
      <c r="F2007">
        <f t="shared" si="93"/>
        <v>192</v>
      </c>
      <c r="G2007" t="str">
        <f>VLOOKUP(B2007,Orders!$A$2:$D$1201,4,FALSE)</f>
        <v>Delivered</v>
      </c>
      <c r="H2007">
        <f t="shared" si="94"/>
        <v>192</v>
      </c>
      <c r="I2007" s="12">
        <f>VLOOKUP(B2007,Orders!$A$2:$D$1201,3,FALSE)</f>
        <v>46135</v>
      </c>
      <c r="L2007" t="str">
        <f>VLOOKUP(C2007,Products!$A$2:$D$13,2,FALSE)</f>
        <v>Backpack</v>
      </c>
      <c r="M2007" t="str">
        <f t="shared" si="95"/>
        <v>2026-04</v>
      </c>
    </row>
    <row r="2008" spans="1:13">
      <c r="A2008">
        <v>2007</v>
      </c>
      <c r="B2008">
        <v>1989</v>
      </c>
      <c r="C2008">
        <v>3</v>
      </c>
      <c r="D2008">
        <v>3</v>
      </c>
      <c r="E2008">
        <v>45</v>
      </c>
      <c r="F2008">
        <f t="shared" si="93"/>
        <v>135</v>
      </c>
      <c r="G2008" t="str">
        <f>VLOOKUP(B2008,Orders!$A$2:$D$1201,4,FALSE)</f>
        <v>Delivered</v>
      </c>
      <c r="H2008">
        <f t="shared" si="94"/>
        <v>135</v>
      </c>
      <c r="I2008" s="12">
        <f>VLOOKUP(B2008,Orders!$A$2:$D$1201,3,FALSE)</f>
        <v>46164</v>
      </c>
      <c r="L2008" t="str">
        <f>VLOOKUP(C2008,Products!$A$2:$D$13,2,FALSE)</f>
        <v>Keyboard</v>
      </c>
      <c r="M2008" t="str">
        <f t="shared" si="95"/>
        <v>2026-05</v>
      </c>
    </row>
    <row r="2009" spans="1:13">
      <c r="A2009">
        <v>2008</v>
      </c>
      <c r="B2009">
        <v>1989</v>
      </c>
      <c r="C2009">
        <v>5</v>
      </c>
      <c r="D2009">
        <v>3</v>
      </c>
      <c r="E2009">
        <v>180</v>
      </c>
      <c r="F2009">
        <f t="shared" si="93"/>
        <v>540</v>
      </c>
      <c r="G2009" t="str">
        <f>VLOOKUP(B2009,Orders!$A$2:$D$1201,4,FALSE)</f>
        <v>Delivered</v>
      </c>
      <c r="H2009">
        <f t="shared" si="94"/>
        <v>540</v>
      </c>
      <c r="I2009" s="12">
        <f>VLOOKUP(B2009,Orders!$A$2:$D$1201,3,FALSE)</f>
        <v>46164</v>
      </c>
      <c r="L2009" t="str">
        <f>VLOOKUP(C2009,Products!$A$2:$D$13,2,FALSE)</f>
        <v>Desk</v>
      </c>
      <c r="M2009" t="str">
        <f t="shared" si="95"/>
        <v>2026-05</v>
      </c>
    </row>
    <row r="2010" spans="1:13">
      <c r="A2010">
        <v>2009</v>
      </c>
      <c r="B2010">
        <v>1990</v>
      </c>
      <c r="C2010">
        <v>11</v>
      </c>
      <c r="D2010">
        <v>1</v>
      </c>
      <c r="E2010">
        <v>48</v>
      </c>
      <c r="F2010">
        <f t="shared" si="93"/>
        <v>48</v>
      </c>
      <c r="G2010" t="str">
        <f>VLOOKUP(B2010,Orders!$A$2:$D$1201,4,FALSE)</f>
        <v>Delivered</v>
      </c>
      <c r="H2010">
        <f t="shared" si="94"/>
        <v>48</v>
      </c>
      <c r="I2010" s="12">
        <f>VLOOKUP(B2010,Orders!$A$2:$D$1201,3,FALSE)</f>
        <v>46181</v>
      </c>
      <c r="L2010" t="str">
        <f>VLOOKUP(C2010,Products!$A$2:$D$13,2,FALSE)</f>
        <v>Backpack</v>
      </c>
      <c r="M2010" t="str">
        <f t="shared" si="95"/>
        <v>2026-06</v>
      </c>
    </row>
    <row r="2011" spans="1:13">
      <c r="A2011">
        <v>2010</v>
      </c>
      <c r="B2011">
        <v>1991</v>
      </c>
      <c r="C2011">
        <v>12</v>
      </c>
      <c r="D2011">
        <v>3</v>
      </c>
      <c r="E2011">
        <v>22</v>
      </c>
      <c r="F2011">
        <f t="shared" si="93"/>
        <v>66</v>
      </c>
      <c r="G2011" t="str">
        <f>VLOOKUP(B2011,Orders!$A$2:$D$1201,4,FALSE)</f>
        <v>Delivered</v>
      </c>
      <c r="H2011">
        <f t="shared" si="94"/>
        <v>66</v>
      </c>
      <c r="I2011" s="12">
        <f>VLOOKUP(B2011,Orders!$A$2:$D$1201,3,FALSE)</f>
        <v>46033</v>
      </c>
      <c r="L2011" t="str">
        <f>VLOOKUP(C2011,Products!$A$2:$D$13,2,FALSE)</f>
        <v>Storage Box</v>
      </c>
      <c r="M2011" t="str">
        <f t="shared" si="95"/>
        <v>2026-01</v>
      </c>
    </row>
    <row r="2012" spans="1:13">
      <c r="A2012">
        <v>2011</v>
      </c>
      <c r="B2012">
        <v>1992</v>
      </c>
      <c r="C2012">
        <v>2</v>
      </c>
      <c r="D2012">
        <v>4</v>
      </c>
      <c r="E2012">
        <v>220</v>
      </c>
      <c r="F2012">
        <f t="shared" si="93"/>
        <v>880</v>
      </c>
      <c r="G2012" t="str">
        <f>VLOOKUP(B2012,Orders!$A$2:$D$1201,4,FALSE)</f>
        <v>Delivered</v>
      </c>
      <c r="H2012">
        <f t="shared" si="94"/>
        <v>880</v>
      </c>
      <c r="I2012" s="12">
        <f>VLOOKUP(B2012,Orders!$A$2:$D$1201,3,FALSE)</f>
        <v>46161</v>
      </c>
      <c r="L2012" t="str">
        <f>VLOOKUP(C2012,Products!$A$2:$D$13,2,FALSE)</f>
        <v>Monitor</v>
      </c>
      <c r="M2012" t="str">
        <f t="shared" si="95"/>
        <v>2026-05</v>
      </c>
    </row>
    <row r="2013" spans="1:13">
      <c r="A2013">
        <v>2012</v>
      </c>
      <c r="B2013">
        <v>1992</v>
      </c>
      <c r="C2013">
        <v>12</v>
      </c>
      <c r="D2013">
        <v>1</v>
      </c>
      <c r="E2013">
        <v>22</v>
      </c>
      <c r="F2013">
        <f t="shared" si="93"/>
        <v>22</v>
      </c>
      <c r="G2013" t="str">
        <f>VLOOKUP(B2013,Orders!$A$2:$D$1201,4,FALSE)</f>
        <v>Delivered</v>
      </c>
      <c r="H2013">
        <f t="shared" si="94"/>
        <v>22</v>
      </c>
      <c r="I2013" s="12">
        <f>VLOOKUP(B2013,Orders!$A$2:$D$1201,3,FALSE)</f>
        <v>46161</v>
      </c>
      <c r="L2013" t="str">
        <f>VLOOKUP(C2013,Products!$A$2:$D$13,2,FALSE)</f>
        <v>Storage Box</v>
      </c>
      <c r="M2013" t="str">
        <f t="shared" si="95"/>
        <v>2026-05</v>
      </c>
    </row>
    <row r="2014" spans="1:13">
      <c r="A2014">
        <v>2013</v>
      </c>
      <c r="B2014">
        <v>1993</v>
      </c>
      <c r="C2014">
        <v>3</v>
      </c>
      <c r="D2014">
        <v>3</v>
      </c>
      <c r="E2014">
        <v>45</v>
      </c>
      <c r="F2014">
        <f t="shared" si="93"/>
        <v>135</v>
      </c>
      <c r="G2014" t="str">
        <f>VLOOKUP(B2014,Orders!$A$2:$D$1201,4,FALSE)</f>
        <v>Delivered</v>
      </c>
      <c r="H2014">
        <f t="shared" si="94"/>
        <v>135</v>
      </c>
      <c r="I2014" s="12">
        <f>VLOOKUP(B2014,Orders!$A$2:$D$1201,3,FALSE)</f>
        <v>46197</v>
      </c>
      <c r="L2014" t="str">
        <f>VLOOKUP(C2014,Products!$A$2:$D$13,2,FALSE)</f>
        <v>Keyboard</v>
      </c>
      <c r="M2014" t="str">
        <f t="shared" si="95"/>
        <v>2026-06</v>
      </c>
    </row>
    <row r="2015" spans="1:13">
      <c r="A2015">
        <v>2014</v>
      </c>
      <c r="B2015">
        <v>1993</v>
      </c>
      <c r="C2015">
        <v>1</v>
      </c>
      <c r="D2015">
        <v>3</v>
      </c>
      <c r="E2015">
        <v>750</v>
      </c>
      <c r="F2015">
        <f t="shared" si="93"/>
        <v>2250</v>
      </c>
      <c r="G2015" t="str">
        <f>VLOOKUP(B2015,Orders!$A$2:$D$1201,4,FALSE)</f>
        <v>Delivered</v>
      </c>
      <c r="H2015">
        <f t="shared" si="94"/>
        <v>2250</v>
      </c>
      <c r="I2015" s="12">
        <f>VLOOKUP(B2015,Orders!$A$2:$D$1201,3,FALSE)</f>
        <v>46197</v>
      </c>
      <c r="L2015" t="str">
        <f>VLOOKUP(C2015,Products!$A$2:$D$13,2,FALSE)</f>
        <v>Laptop</v>
      </c>
      <c r="M2015" t="str">
        <f t="shared" si="95"/>
        <v>2026-06</v>
      </c>
    </row>
    <row r="2016" spans="1:13">
      <c r="A2016">
        <v>2015</v>
      </c>
      <c r="B2016">
        <v>1994</v>
      </c>
      <c r="C2016">
        <v>1</v>
      </c>
      <c r="D2016">
        <v>2</v>
      </c>
      <c r="E2016">
        <v>750</v>
      </c>
      <c r="F2016">
        <f t="shared" si="93"/>
        <v>1500</v>
      </c>
      <c r="G2016" t="str">
        <f>VLOOKUP(B2016,Orders!$A$2:$D$1201,4,FALSE)</f>
        <v>Delivered</v>
      </c>
      <c r="H2016">
        <f t="shared" si="94"/>
        <v>1500</v>
      </c>
      <c r="I2016" s="12">
        <f>VLOOKUP(B2016,Orders!$A$2:$D$1201,3,FALSE)</f>
        <v>46098</v>
      </c>
      <c r="L2016" t="str">
        <f>VLOOKUP(C2016,Products!$A$2:$D$13,2,FALSE)</f>
        <v>Laptop</v>
      </c>
      <c r="M2016" t="str">
        <f t="shared" si="95"/>
        <v>2026-03</v>
      </c>
    </row>
    <row r="2017" spans="1:13">
      <c r="A2017">
        <v>2016</v>
      </c>
      <c r="B2017">
        <v>1994</v>
      </c>
      <c r="C2017">
        <v>5</v>
      </c>
      <c r="D2017">
        <v>1</v>
      </c>
      <c r="E2017">
        <v>180</v>
      </c>
      <c r="F2017">
        <f t="shared" si="93"/>
        <v>180</v>
      </c>
      <c r="G2017" t="str">
        <f>VLOOKUP(B2017,Orders!$A$2:$D$1201,4,FALSE)</f>
        <v>Delivered</v>
      </c>
      <c r="H2017">
        <f t="shared" si="94"/>
        <v>180</v>
      </c>
      <c r="I2017" s="12">
        <f>VLOOKUP(B2017,Orders!$A$2:$D$1201,3,FALSE)</f>
        <v>46098</v>
      </c>
      <c r="L2017" t="str">
        <f>VLOOKUP(C2017,Products!$A$2:$D$13,2,FALSE)</f>
        <v>Desk</v>
      </c>
      <c r="M2017" t="str">
        <f t="shared" si="95"/>
        <v>2026-03</v>
      </c>
    </row>
    <row r="2018" spans="1:13">
      <c r="A2018">
        <v>2017</v>
      </c>
      <c r="B2018">
        <v>1995</v>
      </c>
      <c r="C2018">
        <v>7</v>
      </c>
      <c r="D2018">
        <v>1</v>
      </c>
      <c r="E2018">
        <v>65</v>
      </c>
      <c r="F2018">
        <f t="shared" si="93"/>
        <v>65</v>
      </c>
      <c r="G2018" t="str">
        <f>VLOOKUP(B2018,Orders!$A$2:$D$1201,4,FALSE)</f>
        <v>Delivered</v>
      </c>
      <c r="H2018">
        <f t="shared" si="94"/>
        <v>65</v>
      </c>
      <c r="I2018" s="12">
        <f>VLOOKUP(B2018,Orders!$A$2:$D$1201,3,FALSE)</f>
        <v>46153</v>
      </c>
      <c r="L2018" t="str">
        <f>VLOOKUP(C2018,Products!$A$2:$D$13,2,FALSE)</f>
        <v>Headphones</v>
      </c>
      <c r="M2018" t="str">
        <f t="shared" si="95"/>
        <v>2026-05</v>
      </c>
    </row>
    <row r="2019" spans="1:13">
      <c r="A2019">
        <v>2018</v>
      </c>
      <c r="B2019">
        <v>1996</v>
      </c>
      <c r="C2019">
        <v>9</v>
      </c>
      <c r="D2019">
        <v>4</v>
      </c>
      <c r="E2019">
        <v>30</v>
      </c>
      <c r="F2019">
        <f t="shared" si="93"/>
        <v>120</v>
      </c>
      <c r="G2019" t="str">
        <f>VLOOKUP(B2019,Orders!$A$2:$D$1201,4,FALSE)</f>
        <v>Shipped</v>
      </c>
      <c r="H2019">
        <f t="shared" si="94"/>
        <v>120</v>
      </c>
      <c r="I2019" s="12">
        <f>VLOOKUP(B2019,Orders!$A$2:$D$1201,3,FALSE)</f>
        <v>46043</v>
      </c>
      <c r="L2019" t="str">
        <f>VLOOKUP(C2019,Products!$A$2:$D$13,2,FALSE)</f>
        <v>Lamp</v>
      </c>
      <c r="M2019" t="str">
        <f t="shared" si="95"/>
        <v>2026-01</v>
      </c>
    </row>
    <row r="2020" spans="1:13">
      <c r="A2020">
        <v>2019</v>
      </c>
      <c r="B2020">
        <v>1996</v>
      </c>
      <c r="C2020">
        <v>10</v>
      </c>
      <c r="D2020">
        <v>1</v>
      </c>
      <c r="E2020">
        <v>8</v>
      </c>
      <c r="F2020">
        <f t="shared" si="93"/>
        <v>8</v>
      </c>
      <c r="G2020" t="str">
        <f>VLOOKUP(B2020,Orders!$A$2:$D$1201,4,FALSE)</f>
        <v>Shipped</v>
      </c>
      <c r="H2020">
        <f t="shared" si="94"/>
        <v>8</v>
      </c>
      <c r="I2020" s="12">
        <f>VLOOKUP(B2020,Orders!$A$2:$D$1201,3,FALSE)</f>
        <v>46043</v>
      </c>
      <c r="L2020" t="str">
        <f>VLOOKUP(C2020,Products!$A$2:$D$13,2,FALSE)</f>
        <v>Notebook</v>
      </c>
      <c r="M2020" t="str">
        <f t="shared" si="95"/>
        <v>2026-01</v>
      </c>
    </row>
    <row r="2021" spans="1:13">
      <c r="A2021">
        <v>2020</v>
      </c>
      <c r="B2021">
        <v>1996</v>
      </c>
      <c r="C2021">
        <v>12</v>
      </c>
      <c r="D2021">
        <v>1</v>
      </c>
      <c r="E2021">
        <v>22</v>
      </c>
      <c r="F2021">
        <f t="shared" si="93"/>
        <v>22</v>
      </c>
      <c r="G2021" t="str">
        <f>VLOOKUP(B2021,Orders!$A$2:$D$1201,4,FALSE)</f>
        <v>Shipped</v>
      </c>
      <c r="H2021">
        <f t="shared" si="94"/>
        <v>22</v>
      </c>
      <c r="I2021" s="12">
        <f>VLOOKUP(B2021,Orders!$A$2:$D$1201,3,FALSE)</f>
        <v>46043</v>
      </c>
      <c r="L2021" t="str">
        <f>VLOOKUP(C2021,Products!$A$2:$D$13,2,FALSE)</f>
        <v>Storage Box</v>
      </c>
      <c r="M2021" t="str">
        <f t="shared" si="95"/>
        <v>2026-01</v>
      </c>
    </row>
    <row r="2022" spans="1:13">
      <c r="A2022">
        <v>2021</v>
      </c>
      <c r="B2022">
        <v>1997</v>
      </c>
      <c r="C2022">
        <v>4</v>
      </c>
      <c r="D2022">
        <v>3</v>
      </c>
      <c r="E2022">
        <v>25</v>
      </c>
      <c r="F2022">
        <f t="shared" si="93"/>
        <v>75</v>
      </c>
      <c r="G2022" t="str">
        <f>VLOOKUP(B2022,Orders!$A$2:$D$1201,4,FALSE)</f>
        <v>Delivered</v>
      </c>
      <c r="H2022">
        <f t="shared" si="94"/>
        <v>75</v>
      </c>
      <c r="I2022" s="12">
        <f>VLOOKUP(B2022,Orders!$A$2:$D$1201,3,FALSE)</f>
        <v>46157</v>
      </c>
      <c r="L2022" t="str">
        <f>VLOOKUP(C2022,Products!$A$2:$D$13,2,FALSE)</f>
        <v>Mouse</v>
      </c>
      <c r="M2022" t="str">
        <f t="shared" si="95"/>
        <v>2026-05</v>
      </c>
    </row>
    <row r="2023" spans="1:13">
      <c r="A2023">
        <v>2022</v>
      </c>
      <c r="B2023">
        <v>1997</v>
      </c>
      <c r="C2023">
        <v>10</v>
      </c>
      <c r="D2023">
        <v>2</v>
      </c>
      <c r="E2023">
        <v>8</v>
      </c>
      <c r="F2023">
        <f t="shared" si="93"/>
        <v>16</v>
      </c>
      <c r="G2023" t="str">
        <f>VLOOKUP(B2023,Orders!$A$2:$D$1201,4,FALSE)</f>
        <v>Delivered</v>
      </c>
      <c r="H2023">
        <f t="shared" si="94"/>
        <v>16</v>
      </c>
      <c r="I2023" s="12">
        <f>VLOOKUP(B2023,Orders!$A$2:$D$1201,3,FALSE)</f>
        <v>46157</v>
      </c>
      <c r="L2023" t="str">
        <f>VLOOKUP(C2023,Products!$A$2:$D$13,2,FALSE)</f>
        <v>Notebook</v>
      </c>
      <c r="M2023" t="str">
        <f t="shared" si="95"/>
        <v>2026-05</v>
      </c>
    </row>
    <row r="2024" spans="1:13">
      <c r="A2024">
        <v>2023</v>
      </c>
      <c r="B2024">
        <v>1998</v>
      </c>
      <c r="C2024">
        <v>4</v>
      </c>
      <c r="D2024">
        <v>3</v>
      </c>
      <c r="E2024">
        <v>25</v>
      </c>
      <c r="F2024">
        <f t="shared" si="93"/>
        <v>75</v>
      </c>
      <c r="G2024" t="str">
        <f>VLOOKUP(B2024,Orders!$A$2:$D$1201,4,FALSE)</f>
        <v>Delivered</v>
      </c>
      <c r="H2024">
        <f t="shared" si="94"/>
        <v>75</v>
      </c>
      <c r="I2024" s="12">
        <f>VLOOKUP(B2024,Orders!$A$2:$D$1201,3,FALSE)</f>
        <v>46139</v>
      </c>
      <c r="L2024" t="str">
        <f>VLOOKUP(C2024,Products!$A$2:$D$13,2,FALSE)</f>
        <v>Mouse</v>
      </c>
      <c r="M2024" t="str">
        <f t="shared" si="95"/>
        <v>2026-04</v>
      </c>
    </row>
    <row r="2025" spans="1:13">
      <c r="A2025">
        <v>2024</v>
      </c>
      <c r="B2025">
        <v>1998</v>
      </c>
      <c r="C2025">
        <v>8</v>
      </c>
      <c r="D2025">
        <v>1</v>
      </c>
      <c r="E2025">
        <v>55</v>
      </c>
      <c r="F2025">
        <f t="shared" si="93"/>
        <v>55</v>
      </c>
      <c r="G2025" t="str">
        <f>VLOOKUP(B2025,Orders!$A$2:$D$1201,4,FALSE)</f>
        <v>Delivered</v>
      </c>
      <c r="H2025">
        <f t="shared" si="94"/>
        <v>55</v>
      </c>
      <c r="I2025" s="12">
        <f>VLOOKUP(B2025,Orders!$A$2:$D$1201,3,FALSE)</f>
        <v>46139</v>
      </c>
      <c r="L2025" t="str">
        <f>VLOOKUP(C2025,Products!$A$2:$D$13,2,FALSE)</f>
        <v>Webcam</v>
      </c>
      <c r="M2025" t="str">
        <f t="shared" si="95"/>
        <v>2026-04</v>
      </c>
    </row>
    <row r="2026" spans="1:13">
      <c r="A2026">
        <v>2025</v>
      </c>
      <c r="B2026">
        <v>1998</v>
      </c>
      <c r="C2026">
        <v>7</v>
      </c>
      <c r="D2026">
        <v>3</v>
      </c>
      <c r="E2026">
        <v>65</v>
      </c>
      <c r="F2026">
        <f t="shared" si="93"/>
        <v>195</v>
      </c>
      <c r="G2026" t="str">
        <f>VLOOKUP(B2026,Orders!$A$2:$D$1201,4,FALSE)</f>
        <v>Delivered</v>
      </c>
      <c r="H2026">
        <f t="shared" si="94"/>
        <v>195</v>
      </c>
      <c r="I2026" s="12">
        <f>VLOOKUP(B2026,Orders!$A$2:$D$1201,3,FALSE)</f>
        <v>46139</v>
      </c>
      <c r="L2026" t="str">
        <f>VLOOKUP(C2026,Products!$A$2:$D$13,2,FALSE)</f>
        <v>Headphones</v>
      </c>
      <c r="M2026" t="str">
        <f t="shared" si="95"/>
        <v>2026-04</v>
      </c>
    </row>
    <row r="2027" spans="1:13">
      <c r="A2027">
        <v>2026</v>
      </c>
      <c r="B2027">
        <v>1999</v>
      </c>
      <c r="C2027">
        <v>10</v>
      </c>
      <c r="D2027">
        <v>2</v>
      </c>
      <c r="E2027">
        <v>8</v>
      </c>
      <c r="F2027">
        <f t="shared" si="93"/>
        <v>16</v>
      </c>
      <c r="G2027" t="str">
        <f>VLOOKUP(B2027,Orders!$A$2:$D$1201,4,FALSE)</f>
        <v>Delivered</v>
      </c>
      <c r="H2027">
        <f t="shared" si="94"/>
        <v>16</v>
      </c>
      <c r="I2027" s="12">
        <f>VLOOKUP(B2027,Orders!$A$2:$D$1201,3,FALSE)</f>
        <v>46177</v>
      </c>
      <c r="L2027" t="str">
        <f>VLOOKUP(C2027,Products!$A$2:$D$13,2,FALSE)</f>
        <v>Notebook</v>
      </c>
      <c r="M2027" t="str">
        <f t="shared" si="95"/>
        <v>2026-06</v>
      </c>
    </row>
    <row r="2028" spans="1:13">
      <c r="A2028">
        <v>2027</v>
      </c>
      <c r="B2028">
        <v>2000</v>
      </c>
      <c r="C2028">
        <v>6</v>
      </c>
      <c r="D2028">
        <v>1</v>
      </c>
      <c r="E2028">
        <v>140</v>
      </c>
      <c r="F2028">
        <f t="shared" si="93"/>
        <v>140</v>
      </c>
      <c r="G2028" t="str">
        <f>VLOOKUP(B2028,Orders!$A$2:$D$1201,4,FALSE)</f>
        <v>Delivered</v>
      </c>
      <c r="H2028">
        <f t="shared" si="94"/>
        <v>140</v>
      </c>
      <c r="I2028" s="12">
        <f>VLOOKUP(B2028,Orders!$A$2:$D$1201,3,FALSE)</f>
        <v>46172</v>
      </c>
      <c r="L2028" t="str">
        <f>VLOOKUP(C2028,Products!$A$2:$D$13,2,FALSE)</f>
        <v>Chair</v>
      </c>
      <c r="M2028" t="str">
        <f t="shared" si="95"/>
        <v>2026-05</v>
      </c>
    </row>
    <row r="2029" spans="1:13">
      <c r="A2029">
        <v>2028</v>
      </c>
      <c r="B2029">
        <v>2000</v>
      </c>
      <c r="C2029">
        <v>12</v>
      </c>
      <c r="D2029">
        <v>1</v>
      </c>
      <c r="E2029">
        <v>22</v>
      </c>
      <c r="F2029">
        <f t="shared" si="93"/>
        <v>22</v>
      </c>
      <c r="G2029" t="str">
        <f>VLOOKUP(B2029,Orders!$A$2:$D$1201,4,FALSE)</f>
        <v>Delivered</v>
      </c>
      <c r="H2029">
        <f t="shared" si="94"/>
        <v>22</v>
      </c>
      <c r="I2029" s="12">
        <f>VLOOKUP(B2029,Orders!$A$2:$D$1201,3,FALSE)</f>
        <v>46172</v>
      </c>
      <c r="L2029" t="str">
        <f>VLOOKUP(C2029,Products!$A$2:$D$13,2,FALSE)</f>
        <v>Storage Box</v>
      </c>
      <c r="M2029" t="str">
        <f t="shared" si="95"/>
        <v>2026-05</v>
      </c>
    </row>
    <row r="2030" spans="1:13">
      <c r="A2030">
        <v>2029</v>
      </c>
      <c r="B2030">
        <v>2001</v>
      </c>
      <c r="C2030">
        <v>8</v>
      </c>
      <c r="D2030">
        <v>1</v>
      </c>
      <c r="E2030">
        <v>55</v>
      </c>
      <c r="F2030">
        <f t="shared" si="93"/>
        <v>55</v>
      </c>
      <c r="G2030" t="str">
        <f>VLOOKUP(B2030,Orders!$A$2:$D$1201,4,FALSE)</f>
        <v>Cancelled</v>
      </c>
      <c r="H2030">
        <f t="shared" si="94"/>
        <v>0</v>
      </c>
      <c r="I2030" s="12">
        <f>VLOOKUP(B2030,Orders!$A$2:$D$1201,3,FALSE)</f>
        <v>46184</v>
      </c>
      <c r="L2030" t="str">
        <f>VLOOKUP(C2030,Products!$A$2:$D$13,2,FALSE)</f>
        <v>Webcam</v>
      </c>
      <c r="M2030" t="str">
        <f t="shared" si="95"/>
        <v>2026-06</v>
      </c>
    </row>
    <row r="2031" spans="1:13">
      <c r="A2031">
        <v>2030</v>
      </c>
      <c r="B2031">
        <v>2002</v>
      </c>
      <c r="C2031">
        <v>12</v>
      </c>
      <c r="D2031">
        <v>2</v>
      </c>
      <c r="E2031">
        <v>22</v>
      </c>
      <c r="F2031">
        <f t="shared" si="93"/>
        <v>44</v>
      </c>
      <c r="G2031" t="str">
        <f>VLOOKUP(B2031,Orders!$A$2:$D$1201,4,FALSE)</f>
        <v>Delivered</v>
      </c>
      <c r="H2031">
        <f t="shared" si="94"/>
        <v>44</v>
      </c>
      <c r="I2031" s="12">
        <f>VLOOKUP(B2031,Orders!$A$2:$D$1201,3,FALSE)</f>
        <v>46065</v>
      </c>
      <c r="L2031" t="str">
        <f>VLOOKUP(C2031,Products!$A$2:$D$13,2,FALSE)</f>
        <v>Storage Box</v>
      </c>
      <c r="M2031" t="str">
        <f t="shared" si="95"/>
        <v>2026-02</v>
      </c>
    </row>
    <row r="2032" spans="1:13">
      <c r="A2032">
        <v>2031</v>
      </c>
      <c r="B2032">
        <v>2002</v>
      </c>
      <c r="C2032">
        <v>8</v>
      </c>
      <c r="D2032">
        <v>1</v>
      </c>
      <c r="E2032">
        <v>55</v>
      </c>
      <c r="F2032">
        <f t="shared" si="93"/>
        <v>55</v>
      </c>
      <c r="G2032" t="str">
        <f>VLOOKUP(B2032,Orders!$A$2:$D$1201,4,FALSE)</f>
        <v>Delivered</v>
      </c>
      <c r="H2032">
        <f t="shared" si="94"/>
        <v>55</v>
      </c>
      <c r="I2032" s="12">
        <f>VLOOKUP(B2032,Orders!$A$2:$D$1201,3,FALSE)</f>
        <v>46065</v>
      </c>
      <c r="L2032" t="str">
        <f>VLOOKUP(C2032,Products!$A$2:$D$13,2,FALSE)</f>
        <v>Webcam</v>
      </c>
      <c r="M2032" t="str">
        <f t="shared" si="95"/>
        <v>2026-02</v>
      </c>
    </row>
    <row r="2033" spans="1:13">
      <c r="A2033">
        <v>2032</v>
      </c>
      <c r="B2033">
        <v>2002</v>
      </c>
      <c r="C2033">
        <v>2</v>
      </c>
      <c r="D2033">
        <v>4</v>
      </c>
      <c r="E2033">
        <v>220</v>
      </c>
      <c r="F2033">
        <f t="shared" si="93"/>
        <v>880</v>
      </c>
      <c r="G2033" t="str">
        <f>VLOOKUP(B2033,Orders!$A$2:$D$1201,4,FALSE)</f>
        <v>Delivered</v>
      </c>
      <c r="H2033">
        <f t="shared" si="94"/>
        <v>880</v>
      </c>
      <c r="I2033" s="12">
        <f>VLOOKUP(B2033,Orders!$A$2:$D$1201,3,FALSE)</f>
        <v>46065</v>
      </c>
      <c r="L2033" t="str">
        <f>VLOOKUP(C2033,Products!$A$2:$D$13,2,FALSE)</f>
        <v>Monitor</v>
      </c>
      <c r="M2033" t="str">
        <f t="shared" si="95"/>
        <v>2026-02</v>
      </c>
    </row>
    <row r="2034" spans="1:13">
      <c r="A2034">
        <v>2033</v>
      </c>
      <c r="B2034">
        <v>2003</v>
      </c>
      <c r="C2034">
        <v>3</v>
      </c>
      <c r="D2034">
        <v>2</v>
      </c>
      <c r="E2034">
        <v>45</v>
      </c>
      <c r="F2034">
        <f t="shared" si="93"/>
        <v>90</v>
      </c>
      <c r="G2034" t="str">
        <f>VLOOKUP(B2034,Orders!$A$2:$D$1201,4,FALSE)</f>
        <v>Shipped</v>
      </c>
      <c r="H2034">
        <f t="shared" si="94"/>
        <v>90</v>
      </c>
      <c r="I2034" s="12">
        <f>VLOOKUP(B2034,Orders!$A$2:$D$1201,3,FALSE)</f>
        <v>46158</v>
      </c>
      <c r="L2034" t="str">
        <f>VLOOKUP(C2034,Products!$A$2:$D$13,2,FALSE)</f>
        <v>Keyboard</v>
      </c>
      <c r="M2034" t="str">
        <f t="shared" si="95"/>
        <v>2026-05</v>
      </c>
    </row>
    <row r="2035" spans="1:13">
      <c r="A2035">
        <v>2034</v>
      </c>
      <c r="B2035">
        <v>2003</v>
      </c>
      <c r="C2035">
        <v>7</v>
      </c>
      <c r="D2035">
        <v>3</v>
      </c>
      <c r="E2035">
        <v>65</v>
      </c>
      <c r="F2035">
        <f t="shared" si="93"/>
        <v>195</v>
      </c>
      <c r="G2035" t="str">
        <f>VLOOKUP(B2035,Orders!$A$2:$D$1201,4,FALSE)</f>
        <v>Shipped</v>
      </c>
      <c r="H2035">
        <f t="shared" si="94"/>
        <v>195</v>
      </c>
      <c r="I2035" s="12">
        <f>VLOOKUP(B2035,Orders!$A$2:$D$1201,3,FALSE)</f>
        <v>46158</v>
      </c>
      <c r="L2035" t="str">
        <f>VLOOKUP(C2035,Products!$A$2:$D$13,2,FALSE)</f>
        <v>Headphones</v>
      </c>
      <c r="M2035" t="str">
        <f t="shared" si="95"/>
        <v>2026-05</v>
      </c>
    </row>
    <row r="2036" spans="1:13">
      <c r="A2036">
        <v>2035</v>
      </c>
      <c r="B2036">
        <v>2004</v>
      </c>
      <c r="C2036">
        <v>1</v>
      </c>
      <c r="D2036">
        <v>4</v>
      </c>
      <c r="E2036">
        <v>750</v>
      </c>
      <c r="F2036">
        <f t="shared" si="93"/>
        <v>3000</v>
      </c>
      <c r="G2036" t="str">
        <f>VLOOKUP(B2036,Orders!$A$2:$D$1201,4,FALSE)</f>
        <v>Delivered</v>
      </c>
      <c r="H2036">
        <f t="shared" si="94"/>
        <v>3000</v>
      </c>
      <c r="I2036" s="12">
        <f>VLOOKUP(B2036,Orders!$A$2:$D$1201,3,FALSE)</f>
        <v>46174</v>
      </c>
      <c r="L2036" t="str">
        <f>VLOOKUP(C2036,Products!$A$2:$D$13,2,FALSE)</f>
        <v>Laptop</v>
      </c>
      <c r="M2036" t="str">
        <f t="shared" si="95"/>
        <v>2026-06</v>
      </c>
    </row>
    <row r="2037" spans="1:13">
      <c r="A2037">
        <v>2036</v>
      </c>
      <c r="B2037">
        <v>2004</v>
      </c>
      <c r="C2037">
        <v>2</v>
      </c>
      <c r="D2037">
        <v>4</v>
      </c>
      <c r="E2037">
        <v>220</v>
      </c>
      <c r="F2037">
        <f t="shared" si="93"/>
        <v>880</v>
      </c>
      <c r="G2037" t="str">
        <f>VLOOKUP(B2037,Orders!$A$2:$D$1201,4,FALSE)</f>
        <v>Delivered</v>
      </c>
      <c r="H2037">
        <f t="shared" si="94"/>
        <v>880</v>
      </c>
      <c r="I2037" s="12">
        <f>VLOOKUP(B2037,Orders!$A$2:$D$1201,3,FALSE)</f>
        <v>46174</v>
      </c>
      <c r="L2037" t="str">
        <f>VLOOKUP(C2037,Products!$A$2:$D$13,2,FALSE)</f>
        <v>Monitor</v>
      </c>
      <c r="M2037" t="str">
        <f t="shared" si="95"/>
        <v>2026-06</v>
      </c>
    </row>
    <row r="2038" spans="1:13">
      <c r="A2038">
        <v>2037</v>
      </c>
      <c r="B2038">
        <v>2004</v>
      </c>
      <c r="C2038">
        <v>6</v>
      </c>
      <c r="D2038">
        <v>4</v>
      </c>
      <c r="E2038">
        <v>140</v>
      </c>
      <c r="F2038">
        <f t="shared" si="93"/>
        <v>560</v>
      </c>
      <c r="G2038" t="str">
        <f>VLOOKUP(B2038,Orders!$A$2:$D$1201,4,FALSE)</f>
        <v>Delivered</v>
      </c>
      <c r="H2038">
        <f t="shared" si="94"/>
        <v>560</v>
      </c>
      <c r="I2038" s="12">
        <f>VLOOKUP(B2038,Orders!$A$2:$D$1201,3,FALSE)</f>
        <v>46174</v>
      </c>
      <c r="L2038" t="str">
        <f>VLOOKUP(C2038,Products!$A$2:$D$13,2,FALSE)</f>
        <v>Chair</v>
      </c>
      <c r="M2038" t="str">
        <f t="shared" si="95"/>
        <v>2026-06</v>
      </c>
    </row>
    <row r="2039" spans="1:13">
      <c r="A2039">
        <v>2038</v>
      </c>
      <c r="B2039">
        <v>2005</v>
      </c>
      <c r="C2039">
        <v>3</v>
      </c>
      <c r="D2039">
        <v>1</v>
      </c>
      <c r="E2039">
        <v>45</v>
      </c>
      <c r="F2039">
        <f t="shared" si="93"/>
        <v>45</v>
      </c>
      <c r="G2039" t="str">
        <f>VLOOKUP(B2039,Orders!$A$2:$D$1201,4,FALSE)</f>
        <v>Delivered</v>
      </c>
      <c r="H2039">
        <f t="shared" si="94"/>
        <v>45</v>
      </c>
      <c r="I2039" s="12">
        <f>VLOOKUP(B2039,Orders!$A$2:$D$1201,3,FALSE)</f>
        <v>46057</v>
      </c>
      <c r="L2039" t="str">
        <f>VLOOKUP(C2039,Products!$A$2:$D$13,2,FALSE)</f>
        <v>Keyboard</v>
      </c>
      <c r="M2039" t="str">
        <f t="shared" si="95"/>
        <v>2026-02</v>
      </c>
    </row>
    <row r="2040" spans="1:13">
      <c r="A2040">
        <v>2039</v>
      </c>
      <c r="B2040">
        <v>2006</v>
      </c>
      <c r="C2040">
        <v>10</v>
      </c>
      <c r="D2040">
        <v>2</v>
      </c>
      <c r="E2040">
        <v>8</v>
      </c>
      <c r="F2040">
        <f t="shared" si="93"/>
        <v>16</v>
      </c>
      <c r="G2040" t="str">
        <f>VLOOKUP(B2040,Orders!$A$2:$D$1201,4,FALSE)</f>
        <v>Delivered</v>
      </c>
      <c r="H2040">
        <f t="shared" si="94"/>
        <v>16</v>
      </c>
      <c r="I2040" s="12">
        <f>VLOOKUP(B2040,Orders!$A$2:$D$1201,3,FALSE)</f>
        <v>46105</v>
      </c>
      <c r="L2040" t="str">
        <f>VLOOKUP(C2040,Products!$A$2:$D$13,2,FALSE)</f>
        <v>Notebook</v>
      </c>
      <c r="M2040" t="str">
        <f t="shared" si="95"/>
        <v>2026-03</v>
      </c>
    </row>
    <row r="2041" spans="1:13">
      <c r="A2041">
        <v>2040</v>
      </c>
      <c r="B2041">
        <v>2006</v>
      </c>
      <c r="C2041">
        <v>5</v>
      </c>
      <c r="D2041">
        <v>3</v>
      </c>
      <c r="E2041">
        <v>180</v>
      </c>
      <c r="F2041">
        <f t="shared" si="93"/>
        <v>540</v>
      </c>
      <c r="G2041" t="str">
        <f>VLOOKUP(B2041,Orders!$A$2:$D$1201,4,FALSE)</f>
        <v>Delivered</v>
      </c>
      <c r="H2041">
        <f t="shared" si="94"/>
        <v>540</v>
      </c>
      <c r="I2041" s="12">
        <f>VLOOKUP(B2041,Orders!$A$2:$D$1201,3,FALSE)</f>
        <v>46105</v>
      </c>
      <c r="L2041" t="str">
        <f>VLOOKUP(C2041,Products!$A$2:$D$13,2,FALSE)</f>
        <v>Desk</v>
      </c>
      <c r="M2041" t="str">
        <f t="shared" si="95"/>
        <v>2026-03</v>
      </c>
    </row>
    <row r="2042" spans="1:13">
      <c r="A2042">
        <v>2041</v>
      </c>
      <c r="B2042">
        <v>2006</v>
      </c>
      <c r="C2042">
        <v>2</v>
      </c>
      <c r="D2042">
        <v>4</v>
      </c>
      <c r="E2042">
        <v>220</v>
      </c>
      <c r="F2042">
        <f t="shared" si="93"/>
        <v>880</v>
      </c>
      <c r="G2042" t="str">
        <f>VLOOKUP(B2042,Orders!$A$2:$D$1201,4,FALSE)</f>
        <v>Delivered</v>
      </c>
      <c r="H2042">
        <f t="shared" si="94"/>
        <v>880</v>
      </c>
      <c r="I2042" s="12">
        <f>VLOOKUP(B2042,Orders!$A$2:$D$1201,3,FALSE)</f>
        <v>46105</v>
      </c>
      <c r="L2042" t="str">
        <f>VLOOKUP(C2042,Products!$A$2:$D$13,2,FALSE)</f>
        <v>Monitor</v>
      </c>
      <c r="M2042" t="str">
        <f t="shared" si="95"/>
        <v>2026-03</v>
      </c>
    </row>
    <row r="2043" spans="1:13">
      <c r="A2043">
        <v>2042</v>
      </c>
      <c r="B2043">
        <v>2007</v>
      </c>
      <c r="C2043">
        <v>6</v>
      </c>
      <c r="D2043">
        <v>3</v>
      </c>
      <c r="E2043">
        <v>140</v>
      </c>
      <c r="F2043">
        <f t="shared" si="93"/>
        <v>420</v>
      </c>
      <c r="G2043" t="str">
        <f>VLOOKUP(B2043,Orders!$A$2:$D$1201,4,FALSE)</f>
        <v>Delivered</v>
      </c>
      <c r="H2043">
        <f t="shared" si="94"/>
        <v>420</v>
      </c>
      <c r="I2043" s="12">
        <f>VLOOKUP(B2043,Orders!$A$2:$D$1201,3,FALSE)</f>
        <v>46153</v>
      </c>
      <c r="L2043" t="str">
        <f>VLOOKUP(C2043,Products!$A$2:$D$13,2,FALSE)</f>
        <v>Chair</v>
      </c>
      <c r="M2043" t="str">
        <f t="shared" si="95"/>
        <v>2026-05</v>
      </c>
    </row>
    <row r="2044" spans="1:13">
      <c r="A2044">
        <v>2043</v>
      </c>
      <c r="B2044">
        <v>2007</v>
      </c>
      <c r="C2044">
        <v>7</v>
      </c>
      <c r="D2044">
        <v>2</v>
      </c>
      <c r="E2044">
        <v>65</v>
      </c>
      <c r="F2044">
        <f t="shared" si="93"/>
        <v>130</v>
      </c>
      <c r="G2044" t="str">
        <f>VLOOKUP(B2044,Orders!$A$2:$D$1201,4,FALSE)</f>
        <v>Delivered</v>
      </c>
      <c r="H2044">
        <f t="shared" si="94"/>
        <v>130</v>
      </c>
      <c r="I2044" s="12">
        <f>VLOOKUP(B2044,Orders!$A$2:$D$1201,3,FALSE)</f>
        <v>46153</v>
      </c>
      <c r="L2044" t="str">
        <f>VLOOKUP(C2044,Products!$A$2:$D$13,2,FALSE)</f>
        <v>Headphones</v>
      </c>
      <c r="M2044" t="str">
        <f t="shared" si="95"/>
        <v>2026-05</v>
      </c>
    </row>
    <row r="2045" spans="1:13">
      <c r="A2045">
        <v>2044</v>
      </c>
      <c r="B2045">
        <v>2008</v>
      </c>
      <c r="C2045">
        <v>10</v>
      </c>
      <c r="D2045">
        <v>3</v>
      </c>
      <c r="E2045">
        <v>8</v>
      </c>
      <c r="F2045">
        <f t="shared" si="93"/>
        <v>24</v>
      </c>
      <c r="G2045" t="str">
        <f>VLOOKUP(B2045,Orders!$A$2:$D$1201,4,FALSE)</f>
        <v>Delivered</v>
      </c>
      <c r="H2045">
        <f t="shared" si="94"/>
        <v>24</v>
      </c>
      <c r="I2045" s="12">
        <f>VLOOKUP(B2045,Orders!$A$2:$D$1201,3,FALSE)</f>
        <v>46076</v>
      </c>
      <c r="L2045" t="str">
        <f>VLOOKUP(C2045,Products!$A$2:$D$13,2,FALSE)</f>
        <v>Notebook</v>
      </c>
      <c r="M2045" t="str">
        <f t="shared" si="95"/>
        <v>2026-02</v>
      </c>
    </row>
    <row r="2046" spans="1:13">
      <c r="A2046">
        <v>2045</v>
      </c>
      <c r="B2046">
        <v>2008</v>
      </c>
      <c r="C2046">
        <v>6</v>
      </c>
      <c r="D2046">
        <v>3</v>
      </c>
      <c r="E2046">
        <v>140</v>
      </c>
      <c r="F2046">
        <f t="shared" si="93"/>
        <v>420</v>
      </c>
      <c r="G2046" t="str">
        <f>VLOOKUP(B2046,Orders!$A$2:$D$1201,4,FALSE)</f>
        <v>Delivered</v>
      </c>
      <c r="H2046">
        <f t="shared" si="94"/>
        <v>420</v>
      </c>
      <c r="I2046" s="12">
        <f>VLOOKUP(B2046,Orders!$A$2:$D$1201,3,FALSE)</f>
        <v>46076</v>
      </c>
      <c r="L2046" t="str">
        <f>VLOOKUP(C2046,Products!$A$2:$D$13,2,FALSE)</f>
        <v>Chair</v>
      </c>
      <c r="M2046" t="str">
        <f t="shared" si="95"/>
        <v>2026-02</v>
      </c>
    </row>
    <row r="2047" spans="1:13">
      <c r="A2047">
        <v>2046</v>
      </c>
      <c r="B2047">
        <v>2008</v>
      </c>
      <c r="C2047">
        <v>2</v>
      </c>
      <c r="D2047">
        <v>2</v>
      </c>
      <c r="E2047">
        <v>220</v>
      </c>
      <c r="F2047">
        <f t="shared" si="93"/>
        <v>440</v>
      </c>
      <c r="G2047" t="str">
        <f>VLOOKUP(B2047,Orders!$A$2:$D$1201,4,FALSE)</f>
        <v>Delivered</v>
      </c>
      <c r="H2047">
        <f t="shared" si="94"/>
        <v>440</v>
      </c>
      <c r="I2047" s="12">
        <f>VLOOKUP(B2047,Orders!$A$2:$D$1201,3,FALSE)</f>
        <v>46076</v>
      </c>
      <c r="L2047" t="str">
        <f>VLOOKUP(C2047,Products!$A$2:$D$13,2,FALSE)</f>
        <v>Monitor</v>
      </c>
      <c r="M2047" t="str">
        <f t="shared" si="95"/>
        <v>2026-02</v>
      </c>
    </row>
    <row r="2048" spans="1:13">
      <c r="A2048">
        <v>2047</v>
      </c>
      <c r="B2048">
        <v>2009</v>
      </c>
      <c r="C2048">
        <v>2</v>
      </c>
      <c r="D2048">
        <v>2</v>
      </c>
      <c r="E2048">
        <v>220</v>
      </c>
      <c r="F2048">
        <f t="shared" si="93"/>
        <v>440</v>
      </c>
      <c r="G2048" t="str">
        <f>VLOOKUP(B2048,Orders!$A$2:$D$1201,4,FALSE)</f>
        <v>Shipped</v>
      </c>
      <c r="H2048">
        <f t="shared" si="94"/>
        <v>440</v>
      </c>
      <c r="I2048" s="12">
        <f>VLOOKUP(B2048,Orders!$A$2:$D$1201,3,FALSE)</f>
        <v>46096</v>
      </c>
      <c r="L2048" t="str">
        <f>VLOOKUP(C2048,Products!$A$2:$D$13,2,FALSE)</f>
        <v>Monitor</v>
      </c>
      <c r="M2048" t="str">
        <f t="shared" si="95"/>
        <v>2026-03</v>
      </c>
    </row>
    <row r="2049" spans="1:13">
      <c r="A2049">
        <v>2048</v>
      </c>
      <c r="B2049">
        <v>2009</v>
      </c>
      <c r="C2049">
        <v>4</v>
      </c>
      <c r="D2049">
        <v>1</v>
      </c>
      <c r="E2049">
        <v>25</v>
      </c>
      <c r="F2049">
        <f t="shared" si="93"/>
        <v>25</v>
      </c>
      <c r="G2049" t="str">
        <f>VLOOKUP(B2049,Orders!$A$2:$D$1201,4,FALSE)</f>
        <v>Shipped</v>
      </c>
      <c r="H2049">
        <f t="shared" si="94"/>
        <v>25</v>
      </c>
      <c r="I2049" s="12">
        <f>VLOOKUP(B2049,Orders!$A$2:$D$1201,3,FALSE)</f>
        <v>46096</v>
      </c>
      <c r="L2049" t="str">
        <f>VLOOKUP(C2049,Products!$A$2:$D$13,2,FALSE)</f>
        <v>Mouse</v>
      </c>
      <c r="M2049" t="str">
        <f t="shared" si="95"/>
        <v>2026-03</v>
      </c>
    </row>
    <row r="2050" spans="1:13">
      <c r="A2050">
        <v>2049</v>
      </c>
      <c r="B2050">
        <v>2009</v>
      </c>
      <c r="C2050">
        <v>5</v>
      </c>
      <c r="D2050">
        <v>2</v>
      </c>
      <c r="E2050">
        <v>180</v>
      </c>
      <c r="F2050">
        <f t="shared" si="93"/>
        <v>360</v>
      </c>
      <c r="G2050" t="str">
        <f>VLOOKUP(B2050,Orders!$A$2:$D$1201,4,FALSE)</f>
        <v>Shipped</v>
      </c>
      <c r="H2050">
        <f t="shared" si="94"/>
        <v>360</v>
      </c>
      <c r="I2050" s="12">
        <f>VLOOKUP(B2050,Orders!$A$2:$D$1201,3,FALSE)</f>
        <v>46096</v>
      </c>
      <c r="L2050" t="str">
        <f>VLOOKUP(C2050,Products!$A$2:$D$13,2,FALSE)</f>
        <v>Desk</v>
      </c>
      <c r="M2050" t="str">
        <f t="shared" si="95"/>
        <v>2026-03</v>
      </c>
    </row>
    <row r="2051" spans="1:13">
      <c r="A2051">
        <v>2050</v>
      </c>
      <c r="B2051">
        <v>2010</v>
      </c>
      <c r="C2051">
        <v>9</v>
      </c>
      <c r="D2051">
        <v>4</v>
      </c>
      <c r="E2051">
        <v>30</v>
      </c>
      <c r="F2051">
        <f t="shared" ref="F2051:F2114" si="96">D2051*E2051</f>
        <v>120</v>
      </c>
      <c r="G2051" t="str">
        <f>VLOOKUP(B2051,Orders!$A$2:$D$1201,4,FALSE)</f>
        <v>Delivered</v>
      </c>
      <c r="H2051">
        <f t="shared" ref="H2051:H2114" si="97">IF(G2051="Cancelled",0,F2051)</f>
        <v>120</v>
      </c>
      <c r="I2051" s="12">
        <f>VLOOKUP(B2051,Orders!$A$2:$D$1201,3,FALSE)</f>
        <v>46066</v>
      </c>
      <c r="L2051" t="str">
        <f>VLOOKUP(C2051,Products!$A$2:$D$13,2,FALSE)</f>
        <v>Lamp</v>
      </c>
      <c r="M2051" t="str">
        <f t="shared" ref="M2051:M2114" si="98">TEXT(I2051,"yyyy-mm")</f>
        <v>2026-02</v>
      </c>
    </row>
    <row r="2052" spans="1:13">
      <c r="A2052">
        <v>2051</v>
      </c>
      <c r="B2052">
        <v>2010</v>
      </c>
      <c r="C2052">
        <v>4</v>
      </c>
      <c r="D2052">
        <v>1</v>
      </c>
      <c r="E2052">
        <v>25</v>
      </c>
      <c r="F2052">
        <f t="shared" si="96"/>
        <v>25</v>
      </c>
      <c r="G2052" t="str">
        <f>VLOOKUP(B2052,Orders!$A$2:$D$1201,4,FALSE)</f>
        <v>Delivered</v>
      </c>
      <c r="H2052">
        <f t="shared" si="97"/>
        <v>25</v>
      </c>
      <c r="I2052" s="12">
        <f>VLOOKUP(B2052,Orders!$A$2:$D$1201,3,FALSE)</f>
        <v>46066</v>
      </c>
      <c r="L2052" t="str">
        <f>VLOOKUP(C2052,Products!$A$2:$D$13,2,FALSE)</f>
        <v>Mouse</v>
      </c>
      <c r="M2052" t="str">
        <f t="shared" si="98"/>
        <v>2026-02</v>
      </c>
    </row>
    <row r="2053" spans="1:13">
      <c r="A2053">
        <v>2052</v>
      </c>
      <c r="B2053">
        <v>2010</v>
      </c>
      <c r="C2053">
        <v>1</v>
      </c>
      <c r="D2053">
        <v>3</v>
      </c>
      <c r="E2053">
        <v>750</v>
      </c>
      <c r="F2053">
        <f t="shared" si="96"/>
        <v>2250</v>
      </c>
      <c r="G2053" t="str">
        <f>VLOOKUP(B2053,Orders!$A$2:$D$1201,4,FALSE)</f>
        <v>Delivered</v>
      </c>
      <c r="H2053">
        <f t="shared" si="97"/>
        <v>2250</v>
      </c>
      <c r="I2053" s="12">
        <f>VLOOKUP(B2053,Orders!$A$2:$D$1201,3,FALSE)</f>
        <v>46066</v>
      </c>
      <c r="L2053" t="str">
        <f>VLOOKUP(C2053,Products!$A$2:$D$13,2,FALSE)</f>
        <v>Laptop</v>
      </c>
      <c r="M2053" t="str">
        <f t="shared" si="98"/>
        <v>2026-02</v>
      </c>
    </row>
    <row r="2054" spans="1:13">
      <c r="A2054">
        <v>2053</v>
      </c>
      <c r="B2054">
        <v>2011</v>
      </c>
      <c r="C2054">
        <v>2</v>
      </c>
      <c r="D2054">
        <v>4</v>
      </c>
      <c r="E2054">
        <v>220</v>
      </c>
      <c r="F2054">
        <f t="shared" si="96"/>
        <v>880</v>
      </c>
      <c r="G2054" t="str">
        <f>VLOOKUP(B2054,Orders!$A$2:$D$1201,4,FALSE)</f>
        <v>Delivered</v>
      </c>
      <c r="H2054">
        <f t="shared" si="97"/>
        <v>880</v>
      </c>
      <c r="I2054" s="12">
        <f>VLOOKUP(B2054,Orders!$A$2:$D$1201,3,FALSE)</f>
        <v>46136</v>
      </c>
      <c r="L2054" t="str">
        <f>VLOOKUP(C2054,Products!$A$2:$D$13,2,FALSE)</f>
        <v>Monitor</v>
      </c>
      <c r="M2054" t="str">
        <f t="shared" si="98"/>
        <v>2026-04</v>
      </c>
    </row>
    <row r="2055" spans="1:13">
      <c r="A2055">
        <v>2054</v>
      </c>
      <c r="B2055">
        <v>2011</v>
      </c>
      <c r="C2055">
        <v>12</v>
      </c>
      <c r="D2055">
        <v>4</v>
      </c>
      <c r="E2055">
        <v>22</v>
      </c>
      <c r="F2055">
        <f t="shared" si="96"/>
        <v>88</v>
      </c>
      <c r="G2055" t="str">
        <f>VLOOKUP(B2055,Orders!$A$2:$D$1201,4,FALSE)</f>
        <v>Delivered</v>
      </c>
      <c r="H2055">
        <f t="shared" si="97"/>
        <v>88</v>
      </c>
      <c r="I2055" s="12">
        <f>VLOOKUP(B2055,Orders!$A$2:$D$1201,3,FALSE)</f>
        <v>46136</v>
      </c>
      <c r="L2055" t="str">
        <f>VLOOKUP(C2055,Products!$A$2:$D$13,2,FALSE)</f>
        <v>Storage Box</v>
      </c>
      <c r="M2055" t="str">
        <f t="shared" si="98"/>
        <v>2026-04</v>
      </c>
    </row>
    <row r="2056" spans="1:13">
      <c r="A2056">
        <v>2055</v>
      </c>
      <c r="B2056">
        <v>2012</v>
      </c>
      <c r="C2056">
        <v>12</v>
      </c>
      <c r="D2056">
        <v>2</v>
      </c>
      <c r="E2056">
        <v>22</v>
      </c>
      <c r="F2056">
        <f t="shared" si="96"/>
        <v>44</v>
      </c>
      <c r="G2056" t="str">
        <f>VLOOKUP(B2056,Orders!$A$2:$D$1201,4,FALSE)</f>
        <v>Delivered</v>
      </c>
      <c r="H2056">
        <f t="shared" si="97"/>
        <v>44</v>
      </c>
      <c r="I2056" s="12">
        <f>VLOOKUP(B2056,Orders!$A$2:$D$1201,3,FALSE)</f>
        <v>46194</v>
      </c>
      <c r="L2056" t="str">
        <f>VLOOKUP(C2056,Products!$A$2:$D$13,2,FALSE)</f>
        <v>Storage Box</v>
      </c>
      <c r="M2056" t="str">
        <f t="shared" si="98"/>
        <v>2026-06</v>
      </c>
    </row>
    <row r="2057" spans="1:13">
      <c r="A2057">
        <v>2056</v>
      </c>
      <c r="B2057">
        <v>2013</v>
      </c>
      <c r="C2057">
        <v>2</v>
      </c>
      <c r="D2057">
        <v>4</v>
      </c>
      <c r="E2057">
        <v>220</v>
      </c>
      <c r="F2057">
        <f t="shared" si="96"/>
        <v>880</v>
      </c>
      <c r="G2057" t="str">
        <f>VLOOKUP(B2057,Orders!$A$2:$D$1201,4,FALSE)</f>
        <v>Delivered</v>
      </c>
      <c r="H2057">
        <f t="shared" si="97"/>
        <v>880</v>
      </c>
      <c r="I2057" s="12">
        <f>VLOOKUP(B2057,Orders!$A$2:$D$1201,3,FALSE)</f>
        <v>46139</v>
      </c>
      <c r="L2057" t="str">
        <f>VLOOKUP(C2057,Products!$A$2:$D$13,2,FALSE)</f>
        <v>Monitor</v>
      </c>
      <c r="M2057" t="str">
        <f t="shared" si="98"/>
        <v>2026-04</v>
      </c>
    </row>
    <row r="2058" spans="1:13">
      <c r="A2058">
        <v>2057</v>
      </c>
      <c r="B2058">
        <v>2013</v>
      </c>
      <c r="C2058">
        <v>6</v>
      </c>
      <c r="D2058">
        <v>1</v>
      </c>
      <c r="E2058">
        <v>140</v>
      </c>
      <c r="F2058">
        <f t="shared" si="96"/>
        <v>140</v>
      </c>
      <c r="G2058" t="str">
        <f>VLOOKUP(B2058,Orders!$A$2:$D$1201,4,FALSE)</f>
        <v>Delivered</v>
      </c>
      <c r="H2058">
        <f t="shared" si="97"/>
        <v>140</v>
      </c>
      <c r="I2058" s="12">
        <f>VLOOKUP(B2058,Orders!$A$2:$D$1201,3,FALSE)</f>
        <v>46139</v>
      </c>
      <c r="L2058" t="str">
        <f>VLOOKUP(C2058,Products!$A$2:$D$13,2,FALSE)</f>
        <v>Chair</v>
      </c>
      <c r="M2058" t="str">
        <f t="shared" si="98"/>
        <v>2026-04</v>
      </c>
    </row>
    <row r="2059" spans="1:13">
      <c r="A2059">
        <v>2058</v>
      </c>
      <c r="B2059">
        <v>2013</v>
      </c>
      <c r="C2059">
        <v>1</v>
      </c>
      <c r="D2059">
        <v>3</v>
      </c>
      <c r="E2059">
        <v>750</v>
      </c>
      <c r="F2059">
        <f t="shared" si="96"/>
        <v>2250</v>
      </c>
      <c r="G2059" t="str">
        <f>VLOOKUP(B2059,Orders!$A$2:$D$1201,4,FALSE)</f>
        <v>Delivered</v>
      </c>
      <c r="H2059">
        <f t="shared" si="97"/>
        <v>2250</v>
      </c>
      <c r="I2059" s="12">
        <f>VLOOKUP(B2059,Orders!$A$2:$D$1201,3,FALSE)</f>
        <v>46139</v>
      </c>
      <c r="L2059" t="str">
        <f>VLOOKUP(C2059,Products!$A$2:$D$13,2,FALSE)</f>
        <v>Laptop</v>
      </c>
      <c r="M2059" t="str">
        <f t="shared" si="98"/>
        <v>2026-04</v>
      </c>
    </row>
    <row r="2060" spans="1:13">
      <c r="A2060">
        <v>2059</v>
      </c>
      <c r="B2060">
        <v>2014</v>
      </c>
      <c r="C2060">
        <v>3</v>
      </c>
      <c r="D2060">
        <v>4</v>
      </c>
      <c r="E2060">
        <v>45</v>
      </c>
      <c r="F2060">
        <f t="shared" si="96"/>
        <v>180</v>
      </c>
      <c r="G2060" t="str">
        <f>VLOOKUP(B2060,Orders!$A$2:$D$1201,4,FALSE)</f>
        <v>Shipped</v>
      </c>
      <c r="H2060">
        <f t="shared" si="97"/>
        <v>180</v>
      </c>
      <c r="I2060" s="12">
        <f>VLOOKUP(B2060,Orders!$A$2:$D$1201,3,FALSE)</f>
        <v>46032</v>
      </c>
      <c r="L2060" t="str">
        <f>VLOOKUP(C2060,Products!$A$2:$D$13,2,FALSE)</f>
        <v>Keyboard</v>
      </c>
      <c r="M2060" t="str">
        <f t="shared" si="98"/>
        <v>2026-01</v>
      </c>
    </row>
    <row r="2061" spans="1:13">
      <c r="A2061">
        <v>2060</v>
      </c>
      <c r="B2061">
        <v>2015</v>
      </c>
      <c r="C2061">
        <v>8</v>
      </c>
      <c r="D2061">
        <v>2</v>
      </c>
      <c r="E2061">
        <v>55</v>
      </c>
      <c r="F2061">
        <f t="shared" si="96"/>
        <v>110</v>
      </c>
      <c r="G2061" t="str">
        <f>VLOOKUP(B2061,Orders!$A$2:$D$1201,4,FALSE)</f>
        <v>Delivered</v>
      </c>
      <c r="H2061">
        <f t="shared" si="97"/>
        <v>110</v>
      </c>
      <c r="I2061" s="12">
        <f>VLOOKUP(B2061,Orders!$A$2:$D$1201,3,FALSE)</f>
        <v>46195</v>
      </c>
      <c r="L2061" t="str">
        <f>VLOOKUP(C2061,Products!$A$2:$D$13,2,FALSE)</f>
        <v>Webcam</v>
      </c>
      <c r="M2061" t="str">
        <f t="shared" si="98"/>
        <v>2026-06</v>
      </c>
    </row>
    <row r="2062" spans="1:13">
      <c r="A2062">
        <v>2061</v>
      </c>
      <c r="B2062">
        <v>2016</v>
      </c>
      <c r="C2062">
        <v>7</v>
      </c>
      <c r="D2062">
        <v>1</v>
      </c>
      <c r="E2062">
        <v>65</v>
      </c>
      <c r="F2062">
        <f t="shared" si="96"/>
        <v>65</v>
      </c>
      <c r="G2062" t="str">
        <f>VLOOKUP(B2062,Orders!$A$2:$D$1201,4,FALSE)</f>
        <v>Cancelled</v>
      </c>
      <c r="H2062">
        <f t="shared" si="97"/>
        <v>0</v>
      </c>
      <c r="I2062" s="12">
        <f>VLOOKUP(B2062,Orders!$A$2:$D$1201,3,FALSE)</f>
        <v>46155</v>
      </c>
      <c r="L2062" t="str">
        <f>VLOOKUP(C2062,Products!$A$2:$D$13,2,FALSE)</f>
        <v>Headphones</v>
      </c>
      <c r="M2062" t="str">
        <f t="shared" si="98"/>
        <v>2026-05</v>
      </c>
    </row>
    <row r="2063" spans="1:13">
      <c r="A2063">
        <v>2062</v>
      </c>
      <c r="B2063">
        <v>2017</v>
      </c>
      <c r="C2063">
        <v>3</v>
      </c>
      <c r="D2063">
        <v>3</v>
      </c>
      <c r="E2063">
        <v>45</v>
      </c>
      <c r="F2063">
        <f t="shared" si="96"/>
        <v>135</v>
      </c>
      <c r="G2063" t="str">
        <f>VLOOKUP(B2063,Orders!$A$2:$D$1201,4,FALSE)</f>
        <v>Delivered</v>
      </c>
      <c r="H2063">
        <f t="shared" si="97"/>
        <v>135</v>
      </c>
      <c r="I2063" s="12">
        <f>VLOOKUP(B2063,Orders!$A$2:$D$1201,3,FALSE)</f>
        <v>46148</v>
      </c>
      <c r="L2063" t="str">
        <f>VLOOKUP(C2063,Products!$A$2:$D$13,2,FALSE)</f>
        <v>Keyboard</v>
      </c>
      <c r="M2063" t="str">
        <f t="shared" si="98"/>
        <v>2026-05</v>
      </c>
    </row>
    <row r="2064" spans="1:13">
      <c r="A2064">
        <v>2063</v>
      </c>
      <c r="B2064">
        <v>2017</v>
      </c>
      <c r="C2064">
        <v>1</v>
      </c>
      <c r="D2064">
        <v>4</v>
      </c>
      <c r="E2064">
        <v>750</v>
      </c>
      <c r="F2064">
        <f t="shared" si="96"/>
        <v>3000</v>
      </c>
      <c r="G2064" t="str">
        <f>VLOOKUP(B2064,Orders!$A$2:$D$1201,4,FALSE)</f>
        <v>Delivered</v>
      </c>
      <c r="H2064">
        <f t="shared" si="97"/>
        <v>3000</v>
      </c>
      <c r="I2064" s="12">
        <f>VLOOKUP(B2064,Orders!$A$2:$D$1201,3,FALSE)</f>
        <v>46148</v>
      </c>
      <c r="L2064" t="str">
        <f>VLOOKUP(C2064,Products!$A$2:$D$13,2,FALSE)</f>
        <v>Laptop</v>
      </c>
      <c r="M2064" t="str">
        <f t="shared" si="98"/>
        <v>2026-05</v>
      </c>
    </row>
    <row r="2065" spans="1:13">
      <c r="A2065">
        <v>2064</v>
      </c>
      <c r="B2065">
        <v>2017</v>
      </c>
      <c r="C2065">
        <v>7</v>
      </c>
      <c r="D2065">
        <v>2</v>
      </c>
      <c r="E2065">
        <v>65</v>
      </c>
      <c r="F2065">
        <f t="shared" si="96"/>
        <v>130</v>
      </c>
      <c r="G2065" t="str">
        <f>VLOOKUP(B2065,Orders!$A$2:$D$1201,4,FALSE)</f>
        <v>Delivered</v>
      </c>
      <c r="H2065">
        <f t="shared" si="97"/>
        <v>130</v>
      </c>
      <c r="I2065" s="12">
        <f>VLOOKUP(B2065,Orders!$A$2:$D$1201,3,FALSE)</f>
        <v>46148</v>
      </c>
      <c r="L2065" t="str">
        <f>VLOOKUP(C2065,Products!$A$2:$D$13,2,FALSE)</f>
        <v>Headphones</v>
      </c>
      <c r="M2065" t="str">
        <f t="shared" si="98"/>
        <v>2026-05</v>
      </c>
    </row>
    <row r="2066" spans="1:13">
      <c r="A2066">
        <v>2065</v>
      </c>
      <c r="B2066">
        <v>2018</v>
      </c>
      <c r="C2066">
        <v>8</v>
      </c>
      <c r="D2066">
        <v>3</v>
      </c>
      <c r="E2066">
        <v>55</v>
      </c>
      <c r="F2066">
        <f t="shared" si="96"/>
        <v>165</v>
      </c>
      <c r="G2066" t="str">
        <f>VLOOKUP(B2066,Orders!$A$2:$D$1201,4,FALSE)</f>
        <v>Delivered</v>
      </c>
      <c r="H2066">
        <f t="shared" si="97"/>
        <v>165</v>
      </c>
      <c r="I2066" s="12">
        <f>VLOOKUP(B2066,Orders!$A$2:$D$1201,3,FALSE)</f>
        <v>46099</v>
      </c>
      <c r="L2066" t="str">
        <f>VLOOKUP(C2066,Products!$A$2:$D$13,2,FALSE)</f>
        <v>Webcam</v>
      </c>
      <c r="M2066" t="str">
        <f t="shared" si="98"/>
        <v>2026-03</v>
      </c>
    </row>
    <row r="2067" spans="1:13">
      <c r="A2067">
        <v>2066</v>
      </c>
      <c r="B2067">
        <v>2018</v>
      </c>
      <c r="C2067">
        <v>12</v>
      </c>
      <c r="D2067">
        <v>4</v>
      </c>
      <c r="E2067">
        <v>22</v>
      </c>
      <c r="F2067">
        <f t="shared" si="96"/>
        <v>88</v>
      </c>
      <c r="G2067" t="str">
        <f>VLOOKUP(B2067,Orders!$A$2:$D$1201,4,FALSE)</f>
        <v>Delivered</v>
      </c>
      <c r="H2067">
        <f t="shared" si="97"/>
        <v>88</v>
      </c>
      <c r="I2067" s="12">
        <f>VLOOKUP(B2067,Orders!$A$2:$D$1201,3,FALSE)</f>
        <v>46099</v>
      </c>
      <c r="L2067" t="str">
        <f>VLOOKUP(C2067,Products!$A$2:$D$13,2,FALSE)</f>
        <v>Storage Box</v>
      </c>
      <c r="M2067" t="str">
        <f t="shared" si="98"/>
        <v>2026-03</v>
      </c>
    </row>
    <row r="2068" spans="1:13">
      <c r="A2068">
        <v>2067</v>
      </c>
      <c r="B2068">
        <v>2018</v>
      </c>
      <c r="C2068">
        <v>7</v>
      </c>
      <c r="D2068">
        <v>3</v>
      </c>
      <c r="E2068">
        <v>65</v>
      </c>
      <c r="F2068">
        <f t="shared" si="96"/>
        <v>195</v>
      </c>
      <c r="G2068" t="str">
        <f>VLOOKUP(B2068,Orders!$A$2:$D$1201,4,FALSE)</f>
        <v>Delivered</v>
      </c>
      <c r="H2068">
        <f t="shared" si="97"/>
        <v>195</v>
      </c>
      <c r="I2068" s="12">
        <f>VLOOKUP(B2068,Orders!$A$2:$D$1201,3,FALSE)</f>
        <v>46099</v>
      </c>
      <c r="L2068" t="str">
        <f>VLOOKUP(C2068,Products!$A$2:$D$13,2,FALSE)</f>
        <v>Headphones</v>
      </c>
      <c r="M2068" t="str">
        <f t="shared" si="98"/>
        <v>2026-03</v>
      </c>
    </row>
    <row r="2069" spans="1:13">
      <c r="A2069">
        <v>2068</v>
      </c>
      <c r="B2069">
        <v>2019</v>
      </c>
      <c r="C2069">
        <v>11</v>
      </c>
      <c r="D2069">
        <v>4</v>
      </c>
      <c r="E2069">
        <v>48</v>
      </c>
      <c r="F2069">
        <f t="shared" si="96"/>
        <v>192</v>
      </c>
      <c r="G2069" t="str">
        <f>VLOOKUP(B2069,Orders!$A$2:$D$1201,4,FALSE)</f>
        <v>Shipped</v>
      </c>
      <c r="H2069">
        <f t="shared" si="97"/>
        <v>192</v>
      </c>
      <c r="I2069" s="12">
        <f>VLOOKUP(B2069,Orders!$A$2:$D$1201,3,FALSE)</f>
        <v>46130</v>
      </c>
      <c r="L2069" t="str">
        <f>VLOOKUP(C2069,Products!$A$2:$D$13,2,FALSE)</f>
        <v>Backpack</v>
      </c>
      <c r="M2069" t="str">
        <f t="shared" si="98"/>
        <v>2026-04</v>
      </c>
    </row>
    <row r="2070" spans="1:13">
      <c r="A2070">
        <v>2069</v>
      </c>
      <c r="B2070">
        <v>2020</v>
      </c>
      <c r="C2070">
        <v>7</v>
      </c>
      <c r="D2070">
        <v>4</v>
      </c>
      <c r="E2070">
        <v>65</v>
      </c>
      <c r="F2070">
        <f t="shared" si="96"/>
        <v>260</v>
      </c>
      <c r="G2070" t="str">
        <f>VLOOKUP(B2070,Orders!$A$2:$D$1201,4,FALSE)</f>
        <v>Delivered</v>
      </c>
      <c r="H2070">
        <f t="shared" si="97"/>
        <v>260</v>
      </c>
      <c r="I2070" s="12">
        <f>VLOOKUP(B2070,Orders!$A$2:$D$1201,3,FALSE)</f>
        <v>46104</v>
      </c>
      <c r="L2070" t="str">
        <f>VLOOKUP(C2070,Products!$A$2:$D$13,2,FALSE)</f>
        <v>Headphones</v>
      </c>
      <c r="M2070" t="str">
        <f t="shared" si="98"/>
        <v>2026-03</v>
      </c>
    </row>
    <row r="2071" spans="1:13">
      <c r="A2071">
        <v>2070</v>
      </c>
      <c r="B2071">
        <v>2020</v>
      </c>
      <c r="C2071">
        <v>3</v>
      </c>
      <c r="D2071">
        <v>4</v>
      </c>
      <c r="E2071">
        <v>45</v>
      </c>
      <c r="F2071">
        <f t="shared" si="96"/>
        <v>180</v>
      </c>
      <c r="G2071" t="str">
        <f>VLOOKUP(B2071,Orders!$A$2:$D$1201,4,FALSE)</f>
        <v>Delivered</v>
      </c>
      <c r="H2071">
        <f t="shared" si="97"/>
        <v>180</v>
      </c>
      <c r="I2071" s="12">
        <f>VLOOKUP(B2071,Orders!$A$2:$D$1201,3,FALSE)</f>
        <v>46104</v>
      </c>
      <c r="L2071" t="str">
        <f>VLOOKUP(C2071,Products!$A$2:$D$13,2,FALSE)</f>
        <v>Keyboard</v>
      </c>
      <c r="M2071" t="str">
        <f t="shared" si="98"/>
        <v>2026-03</v>
      </c>
    </row>
    <row r="2072" spans="1:13">
      <c r="A2072">
        <v>2071</v>
      </c>
      <c r="B2072">
        <v>2020</v>
      </c>
      <c r="C2072">
        <v>8</v>
      </c>
      <c r="D2072">
        <v>2</v>
      </c>
      <c r="E2072">
        <v>55</v>
      </c>
      <c r="F2072">
        <f t="shared" si="96"/>
        <v>110</v>
      </c>
      <c r="G2072" t="str">
        <f>VLOOKUP(B2072,Orders!$A$2:$D$1201,4,FALSE)</f>
        <v>Delivered</v>
      </c>
      <c r="H2072">
        <f t="shared" si="97"/>
        <v>110</v>
      </c>
      <c r="I2072" s="12">
        <f>VLOOKUP(B2072,Orders!$A$2:$D$1201,3,FALSE)</f>
        <v>46104</v>
      </c>
      <c r="L2072" t="str">
        <f>VLOOKUP(C2072,Products!$A$2:$D$13,2,FALSE)</f>
        <v>Webcam</v>
      </c>
      <c r="M2072" t="str">
        <f t="shared" si="98"/>
        <v>2026-03</v>
      </c>
    </row>
    <row r="2073" spans="1:13">
      <c r="A2073">
        <v>2072</v>
      </c>
      <c r="B2073">
        <v>2021</v>
      </c>
      <c r="C2073">
        <v>11</v>
      </c>
      <c r="D2073">
        <v>4</v>
      </c>
      <c r="E2073">
        <v>48</v>
      </c>
      <c r="F2073">
        <f t="shared" si="96"/>
        <v>192</v>
      </c>
      <c r="G2073" t="str">
        <f>VLOOKUP(B2073,Orders!$A$2:$D$1201,4,FALSE)</f>
        <v>Delivered</v>
      </c>
      <c r="H2073">
        <f t="shared" si="97"/>
        <v>192</v>
      </c>
      <c r="I2073" s="12">
        <f>VLOOKUP(B2073,Orders!$A$2:$D$1201,3,FALSE)</f>
        <v>46038</v>
      </c>
      <c r="L2073" t="str">
        <f>VLOOKUP(C2073,Products!$A$2:$D$13,2,FALSE)</f>
        <v>Backpack</v>
      </c>
      <c r="M2073" t="str">
        <f t="shared" si="98"/>
        <v>2026-01</v>
      </c>
    </row>
    <row r="2074" spans="1:13">
      <c r="A2074">
        <v>2073</v>
      </c>
      <c r="B2074">
        <v>2021</v>
      </c>
      <c r="C2074">
        <v>6</v>
      </c>
      <c r="D2074">
        <v>4</v>
      </c>
      <c r="E2074">
        <v>140</v>
      </c>
      <c r="F2074">
        <f t="shared" si="96"/>
        <v>560</v>
      </c>
      <c r="G2074" t="str">
        <f>VLOOKUP(B2074,Orders!$A$2:$D$1201,4,FALSE)</f>
        <v>Delivered</v>
      </c>
      <c r="H2074">
        <f t="shared" si="97"/>
        <v>560</v>
      </c>
      <c r="I2074" s="12">
        <f>VLOOKUP(B2074,Orders!$A$2:$D$1201,3,FALSE)</f>
        <v>46038</v>
      </c>
      <c r="L2074" t="str">
        <f>VLOOKUP(C2074,Products!$A$2:$D$13,2,FALSE)</f>
        <v>Chair</v>
      </c>
      <c r="M2074" t="str">
        <f t="shared" si="98"/>
        <v>2026-01</v>
      </c>
    </row>
    <row r="2075" spans="1:13">
      <c r="A2075">
        <v>2074</v>
      </c>
      <c r="B2075">
        <v>2022</v>
      </c>
      <c r="C2075">
        <v>11</v>
      </c>
      <c r="D2075">
        <v>3</v>
      </c>
      <c r="E2075">
        <v>48</v>
      </c>
      <c r="F2075">
        <f t="shared" si="96"/>
        <v>144</v>
      </c>
      <c r="G2075" t="str">
        <f>VLOOKUP(B2075,Orders!$A$2:$D$1201,4,FALSE)</f>
        <v>Delivered</v>
      </c>
      <c r="H2075">
        <f t="shared" si="97"/>
        <v>144</v>
      </c>
      <c r="I2075" s="12">
        <f>VLOOKUP(B2075,Orders!$A$2:$D$1201,3,FALSE)</f>
        <v>46091</v>
      </c>
      <c r="L2075" t="str">
        <f>VLOOKUP(C2075,Products!$A$2:$D$13,2,FALSE)</f>
        <v>Backpack</v>
      </c>
      <c r="M2075" t="str">
        <f t="shared" si="98"/>
        <v>2026-03</v>
      </c>
    </row>
    <row r="2076" spans="1:13">
      <c r="A2076">
        <v>2075</v>
      </c>
      <c r="B2076">
        <v>2022</v>
      </c>
      <c r="C2076">
        <v>1</v>
      </c>
      <c r="D2076">
        <v>4</v>
      </c>
      <c r="E2076">
        <v>750</v>
      </c>
      <c r="F2076">
        <f t="shared" si="96"/>
        <v>3000</v>
      </c>
      <c r="G2076" t="str">
        <f>VLOOKUP(B2076,Orders!$A$2:$D$1201,4,FALSE)</f>
        <v>Delivered</v>
      </c>
      <c r="H2076">
        <f t="shared" si="97"/>
        <v>3000</v>
      </c>
      <c r="I2076" s="12">
        <f>VLOOKUP(B2076,Orders!$A$2:$D$1201,3,FALSE)</f>
        <v>46091</v>
      </c>
      <c r="L2076" t="str">
        <f>VLOOKUP(C2076,Products!$A$2:$D$13,2,FALSE)</f>
        <v>Laptop</v>
      </c>
      <c r="M2076" t="str">
        <f t="shared" si="98"/>
        <v>2026-03</v>
      </c>
    </row>
    <row r="2077" spans="1:13">
      <c r="A2077">
        <v>2076</v>
      </c>
      <c r="B2077">
        <v>2023</v>
      </c>
      <c r="C2077">
        <v>10</v>
      </c>
      <c r="D2077">
        <v>1</v>
      </c>
      <c r="E2077">
        <v>8</v>
      </c>
      <c r="F2077">
        <f t="shared" si="96"/>
        <v>8</v>
      </c>
      <c r="G2077" t="str">
        <f>VLOOKUP(B2077,Orders!$A$2:$D$1201,4,FALSE)</f>
        <v>Delivered</v>
      </c>
      <c r="H2077">
        <f t="shared" si="97"/>
        <v>8</v>
      </c>
      <c r="I2077" s="12">
        <f>VLOOKUP(B2077,Orders!$A$2:$D$1201,3,FALSE)</f>
        <v>46183</v>
      </c>
      <c r="L2077" t="str">
        <f>VLOOKUP(C2077,Products!$A$2:$D$13,2,FALSE)</f>
        <v>Notebook</v>
      </c>
      <c r="M2077" t="str">
        <f t="shared" si="98"/>
        <v>2026-06</v>
      </c>
    </row>
    <row r="2078" spans="1:13">
      <c r="A2078">
        <v>2077</v>
      </c>
      <c r="B2078">
        <v>2024</v>
      </c>
      <c r="C2078">
        <v>11</v>
      </c>
      <c r="D2078">
        <v>1</v>
      </c>
      <c r="E2078">
        <v>48</v>
      </c>
      <c r="F2078">
        <f t="shared" si="96"/>
        <v>48</v>
      </c>
      <c r="G2078" t="str">
        <f>VLOOKUP(B2078,Orders!$A$2:$D$1201,4,FALSE)</f>
        <v>Shipped</v>
      </c>
      <c r="H2078">
        <f t="shared" si="97"/>
        <v>48</v>
      </c>
      <c r="I2078" s="12">
        <f>VLOOKUP(B2078,Orders!$A$2:$D$1201,3,FALSE)</f>
        <v>46108</v>
      </c>
      <c r="L2078" t="str">
        <f>VLOOKUP(C2078,Products!$A$2:$D$13,2,FALSE)</f>
        <v>Backpack</v>
      </c>
      <c r="M2078" t="str">
        <f t="shared" si="98"/>
        <v>2026-03</v>
      </c>
    </row>
    <row r="2079" spans="1:13">
      <c r="A2079">
        <v>2078</v>
      </c>
      <c r="B2079">
        <v>2025</v>
      </c>
      <c r="C2079">
        <v>7</v>
      </c>
      <c r="D2079">
        <v>2</v>
      </c>
      <c r="E2079">
        <v>65</v>
      </c>
      <c r="F2079">
        <f t="shared" si="96"/>
        <v>130</v>
      </c>
      <c r="G2079" t="str">
        <f>VLOOKUP(B2079,Orders!$A$2:$D$1201,4,FALSE)</f>
        <v>Delivered</v>
      </c>
      <c r="H2079">
        <f t="shared" si="97"/>
        <v>130</v>
      </c>
      <c r="I2079" s="12">
        <f>VLOOKUP(B2079,Orders!$A$2:$D$1201,3,FALSE)</f>
        <v>46160</v>
      </c>
      <c r="L2079" t="str">
        <f>VLOOKUP(C2079,Products!$A$2:$D$13,2,FALSE)</f>
        <v>Headphones</v>
      </c>
      <c r="M2079" t="str">
        <f t="shared" si="98"/>
        <v>2026-05</v>
      </c>
    </row>
    <row r="2080" spans="1:13">
      <c r="A2080">
        <v>2079</v>
      </c>
      <c r="B2080">
        <v>2025</v>
      </c>
      <c r="C2080">
        <v>4</v>
      </c>
      <c r="D2080">
        <v>3</v>
      </c>
      <c r="E2080">
        <v>25</v>
      </c>
      <c r="F2080">
        <f t="shared" si="96"/>
        <v>75</v>
      </c>
      <c r="G2080" t="str">
        <f>VLOOKUP(B2080,Orders!$A$2:$D$1201,4,FALSE)</f>
        <v>Delivered</v>
      </c>
      <c r="H2080">
        <f t="shared" si="97"/>
        <v>75</v>
      </c>
      <c r="I2080" s="12">
        <f>VLOOKUP(B2080,Orders!$A$2:$D$1201,3,FALSE)</f>
        <v>46160</v>
      </c>
      <c r="L2080" t="str">
        <f>VLOOKUP(C2080,Products!$A$2:$D$13,2,FALSE)</f>
        <v>Mouse</v>
      </c>
      <c r="M2080" t="str">
        <f t="shared" si="98"/>
        <v>2026-05</v>
      </c>
    </row>
    <row r="2081" spans="1:13">
      <c r="A2081">
        <v>2080</v>
      </c>
      <c r="B2081">
        <v>2025</v>
      </c>
      <c r="C2081">
        <v>5</v>
      </c>
      <c r="D2081">
        <v>3</v>
      </c>
      <c r="E2081">
        <v>180</v>
      </c>
      <c r="F2081">
        <f t="shared" si="96"/>
        <v>540</v>
      </c>
      <c r="G2081" t="str">
        <f>VLOOKUP(B2081,Orders!$A$2:$D$1201,4,FALSE)</f>
        <v>Delivered</v>
      </c>
      <c r="H2081">
        <f t="shared" si="97"/>
        <v>540</v>
      </c>
      <c r="I2081" s="12">
        <f>VLOOKUP(B2081,Orders!$A$2:$D$1201,3,FALSE)</f>
        <v>46160</v>
      </c>
      <c r="L2081" t="str">
        <f>VLOOKUP(C2081,Products!$A$2:$D$13,2,FALSE)</f>
        <v>Desk</v>
      </c>
      <c r="M2081" t="str">
        <f t="shared" si="98"/>
        <v>2026-05</v>
      </c>
    </row>
    <row r="2082" spans="1:13">
      <c r="A2082">
        <v>2081</v>
      </c>
      <c r="B2082">
        <v>2026</v>
      </c>
      <c r="C2082">
        <v>9</v>
      </c>
      <c r="D2082">
        <v>4</v>
      </c>
      <c r="E2082">
        <v>30</v>
      </c>
      <c r="F2082">
        <f t="shared" si="96"/>
        <v>120</v>
      </c>
      <c r="G2082" t="str">
        <f>VLOOKUP(B2082,Orders!$A$2:$D$1201,4,FALSE)</f>
        <v>Delivered</v>
      </c>
      <c r="H2082">
        <f t="shared" si="97"/>
        <v>120</v>
      </c>
      <c r="I2082" s="12">
        <f>VLOOKUP(B2082,Orders!$A$2:$D$1201,3,FALSE)</f>
        <v>46032</v>
      </c>
      <c r="L2082" t="str">
        <f>VLOOKUP(C2082,Products!$A$2:$D$13,2,FALSE)</f>
        <v>Lamp</v>
      </c>
      <c r="M2082" t="str">
        <f t="shared" si="98"/>
        <v>2026-01</v>
      </c>
    </row>
    <row r="2083" spans="1:13">
      <c r="A2083">
        <v>2082</v>
      </c>
      <c r="B2083">
        <v>2027</v>
      </c>
      <c r="C2083">
        <v>5</v>
      </c>
      <c r="D2083">
        <v>1</v>
      </c>
      <c r="E2083">
        <v>180</v>
      </c>
      <c r="F2083">
        <f t="shared" si="96"/>
        <v>180</v>
      </c>
      <c r="G2083" t="str">
        <f>VLOOKUP(B2083,Orders!$A$2:$D$1201,4,FALSE)</f>
        <v>Delivered</v>
      </c>
      <c r="H2083">
        <f t="shared" si="97"/>
        <v>180</v>
      </c>
      <c r="I2083" s="12">
        <f>VLOOKUP(B2083,Orders!$A$2:$D$1201,3,FALSE)</f>
        <v>46081</v>
      </c>
      <c r="L2083" t="str">
        <f>VLOOKUP(C2083,Products!$A$2:$D$13,2,FALSE)</f>
        <v>Desk</v>
      </c>
      <c r="M2083" t="str">
        <f t="shared" si="98"/>
        <v>2026-02</v>
      </c>
    </row>
    <row r="2084" spans="1:13">
      <c r="A2084">
        <v>2083</v>
      </c>
      <c r="B2084">
        <v>2028</v>
      </c>
      <c r="C2084">
        <v>9</v>
      </c>
      <c r="D2084">
        <v>4</v>
      </c>
      <c r="E2084">
        <v>30</v>
      </c>
      <c r="F2084">
        <f t="shared" si="96"/>
        <v>120</v>
      </c>
      <c r="G2084" t="str">
        <f>VLOOKUP(B2084,Orders!$A$2:$D$1201,4,FALSE)</f>
        <v>Cancelled</v>
      </c>
      <c r="H2084">
        <f t="shared" si="97"/>
        <v>0</v>
      </c>
      <c r="I2084" s="12">
        <f>VLOOKUP(B2084,Orders!$A$2:$D$1201,3,FALSE)</f>
        <v>46092</v>
      </c>
      <c r="L2084" t="str">
        <f>VLOOKUP(C2084,Products!$A$2:$D$13,2,FALSE)</f>
        <v>Lamp</v>
      </c>
      <c r="M2084" t="str">
        <f t="shared" si="98"/>
        <v>2026-03</v>
      </c>
    </row>
    <row r="2085" spans="1:13">
      <c r="A2085">
        <v>2084</v>
      </c>
      <c r="B2085">
        <v>2029</v>
      </c>
      <c r="C2085">
        <v>3</v>
      </c>
      <c r="D2085">
        <v>4</v>
      </c>
      <c r="E2085">
        <v>45</v>
      </c>
      <c r="F2085">
        <f t="shared" si="96"/>
        <v>180</v>
      </c>
      <c r="G2085" t="str">
        <f>VLOOKUP(B2085,Orders!$A$2:$D$1201,4,FALSE)</f>
        <v>Delivered</v>
      </c>
      <c r="H2085">
        <f t="shared" si="97"/>
        <v>180</v>
      </c>
      <c r="I2085" s="12">
        <f>VLOOKUP(B2085,Orders!$A$2:$D$1201,3,FALSE)</f>
        <v>46028</v>
      </c>
      <c r="L2085" t="str">
        <f>VLOOKUP(C2085,Products!$A$2:$D$13,2,FALSE)</f>
        <v>Keyboard</v>
      </c>
      <c r="M2085" t="str">
        <f t="shared" si="98"/>
        <v>2026-01</v>
      </c>
    </row>
    <row r="2086" spans="1:13">
      <c r="A2086">
        <v>2085</v>
      </c>
      <c r="B2086">
        <v>2029</v>
      </c>
      <c r="C2086">
        <v>2</v>
      </c>
      <c r="D2086">
        <v>2</v>
      </c>
      <c r="E2086">
        <v>220</v>
      </c>
      <c r="F2086">
        <f t="shared" si="96"/>
        <v>440</v>
      </c>
      <c r="G2086" t="str">
        <f>VLOOKUP(B2086,Orders!$A$2:$D$1201,4,FALSE)</f>
        <v>Delivered</v>
      </c>
      <c r="H2086">
        <f t="shared" si="97"/>
        <v>440</v>
      </c>
      <c r="I2086" s="12">
        <f>VLOOKUP(B2086,Orders!$A$2:$D$1201,3,FALSE)</f>
        <v>46028</v>
      </c>
      <c r="L2086" t="str">
        <f>VLOOKUP(C2086,Products!$A$2:$D$13,2,FALSE)</f>
        <v>Monitor</v>
      </c>
      <c r="M2086" t="str">
        <f t="shared" si="98"/>
        <v>2026-01</v>
      </c>
    </row>
    <row r="2087" spans="1:13">
      <c r="A2087">
        <v>2086</v>
      </c>
      <c r="B2087">
        <v>2029</v>
      </c>
      <c r="C2087">
        <v>10</v>
      </c>
      <c r="D2087">
        <v>3</v>
      </c>
      <c r="E2087">
        <v>8</v>
      </c>
      <c r="F2087">
        <f t="shared" si="96"/>
        <v>24</v>
      </c>
      <c r="G2087" t="str">
        <f>VLOOKUP(B2087,Orders!$A$2:$D$1201,4,FALSE)</f>
        <v>Delivered</v>
      </c>
      <c r="H2087">
        <f t="shared" si="97"/>
        <v>24</v>
      </c>
      <c r="I2087" s="12">
        <f>VLOOKUP(B2087,Orders!$A$2:$D$1201,3,FALSE)</f>
        <v>46028</v>
      </c>
      <c r="L2087" t="str">
        <f>VLOOKUP(C2087,Products!$A$2:$D$13,2,FALSE)</f>
        <v>Notebook</v>
      </c>
      <c r="M2087" t="str">
        <f t="shared" si="98"/>
        <v>2026-01</v>
      </c>
    </row>
    <row r="2088" spans="1:13">
      <c r="A2088">
        <v>2087</v>
      </c>
      <c r="B2088">
        <v>2030</v>
      </c>
      <c r="C2088">
        <v>11</v>
      </c>
      <c r="D2088">
        <v>4</v>
      </c>
      <c r="E2088">
        <v>48</v>
      </c>
      <c r="F2088">
        <f t="shared" si="96"/>
        <v>192</v>
      </c>
      <c r="G2088" t="str">
        <f>VLOOKUP(B2088,Orders!$A$2:$D$1201,4,FALSE)</f>
        <v>Delivered</v>
      </c>
      <c r="H2088">
        <f t="shared" si="97"/>
        <v>192</v>
      </c>
      <c r="I2088" s="12">
        <f>VLOOKUP(B2088,Orders!$A$2:$D$1201,3,FALSE)</f>
        <v>46093</v>
      </c>
      <c r="L2088" t="str">
        <f>VLOOKUP(C2088,Products!$A$2:$D$13,2,FALSE)</f>
        <v>Backpack</v>
      </c>
      <c r="M2088" t="str">
        <f t="shared" si="98"/>
        <v>2026-03</v>
      </c>
    </row>
    <row r="2089" spans="1:13">
      <c r="A2089">
        <v>2088</v>
      </c>
      <c r="B2089">
        <v>2030</v>
      </c>
      <c r="C2089">
        <v>10</v>
      </c>
      <c r="D2089">
        <v>4</v>
      </c>
      <c r="E2089">
        <v>8</v>
      </c>
      <c r="F2089">
        <f t="shared" si="96"/>
        <v>32</v>
      </c>
      <c r="G2089" t="str">
        <f>VLOOKUP(B2089,Orders!$A$2:$D$1201,4,FALSE)</f>
        <v>Delivered</v>
      </c>
      <c r="H2089">
        <f t="shared" si="97"/>
        <v>32</v>
      </c>
      <c r="I2089" s="12">
        <f>VLOOKUP(B2089,Orders!$A$2:$D$1201,3,FALSE)</f>
        <v>46093</v>
      </c>
      <c r="L2089" t="str">
        <f>VLOOKUP(C2089,Products!$A$2:$D$13,2,FALSE)</f>
        <v>Notebook</v>
      </c>
      <c r="M2089" t="str">
        <f t="shared" si="98"/>
        <v>2026-03</v>
      </c>
    </row>
    <row r="2090" spans="1:13">
      <c r="A2090">
        <v>2089</v>
      </c>
      <c r="B2090">
        <v>2031</v>
      </c>
      <c r="C2090">
        <v>4</v>
      </c>
      <c r="D2090">
        <v>4</v>
      </c>
      <c r="E2090">
        <v>25</v>
      </c>
      <c r="F2090">
        <f t="shared" si="96"/>
        <v>100</v>
      </c>
      <c r="G2090" t="str">
        <f>VLOOKUP(B2090,Orders!$A$2:$D$1201,4,FALSE)</f>
        <v>Delivered</v>
      </c>
      <c r="H2090">
        <f t="shared" si="97"/>
        <v>100</v>
      </c>
      <c r="I2090" s="12">
        <f>VLOOKUP(B2090,Orders!$A$2:$D$1201,3,FALSE)</f>
        <v>46094</v>
      </c>
      <c r="L2090" t="str">
        <f>VLOOKUP(C2090,Products!$A$2:$D$13,2,FALSE)</f>
        <v>Mouse</v>
      </c>
      <c r="M2090" t="str">
        <f t="shared" si="98"/>
        <v>2026-03</v>
      </c>
    </row>
    <row r="2091" spans="1:13">
      <c r="A2091">
        <v>2090</v>
      </c>
      <c r="B2091">
        <v>2031</v>
      </c>
      <c r="C2091">
        <v>7</v>
      </c>
      <c r="D2091">
        <v>4</v>
      </c>
      <c r="E2091">
        <v>65</v>
      </c>
      <c r="F2091">
        <f t="shared" si="96"/>
        <v>260</v>
      </c>
      <c r="G2091" t="str">
        <f>VLOOKUP(B2091,Orders!$A$2:$D$1201,4,FALSE)</f>
        <v>Delivered</v>
      </c>
      <c r="H2091">
        <f t="shared" si="97"/>
        <v>260</v>
      </c>
      <c r="I2091" s="12">
        <f>VLOOKUP(B2091,Orders!$A$2:$D$1201,3,FALSE)</f>
        <v>46094</v>
      </c>
      <c r="L2091" t="str">
        <f>VLOOKUP(C2091,Products!$A$2:$D$13,2,FALSE)</f>
        <v>Headphones</v>
      </c>
      <c r="M2091" t="str">
        <f t="shared" si="98"/>
        <v>2026-03</v>
      </c>
    </row>
    <row r="2092" spans="1:13">
      <c r="A2092">
        <v>2091</v>
      </c>
      <c r="B2092">
        <v>2031</v>
      </c>
      <c r="C2092">
        <v>1</v>
      </c>
      <c r="D2092">
        <v>3</v>
      </c>
      <c r="E2092">
        <v>750</v>
      </c>
      <c r="F2092">
        <f t="shared" si="96"/>
        <v>2250</v>
      </c>
      <c r="G2092" t="str">
        <f>VLOOKUP(B2092,Orders!$A$2:$D$1201,4,FALSE)</f>
        <v>Delivered</v>
      </c>
      <c r="H2092">
        <f t="shared" si="97"/>
        <v>2250</v>
      </c>
      <c r="I2092" s="12">
        <f>VLOOKUP(B2092,Orders!$A$2:$D$1201,3,FALSE)</f>
        <v>46094</v>
      </c>
      <c r="L2092" t="str">
        <f>VLOOKUP(C2092,Products!$A$2:$D$13,2,FALSE)</f>
        <v>Laptop</v>
      </c>
      <c r="M2092" t="str">
        <f t="shared" si="98"/>
        <v>2026-03</v>
      </c>
    </row>
    <row r="2093" spans="1:13">
      <c r="A2093">
        <v>2092</v>
      </c>
      <c r="B2093">
        <v>2032</v>
      </c>
      <c r="C2093">
        <v>6</v>
      </c>
      <c r="D2093">
        <v>1</v>
      </c>
      <c r="E2093">
        <v>140</v>
      </c>
      <c r="F2093">
        <f t="shared" si="96"/>
        <v>140</v>
      </c>
      <c r="G2093" t="str">
        <f>VLOOKUP(B2093,Orders!$A$2:$D$1201,4,FALSE)</f>
        <v>Delivered</v>
      </c>
      <c r="H2093">
        <f t="shared" si="97"/>
        <v>140</v>
      </c>
      <c r="I2093" s="12">
        <f>VLOOKUP(B2093,Orders!$A$2:$D$1201,3,FALSE)</f>
        <v>46029</v>
      </c>
      <c r="L2093" t="str">
        <f>VLOOKUP(C2093,Products!$A$2:$D$13,2,FALSE)</f>
        <v>Chair</v>
      </c>
      <c r="M2093" t="str">
        <f t="shared" si="98"/>
        <v>2026-01</v>
      </c>
    </row>
    <row r="2094" spans="1:13">
      <c r="A2094">
        <v>2093</v>
      </c>
      <c r="B2094">
        <v>2032</v>
      </c>
      <c r="C2094">
        <v>8</v>
      </c>
      <c r="D2094">
        <v>3</v>
      </c>
      <c r="E2094">
        <v>55</v>
      </c>
      <c r="F2094">
        <f t="shared" si="96"/>
        <v>165</v>
      </c>
      <c r="G2094" t="str">
        <f>VLOOKUP(B2094,Orders!$A$2:$D$1201,4,FALSE)</f>
        <v>Delivered</v>
      </c>
      <c r="H2094">
        <f t="shared" si="97"/>
        <v>165</v>
      </c>
      <c r="I2094" s="12">
        <f>VLOOKUP(B2094,Orders!$A$2:$D$1201,3,FALSE)</f>
        <v>46029</v>
      </c>
      <c r="L2094" t="str">
        <f>VLOOKUP(C2094,Products!$A$2:$D$13,2,FALSE)</f>
        <v>Webcam</v>
      </c>
      <c r="M2094" t="str">
        <f t="shared" si="98"/>
        <v>2026-01</v>
      </c>
    </row>
    <row r="2095" spans="1:13">
      <c r="A2095">
        <v>2094</v>
      </c>
      <c r="B2095">
        <v>2033</v>
      </c>
      <c r="C2095">
        <v>4</v>
      </c>
      <c r="D2095">
        <v>4</v>
      </c>
      <c r="E2095">
        <v>25</v>
      </c>
      <c r="F2095">
        <f t="shared" si="96"/>
        <v>100</v>
      </c>
      <c r="G2095" t="str">
        <f>VLOOKUP(B2095,Orders!$A$2:$D$1201,4,FALSE)</f>
        <v>Delivered</v>
      </c>
      <c r="H2095">
        <f t="shared" si="97"/>
        <v>100</v>
      </c>
      <c r="I2095" s="12">
        <f>VLOOKUP(B2095,Orders!$A$2:$D$1201,3,FALSE)</f>
        <v>46166</v>
      </c>
      <c r="L2095" t="str">
        <f>VLOOKUP(C2095,Products!$A$2:$D$13,2,FALSE)</f>
        <v>Mouse</v>
      </c>
      <c r="M2095" t="str">
        <f t="shared" si="98"/>
        <v>2026-05</v>
      </c>
    </row>
    <row r="2096" spans="1:13">
      <c r="A2096">
        <v>2095</v>
      </c>
      <c r="B2096">
        <v>2033</v>
      </c>
      <c r="C2096">
        <v>2</v>
      </c>
      <c r="D2096">
        <v>4</v>
      </c>
      <c r="E2096">
        <v>220</v>
      </c>
      <c r="F2096">
        <f t="shared" si="96"/>
        <v>880</v>
      </c>
      <c r="G2096" t="str">
        <f>VLOOKUP(B2096,Orders!$A$2:$D$1201,4,FALSE)</f>
        <v>Delivered</v>
      </c>
      <c r="H2096">
        <f t="shared" si="97"/>
        <v>880</v>
      </c>
      <c r="I2096" s="12">
        <f>VLOOKUP(B2096,Orders!$A$2:$D$1201,3,FALSE)</f>
        <v>46166</v>
      </c>
      <c r="L2096" t="str">
        <f>VLOOKUP(C2096,Products!$A$2:$D$13,2,FALSE)</f>
        <v>Monitor</v>
      </c>
      <c r="M2096" t="str">
        <f t="shared" si="98"/>
        <v>2026-05</v>
      </c>
    </row>
    <row r="2097" spans="1:13">
      <c r="A2097">
        <v>2096</v>
      </c>
      <c r="B2097">
        <v>2033</v>
      </c>
      <c r="C2097">
        <v>3</v>
      </c>
      <c r="D2097">
        <v>2</v>
      </c>
      <c r="E2097">
        <v>45</v>
      </c>
      <c r="F2097">
        <f t="shared" si="96"/>
        <v>90</v>
      </c>
      <c r="G2097" t="str">
        <f>VLOOKUP(B2097,Orders!$A$2:$D$1201,4,FALSE)</f>
        <v>Delivered</v>
      </c>
      <c r="H2097">
        <f t="shared" si="97"/>
        <v>90</v>
      </c>
      <c r="I2097" s="12">
        <f>VLOOKUP(B2097,Orders!$A$2:$D$1201,3,FALSE)</f>
        <v>46166</v>
      </c>
      <c r="L2097" t="str">
        <f>VLOOKUP(C2097,Products!$A$2:$D$13,2,FALSE)</f>
        <v>Keyboard</v>
      </c>
      <c r="M2097" t="str">
        <f t="shared" si="98"/>
        <v>2026-05</v>
      </c>
    </row>
    <row r="2098" spans="1:13">
      <c r="A2098">
        <v>2097</v>
      </c>
      <c r="B2098">
        <v>2034</v>
      </c>
      <c r="C2098">
        <v>12</v>
      </c>
      <c r="D2098">
        <v>4</v>
      </c>
      <c r="E2098">
        <v>22</v>
      </c>
      <c r="F2098">
        <f t="shared" si="96"/>
        <v>88</v>
      </c>
      <c r="G2098" t="str">
        <f>VLOOKUP(B2098,Orders!$A$2:$D$1201,4,FALSE)</f>
        <v>Delivered</v>
      </c>
      <c r="H2098">
        <f t="shared" si="97"/>
        <v>88</v>
      </c>
      <c r="I2098" s="12">
        <f>VLOOKUP(B2098,Orders!$A$2:$D$1201,3,FALSE)</f>
        <v>46109</v>
      </c>
      <c r="L2098" t="str">
        <f>VLOOKUP(C2098,Products!$A$2:$D$13,2,FALSE)</f>
        <v>Storage Box</v>
      </c>
      <c r="M2098" t="str">
        <f t="shared" si="98"/>
        <v>2026-03</v>
      </c>
    </row>
    <row r="2099" spans="1:13">
      <c r="A2099">
        <v>2098</v>
      </c>
      <c r="B2099">
        <v>2034</v>
      </c>
      <c r="C2099">
        <v>10</v>
      </c>
      <c r="D2099">
        <v>1</v>
      </c>
      <c r="E2099">
        <v>8</v>
      </c>
      <c r="F2099">
        <f t="shared" si="96"/>
        <v>8</v>
      </c>
      <c r="G2099" t="str">
        <f>VLOOKUP(B2099,Orders!$A$2:$D$1201,4,FALSE)</f>
        <v>Delivered</v>
      </c>
      <c r="H2099">
        <f t="shared" si="97"/>
        <v>8</v>
      </c>
      <c r="I2099" s="12">
        <f>VLOOKUP(B2099,Orders!$A$2:$D$1201,3,FALSE)</f>
        <v>46109</v>
      </c>
      <c r="L2099" t="str">
        <f>VLOOKUP(C2099,Products!$A$2:$D$13,2,FALSE)</f>
        <v>Notebook</v>
      </c>
      <c r="M2099" t="str">
        <f t="shared" si="98"/>
        <v>2026-03</v>
      </c>
    </row>
    <row r="2100" spans="1:13">
      <c r="A2100">
        <v>2099</v>
      </c>
      <c r="B2100">
        <v>2035</v>
      </c>
      <c r="C2100">
        <v>8</v>
      </c>
      <c r="D2100">
        <v>1</v>
      </c>
      <c r="E2100">
        <v>55</v>
      </c>
      <c r="F2100">
        <f t="shared" si="96"/>
        <v>55</v>
      </c>
      <c r="G2100" t="str">
        <f>VLOOKUP(B2100,Orders!$A$2:$D$1201,4,FALSE)</f>
        <v>Delivered</v>
      </c>
      <c r="H2100">
        <f t="shared" si="97"/>
        <v>55</v>
      </c>
      <c r="I2100" s="12">
        <f>VLOOKUP(B2100,Orders!$A$2:$D$1201,3,FALSE)</f>
        <v>46162</v>
      </c>
      <c r="L2100" t="str">
        <f>VLOOKUP(C2100,Products!$A$2:$D$13,2,FALSE)</f>
        <v>Webcam</v>
      </c>
      <c r="M2100" t="str">
        <f t="shared" si="98"/>
        <v>2026-05</v>
      </c>
    </row>
    <row r="2101" spans="1:13">
      <c r="A2101">
        <v>2100</v>
      </c>
      <c r="B2101">
        <v>2035</v>
      </c>
      <c r="C2101">
        <v>12</v>
      </c>
      <c r="D2101">
        <v>1</v>
      </c>
      <c r="E2101">
        <v>22</v>
      </c>
      <c r="F2101">
        <f t="shared" si="96"/>
        <v>22</v>
      </c>
      <c r="G2101" t="str">
        <f>VLOOKUP(B2101,Orders!$A$2:$D$1201,4,FALSE)</f>
        <v>Delivered</v>
      </c>
      <c r="H2101">
        <f t="shared" si="97"/>
        <v>22</v>
      </c>
      <c r="I2101" s="12">
        <f>VLOOKUP(B2101,Orders!$A$2:$D$1201,3,FALSE)</f>
        <v>46162</v>
      </c>
      <c r="L2101" t="str">
        <f>VLOOKUP(C2101,Products!$A$2:$D$13,2,FALSE)</f>
        <v>Storage Box</v>
      </c>
      <c r="M2101" t="str">
        <f t="shared" si="98"/>
        <v>2026-05</v>
      </c>
    </row>
    <row r="2102" spans="1:13">
      <c r="A2102">
        <v>2101</v>
      </c>
      <c r="B2102">
        <v>2036</v>
      </c>
      <c r="C2102">
        <v>4</v>
      </c>
      <c r="D2102">
        <v>4</v>
      </c>
      <c r="E2102">
        <v>25</v>
      </c>
      <c r="F2102">
        <f t="shared" si="96"/>
        <v>100</v>
      </c>
      <c r="G2102" t="str">
        <f>VLOOKUP(B2102,Orders!$A$2:$D$1201,4,FALSE)</f>
        <v>Delivered</v>
      </c>
      <c r="H2102">
        <f t="shared" si="97"/>
        <v>100</v>
      </c>
      <c r="I2102" s="12">
        <f>VLOOKUP(B2102,Orders!$A$2:$D$1201,3,FALSE)</f>
        <v>46064</v>
      </c>
      <c r="L2102" t="str">
        <f>VLOOKUP(C2102,Products!$A$2:$D$13,2,FALSE)</f>
        <v>Mouse</v>
      </c>
      <c r="M2102" t="str">
        <f t="shared" si="98"/>
        <v>2026-02</v>
      </c>
    </row>
    <row r="2103" spans="1:13">
      <c r="A2103">
        <v>2102</v>
      </c>
      <c r="B2103">
        <v>2037</v>
      </c>
      <c r="C2103">
        <v>3</v>
      </c>
      <c r="D2103">
        <v>4</v>
      </c>
      <c r="E2103">
        <v>45</v>
      </c>
      <c r="F2103">
        <f t="shared" si="96"/>
        <v>180</v>
      </c>
      <c r="G2103" t="str">
        <f>VLOOKUP(B2103,Orders!$A$2:$D$1201,4,FALSE)</f>
        <v>Delivered</v>
      </c>
      <c r="H2103">
        <f t="shared" si="97"/>
        <v>180</v>
      </c>
      <c r="I2103" s="12">
        <f>VLOOKUP(B2103,Orders!$A$2:$D$1201,3,FALSE)</f>
        <v>46066</v>
      </c>
      <c r="L2103" t="str">
        <f>VLOOKUP(C2103,Products!$A$2:$D$13,2,FALSE)</f>
        <v>Keyboard</v>
      </c>
      <c r="M2103" t="str">
        <f t="shared" si="98"/>
        <v>2026-02</v>
      </c>
    </row>
    <row r="2104" spans="1:13">
      <c r="A2104">
        <v>2103</v>
      </c>
      <c r="B2104">
        <v>2037</v>
      </c>
      <c r="C2104">
        <v>9</v>
      </c>
      <c r="D2104">
        <v>4</v>
      </c>
      <c r="E2104">
        <v>30</v>
      </c>
      <c r="F2104">
        <f t="shared" si="96"/>
        <v>120</v>
      </c>
      <c r="G2104" t="str">
        <f>VLOOKUP(B2104,Orders!$A$2:$D$1201,4,FALSE)</f>
        <v>Delivered</v>
      </c>
      <c r="H2104">
        <f t="shared" si="97"/>
        <v>120</v>
      </c>
      <c r="I2104" s="12">
        <f>VLOOKUP(B2104,Orders!$A$2:$D$1201,3,FALSE)</f>
        <v>46066</v>
      </c>
      <c r="L2104" t="str">
        <f>VLOOKUP(C2104,Products!$A$2:$D$13,2,FALSE)</f>
        <v>Lamp</v>
      </c>
      <c r="M2104" t="str">
        <f t="shared" si="98"/>
        <v>2026-02</v>
      </c>
    </row>
    <row r="2105" spans="1:13">
      <c r="A2105">
        <v>2104</v>
      </c>
      <c r="B2105">
        <v>2038</v>
      </c>
      <c r="C2105">
        <v>6</v>
      </c>
      <c r="D2105">
        <v>2</v>
      </c>
      <c r="E2105">
        <v>140</v>
      </c>
      <c r="F2105">
        <f t="shared" si="96"/>
        <v>280</v>
      </c>
      <c r="G2105" t="str">
        <f>VLOOKUP(B2105,Orders!$A$2:$D$1201,4,FALSE)</f>
        <v>Delivered</v>
      </c>
      <c r="H2105">
        <f t="shared" si="97"/>
        <v>280</v>
      </c>
      <c r="I2105" s="12">
        <f>VLOOKUP(B2105,Orders!$A$2:$D$1201,3,FALSE)</f>
        <v>46196</v>
      </c>
      <c r="L2105" t="str">
        <f>VLOOKUP(C2105,Products!$A$2:$D$13,2,FALSE)</f>
        <v>Chair</v>
      </c>
      <c r="M2105" t="str">
        <f t="shared" si="98"/>
        <v>2026-06</v>
      </c>
    </row>
    <row r="2106" spans="1:13">
      <c r="A2106">
        <v>2105</v>
      </c>
      <c r="B2106">
        <v>2038</v>
      </c>
      <c r="C2106">
        <v>10</v>
      </c>
      <c r="D2106">
        <v>3</v>
      </c>
      <c r="E2106">
        <v>8</v>
      </c>
      <c r="F2106">
        <f t="shared" si="96"/>
        <v>24</v>
      </c>
      <c r="G2106" t="str">
        <f>VLOOKUP(B2106,Orders!$A$2:$D$1201,4,FALSE)</f>
        <v>Delivered</v>
      </c>
      <c r="H2106">
        <f t="shared" si="97"/>
        <v>24</v>
      </c>
      <c r="I2106" s="12">
        <f>VLOOKUP(B2106,Orders!$A$2:$D$1201,3,FALSE)</f>
        <v>46196</v>
      </c>
      <c r="L2106" t="str">
        <f>VLOOKUP(C2106,Products!$A$2:$D$13,2,FALSE)</f>
        <v>Notebook</v>
      </c>
      <c r="M2106" t="str">
        <f t="shared" si="98"/>
        <v>2026-06</v>
      </c>
    </row>
    <row r="2107" spans="1:13">
      <c r="A2107">
        <v>2106</v>
      </c>
      <c r="B2107">
        <v>2038</v>
      </c>
      <c r="C2107">
        <v>3</v>
      </c>
      <c r="D2107">
        <v>2</v>
      </c>
      <c r="E2107">
        <v>45</v>
      </c>
      <c r="F2107">
        <f t="shared" si="96"/>
        <v>90</v>
      </c>
      <c r="G2107" t="str">
        <f>VLOOKUP(B2107,Orders!$A$2:$D$1201,4,FALSE)</f>
        <v>Delivered</v>
      </c>
      <c r="H2107">
        <f t="shared" si="97"/>
        <v>90</v>
      </c>
      <c r="I2107" s="12">
        <f>VLOOKUP(B2107,Orders!$A$2:$D$1201,3,FALSE)</f>
        <v>46196</v>
      </c>
      <c r="L2107" t="str">
        <f>VLOOKUP(C2107,Products!$A$2:$D$13,2,FALSE)</f>
        <v>Keyboard</v>
      </c>
      <c r="M2107" t="str">
        <f t="shared" si="98"/>
        <v>2026-06</v>
      </c>
    </row>
    <row r="2108" spans="1:13">
      <c r="A2108">
        <v>2107</v>
      </c>
      <c r="B2108">
        <v>2039</v>
      </c>
      <c r="C2108">
        <v>12</v>
      </c>
      <c r="D2108">
        <v>2</v>
      </c>
      <c r="E2108">
        <v>22</v>
      </c>
      <c r="F2108">
        <f t="shared" si="96"/>
        <v>44</v>
      </c>
      <c r="G2108" t="str">
        <f>VLOOKUP(B2108,Orders!$A$2:$D$1201,4,FALSE)</f>
        <v>Delivered</v>
      </c>
      <c r="H2108">
        <f t="shared" si="97"/>
        <v>44</v>
      </c>
      <c r="I2108" s="12">
        <f>VLOOKUP(B2108,Orders!$A$2:$D$1201,3,FALSE)</f>
        <v>46087</v>
      </c>
      <c r="L2108" t="str">
        <f>VLOOKUP(C2108,Products!$A$2:$D$13,2,FALSE)</f>
        <v>Storage Box</v>
      </c>
      <c r="M2108" t="str">
        <f t="shared" si="98"/>
        <v>2026-03</v>
      </c>
    </row>
    <row r="2109" spans="1:13">
      <c r="A2109">
        <v>2108</v>
      </c>
      <c r="B2109">
        <v>2039</v>
      </c>
      <c r="C2109">
        <v>3</v>
      </c>
      <c r="D2109">
        <v>4</v>
      </c>
      <c r="E2109">
        <v>45</v>
      </c>
      <c r="F2109">
        <f t="shared" si="96"/>
        <v>180</v>
      </c>
      <c r="G2109" t="str">
        <f>VLOOKUP(B2109,Orders!$A$2:$D$1201,4,FALSE)</f>
        <v>Delivered</v>
      </c>
      <c r="H2109">
        <f t="shared" si="97"/>
        <v>180</v>
      </c>
      <c r="I2109" s="12">
        <f>VLOOKUP(B2109,Orders!$A$2:$D$1201,3,FALSE)</f>
        <v>46087</v>
      </c>
      <c r="L2109" t="str">
        <f>VLOOKUP(C2109,Products!$A$2:$D$13,2,FALSE)</f>
        <v>Keyboard</v>
      </c>
      <c r="M2109" t="str">
        <f t="shared" si="98"/>
        <v>2026-03</v>
      </c>
    </row>
    <row r="2110" spans="1:13">
      <c r="A2110">
        <v>2109</v>
      </c>
      <c r="B2110">
        <v>2040</v>
      </c>
      <c r="C2110">
        <v>12</v>
      </c>
      <c r="D2110">
        <v>1</v>
      </c>
      <c r="E2110">
        <v>22</v>
      </c>
      <c r="F2110">
        <f t="shared" si="96"/>
        <v>22</v>
      </c>
      <c r="G2110" t="str">
        <f>VLOOKUP(B2110,Orders!$A$2:$D$1201,4,FALSE)</f>
        <v>Delivered</v>
      </c>
      <c r="H2110">
        <f t="shared" si="97"/>
        <v>22</v>
      </c>
      <c r="I2110" s="12">
        <f>VLOOKUP(B2110,Orders!$A$2:$D$1201,3,FALSE)</f>
        <v>46024</v>
      </c>
      <c r="L2110" t="str">
        <f>VLOOKUP(C2110,Products!$A$2:$D$13,2,FALSE)</f>
        <v>Storage Box</v>
      </c>
      <c r="M2110" t="str">
        <f t="shared" si="98"/>
        <v>2026-01</v>
      </c>
    </row>
    <row r="2111" spans="1:13">
      <c r="A2111">
        <v>2110</v>
      </c>
      <c r="B2111">
        <v>2041</v>
      </c>
      <c r="C2111">
        <v>9</v>
      </c>
      <c r="D2111">
        <v>1</v>
      </c>
      <c r="E2111">
        <v>30</v>
      </c>
      <c r="F2111">
        <f t="shared" si="96"/>
        <v>30</v>
      </c>
      <c r="G2111" t="str">
        <f>VLOOKUP(B2111,Orders!$A$2:$D$1201,4,FALSE)</f>
        <v>Delivered</v>
      </c>
      <c r="H2111">
        <f t="shared" si="97"/>
        <v>30</v>
      </c>
      <c r="I2111" s="12">
        <f>VLOOKUP(B2111,Orders!$A$2:$D$1201,3,FALSE)</f>
        <v>46175</v>
      </c>
      <c r="L2111" t="str">
        <f>VLOOKUP(C2111,Products!$A$2:$D$13,2,FALSE)</f>
        <v>Lamp</v>
      </c>
      <c r="M2111" t="str">
        <f t="shared" si="98"/>
        <v>2026-06</v>
      </c>
    </row>
    <row r="2112" spans="1:13">
      <c r="A2112">
        <v>2111</v>
      </c>
      <c r="B2112">
        <v>2041</v>
      </c>
      <c r="C2112">
        <v>4</v>
      </c>
      <c r="D2112">
        <v>2</v>
      </c>
      <c r="E2112">
        <v>25</v>
      </c>
      <c r="F2112">
        <f t="shared" si="96"/>
        <v>50</v>
      </c>
      <c r="G2112" t="str">
        <f>VLOOKUP(B2112,Orders!$A$2:$D$1201,4,FALSE)</f>
        <v>Delivered</v>
      </c>
      <c r="H2112">
        <f t="shared" si="97"/>
        <v>50</v>
      </c>
      <c r="I2112" s="12">
        <f>VLOOKUP(B2112,Orders!$A$2:$D$1201,3,FALSE)</f>
        <v>46175</v>
      </c>
      <c r="L2112" t="str">
        <f>VLOOKUP(C2112,Products!$A$2:$D$13,2,FALSE)</f>
        <v>Mouse</v>
      </c>
      <c r="M2112" t="str">
        <f t="shared" si="98"/>
        <v>2026-06</v>
      </c>
    </row>
    <row r="2113" spans="1:13">
      <c r="A2113">
        <v>2112</v>
      </c>
      <c r="B2113">
        <v>2041</v>
      </c>
      <c r="C2113">
        <v>6</v>
      </c>
      <c r="D2113">
        <v>3</v>
      </c>
      <c r="E2113">
        <v>140</v>
      </c>
      <c r="F2113">
        <f t="shared" si="96"/>
        <v>420</v>
      </c>
      <c r="G2113" t="str">
        <f>VLOOKUP(B2113,Orders!$A$2:$D$1201,4,FALSE)</f>
        <v>Delivered</v>
      </c>
      <c r="H2113">
        <f t="shared" si="97"/>
        <v>420</v>
      </c>
      <c r="I2113" s="12">
        <f>VLOOKUP(B2113,Orders!$A$2:$D$1201,3,FALSE)</f>
        <v>46175</v>
      </c>
      <c r="L2113" t="str">
        <f>VLOOKUP(C2113,Products!$A$2:$D$13,2,FALSE)</f>
        <v>Chair</v>
      </c>
      <c r="M2113" t="str">
        <f t="shared" si="98"/>
        <v>2026-06</v>
      </c>
    </row>
    <row r="2114" spans="1:13">
      <c r="A2114">
        <v>2113</v>
      </c>
      <c r="B2114">
        <v>2042</v>
      </c>
      <c r="C2114">
        <v>9</v>
      </c>
      <c r="D2114">
        <v>2</v>
      </c>
      <c r="E2114">
        <v>30</v>
      </c>
      <c r="F2114">
        <f t="shared" si="96"/>
        <v>60</v>
      </c>
      <c r="G2114" t="str">
        <f>VLOOKUP(B2114,Orders!$A$2:$D$1201,4,FALSE)</f>
        <v>Delivered</v>
      </c>
      <c r="H2114">
        <f t="shared" si="97"/>
        <v>60</v>
      </c>
      <c r="I2114" s="12">
        <f>VLOOKUP(B2114,Orders!$A$2:$D$1201,3,FALSE)</f>
        <v>46101</v>
      </c>
      <c r="L2114" t="str">
        <f>VLOOKUP(C2114,Products!$A$2:$D$13,2,FALSE)</f>
        <v>Lamp</v>
      </c>
      <c r="M2114" t="str">
        <f t="shared" si="98"/>
        <v>2026-03</v>
      </c>
    </row>
    <row r="2115" spans="1:13">
      <c r="A2115">
        <v>2114</v>
      </c>
      <c r="B2115">
        <v>2042</v>
      </c>
      <c r="C2115">
        <v>12</v>
      </c>
      <c r="D2115">
        <v>1</v>
      </c>
      <c r="E2115">
        <v>22</v>
      </c>
      <c r="F2115">
        <f t="shared" ref="F2115:F2178" si="99">D2115*E2115</f>
        <v>22</v>
      </c>
      <c r="G2115" t="str">
        <f>VLOOKUP(B2115,Orders!$A$2:$D$1201,4,FALSE)</f>
        <v>Delivered</v>
      </c>
      <c r="H2115">
        <f t="shared" ref="H2115:H2178" si="100">IF(G2115="Cancelled",0,F2115)</f>
        <v>22</v>
      </c>
      <c r="I2115" s="12">
        <f>VLOOKUP(B2115,Orders!$A$2:$D$1201,3,FALSE)</f>
        <v>46101</v>
      </c>
      <c r="L2115" t="str">
        <f>VLOOKUP(C2115,Products!$A$2:$D$13,2,FALSE)</f>
        <v>Storage Box</v>
      </c>
      <c r="M2115" t="str">
        <f t="shared" ref="M2115:M2178" si="101">TEXT(I2115,"yyyy-mm")</f>
        <v>2026-03</v>
      </c>
    </row>
    <row r="2116" spans="1:13">
      <c r="A2116">
        <v>2115</v>
      </c>
      <c r="B2116">
        <v>2043</v>
      </c>
      <c r="C2116">
        <v>10</v>
      </c>
      <c r="D2116">
        <v>3</v>
      </c>
      <c r="E2116">
        <v>8</v>
      </c>
      <c r="F2116">
        <f t="shared" si="99"/>
        <v>24</v>
      </c>
      <c r="G2116" t="str">
        <f>VLOOKUP(B2116,Orders!$A$2:$D$1201,4,FALSE)</f>
        <v>Delivered</v>
      </c>
      <c r="H2116">
        <f t="shared" si="100"/>
        <v>24</v>
      </c>
      <c r="I2116" s="12">
        <f>VLOOKUP(B2116,Orders!$A$2:$D$1201,3,FALSE)</f>
        <v>46090</v>
      </c>
      <c r="L2116" t="str">
        <f>VLOOKUP(C2116,Products!$A$2:$D$13,2,FALSE)</f>
        <v>Notebook</v>
      </c>
      <c r="M2116" t="str">
        <f t="shared" si="101"/>
        <v>2026-03</v>
      </c>
    </row>
    <row r="2117" spans="1:13">
      <c r="A2117">
        <v>2116</v>
      </c>
      <c r="B2117">
        <v>2043</v>
      </c>
      <c r="C2117">
        <v>11</v>
      </c>
      <c r="D2117">
        <v>3</v>
      </c>
      <c r="E2117">
        <v>48</v>
      </c>
      <c r="F2117">
        <f t="shared" si="99"/>
        <v>144</v>
      </c>
      <c r="G2117" t="str">
        <f>VLOOKUP(B2117,Orders!$A$2:$D$1201,4,FALSE)</f>
        <v>Delivered</v>
      </c>
      <c r="H2117">
        <f t="shared" si="100"/>
        <v>144</v>
      </c>
      <c r="I2117" s="12">
        <f>VLOOKUP(B2117,Orders!$A$2:$D$1201,3,FALSE)</f>
        <v>46090</v>
      </c>
      <c r="L2117" t="str">
        <f>VLOOKUP(C2117,Products!$A$2:$D$13,2,FALSE)</f>
        <v>Backpack</v>
      </c>
      <c r="M2117" t="str">
        <f t="shared" si="101"/>
        <v>2026-03</v>
      </c>
    </row>
    <row r="2118" spans="1:13">
      <c r="A2118">
        <v>2117</v>
      </c>
      <c r="B2118">
        <v>2043</v>
      </c>
      <c r="C2118">
        <v>7</v>
      </c>
      <c r="D2118">
        <v>4</v>
      </c>
      <c r="E2118">
        <v>65</v>
      </c>
      <c r="F2118">
        <f t="shared" si="99"/>
        <v>260</v>
      </c>
      <c r="G2118" t="str">
        <f>VLOOKUP(B2118,Orders!$A$2:$D$1201,4,FALSE)</f>
        <v>Delivered</v>
      </c>
      <c r="H2118">
        <f t="shared" si="100"/>
        <v>260</v>
      </c>
      <c r="I2118" s="12">
        <f>VLOOKUP(B2118,Orders!$A$2:$D$1201,3,FALSE)</f>
        <v>46090</v>
      </c>
      <c r="L2118" t="str">
        <f>VLOOKUP(C2118,Products!$A$2:$D$13,2,FALSE)</f>
        <v>Headphones</v>
      </c>
      <c r="M2118" t="str">
        <f t="shared" si="101"/>
        <v>2026-03</v>
      </c>
    </row>
    <row r="2119" spans="1:13">
      <c r="A2119">
        <v>2118</v>
      </c>
      <c r="B2119">
        <v>2044</v>
      </c>
      <c r="C2119">
        <v>3</v>
      </c>
      <c r="D2119">
        <v>4</v>
      </c>
      <c r="E2119">
        <v>45</v>
      </c>
      <c r="F2119">
        <f t="shared" si="99"/>
        <v>180</v>
      </c>
      <c r="G2119" t="str">
        <f>VLOOKUP(B2119,Orders!$A$2:$D$1201,4,FALSE)</f>
        <v>Shipped</v>
      </c>
      <c r="H2119">
        <f t="shared" si="100"/>
        <v>180</v>
      </c>
      <c r="I2119" s="12">
        <f>VLOOKUP(B2119,Orders!$A$2:$D$1201,3,FALSE)</f>
        <v>46046</v>
      </c>
      <c r="L2119" t="str">
        <f>VLOOKUP(C2119,Products!$A$2:$D$13,2,FALSE)</f>
        <v>Keyboard</v>
      </c>
      <c r="M2119" t="str">
        <f t="shared" si="101"/>
        <v>2026-01</v>
      </c>
    </row>
    <row r="2120" spans="1:13">
      <c r="A2120">
        <v>2119</v>
      </c>
      <c r="B2120">
        <v>2045</v>
      </c>
      <c r="C2120">
        <v>9</v>
      </c>
      <c r="D2120">
        <v>4</v>
      </c>
      <c r="E2120">
        <v>30</v>
      </c>
      <c r="F2120">
        <f t="shared" si="99"/>
        <v>120</v>
      </c>
      <c r="G2120" t="str">
        <f>VLOOKUP(B2120,Orders!$A$2:$D$1201,4,FALSE)</f>
        <v>Cancelled</v>
      </c>
      <c r="H2120">
        <f t="shared" si="100"/>
        <v>0</v>
      </c>
      <c r="I2120" s="12">
        <f>VLOOKUP(B2120,Orders!$A$2:$D$1201,3,FALSE)</f>
        <v>46042</v>
      </c>
      <c r="L2120" t="str">
        <f>VLOOKUP(C2120,Products!$A$2:$D$13,2,FALSE)</f>
        <v>Lamp</v>
      </c>
      <c r="M2120" t="str">
        <f t="shared" si="101"/>
        <v>2026-01</v>
      </c>
    </row>
    <row r="2121" spans="1:13">
      <c r="A2121">
        <v>2120</v>
      </c>
      <c r="B2121">
        <v>2046</v>
      </c>
      <c r="C2121">
        <v>9</v>
      </c>
      <c r="D2121">
        <v>2</v>
      </c>
      <c r="E2121">
        <v>30</v>
      </c>
      <c r="F2121">
        <f t="shared" si="99"/>
        <v>60</v>
      </c>
      <c r="G2121" t="str">
        <f>VLOOKUP(B2121,Orders!$A$2:$D$1201,4,FALSE)</f>
        <v>Delivered</v>
      </c>
      <c r="H2121">
        <f t="shared" si="100"/>
        <v>60</v>
      </c>
      <c r="I2121" s="12">
        <f>VLOOKUP(B2121,Orders!$A$2:$D$1201,3,FALSE)</f>
        <v>46131</v>
      </c>
      <c r="L2121" t="str">
        <f>VLOOKUP(C2121,Products!$A$2:$D$13,2,FALSE)</f>
        <v>Lamp</v>
      </c>
      <c r="M2121" t="str">
        <f t="shared" si="101"/>
        <v>2026-04</v>
      </c>
    </row>
    <row r="2122" spans="1:13">
      <c r="A2122">
        <v>2121</v>
      </c>
      <c r="B2122">
        <v>2046</v>
      </c>
      <c r="C2122">
        <v>2</v>
      </c>
      <c r="D2122">
        <v>4</v>
      </c>
      <c r="E2122">
        <v>220</v>
      </c>
      <c r="F2122">
        <f t="shared" si="99"/>
        <v>880</v>
      </c>
      <c r="G2122" t="str">
        <f>VLOOKUP(B2122,Orders!$A$2:$D$1201,4,FALSE)</f>
        <v>Delivered</v>
      </c>
      <c r="H2122">
        <f t="shared" si="100"/>
        <v>880</v>
      </c>
      <c r="I2122" s="12">
        <f>VLOOKUP(B2122,Orders!$A$2:$D$1201,3,FALSE)</f>
        <v>46131</v>
      </c>
      <c r="L2122" t="str">
        <f>VLOOKUP(C2122,Products!$A$2:$D$13,2,FALSE)</f>
        <v>Monitor</v>
      </c>
      <c r="M2122" t="str">
        <f t="shared" si="101"/>
        <v>2026-04</v>
      </c>
    </row>
    <row r="2123" spans="1:13">
      <c r="A2123">
        <v>2122</v>
      </c>
      <c r="B2123">
        <v>2047</v>
      </c>
      <c r="C2123">
        <v>4</v>
      </c>
      <c r="D2123">
        <v>2</v>
      </c>
      <c r="E2123">
        <v>25</v>
      </c>
      <c r="F2123">
        <f t="shared" si="99"/>
        <v>50</v>
      </c>
      <c r="G2123" t="str">
        <f>VLOOKUP(B2123,Orders!$A$2:$D$1201,4,FALSE)</f>
        <v>Delivered</v>
      </c>
      <c r="H2123">
        <f t="shared" si="100"/>
        <v>50</v>
      </c>
      <c r="I2123" s="12">
        <f>VLOOKUP(B2123,Orders!$A$2:$D$1201,3,FALSE)</f>
        <v>46156</v>
      </c>
      <c r="L2123" t="str">
        <f>VLOOKUP(C2123,Products!$A$2:$D$13,2,FALSE)</f>
        <v>Mouse</v>
      </c>
      <c r="M2123" t="str">
        <f t="shared" si="101"/>
        <v>2026-05</v>
      </c>
    </row>
    <row r="2124" spans="1:13">
      <c r="A2124">
        <v>2123</v>
      </c>
      <c r="B2124">
        <v>2047</v>
      </c>
      <c r="C2124">
        <v>3</v>
      </c>
      <c r="D2124">
        <v>4</v>
      </c>
      <c r="E2124">
        <v>45</v>
      </c>
      <c r="F2124">
        <f t="shared" si="99"/>
        <v>180</v>
      </c>
      <c r="G2124" t="str">
        <f>VLOOKUP(B2124,Orders!$A$2:$D$1201,4,FALSE)</f>
        <v>Delivered</v>
      </c>
      <c r="H2124">
        <f t="shared" si="100"/>
        <v>180</v>
      </c>
      <c r="I2124" s="12">
        <f>VLOOKUP(B2124,Orders!$A$2:$D$1201,3,FALSE)</f>
        <v>46156</v>
      </c>
      <c r="L2124" t="str">
        <f>VLOOKUP(C2124,Products!$A$2:$D$13,2,FALSE)</f>
        <v>Keyboard</v>
      </c>
      <c r="M2124" t="str">
        <f t="shared" si="101"/>
        <v>2026-05</v>
      </c>
    </row>
    <row r="2125" spans="1:13">
      <c r="A2125">
        <v>2124</v>
      </c>
      <c r="B2125">
        <v>2047</v>
      </c>
      <c r="C2125">
        <v>5</v>
      </c>
      <c r="D2125">
        <v>4</v>
      </c>
      <c r="E2125">
        <v>180</v>
      </c>
      <c r="F2125">
        <f t="shared" si="99"/>
        <v>720</v>
      </c>
      <c r="G2125" t="str">
        <f>VLOOKUP(B2125,Orders!$A$2:$D$1201,4,FALSE)</f>
        <v>Delivered</v>
      </c>
      <c r="H2125">
        <f t="shared" si="100"/>
        <v>720</v>
      </c>
      <c r="I2125" s="12">
        <f>VLOOKUP(B2125,Orders!$A$2:$D$1201,3,FALSE)</f>
        <v>46156</v>
      </c>
      <c r="L2125" t="str">
        <f>VLOOKUP(C2125,Products!$A$2:$D$13,2,FALSE)</f>
        <v>Desk</v>
      </c>
      <c r="M2125" t="str">
        <f t="shared" si="101"/>
        <v>2026-05</v>
      </c>
    </row>
    <row r="2126" spans="1:13">
      <c r="A2126">
        <v>2125</v>
      </c>
      <c r="B2126">
        <v>2048</v>
      </c>
      <c r="C2126">
        <v>6</v>
      </c>
      <c r="D2126">
        <v>4</v>
      </c>
      <c r="E2126">
        <v>140</v>
      </c>
      <c r="F2126">
        <f t="shared" si="99"/>
        <v>560</v>
      </c>
      <c r="G2126" t="str">
        <f>VLOOKUP(B2126,Orders!$A$2:$D$1201,4,FALSE)</f>
        <v>Delivered</v>
      </c>
      <c r="H2126">
        <f t="shared" si="100"/>
        <v>560</v>
      </c>
      <c r="I2126" s="12">
        <f>VLOOKUP(B2126,Orders!$A$2:$D$1201,3,FALSE)</f>
        <v>46134</v>
      </c>
      <c r="L2126" t="str">
        <f>VLOOKUP(C2126,Products!$A$2:$D$13,2,FALSE)</f>
        <v>Chair</v>
      </c>
      <c r="M2126" t="str">
        <f t="shared" si="101"/>
        <v>2026-04</v>
      </c>
    </row>
    <row r="2127" spans="1:13">
      <c r="A2127">
        <v>2126</v>
      </c>
      <c r="B2127">
        <v>2049</v>
      </c>
      <c r="C2127">
        <v>6</v>
      </c>
      <c r="D2127">
        <v>1</v>
      </c>
      <c r="E2127">
        <v>140</v>
      </c>
      <c r="F2127">
        <f t="shared" si="99"/>
        <v>140</v>
      </c>
      <c r="G2127" t="str">
        <f>VLOOKUP(B2127,Orders!$A$2:$D$1201,4,FALSE)</f>
        <v>Cancelled</v>
      </c>
      <c r="H2127">
        <f t="shared" si="100"/>
        <v>0</v>
      </c>
      <c r="I2127" s="12">
        <f>VLOOKUP(B2127,Orders!$A$2:$D$1201,3,FALSE)</f>
        <v>46166</v>
      </c>
      <c r="L2127" t="str">
        <f>VLOOKUP(C2127,Products!$A$2:$D$13,2,FALSE)</f>
        <v>Chair</v>
      </c>
      <c r="M2127" t="str">
        <f t="shared" si="101"/>
        <v>2026-05</v>
      </c>
    </row>
    <row r="2128" spans="1:13">
      <c r="A2128">
        <v>2127</v>
      </c>
      <c r="B2128">
        <v>2049</v>
      </c>
      <c r="C2128">
        <v>3</v>
      </c>
      <c r="D2128">
        <v>2</v>
      </c>
      <c r="E2128">
        <v>45</v>
      </c>
      <c r="F2128">
        <f t="shared" si="99"/>
        <v>90</v>
      </c>
      <c r="G2128" t="str">
        <f>VLOOKUP(B2128,Orders!$A$2:$D$1201,4,FALSE)</f>
        <v>Cancelled</v>
      </c>
      <c r="H2128">
        <f t="shared" si="100"/>
        <v>0</v>
      </c>
      <c r="I2128" s="12">
        <f>VLOOKUP(B2128,Orders!$A$2:$D$1201,3,FALSE)</f>
        <v>46166</v>
      </c>
      <c r="L2128" t="str">
        <f>VLOOKUP(C2128,Products!$A$2:$D$13,2,FALSE)</f>
        <v>Keyboard</v>
      </c>
      <c r="M2128" t="str">
        <f t="shared" si="101"/>
        <v>2026-05</v>
      </c>
    </row>
    <row r="2129" spans="1:13">
      <c r="A2129">
        <v>2128</v>
      </c>
      <c r="B2129">
        <v>2050</v>
      </c>
      <c r="C2129">
        <v>10</v>
      </c>
      <c r="D2129">
        <v>3</v>
      </c>
      <c r="E2129">
        <v>8</v>
      </c>
      <c r="F2129">
        <f t="shared" si="99"/>
        <v>24</v>
      </c>
      <c r="G2129" t="str">
        <f>VLOOKUP(B2129,Orders!$A$2:$D$1201,4,FALSE)</f>
        <v>Delivered</v>
      </c>
      <c r="H2129">
        <f t="shared" si="100"/>
        <v>24</v>
      </c>
      <c r="I2129" s="12">
        <f>VLOOKUP(B2129,Orders!$A$2:$D$1201,3,FALSE)</f>
        <v>46136</v>
      </c>
      <c r="L2129" t="str">
        <f>VLOOKUP(C2129,Products!$A$2:$D$13,2,FALSE)</f>
        <v>Notebook</v>
      </c>
      <c r="M2129" t="str">
        <f t="shared" si="101"/>
        <v>2026-04</v>
      </c>
    </row>
    <row r="2130" spans="1:13">
      <c r="A2130">
        <v>2129</v>
      </c>
      <c r="B2130">
        <v>2051</v>
      </c>
      <c r="C2130">
        <v>5</v>
      </c>
      <c r="D2130">
        <v>4</v>
      </c>
      <c r="E2130">
        <v>180</v>
      </c>
      <c r="F2130">
        <f t="shared" si="99"/>
        <v>720</v>
      </c>
      <c r="G2130" t="str">
        <f>VLOOKUP(B2130,Orders!$A$2:$D$1201,4,FALSE)</f>
        <v>Delivered</v>
      </c>
      <c r="H2130">
        <f t="shared" si="100"/>
        <v>720</v>
      </c>
      <c r="I2130" s="12">
        <f>VLOOKUP(B2130,Orders!$A$2:$D$1201,3,FALSE)</f>
        <v>46026</v>
      </c>
      <c r="L2130" t="str">
        <f>VLOOKUP(C2130,Products!$A$2:$D$13,2,FALSE)</f>
        <v>Desk</v>
      </c>
      <c r="M2130" t="str">
        <f t="shared" si="101"/>
        <v>2026-01</v>
      </c>
    </row>
    <row r="2131" spans="1:13">
      <c r="A2131">
        <v>2130</v>
      </c>
      <c r="B2131">
        <v>2051</v>
      </c>
      <c r="C2131">
        <v>11</v>
      </c>
      <c r="D2131">
        <v>1</v>
      </c>
      <c r="E2131">
        <v>48</v>
      </c>
      <c r="F2131">
        <f t="shared" si="99"/>
        <v>48</v>
      </c>
      <c r="G2131" t="str">
        <f>VLOOKUP(B2131,Orders!$A$2:$D$1201,4,FALSE)</f>
        <v>Delivered</v>
      </c>
      <c r="H2131">
        <f t="shared" si="100"/>
        <v>48</v>
      </c>
      <c r="I2131" s="12">
        <f>VLOOKUP(B2131,Orders!$A$2:$D$1201,3,FALSE)</f>
        <v>46026</v>
      </c>
      <c r="L2131" t="str">
        <f>VLOOKUP(C2131,Products!$A$2:$D$13,2,FALSE)</f>
        <v>Backpack</v>
      </c>
      <c r="M2131" t="str">
        <f t="shared" si="101"/>
        <v>2026-01</v>
      </c>
    </row>
    <row r="2132" spans="1:13">
      <c r="A2132">
        <v>2131</v>
      </c>
      <c r="B2132">
        <v>2051</v>
      </c>
      <c r="C2132">
        <v>8</v>
      </c>
      <c r="D2132">
        <v>3</v>
      </c>
      <c r="E2132">
        <v>55</v>
      </c>
      <c r="F2132">
        <f t="shared" si="99"/>
        <v>165</v>
      </c>
      <c r="G2132" t="str">
        <f>VLOOKUP(B2132,Orders!$A$2:$D$1201,4,FALSE)</f>
        <v>Delivered</v>
      </c>
      <c r="H2132">
        <f t="shared" si="100"/>
        <v>165</v>
      </c>
      <c r="I2132" s="12">
        <f>VLOOKUP(B2132,Orders!$A$2:$D$1201,3,FALSE)</f>
        <v>46026</v>
      </c>
      <c r="L2132" t="str">
        <f>VLOOKUP(C2132,Products!$A$2:$D$13,2,FALSE)</f>
        <v>Webcam</v>
      </c>
      <c r="M2132" t="str">
        <f t="shared" si="101"/>
        <v>2026-01</v>
      </c>
    </row>
    <row r="2133" spans="1:13">
      <c r="A2133">
        <v>2132</v>
      </c>
      <c r="B2133">
        <v>2052</v>
      </c>
      <c r="C2133">
        <v>3</v>
      </c>
      <c r="D2133">
        <v>1</v>
      </c>
      <c r="E2133">
        <v>45</v>
      </c>
      <c r="F2133">
        <f t="shared" si="99"/>
        <v>45</v>
      </c>
      <c r="G2133" t="str">
        <f>VLOOKUP(B2133,Orders!$A$2:$D$1201,4,FALSE)</f>
        <v>Pending</v>
      </c>
      <c r="H2133">
        <f t="shared" si="100"/>
        <v>45</v>
      </c>
      <c r="I2133" s="12">
        <f>VLOOKUP(B2133,Orders!$A$2:$D$1201,3,FALSE)</f>
        <v>46143</v>
      </c>
      <c r="L2133" t="str">
        <f>VLOOKUP(C2133,Products!$A$2:$D$13,2,FALSE)</f>
        <v>Keyboard</v>
      </c>
      <c r="M2133" t="str">
        <f t="shared" si="101"/>
        <v>2026-05</v>
      </c>
    </row>
    <row r="2134" spans="1:13">
      <c r="A2134">
        <v>2133</v>
      </c>
      <c r="B2134">
        <v>2052</v>
      </c>
      <c r="C2134">
        <v>8</v>
      </c>
      <c r="D2134">
        <v>1</v>
      </c>
      <c r="E2134">
        <v>55</v>
      </c>
      <c r="F2134">
        <f t="shared" si="99"/>
        <v>55</v>
      </c>
      <c r="G2134" t="str">
        <f>VLOOKUP(B2134,Orders!$A$2:$D$1201,4,FALSE)</f>
        <v>Pending</v>
      </c>
      <c r="H2134">
        <f t="shared" si="100"/>
        <v>55</v>
      </c>
      <c r="I2134" s="12">
        <f>VLOOKUP(B2134,Orders!$A$2:$D$1201,3,FALSE)</f>
        <v>46143</v>
      </c>
      <c r="L2134" t="str">
        <f>VLOOKUP(C2134,Products!$A$2:$D$13,2,FALSE)</f>
        <v>Webcam</v>
      </c>
      <c r="M2134" t="str">
        <f t="shared" si="101"/>
        <v>2026-05</v>
      </c>
    </row>
    <row r="2135" spans="1:13">
      <c r="A2135">
        <v>2134</v>
      </c>
      <c r="B2135">
        <v>2053</v>
      </c>
      <c r="C2135">
        <v>12</v>
      </c>
      <c r="D2135">
        <v>1</v>
      </c>
      <c r="E2135">
        <v>22</v>
      </c>
      <c r="F2135">
        <f t="shared" si="99"/>
        <v>22</v>
      </c>
      <c r="G2135" t="str">
        <f>VLOOKUP(B2135,Orders!$A$2:$D$1201,4,FALSE)</f>
        <v>Delivered</v>
      </c>
      <c r="H2135">
        <f t="shared" si="100"/>
        <v>22</v>
      </c>
      <c r="I2135" s="12">
        <f>VLOOKUP(B2135,Orders!$A$2:$D$1201,3,FALSE)</f>
        <v>46030</v>
      </c>
      <c r="L2135" t="str">
        <f>VLOOKUP(C2135,Products!$A$2:$D$13,2,FALSE)</f>
        <v>Storage Box</v>
      </c>
      <c r="M2135" t="str">
        <f t="shared" si="101"/>
        <v>2026-01</v>
      </c>
    </row>
    <row r="2136" spans="1:13">
      <c r="A2136">
        <v>2135</v>
      </c>
      <c r="B2136">
        <v>2053</v>
      </c>
      <c r="C2136">
        <v>3</v>
      </c>
      <c r="D2136">
        <v>4</v>
      </c>
      <c r="E2136">
        <v>45</v>
      </c>
      <c r="F2136">
        <f t="shared" si="99"/>
        <v>180</v>
      </c>
      <c r="G2136" t="str">
        <f>VLOOKUP(B2136,Orders!$A$2:$D$1201,4,FALSE)</f>
        <v>Delivered</v>
      </c>
      <c r="H2136">
        <f t="shared" si="100"/>
        <v>180</v>
      </c>
      <c r="I2136" s="12">
        <f>VLOOKUP(B2136,Orders!$A$2:$D$1201,3,FALSE)</f>
        <v>46030</v>
      </c>
      <c r="L2136" t="str">
        <f>VLOOKUP(C2136,Products!$A$2:$D$13,2,FALSE)</f>
        <v>Keyboard</v>
      </c>
      <c r="M2136" t="str">
        <f t="shared" si="101"/>
        <v>2026-01</v>
      </c>
    </row>
    <row r="2137" spans="1:13">
      <c r="A2137">
        <v>2136</v>
      </c>
      <c r="B2137">
        <v>2053</v>
      </c>
      <c r="C2137">
        <v>11</v>
      </c>
      <c r="D2137">
        <v>1</v>
      </c>
      <c r="E2137">
        <v>48</v>
      </c>
      <c r="F2137">
        <f t="shared" si="99"/>
        <v>48</v>
      </c>
      <c r="G2137" t="str">
        <f>VLOOKUP(B2137,Orders!$A$2:$D$1201,4,FALSE)</f>
        <v>Delivered</v>
      </c>
      <c r="H2137">
        <f t="shared" si="100"/>
        <v>48</v>
      </c>
      <c r="I2137" s="12">
        <f>VLOOKUP(B2137,Orders!$A$2:$D$1201,3,FALSE)</f>
        <v>46030</v>
      </c>
      <c r="L2137" t="str">
        <f>VLOOKUP(C2137,Products!$A$2:$D$13,2,FALSE)</f>
        <v>Backpack</v>
      </c>
      <c r="M2137" t="str">
        <f t="shared" si="101"/>
        <v>2026-01</v>
      </c>
    </row>
    <row r="2138" spans="1:13">
      <c r="A2138">
        <v>2137</v>
      </c>
      <c r="B2138">
        <v>2054</v>
      </c>
      <c r="C2138">
        <v>10</v>
      </c>
      <c r="D2138">
        <v>3</v>
      </c>
      <c r="E2138">
        <v>8</v>
      </c>
      <c r="F2138">
        <f t="shared" si="99"/>
        <v>24</v>
      </c>
      <c r="G2138" t="str">
        <f>VLOOKUP(B2138,Orders!$A$2:$D$1201,4,FALSE)</f>
        <v>Delivered</v>
      </c>
      <c r="H2138">
        <f t="shared" si="100"/>
        <v>24</v>
      </c>
      <c r="I2138" s="12">
        <f>VLOOKUP(B2138,Orders!$A$2:$D$1201,3,FALSE)</f>
        <v>46162</v>
      </c>
      <c r="L2138" t="str">
        <f>VLOOKUP(C2138,Products!$A$2:$D$13,2,FALSE)</f>
        <v>Notebook</v>
      </c>
      <c r="M2138" t="str">
        <f t="shared" si="101"/>
        <v>2026-05</v>
      </c>
    </row>
    <row r="2139" spans="1:13">
      <c r="A2139">
        <v>2138</v>
      </c>
      <c r="B2139">
        <v>2054</v>
      </c>
      <c r="C2139">
        <v>1</v>
      </c>
      <c r="D2139">
        <v>2</v>
      </c>
      <c r="E2139">
        <v>750</v>
      </c>
      <c r="F2139">
        <f t="shared" si="99"/>
        <v>1500</v>
      </c>
      <c r="G2139" t="str">
        <f>VLOOKUP(B2139,Orders!$A$2:$D$1201,4,FALSE)</f>
        <v>Delivered</v>
      </c>
      <c r="H2139">
        <f t="shared" si="100"/>
        <v>1500</v>
      </c>
      <c r="I2139" s="12">
        <f>VLOOKUP(B2139,Orders!$A$2:$D$1201,3,FALSE)</f>
        <v>46162</v>
      </c>
      <c r="L2139" t="str">
        <f>VLOOKUP(C2139,Products!$A$2:$D$13,2,FALSE)</f>
        <v>Laptop</v>
      </c>
      <c r="M2139" t="str">
        <f t="shared" si="101"/>
        <v>2026-05</v>
      </c>
    </row>
    <row r="2140" spans="1:13">
      <c r="A2140">
        <v>2139</v>
      </c>
      <c r="B2140">
        <v>2054</v>
      </c>
      <c r="C2140">
        <v>6</v>
      </c>
      <c r="D2140">
        <v>3</v>
      </c>
      <c r="E2140">
        <v>140</v>
      </c>
      <c r="F2140">
        <f t="shared" si="99"/>
        <v>420</v>
      </c>
      <c r="G2140" t="str">
        <f>VLOOKUP(B2140,Orders!$A$2:$D$1201,4,FALSE)</f>
        <v>Delivered</v>
      </c>
      <c r="H2140">
        <f t="shared" si="100"/>
        <v>420</v>
      </c>
      <c r="I2140" s="12">
        <f>VLOOKUP(B2140,Orders!$A$2:$D$1201,3,FALSE)</f>
        <v>46162</v>
      </c>
      <c r="L2140" t="str">
        <f>VLOOKUP(C2140,Products!$A$2:$D$13,2,FALSE)</f>
        <v>Chair</v>
      </c>
      <c r="M2140" t="str">
        <f t="shared" si="101"/>
        <v>2026-05</v>
      </c>
    </row>
    <row r="2141" spans="1:13">
      <c r="A2141">
        <v>2140</v>
      </c>
      <c r="B2141">
        <v>2055</v>
      </c>
      <c r="C2141">
        <v>3</v>
      </c>
      <c r="D2141">
        <v>2</v>
      </c>
      <c r="E2141">
        <v>45</v>
      </c>
      <c r="F2141">
        <f t="shared" si="99"/>
        <v>90</v>
      </c>
      <c r="G2141" t="str">
        <f>VLOOKUP(B2141,Orders!$A$2:$D$1201,4,FALSE)</f>
        <v>Delivered</v>
      </c>
      <c r="H2141">
        <f t="shared" si="100"/>
        <v>90</v>
      </c>
      <c r="I2141" s="12">
        <f>VLOOKUP(B2141,Orders!$A$2:$D$1201,3,FALSE)</f>
        <v>46194</v>
      </c>
      <c r="L2141" t="str">
        <f>VLOOKUP(C2141,Products!$A$2:$D$13,2,FALSE)</f>
        <v>Keyboard</v>
      </c>
      <c r="M2141" t="str">
        <f t="shared" si="101"/>
        <v>2026-06</v>
      </c>
    </row>
    <row r="2142" spans="1:13">
      <c r="A2142">
        <v>2141</v>
      </c>
      <c r="B2142">
        <v>2055</v>
      </c>
      <c r="C2142">
        <v>5</v>
      </c>
      <c r="D2142">
        <v>4</v>
      </c>
      <c r="E2142">
        <v>180</v>
      </c>
      <c r="F2142">
        <f t="shared" si="99"/>
        <v>720</v>
      </c>
      <c r="G2142" t="str">
        <f>VLOOKUP(B2142,Orders!$A$2:$D$1201,4,FALSE)</f>
        <v>Delivered</v>
      </c>
      <c r="H2142">
        <f t="shared" si="100"/>
        <v>720</v>
      </c>
      <c r="I2142" s="12">
        <f>VLOOKUP(B2142,Orders!$A$2:$D$1201,3,FALSE)</f>
        <v>46194</v>
      </c>
      <c r="L2142" t="str">
        <f>VLOOKUP(C2142,Products!$A$2:$D$13,2,FALSE)</f>
        <v>Desk</v>
      </c>
      <c r="M2142" t="str">
        <f t="shared" si="101"/>
        <v>2026-06</v>
      </c>
    </row>
    <row r="2143" spans="1:13">
      <c r="A2143">
        <v>2142</v>
      </c>
      <c r="B2143">
        <v>2055</v>
      </c>
      <c r="C2143">
        <v>2</v>
      </c>
      <c r="D2143">
        <v>1</v>
      </c>
      <c r="E2143">
        <v>220</v>
      </c>
      <c r="F2143">
        <f t="shared" si="99"/>
        <v>220</v>
      </c>
      <c r="G2143" t="str">
        <f>VLOOKUP(B2143,Orders!$A$2:$D$1201,4,FALSE)</f>
        <v>Delivered</v>
      </c>
      <c r="H2143">
        <f t="shared" si="100"/>
        <v>220</v>
      </c>
      <c r="I2143" s="12">
        <f>VLOOKUP(B2143,Orders!$A$2:$D$1201,3,FALSE)</f>
        <v>46194</v>
      </c>
      <c r="L2143" t="str">
        <f>VLOOKUP(C2143,Products!$A$2:$D$13,2,FALSE)</f>
        <v>Monitor</v>
      </c>
      <c r="M2143" t="str">
        <f t="shared" si="101"/>
        <v>2026-06</v>
      </c>
    </row>
    <row r="2144" spans="1:13">
      <c r="A2144">
        <v>2143</v>
      </c>
      <c r="B2144">
        <v>2056</v>
      </c>
      <c r="C2144">
        <v>5</v>
      </c>
      <c r="D2144">
        <v>3</v>
      </c>
      <c r="E2144">
        <v>180</v>
      </c>
      <c r="F2144">
        <f t="shared" si="99"/>
        <v>540</v>
      </c>
      <c r="G2144" t="str">
        <f>VLOOKUP(B2144,Orders!$A$2:$D$1201,4,FALSE)</f>
        <v>Delivered</v>
      </c>
      <c r="H2144">
        <f t="shared" si="100"/>
        <v>540</v>
      </c>
      <c r="I2144" s="12">
        <f>VLOOKUP(B2144,Orders!$A$2:$D$1201,3,FALSE)</f>
        <v>46185</v>
      </c>
      <c r="L2144" t="str">
        <f>VLOOKUP(C2144,Products!$A$2:$D$13,2,FALSE)</f>
        <v>Desk</v>
      </c>
      <c r="M2144" t="str">
        <f t="shared" si="101"/>
        <v>2026-06</v>
      </c>
    </row>
    <row r="2145" spans="1:13">
      <c r="A2145">
        <v>2144</v>
      </c>
      <c r="B2145">
        <v>2056</v>
      </c>
      <c r="C2145">
        <v>9</v>
      </c>
      <c r="D2145">
        <v>1</v>
      </c>
      <c r="E2145">
        <v>30</v>
      </c>
      <c r="F2145">
        <f t="shared" si="99"/>
        <v>30</v>
      </c>
      <c r="G2145" t="str">
        <f>VLOOKUP(B2145,Orders!$A$2:$D$1201,4,FALSE)</f>
        <v>Delivered</v>
      </c>
      <c r="H2145">
        <f t="shared" si="100"/>
        <v>30</v>
      </c>
      <c r="I2145" s="12">
        <f>VLOOKUP(B2145,Orders!$A$2:$D$1201,3,FALSE)</f>
        <v>46185</v>
      </c>
      <c r="L2145" t="str">
        <f>VLOOKUP(C2145,Products!$A$2:$D$13,2,FALSE)</f>
        <v>Lamp</v>
      </c>
      <c r="M2145" t="str">
        <f t="shared" si="101"/>
        <v>2026-06</v>
      </c>
    </row>
    <row r="2146" spans="1:13">
      <c r="A2146">
        <v>2145</v>
      </c>
      <c r="B2146">
        <v>2057</v>
      </c>
      <c r="C2146">
        <v>12</v>
      </c>
      <c r="D2146">
        <v>1</v>
      </c>
      <c r="E2146">
        <v>22</v>
      </c>
      <c r="F2146">
        <f t="shared" si="99"/>
        <v>22</v>
      </c>
      <c r="G2146" t="str">
        <f>VLOOKUP(B2146,Orders!$A$2:$D$1201,4,FALSE)</f>
        <v>Delivered</v>
      </c>
      <c r="H2146">
        <f t="shared" si="100"/>
        <v>22</v>
      </c>
      <c r="I2146" s="12">
        <f>VLOOKUP(B2146,Orders!$A$2:$D$1201,3,FALSE)</f>
        <v>46141</v>
      </c>
      <c r="L2146" t="str">
        <f>VLOOKUP(C2146,Products!$A$2:$D$13,2,FALSE)</f>
        <v>Storage Box</v>
      </c>
      <c r="M2146" t="str">
        <f t="shared" si="101"/>
        <v>2026-04</v>
      </c>
    </row>
    <row r="2147" spans="1:13">
      <c r="A2147">
        <v>2146</v>
      </c>
      <c r="B2147">
        <v>2058</v>
      </c>
      <c r="C2147">
        <v>2</v>
      </c>
      <c r="D2147">
        <v>3</v>
      </c>
      <c r="E2147">
        <v>220</v>
      </c>
      <c r="F2147">
        <f t="shared" si="99"/>
        <v>660</v>
      </c>
      <c r="G2147" t="str">
        <f>VLOOKUP(B2147,Orders!$A$2:$D$1201,4,FALSE)</f>
        <v>Delivered</v>
      </c>
      <c r="H2147">
        <f t="shared" si="100"/>
        <v>660</v>
      </c>
      <c r="I2147" s="12">
        <f>VLOOKUP(B2147,Orders!$A$2:$D$1201,3,FALSE)</f>
        <v>46025</v>
      </c>
      <c r="L2147" t="str">
        <f>VLOOKUP(C2147,Products!$A$2:$D$13,2,FALSE)</f>
        <v>Monitor</v>
      </c>
      <c r="M2147" t="str">
        <f t="shared" si="101"/>
        <v>2026-01</v>
      </c>
    </row>
    <row r="2148" spans="1:13">
      <c r="A2148">
        <v>2147</v>
      </c>
      <c r="B2148">
        <v>2058</v>
      </c>
      <c r="C2148">
        <v>4</v>
      </c>
      <c r="D2148">
        <v>2</v>
      </c>
      <c r="E2148">
        <v>25</v>
      </c>
      <c r="F2148">
        <f t="shared" si="99"/>
        <v>50</v>
      </c>
      <c r="G2148" t="str">
        <f>VLOOKUP(B2148,Orders!$A$2:$D$1201,4,FALSE)</f>
        <v>Delivered</v>
      </c>
      <c r="H2148">
        <f t="shared" si="100"/>
        <v>50</v>
      </c>
      <c r="I2148" s="12">
        <f>VLOOKUP(B2148,Orders!$A$2:$D$1201,3,FALSE)</f>
        <v>46025</v>
      </c>
      <c r="L2148" t="str">
        <f>VLOOKUP(C2148,Products!$A$2:$D$13,2,FALSE)</f>
        <v>Mouse</v>
      </c>
      <c r="M2148" t="str">
        <f t="shared" si="101"/>
        <v>2026-01</v>
      </c>
    </row>
    <row r="2149" spans="1:13">
      <c r="A2149">
        <v>2148</v>
      </c>
      <c r="B2149">
        <v>2059</v>
      </c>
      <c r="C2149">
        <v>10</v>
      </c>
      <c r="D2149">
        <v>3</v>
      </c>
      <c r="E2149">
        <v>8</v>
      </c>
      <c r="F2149">
        <f t="shared" si="99"/>
        <v>24</v>
      </c>
      <c r="G2149" t="str">
        <f>VLOOKUP(B2149,Orders!$A$2:$D$1201,4,FALSE)</f>
        <v>Delivered</v>
      </c>
      <c r="H2149">
        <f t="shared" si="100"/>
        <v>24</v>
      </c>
      <c r="I2149" s="12">
        <f>VLOOKUP(B2149,Orders!$A$2:$D$1201,3,FALSE)</f>
        <v>46203</v>
      </c>
      <c r="L2149" t="str">
        <f>VLOOKUP(C2149,Products!$A$2:$D$13,2,FALSE)</f>
        <v>Notebook</v>
      </c>
      <c r="M2149" t="str">
        <f t="shared" si="101"/>
        <v>2026-06</v>
      </c>
    </row>
    <row r="2150" spans="1:13">
      <c r="A2150">
        <v>2149</v>
      </c>
      <c r="B2150">
        <v>2060</v>
      </c>
      <c r="C2150">
        <v>8</v>
      </c>
      <c r="D2150">
        <v>4</v>
      </c>
      <c r="E2150">
        <v>55</v>
      </c>
      <c r="F2150">
        <f t="shared" si="99"/>
        <v>220</v>
      </c>
      <c r="G2150" t="str">
        <f>VLOOKUP(B2150,Orders!$A$2:$D$1201,4,FALSE)</f>
        <v>Pending</v>
      </c>
      <c r="H2150">
        <f t="shared" si="100"/>
        <v>220</v>
      </c>
      <c r="I2150" s="12">
        <f>VLOOKUP(B2150,Orders!$A$2:$D$1201,3,FALSE)</f>
        <v>46068</v>
      </c>
      <c r="L2150" t="str">
        <f>VLOOKUP(C2150,Products!$A$2:$D$13,2,FALSE)</f>
        <v>Webcam</v>
      </c>
      <c r="M2150" t="str">
        <f t="shared" si="101"/>
        <v>2026-02</v>
      </c>
    </row>
    <row r="2151" spans="1:13">
      <c r="A2151">
        <v>2150</v>
      </c>
      <c r="B2151">
        <v>2060</v>
      </c>
      <c r="C2151">
        <v>5</v>
      </c>
      <c r="D2151">
        <v>3</v>
      </c>
      <c r="E2151">
        <v>180</v>
      </c>
      <c r="F2151">
        <f t="shared" si="99"/>
        <v>540</v>
      </c>
      <c r="G2151" t="str">
        <f>VLOOKUP(B2151,Orders!$A$2:$D$1201,4,FALSE)</f>
        <v>Pending</v>
      </c>
      <c r="H2151">
        <f t="shared" si="100"/>
        <v>540</v>
      </c>
      <c r="I2151" s="12">
        <f>VLOOKUP(B2151,Orders!$A$2:$D$1201,3,FALSE)</f>
        <v>46068</v>
      </c>
      <c r="L2151" t="str">
        <f>VLOOKUP(C2151,Products!$A$2:$D$13,2,FALSE)</f>
        <v>Desk</v>
      </c>
      <c r="M2151" t="str">
        <f t="shared" si="101"/>
        <v>2026-02</v>
      </c>
    </row>
    <row r="2152" spans="1:13">
      <c r="A2152">
        <v>2151</v>
      </c>
      <c r="B2152">
        <v>2060</v>
      </c>
      <c r="C2152">
        <v>2</v>
      </c>
      <c r="D2152">
        <v>3</v>
      </c>
      <c r="E2152">
        <v>220</v>
      </c>
      <c r="F2152">
        <f t="shared" si="99"/>
        <v>660</v>
      </c>
      <c r="G2152" t="str">
        <f>VLOOKUP(B2152,Orders!$A$2:$D$1201,4,FALSE)</f>
        <v>Pending</v>
      </c>
      <c r="H2152">
        <f t="shared" si="100"/>
        <v>660</v>
      </c>
      <c r="I2152" s="12">
        <f>VLOOKUP(B2152,Orders!$A$2:$D$1201,3,FALSE)</f>
        <v>46068</v>
      </c>
      <c r="L2152" t="str">
        <f>VLOOKUP(C2152,Products!$A$2:$D$13,2,FALSE)</f>
        <v>Monitor</v>
      </c>
      <c r="M2152" t="str">
        <f t="shared" si="101"/>
        <v>2026-02</v>
      </c>
    </row>
    <row r="2153" spans="1:13">
      <c r="A2153">
        <v>2152</v>
      </c>
      <c r="B2153">
        <v>2061</v>
      </c>
      <c r="C2153">
        <v>10</v>
      </c>
      <c r="D2153">
        <v>4</v>
      </c>
      <c r="E2153">
        <v>8</v>
      </c>
      <c r="F2153">
        <f t="shared" si="99"/>
        <v>32</v>
      </c>
      <c r="G2153" t="str">
        <f>VLOOKUP(B2153,Orders!$A$2:$D$1201,4,FALSE)</f>
        <v>Delivered</v>
      </c>
      <c r="H2153">
        <f t="shared" si="100"/>
        <v>32</v>
      </c>
      <c r="I2153" s="12">
        <f>VLOOKUP(B2153,Orders!$A$2:$D$1201,3,FALSE)</f>
        <v>46187</v>
      </c>
      <c r="L2153" t="str">
        <f>VLOOKUP(C2153,Products!$A$2:$D$13,2,FALSE)</f>
        <v>Notebook</v>
      </c>
      <c r="M2153" t="str">
        <f t="shared" si="101"/>
        <v>2026-06</v>
      </c>
    </row>
    <row r="2154" spans="1:13">
      <c r="A2154">
        <v>2153</v>
      </c>
      <c r="B2154">
        <v>2062</v>
      </c>
      <c r="C2154">
        <v>6</v>
      </c>
      <c r="D2154">
        <v>3</v>
      </c>
      <c r="E2154">
        <v>140</v>
      </c>
      <c r="F2154">
        <f t="shared" si="99"/>
        <v>420</v>
      </c>
      <c r="G2154" t="str">
        <f>VLOOKUP(B2154,Orders!$A$2:$D$1201,4,FALSE)</f>
        <v>Delivered</v>
      </c>
      <c r="H2154">
        <f t="shared" si="100"/>
        <v>420</v>
      </c>
      <c r="I2154" s="12">
        <f>VLOOKUP(B2154,Orders!$A$2:$D$1201,3,FALSE)</f>
        <v>46111</v>
      </c>
      <c r="L2154" t="str">
        <f>VLOOKUP(C2154,Products!$A$2:$D$13,2,FALSE)</f>
        <v>Chair</v>
      </c>
      <c r="M2154" t="str">
        <f t="shared" si="101"/>
        <v>2026-03</v>
      </c>
    </row>
    <row r="2155" spans="1:13">
      <c r="A2155">
        <v>2154</v>
      </c>
      <c r="B2155">
        <v>2063</v>
      </c>
      <c r="C2155">
        <v>11</v>
      </c>
      <c r="D2155">
        <v>4</v>
      </c>
      <c r="E2155">
        <v>48</v>
      </c>
      <c r="F2155">
        <f t="shared" si="99"/>
        <v>192</v>
      </c>
      <c r="G2155" t="str">
        <f>VLOOKUP(B2155,Orders!$A$2:$D$1201,4,FALSE)</f>
        <v>Delivered</v>
      </c>
      <c r="H2155">
        <f t="shared" si="100"/>
        <v>192</v>
      </c>
      <c r="I2155" s="12">
        <f>VLOOKUP(B2155,Orders!$A$2:$D$1201,3,FALSE)</f>
        <v>46089</v>
      </c>
      <c r="L2155" t="str">
        <f>VLOOKUP(C2155,Products!$A$2:$D$13,2,FALSE)</f>
        <v>Backpack</v>
      </c>
      <c r="M2155" t="str">
        <f t="shared" si="101"/>
        <v>2026-03</v>
      </c>
    </row>
    <row r="2156" spans="1:13">
      <c r="A2156">
        <v>2155</v>
      </c>
      <c r="B2156">
        <v>2063</v>
      </c>
      <c r="C2156">
        <v>12</v>
      </c>
      <c r="D2156">
        <v>2</v>
      </c>
      <c r="E2156">
        <v>22</v>
      </c>
      <c r="F2156">
        <f t="shared" si="99"/>
        <v>44</v>
      </c>
      <c r="G2156" t="str">
        <f>VLOOKUP(B2156,Orders!$A$2:$D$1201,4,FALSE)</f>
        <v>Delivered</v>
      </c>
      <c r="H2156">
        <f t="shared" si="100"/>
        <v>44</v>
      </c>
      <c r="I2156" s="12">
        <f>VLOOKUP(B2156,Orders!$A$2:$D$1201,3,FALSE)</f>
        <v>46089</v>
      </c>
      <c r="L2156" t="str">
        <f>VLOOKUP(C2156,Products!$A$2:$D$13,2,FALSE)</f>
        <v>Storage Box</v>
      </c>
      <c r="M2156" t="str">
        <f t="shared" si="101"/>
        <v>2026-03</v>
      </c>
    </row>
    <row r="2157" spans="1:13">
      <c r="A2157">
        <v>2156</v>
      </c>
      <c r="B2157">
        <v>2063</v>
      </c>
      <c r="C2157">
        <v>3</v>
      </c>
      <c r="D2157">
        <v>4</v>
      </c>
      <c r="E2157">
        <v>45</v>
      </c>
      <c r="F2157">
        <f t="shared" si="99"/>
        <v>180</v>
      </c>
      <c r="G2157" t="str">
        <f>VLOOKUP(B2157,Orders!$A$2:$D$1201,4,FALSE)</f>
        <v>Delivered</v>
      </c>
      <c r="H2157">
        <f t="shared" si="100"/>
        <v>180</v>
      </c>
      <c r="I2157" s="12">
        <f>VLOOKUP(B2157,Orders!$A$2:$D$1201,3,FALSE)</f>
        <v>46089</v>
      </c>
      <c r="L2157" t="str">
        <f>VLOOKUP(C2157,Products!$A$2:$D$13,2,FALSE)</f>
        <v>Keyboard</v>
      </c>
      <c r="M2157" t="str">
        <f t="shared" si="101"/>
        <v>2026-03</v>
      </c>
    </row>
    <row r="2158" spans="1:13">
      <c r="A2158">
        <v>2157</v>
      </c>
      <c r="B2158">
        <v>2064</v>
      </c>
      <c r="C2158">
        <v>6</v>
      </c>
      <c r="D2158">
        <v>4</v>
      </c>
      <c r="E2158">
        <v>140</v>
      </c>
      <c r="F2158">
        <f t="shared" si="99"/>
        <v>560</v>
      </c>
      <c r="G2158" t="str">
        <f>VLOOKUP(B2158,Orders!$A$2:$D$1201,4,FALSE)</f>
        <v>Delivered</v>
      </c>
      <c r="H2158">
        <f t="shared" si="100"/>
        <v>560</v>
      </c>
      <c r="I2158" s="12">
        <f>VLOOKUP(B2158,Orders!$A$2:$D$1201,3,FALSE)</f>
        <v>46031</v>
      </c>
      <c r="L2158" t="str">
        <f>VLOOKUP(C2158,Products!$A$2:$D$13,2,FALSE)</f>
        <v>Chair</v>
      </c>
      <c r="M2158" t="str">
        <f t="shared" si="101"/>
        <v>2026-01</v>
      </c>
    </row>
    <row r="2159" spans="1:13">
      <c r="A2159">
        <v>2158</v>
      </c>
      <c r="B2159">
        <v>2064</v>
      </c>
      <c r="C2159">
        <v>1</v>
      </c>
      <c r="D2159">
        <v>4</v>
      </c>
      <c r="E2159">
        <v>750</v>
      </c>
      <c r="F2159">
        <f t="shared" si="99"/>
        <v>3000</v>
      </c>
      <c r="G2159" t="str">
        <f>VLOOKUP(B2159,Orders!$A$2:$D$1201,4,FALSE)</f>
        <v>Delivered</v>
      </c>
      <c r="H2159">
        <f t="shared" si="100"/>
        <v>3000</v>
      </c>
      <c r="I2159" s="12">
        <f>VLOOKUP(B2159,Orders!$A$2:$D$1201,3,FALSE)</f>
        <v>46031</v>
      </c>
      <c r="L2159" t="str">
        <f>VLOOKUP(C2159,Products!$A$2:$D$13,2,FALSE)</f>
        <v>Laptop</v>
      </c>
      <c r="M2159" t="str">
        <f t="shared" si="101"/>
        <v>2026-01</v>
      </c>
    </row>
    <row r="2160" spans="1:13">
      <c r="A2160">
        <v>2159</v>
      </c>
      <c r="B2160">
        <v>2064</v>
      </c>
      <c r="C2160">
        <v>3</v>
      </c>
      <c r="D2160">
        <v>3</v>
      </c>
      <c r="E2160">
        <v>45</v>
      </c>
      <c r="F2160">
        <f t="shared" si="99"/>
        <v>135</v>
      </c>
      <c r="G2160" t="str">
        <f>VLOOKUP(B2160,Orders!$A$2:$D$1201,4,FALSE)</f>
        <v>Delivered</v>
      </c>
      <c r="H2160">
        <f t="shared" si="100"/>
        <v>135</v>
      </c>
      <c r="I2160" s="12">
        <f>VLOOKUP(B2160,Orders!$A$2:$D$1201,3,FALSE)</f>
        <v>46031</v>
      </c>
      <c r="L2160" t="str">
        <f>VLOOKUP(C2160,Products!$A$2:$D$13,2,FALSE)</f>
        <v>Keyboard</v>
      </c>
      <c r="M2160" t="str">
        <f t="shared" si="101"/>
        <v>2026-01</v>
      </c>
    </row>
    <row r="2161" spans="1:13">
      <c r="A2161">
        <v>2160</v>
      </c>
      <c r="B2161">
        <v>2065</v>
      </c>
      <c r="C2161">
        <v>1</v>
      </c>
      <c r="D2161">
        <v>4</v>
      </c>
      <c r="E2161">
        <v>750</v>
      </c>
      <c r="F2161">
        <f t="shared" si="99"/>
        <v>3000</v>
      </c>
      <c r="G2161" t="str">
        <f>VLOOKUP(B2161,Orders!$A$2:$D$1201,4,FALSE)</f>
        <v>Delivered</v>
      </c>
      <c r="H2161">
        <f t="shared" si="100"/>
        <v>3000</v>
      </c>
      <c r="I2161" s="12">
        <f>VLOOKUP(B2161,Orders!$A$2:$D$1201,3,FALSE)</f>
        <v>46101</v>
      </c>
      <c r="L2161" t="str">
        <f>VLOOKUP(C2161,Products!$A$2:$D$13,2,FALSE)</f>
        <v>Laptop</v>
      </c>
      <c r="M2161" t="str">
        <f t="shared" si="101"/>
        <v>2026-03</v>
      </c>
    </row>
    <row r="2162" spans="1:13">
      <c r="A2162">
        <v>2161</v>
      </c>
      <c r="B2162">
        <v>2066</v>
      </c>
      <c r="C2162">
        <v>12</v>
      </c>
      <c r="D2162">
        <v>3</v>
      </c>
      <c r="E2162">
        <v>22</v>
      </c>
      <c r="F2162">
        <f t="shared" si="99"/>
        <v>66</v>
      </c>
      <c r="G2162" t="str">
        <f>VLOOKUP(B2162,Orders!$A$2:$D$1201,4,FALSE)</f>
        <v>Delivered</v>
      </c>
      <c r="H2162">
        <f t="shared" si="100"/>
        <v>66</v>
      </c>
      <c r="I2162" s="12">
        <f>VLOOKUP(B2162,Orders!$A$2:$D$1201,3,FALSE)</f>
        <v>46125</v>
      </c>
      <c r="L2162" t="str">
        <f>VLOOKUP(C2162,Products!$A$2:$D$13,2,FALSE)</f>
        <v>Storage Box</v>
      </c>
      <c r="M2162" t="str">
        <f t="shared" si="101"/>
        <v>2026-04</v>
      </c>
    </row>
    <row r="2163" spans="1:13">
      <c r="A2163">
        <v>2162</v>
      </c>
      <c r="B2163">
        <v>2066</v>
      </c>
      <c r="C2163">
        <v>6</v>
      </c>
      <c r="D2163">
        <v>4</v>
      </c>
      <c r="E2163">
        <v>140</v>
      </c>
      <c r="F2163">
        <f t="shared" si="99"/>
        <v>560</v>
      </c>
      <c r="G2163" t="str">
        <f>VLOOKUP(B2163,Orders!$A$2:$D$1201,4,FALSE)</f>
        <v>Delivered</v>
      </c>
      <c r="H2163">
        <f t="shared" si="100"/>
        <v>560</v>
      </c>
      <c r="I2163" s="12">
        <f>VLOOKUP(B2163,Orders!$A$2:$D$1201,3,FALSE)</f>
        <v>46125</v>
      </c>
      <c r="L2163" t="str">
        <f>VLOOKUP(C2163,Products!$A$2:$D$13,2,FALSE)</f>
        <v>Chair</v>
      </c>
      <c r="M2163" t="str">
        <f t="shared" si="101"/>
        <v>2026-04</v>
      </c>
    </row>
    <row r="2164" spans="1:13">
      <c r="A2164">
        <v>2163</v>
      </c>
      <c r="B2164">
        <v>2067</v>
      </c>
      <c r="C2164">
        <v>10</v>
      </c>
      <c r="D2164">
        <v>1</v>
      </c>
      <c r="E2164">
        <v>8</v>
      </c>
      <c r="F2164">
        <f t="shared" si="99"/>
        <v>8</v>
      </c>
      <c r="G2164" t="str">
        <f>VLOOKUP(B2164,Orders!$A$2:$D$1201,4,FALSE)</f>
        <v>Delivered</v>
      </c>
      <c r="H2164">
        <f t="shared" si="100"/>
        <v>8</v>
      </c>
      <c r="I2164" s="12">
        <f>VLOOKUP(B2164,Orders!$A$2:$D$1201,3,FALSE)</f>
        <v>46152</v>
      </c>
      <c r="L2164" t="str">
        <f>VLOOKUP(C2164,Products!$A$2:$D$13,2,FALSE)</f>
        <v>Notebook</v>
      </c>
      <c r="M2164" t="str">
        <f t="shared" si="101"/>
        <v>2026-05</v>
      </c>
    </row>
    <row r="2165" spans="1:13">
      <c r="A2165">
        <v>2164</v>
      </c>
      <c r="B2165">
        <v>2067</v>
      </c>
      <c r="C2165">
        <v>7</v>
      </c>
      <c r="D2165">
        <v>2</v>
      </c>
      <c r="E2165">
        <v>65</v>
      </c>
      <c r="F2165">
        <f t="shared" si="99"/>
        <v>130</v>
      </c>
      <c r="G2165" t="str">
        <f>VLOOKUP(B2165,Orders!$A$2:$D$1201,4,FALSE)</f>
        <v>Delivered</v>
      </c>
      <c r="H2165">
        <f t="shared" si="100"/>
        <v>130</v>
      </c>
      <c r="I2165" s="12">
        <f>VLOOKUP(B2165,Orders!$A$2:$D$1201,3,FALSE)</f>
        <v>46152</v>
      </c>
      <c r="L2165" t="str">
        <f>VLOOKUP(C2165,Products!$A$2:$D$13,2,FALSE)</f>
        <v>Headphones</v>
      </c>
      <c r="M2165" t="str">
        <f t="shared" si="101"/>
        <v>2026-05</v>
      </c>
    </row>
    <row r="2166" spans="1:13">
      <c r="A2166">
        <v>2165</v>
      </c>
      <c r="B2166">
        <v>2068</v>
      </c>
      <c r="C2166">
        <v>3</v>
      </c>
      <c r="D2166">
        <v>3</v>
      </c>
      <c r="E2166">
        <v>45</v>
      </c>
      <c r="F2166">
        <f t="shared" si="99"/>
        <v>135</v>
      </c>
      <c r="G2166" t="str">
        <f>VLOOKUP(B2166,Orders!$A$2:$D$1201,4,FALSE)</f>
        <v>Delivered</v>
      </c>
      <c r="H2166">
        <f t="shared" si="100"/>
        <v>135</v>
      </c>
      <c r="I2166" s="12">
        <f>VLOOKUP(B2166,Orders!$A$2:$D$1201,3,FALSE)</f>
        <v>46157</v>
      </c>
      <c r="L2166" t="str">
        <f>VLOOKUP(C2166,Products!$A$2:$D$13,2,FALSE)</f>
        <v>Keyboard</v>
      </c>
      <c r="M2166" t="str">
        <f t="shared" si="101"/>
        <v>2026-05</v>
      </c>
    </row>
    <row r="2167" spans="1:13">
      <c r="A2167">
        <v>2166</v>
      </c>
      <c r="B2167">
        <v>2069</v>
      </c>
      <c r="C2167">
        <v>1</v>
      </c>
      <c r="D2167">
        <v>2</v>
      </c>
      <c r="E2167">
        <v>750</v>
      </c>
      <c r="F2167">
        <f t="shared" si="99"/>
        <v>1500</v>
      </c>
      <c r="G2167" t="str">
        <f>VLOOKUP(B2167,Orders!$A$2:$D$1201,4,FALSE)</f>
        <v>Delivered</v>
      </c>
      <c r="H2167">
        <f t="shared" si="100"/>
        <v>1500</v>
      </c>
      <c r="I2167" s="12">
        <f>VLOOKUP(B2167,Orders!$A$2:$D$1201,3,FALSE)</f>
        <v>46111</v>
      </c>
      <c r="L2167" t="str">
        <f>VLOOKUP(C2167,Products!$A$2:$D$13,2,FALSE)</f>
        <v>Laptop</v>
      </c>
      <c r="M2167" t="str">
        <f t="shared" si="101"/>
        <v>2026-03</v>
      </c>
    </row>
    <row r="2168" spans="1:13">
      <c r="A2168">
        <v>2167</v>
      </c>
      <c r="B2168">
        <v>2069</v>
      </c>
      <c r="C2168">
        <v>11</v>
      </c>
      <c r="D2168">
        <v>2</v>
      </c>
      <c r="E2168">
        <v>48</v>
      </c>
      <c r="F2168">
        <f t="shared" si="99"/>
        <v>96</v>
      </c>
      <c r="G2168" t="str">
        <f>VLOOKUP(B2168,Orders!$A$2:$D$1201,4,FALSE)</f>
        <v>Delivered</v>
      </c>
      <c r="H2168">
        <f t="shared" si="100"/>
        <v>96</v>
      </c>
      <c r="I2168" s="12">
        <f>VLOOKUP(B2168,Orders!$A$2:$D$1201,3,FALSE)</f>
        <v>46111</v>
      </c>
      <c r="L2168" t="str">
        <f>VLOOKUP(C2168,Products!$A$2:$D$13,2,FALSE)</f>
        <v>Backpack</v>
      </c>
      <c r="M2168" t="str">
        <f t="shared" si="101"/>
        <v>2026-03</v>
      </c>
    </row>
    <row r="2169" spans="1:13">
      <c r="A2169">
        <v>2168</v>
      </c>
      <c r="B2169">
        <v>2070</v>
      </c>
      <c r="C2169">
        <v>11</v>
      </c>
      <c r="D2169">
        <v>3</v>
      </c>
      <c r="E2169">
        <v>48</v>
      </c>
      <c r="F2169">
        <f t="shared" si="99"/>
        <v>144</v>
      </c>
      <c r="G2169" t="str">
        <f>VLOOKUP(B2169,Orders!$A$2:$D$1201,4,FALSE)</f>
        <v>Delivered</v>
      </c>
      <c r="H2169">
        <f t="shared" si="100"/>
        <v>144</v>
      </c>
      <c r="I2169" s="12">
        <f>VLOOKUP(B2169,Orders!$A$2:$D$1201,3,FALSE)</f>
        <v>46075</v>
      </c>
      <c r="L2169" t="str">
        <f>VLOOKUP(C2169,Products!$A$2:$D$13,2,FALSE)</f>
        <v>Backpack</v>
      </c>
      <c r="M2169" t="str">
        <f t="shared" si="101"/>
        <v>2026-02</v>
      </c>
    </row>
    <row r="2170" spans="1:13">
      <c r="A2170">
        <v>2169</v>
      </c>
      <c r="B2170">
        <v>2071</v>
      </c>
      <c r="C2170">
        <v>11</v>
      </c>
      <c r="D2170">
        <v>4</v>
      </c>
      <c r="E2170">
        <v>48</v>
      </c>
      <c r="F2170">
        <f t="shared" si="99"/>
        <v>192</v>
      </c>
      <c r="G2170" t="str">
        <f>VLOOKUP(B2170,Orders!$A$2:$D$1201,4,FALSE)</f>
        <v>Delivered</v>
      </c>
      <c r="H2170">
        <f t="shared" si="100"/>
        <v>192</v>
      </c>
      <c r="I2170" s="12">
        <f>VLOOKUP(B2170,Orders!$A$2:$D$1201,3,FALSE)</f>
        <v>46198</v>
      </c>
      <c r="L2170" t="str">
        <f>VLOOKUP(C2170,Products!$A$2:$D$13,2,FALSE)</f>
        <v>Backpack</v>
      </c>
      <c r="M2170" t="str">
        <f t="shared" si="101"/>
        <v>2026-06</v>
      </c>
    </row>
    <row r="2171" spans="1:13">
      <c r="A2171">
        <v>2170</v>
      </c>
      <c r="B2171">
        <v>2071</v>
      </c>
      <c r="C2171">
        <v>7</v>
      </c>
      <c r="D2171">
        <v>2</v>
      </c>
      <c r="E2171">
        <v>65</v>
      </c>
      <c r="F2171">
        <f t="shared" si="99"/>
        <v>130</v>
      </c>
      <c r="G2171" t="str">
        <f>VLOOKUP(B2171,Orders!$A$2:$D$1201,4,FALSE)</f>
        <v>Delivered</v>
      </c>
      <c r="H2171">
        <f t="shared" si="100"/>
        <v>130</v>
      </c>
      <c r="I2171" s="12">
        <f>VLOOKUP(B2171,Orders!$A$2:$D$1201,3,FALSE)</f>
        <v>46198</v>
      </c>
      <c r="L2171" t="str">
        <f>VLOOKUP(C2171,Products!$A$2:$D$13,2,FALSE)</f>
        <v>Headphones</v>
      </c>
      <c r="M2171" t="str">
        <f t="shared" si="101"/>
        <v>2026-06</v>
      </c>
    </row>
    <row r="2172" spans="1:13">
      <c r="A2172">
        <v>2171</v>
      </c>
      <c r="B2172">
        <v>2072</v>
      </c>
      <c r="C2172">
        <v>12</v>
      </c>
      <c r="D2172">
        <v>4</v>
      </c>
      <c r="E2172">
        <v>22</v>
      </c>
      <c r="F2172">
        <f t="shared" si="99"/>
        <v>88</v>
      </c>
      <c r="G2172" t="str">
        <f>VLOOKUP(B2172,Orders!$A$2:$D$1201,4,FALSE)</f>
        <v>Delivered</v>
      </c>
      <c r="H2172">
        <f t="shared" si="100"/>
        <v>88</v>
      </c>
      <c r="I2172" s="12">
        <f>VLOOKUP(B2172,Orders!$A$2:$D$1201,3,FALSE)</f>
        <v>46125</v>
      </c>
      <c r="L2172" t="str">
        <f>VLOOKUP(C2172,Products!$A$2:$D$13,2,FALSE)</f>
        <v>Storage Box</v>
      </c>
      <c r="M2172" t="str">
        <f t="shared" si="101"/>
        <v>2026-04</v>
      </c>
    </row>
    <row r="2173" spans="1:13">
      <c r="A2173">
        <v>2172</v>
      </c>
      <c r="B2173">
        <v>2072</v>
      </c>
      <c r="C2173">
        <v>7</v>
      </c>
      <c r="D2173">
        <v>1</v>
      </c>
      <c r="E2173">
        <v>65</v>
      </c>
      <c r="F2173">
        <f t="shared" si="99"/>
        <v>65</v>
      </c>
      <c r="G2173" t="str">
        <f>VLOOKUP(B2173,Orders!$A$2:$D$1201,4,FALSE)</f>
        <v>Delivered</v>
      </c>
      <c r="H2173">
        <f t="shared" si="100"/>
        <v>65</v>
      </c>
      <c r="I2173" s="12">
        <f>VLOOKUP(B2173,Orders!$A$2:$D$1201,3,FALSE)</f>
        <v>46125</v>
      </c>
      <c r="L2173" t="str">
        <f>VLOOKUP(C2173,Products!$A$2:$D$13,2,FALSE)</f>
        <v>Headphones</v>
      </c>
      <c r="M2173" t="str">
        <f t="shared" si="101"/>
        <v>2026-04</v>
      </c>
    </row>
    <row r="2174" spans="1:13">
      <c r="A2174">
        <v>2173</v>
      </c>
      <c r="B2174">
        <v>2072</v>
      </c>
      <c r="C2174">
        <v>10</v>
      </c>
      <c r="D2174">
        <v>3</v>
      </c>
      <c r="E2174">
        <v>8</v>
      </c>
      <c r="F2174">
        <f t="shared" si="99"/>
        <v>24</v>
      </c>
      <c r="G2174" t="str">
        <f>VLOOKUP(B2174,Orders!$A$2:$D$1201,4,FALSE)</f>
        <v>Delivered</v>
      </c>
      <c r="H2174">
        <f t="shared" si="100"/>
        <v>24</v>
      </c>
      <c r="I2174" s="12">
        <f>VLOOKUP(B2174,Orders!$A$2:$D$1201,3,FALSE)</f>
        <v>46125</v>
      </c>
      <c r="L2174" t="str">
        <f>VLOOKUP(C2174,Products!$A$2:$D$13,2,FALSE)</f>
        <v>Notebook</v>
      </c>
      <c r="M2174" t="str">
        <f t="shared" si="101"/>
        <v>2026-04</v>
      </c>
    </row>
    <row r="2175" spans="1:13">
      <c r="A2175">
        <v>2174</v>
      </c>
      <c r="B2175">
        <v>2073</v>
      </c>
      <c r="C2175">
        <v>6</v>
      </c>
      <c r="D2175">
        <v>1</v>
      </c>
      <c r="E2175">
        <v>140</v>
      </c>
      <c r="F2175">
        <f t="shared" si="99"/>
        <v>140</v>
      </c>
      <c r="G2175" t="str">
        <f>VLOOKUP(B2175,Orders!$A$2:$D$1201,4,FALSE)</f>
        <v>Delivered</v>
      </c>
      <c r="H2175">
        <f t="shared" si="100"/>
        <v>140</v>
      </c>
      <c r="I2175" s="12">
        <f>VLOOKUP(B2175,Orders!$A$2:$D$1201,3,FALSE)</f>
        <v>46178</v>
      </c>
      <c r="L2175" t="str">
        <f>VLOOKUP(C2175,Products!$A$2:$D$13,2,FALSE)</f>
        <v>Chair</v>
      </c>
      <c r="M2175" t="str">
        <f t="shared" si="101"/>
        <v>2026-06</v>
      </c>
    </row>
    <row r="2176" spans="1:13">
      <c r="A2176">
        <v>2175</v>
      </c>
      <c r="B2176">
        <v>2073</v>
      </c>
      <c r="C2176">
        <v>12</v>
      </c>
      <c r="D2176">
        <v>4</v>
      </c>
      <c r="E2176">
        <v>22</v>
      </c>
      <c r="F2176">
        <f t="shared" si="99"/>
        <v>88</v>
      </c>
      <c r="G2176" t="str">
        <f>VLOOKUP(B2176,Orders!$A$2:$D$1201,4,FALSE)</f>
        <v>Delivered</v>
      </c>
      <c r="H2176">
        <f t="shared" si="100"/>
        <v>88</v>
      </c>
      <c r="I2176" s="12">
        <f>VLOOKUP(B2176,Orders!$A$2:$D$1201,3,FALSE)</f>
        <v>46178</v>
      </c>
      <c r="L2176" t="str">
        <f>VLOOKUP(C2176,Products!$A$2:$D$13,2,FALSE)</f>
        <v>Storage Box</v>
      </c>
      <c r="M2176" t="str">
        <f t="shared" si="101"/>
        <v>2026-06</v>
      </c>
    </row>
    <row r="2177" spans="1:13">
      <c r="A2177">
        <v>2176</v>
      </c>
      <c r="B2177">
        <v>2074</v>
      </c>
      <c r="C2177">
        <v>6</v>
      </c>
      <c r="D2177">
        <v>4</v>
      </c>
      <c r="E2177">
        <v>140</v>
      </c>
      <c r="F2177">
        <f t="shared" si="99"/>
        <v>560</v>
      </c>
      <c r="G2177" t="str">
        <f>VLOOKUP(B2177,Orders!$A$2:$D$1201,4,FALSE)</f>
        <v>Delivered</v>
      </c>
      <c r="H2177">
        <f t="shared" si="100"/>
        <v>560</v>
      </c>
      <c r="I2177" s="12">
        <f>VLOOKUP(B2177,Orders!$A$2:$D$1201,3,FALSE)</f>
        <v>46034</v>
      </c>
      <c r="L2177" t="str">
        <f>VLOOKUP(C2177,Products!$A$2:$D$13,2,FALSE)</f>
        <v>Chair</v>
      </c>
      <c r="M2177" t="str">
        <f t="shared" si="101"/>
        <v>2026-01</v>
      </c>
    </row>
    <row r="2178" spans="1:13">
      <c r="A2178">
        <v>2177</v>
      </c>
      <c r="B2178">
        <v>2075</v>
      </c>
      <c r="C2178">
        <v>7</v>
      </c>
      <c r="D2178">
        <v>2</v>
      </c>
      <c r="E2178">
        <v>65</v>
      </c>
      <c r="F2178">
        <f t="shared" si="99"/>
        <v>130</v>
      </c>
      <c r="G2178" t="str">
        <f>VLOOKUP(B2178,Orders!$A$2:$D$1201,4,FALSE)</f>
        <v>Delivered</v>
      </c>
      <c r="H2178">
        <f t="shared" si="100"/>
        <v>130</v>
      </c>
      <c r="I2178" s="12">
        <f>VLOOKUP(B2178,Orders!$A$2:$D$1201,3,FALSE)</f>
        <v>46195</v>
      </c>
      <c r="L2178" t="str">
        <f>VLOOKUP(C2178,Products!$A$2:$D$13,2,FALSE)</f>
        <v>Headphones</v>
      </c>
      <c r="M2178" t="str">
        <f t="shared" si="101"/>
        <v>2026-06</v>
      </c>
    </row>
    <row r="2179" spans="1:13">
      <c r="A2179">
        <v>2178</v>
      </c>
      <c r="B2179">
        <v>2075</v>
      </c>
      <c r="C2179">
        <v>3</v>
      </c>
      <c r="D2179">
        <v>4</v>
      </c>
      <c r="E2179">
        <v>45</v>
      </c>
      <c r="F2179">
        <f t="shared" ref="F2179:F2242" si="102">D2179*E2179</f>
        <v>180</v>
      </c>
      <c r="G2179" t="str">
        <f>VLOOKUP(B2179,Orders!$A$2:$D$1201,4,FALSE)</f>
        <v>Delivered</v>
      </c>
      <c r="H2179">
        <f t="shared" ref="H2179:H2242" si="103">IF(G2179="Cancelled",0,F2179)</f>
        <v>180</v>
      </c>
      <c r="I2179" s="12">
        <f>VLOOKUP(B2179,Orders!$A$2:$D$1201,3,FALSE)</f>
        <v>46195</v>
      </c>
      <c r="L2179" t="str">
        <f>VLOOKUP(C2179,Products!$A$2:$D$13,2,FALSE)</f>
        <v>Keyboard</v>
      </c>
      <c r="M2179" t="str">
        <f t="shared" ref="M2179:M2242" si="104">TEXT(I2179,"yyyy-mm")</f>
        <v>2026-06</v>
      </c>
    </row>
    <row r="2180" spans="1:13">
      <c r="A2180">
        <v>2179</v>
      </c>
      <c r="B2180">
        <v>2076</v>
      </c>
      <c r="C2180">
        <v>7</v>
      </c>
      <c r="D2180">
        <v>3</v>
      </c>
      <c r="E2180">
        <v>65</v>
      </c>
      <c r="F2180">
        <f t="shared" si="102"/>
        <v>195</v>
      </c>
      <c r="G2180" t="str">
        <f>VLOOKUP(B2180,Orders!$A$2:$D$1201,4,FALSE)</f>
        <v>Delivered</v>
      </c>
      <c r="H2180">
        <f t="shared" si="103"/>
        <v>195</v>
      </c>
      <c r="I2180" s="12">
        <f>VLOOKUP(B2180,Orders!$A$2:$D$1201,3,FALSE)</f>
        <v>46111</v>
      </c>
      <c r="L2180" t="str">
        <f>VLOOKUP(C2180,Products!$A$2:$D$13,2,FALSE)</f>
        <v>Headphones</v>
      </c>
      <c r="M2180" t="str">
        <f t="shared" si="104"/>
        <v>2026-03</v>
      </c>
    </row>
    <row r="2181" spans="1:13">
      <c r="A2181">
        <v>2180</v>
      </c>
      <c r="B2181">
        <v>2076</v>
      </c>
      <c r="C2181">
        <v>1</v>
      </c>
      <c r="D2181">
        <v>2</v>
      </c>
      <c r="E2181">
        <v>750</v>
      </c>
      <c r="F2181">
        <f t="shared" si="102"/>
        <v>1500</v>
      </c>
      <c r="G2181" t="str">
        <f>VLOOKUP(B2181,Orders!$A$2:$D$1201,4,FALSE)</f>
        <v>Delivered</v>
      </c>
      <c r="H2181">
        <f t="shared" si="103"/>
        <v>1500</v>
      </c>
      <c r="I2181" s="12">
        <f>VLOOKUP(B2181,Orders!$A$2:$D$1201,3,FALSE)</f>
        <v>46111</v>
      </c>
      <c r="L2181" t="str">
        <f>VLOOKUP(C2181,Products!$A$2:$D$13,2,FALSE)</f>
        <v>Laptop</v>
      </c>
      <c r="M2181" t="str">
        <f t="shared" si="104"/>
        <v>2026-03</v>
      </c>
    </row>
    <row r="2182" spans="1:13">
      <c r="A2182">
        <v>2181</v>
      </c>
      <c r="B2182">
        <v>2076</v>
      </c>
      <c r="C2182">
        <v>3</v>
      </c>
      <c r="D2182">
        <v>4</v>
      </c>
      <c r="E2182">
        <v>45</v>
      </c>
      <c r="F2182">
        <f t="shared" si="102"/>
        <v>180</v>
      </c>
      <c r="G2182" t="str">
        <f>VLOOKUP(B2182,Orders!$A$2:$D$1201,4,FALSE)</f>
        <v>Delivered</v>
      </c>
      <c r="H2182">
        <f t="shared" si="103"/>
        <v>180</v>
      </c>
      <c r="I2182" s="12">
        <f>VLOOKUP(B2182,Orders!$A$2:$D$1201,3,FALSE)</f>
        <v>46111</v>
      </c>
      <c r="L2182" t="str">
        <f>VLOOKUP(C2182,Products!$A$2:$D$13,2,FALSE)</f>
        <v>Keyboard</v>
      </c>
      <c r="M2182" t="str">
        <f t="shared" si="104"/>
        <v>2026-03</v>
      </c>
    </row>
    <row r="2183" spans="1:13">
      <c r="A2183">
        <v>2182</v>
      </c>
      <c r="B2183">
        <v>2077</v>
      </c>
      <c r="C2183">
        <v>7</v>
      </c>
      <c r="D2183">
        <v>1</v>
      </c>
      <c r="E2183">
        <v>65</v>
      </c>
      <c r="F2183">
        <f t="shared" si="102"/>
        <v>65</v>
      </c>
      <c r="G2183" t="str">
        <f>VLOOKUP(B2183,Orders!$A$2:$D$1201,4,FALSE)</f>
        <v>Delivered</v>
      </c>
      <c r="H2183">
        <f t="shared" si="103"/>
        <v>65</v>
      </c>
      <c r="I2183" s="12">
        <f>VLOOKUP(B2183,Orders!$A$2:$D$1201,3,FALSE)</f>
        <v>46125</v>
      </c>
      <c r="L2183" t="str">
        <f>VLOOKUP(C2183,Products!$A$2:$D$13,2,FALSE)</f>
        <v>Headphones</v>
      </c>
      <c r="M2183" t="str">
        <f t="shared" si="104"/>
        <v>2026-04</v>
      </c>
    </row>
    <row r="2184" spans="1:13">
      <c r="A2184">
        <v>2183</v>
      </c>
      <c r="B2184">
        <v>2077</v>
      </c>
      <c r="C2184">
        <v>5</v>
      </c>
      <c r="D2184">
        <v>4</v>
      </c>
      <c r="E2184">
        <v>180</v>
      </c>
      <c r="F2184">
        <f t="shared" si="102"/>
        <v>720</v>
      </c>
      <c r="G2184" t="str">
        <f>VLOOKUP(B2184,Orders!$A$2:$D$1201,4,FALSE)</f>
        <v>Delivered</v>
      </c>
      <c r="H2184">
        <f t="shared" si="103"/>
        <v>720</v>
      </c>
      <c r="I2184" s="12">
        <f>VLOOKUP(B2184,Orders!$A$2:$D$1201,3,FALSE)</f>
        <v>46125</v>
      </c>
      <c r="L2184" t="str">
        <f>VLOOKUP(C2184,Products!$A$2:$D$13,2,FALSE)</f>
        <v>Desk</v>
      </c>
      <c r="M2184" t="str">
        <f t="shared" si="104"/>
        <v>2026-04</v>
      </c>
    </row>
    <row r="2185" spans="1:13">
      <c r="A2185">
        <v>2184</v>
      </c>
      <c r="B2185">
        <v>2078</v>
      </c>
      <c r="C2185">
        <v>9</v>
      </c>
      <c r="D2185">
        <v>1</v>
      </c>
      <c r="E2185">
        <v>30</v>
      </c>
      <c r="F2185">
        <f t="shared" si="102"/>
        <v>30</v>
      </c>
      <c r="G2185" t="str">
        <f>VLOOKUP(B2185,Orders!$A$2:$D$1201,4,FALSE)</f>
        <v>Delivered</v>
      </c>
      <c r="H2185">
        <f t="shared" si="103"/>
        <v>30</v>
      </c>
      <c r="I2185" s="12">
        <f>VLOOKUP(B2185,Orders!$A$2:$D$1201,3,FALSE)</f>
        <v>46116</v>
      </c>
      <c r="L2185" t="str">
        <f>VLOOKUP(C2185,Products!$A$2:$D$13,2,FALSE)</f>
        <v>Lamp</v>
      </c>
      <c r="M2185" t="str">
        <f t="shared" si="104"/>
        <v>2026-04</v>
      </c>
    </row>
    <row r="2186" spans="1:13">
      <c r="A2186">
        <v>2185</v>
      </c>
      <c r="B2186">
        <v>2078</v>
      </c>
      <c r="C2186">
        <v>7</v>
      </c>
      <c r="D2186">
        <v>2</v>
      </c>
      <c r="E2186">
        <v>65</v>
      </c>
      <c r="F2186">
        <f t="shared" si="102"/>
        <v>130</v>
      </c>
      <c r="G2186" t="str">
        <f>VLOOKUP(B2186,Orders!$A$2:$D$1201,4,FALSE)</f>
        <v>Delivered</v>
      </c>
      <c r="H2186">
        <f t="shared" si="103"/>
        <v>130</v>
      </c>
      <c r="I2186" s="12">
        <f>VLOOKUP(B2186,Orders!$A$2:$D$1201,3,FALSE)</f>
        <v>46116</v>
      </c>
      <c r="L2186" t="str">
        <f>VLOOKUP(C2186,Products!$A$2:$D$13,2,FALSE)</f>
        <v>Headphones</v>
      </c>
      <c r="M2186" t="str">
        <f t="shared" si="104"/>
        <v>2026-04</v>
      </c>
    </row>
    <row r="2187" spans="1:13">
      <c r="A2187">
        <v>2186</v>
      </c>
      <c r="B2187">
        <v>2079</v>
      </c>
      <c r="C2187">
        <v>1</v>
      </c>
      <c r="D2187">
        <v>3</v>
      </c>
      <c r="E2187">
        <v>750</v>
      </c>
      <c r="F2187">
        <f t="shared" si="102"/>
        <v>2250</v>
      </c>
      <c r="G2187" t="str">
        <f>VLOOKUP(B2187,Orders!$A$2:$D$1201,4,FALSE)</f>
        <v>Delivered</v>
      </c>
      <c r="H2187">
        <f t="shared" si="103"/>
        <v>2250</v>
      </c>
      <c r="I2187" s="12">
        <f>VLOOKUP(B2187,Orders!$A$2:$D$1201,3,FALSE)</f>
        <v>46073</v>
      </c>
      <c r="L2187" t="str">
        <f>VLOOKUP(C2187,Products!$A$2:$D$13,2,FALSE)</f>
        <v>Laptop</v>
      </c>
      <c r="M2187" t="str">
        <f t="shared" si="104"/>
        <v>2026-02</v>
      </c>
    </row>
    <row r="2188" spans="1:13">
      <c r="A2188">
        <v>2187</v>
      </c>
      <c r="B2188">
        <v>2079</v>
      </c>
      <c r="C2188">
        <v>8</v>
      </c>
      <c r="D2188">
        <v>1</v>
      </c>
      <c r="E2188">
        <v>55</v>
      </c>
      <c r="F2188">
        <f t="shared" si="102"/>
        <v>55</v>
      </c>
      <c r="G2188" t="str">
        <f>VLOOKUP(B2188,Orders!$A$2:$D$1201,4,FALSE)</f>
        <v>Delivered</v>
      </c>
      <c r="H2188">
        <f t="shared" si="103"/>
        <v>55</v>
      </c>
      <c r="I2188" s="12">
        <f>VLOOKUP(B2188,Orders!$A$2:$D$1201,3,FALSE)</f>
        <v>46073</v>
      </c>
      <c r="L2188" t="str">
        <f>VLOOKUP(C2188,Products!$A$2:$D$13,2,FALSE)</f>
        <v>Webcam</v>
      </c>
      <c r="M2188" t="str">
        <f t="shared" si="104"/>
        <v>2026-02</v>
      </c>
    </row>
    <row r="2189" spans="1:13">
      <c r="A2189">
        <v>2188</v>
      </c>
      <c r="B2189">
        <v>2080</v>
      </c>
      <c r="C2189">
        <v>11</v>
      </c>
      <c r="D2189">
        <v>1</v>
      </c>
      <c r="E2189">
        <v>48</v>
      </c>
      <c r="F2189">
        <f t="shared" si="102"/>
        <v>48</v>
      </c>
      <c r="G2189" t="str">
        <f>VLOOKUP(B2189,Orders!$A$2:$D$1201,4,FALSE)</f>
        <v>Delivered</v>
      </c>
      <c r="H2189">
        <f t="shared" si="103"/>
        <v>48</v>
      </c>
      <c r="I2189" s="12">
        <f>VLOOKUP(B2189,Orders!$A$2:$D$1201,3,FALSE)</f>
        <v>46198</v>
      </c>
      <c r="L2189" t="str">
        <f>VLOOKUP(C2189,Products!$A$2:$D$13,2,FALSE)</f>
        <v>Backpack</v>
      </c>
      <c r="M2189" t="str">
        <f t="shared" si="104"/>
        <v>2026-06</v>
      </c>
    </row>
    <row r="2190" spans="1:13">
      <c r="A2190">
        <v>2189</v>
      </c>
      <c r="B2190">
        <v>2080</v>
      </c>
      <c r="C2190">
        <v>5</v>
      </c>
      <c r="D2190">
        <v>3</v>
      </c>
      <c r="E2190">
        <v>180</v>
      </c>
      <c r="F2190">
        <f t="shared" si="102"/>
        <v>540</v>
      </c>
      <c r="G2190" t="str">
        <f>VLOOKUP(B2190,Orders!$A$2:$D$1201,4,FALSE)</f>
        <v>Delivered</v>
      </c>
      <c r="H2190">
        <f t="shared" si="103"/>
        <v>540</v>
      </c>
      <c r="I2190" s="12">
        <f>VLOOKUP(B2190,Orders!$A$2:$D$1201,3,FALSE)</f>
        <v>46198</v>
      </c>
      <c r="L2190" t="str">
        <f>VLOOKUP(C2190,Products!$A$2:$D$13,2,FALSE)</f>
        <v>Desk</v>
      </c>
      <c r="M2190" t="str">
        <f t="shared" si="104"/>
        <v>2026-06</v>
      </c>
    </row>
    <row r="2191" spans="1:13">
      <c r="A2191">
        <v>2190</v>
      </c>
      <c r="B2191">
        <v>2081</v>
      </c>
      <c r="C2191">
        <v>12</v>
      </c>
      <c r="D2191">
        <v>4</v>
      </c>
      <c r="E2191">
        <v>22</v>
      </c>
      <c r="F2191">
        <f t="shared" si="102"/>
        <v>88</v>
      </c>
      <c r="G2191" t="str">
        <f>VLOOKUP(B2191,Orders!$A$2:$D$1201,4,FALSE)</f>
        <v>Delivered</v>
      </c>
      <c r="H2191">
        <f t="shared" si="103"/>
        <v>88</v>
      </c>
      <c r="I2191" s="12">
        <f>VLOOKUP(B2191,Orders!$A$2:$D$1201,3,FALSE)</f>
        <v>46099</v>
      </c>
      <c r="L2191" t="str">
        <f>VLOOKUP(C2191,Products!$A$2:$D$13,2,FALSE)</f>
        <v>Storage Box</v>
      </c>
      <c r="M2191" t="str">
        <f t="shared" si="104"/>
        <v>2026-03</v>
      </c>
    </row>
    <row r="2192" spans="1:13">
      <c r="A2192">
        <v>2191</v>
      </c>
      <c r="B2192">
        <v>2081</v>
      </c>
      <c r="C2192">
        <v>1</v>
      </c>
      <c r="D2192">
        <v>2</v>
      </c>
      <c r="E2192">
        <v>750</v>
      </c>
      <c r="F2192">
        <f t="shared" si="102"/>
        <v>1500</v>
      </c>
      <c r="G2192" t="str">
        <f>VLOOKUP(B2192,Orders!$A$2:$D$1201,4,FALSE)</f>
        <v>Delivered</v>
      </c>
      <c r="H2192">
        <f t="shared" si="103"/>
        <v>1500</v>
      </c>
      <c r="I2192" s="12">
        <f>VLOOKUP(B2192,Orders!$A$2:$D$1201,3,FALSE)</f>
        <v>46099</v>
      </c>
      <c r="L2192" t="str">
        <f>VLOOKUP(C2192,Products!$A$2:$D$13,2,FALSE)</f>
        <v>Laptop</v>
      </c>
      <c r="M2192" t="str">
        <f t="shared" si="104"/>
        <v>2026-03</v>
      </c>
    </row>
    <row r="2193" spans="1:13">
      <c r="A2193">
        <v>2192</v>
      </c>
      <c r="B2193">
        <v>2082</v>
      </c>
      <c r="C2193">
        <v>8</v>
      </c>
      <c r="D2193">
        <v>2</v>
      </c>
      <c r="E2193">
        <v>55</v>
      </c>
      <c r="F2193">
        <f t="shared" si="102"/>
        <v>110</v>
      </c>
      <c r="G2193" t="str">
        <f>VLOOKUP(B2193,Orders!$A$2:$D$1201,4,FALSE)</f>
        <v>Delivered</v>
      </c>
      <c r="H2193">
        <f t="shared" si="103"/>
        <v>110</v>
      </c>
      <c r="I2193" s="12">
        <f>VLOOKUP(B2193,Orders!$A$2:$D$1201,3,FALSE)</f>
        <v>46185</v>
      </c>
      <c r="L2193" t="str">
        <f>VLOOKUP(C2193,Products!$A$2:$D$13,2,FALSE)</f>
        <v>Webcam</v>
      </c>
      <c r="M2193" t="str">
        <f t="shared" si="104"/>
        <v>2026-06</v>
      </c>
    </row>
    <row r="2194" spans="1:13">
      <c r="A2194">
        <v>2193</v>
      </c>
      <c r="B2194">
        <v>2082</v>
      </c>
      <c r="C2194">
        <v>10</v>
      </c>
      <c r="D2194">
        <v>4</v>
      </c>
      <c r="E2194">
        <v>8</v>
      </c>
      <c r="F2194">
        <f t="shared" si="102"/>
        <v>32</v>
      </c>
      <c r="G2194" t="str">
        <f>VLOOKUP(B2194,Orders!$A$2:$D$1201,4,FALSE)</f>
        <v>Delivered</v>
      </c>
      <c r="H2194">
        <f t="shared" si="103"/>
        <v>32</v>
      </c>
      <c r="I2194" s="12">
        <f>VLOOKUP(B2194,Orders!$A$2:$D$1201,3,FALSE)</f>
        <v>46185</v>
      </c>
      <c r="L2194" t="str">
        <f>VLOOKUP(C2194,Products!$A$2:$D$13,2,FALSE)</f>
        <v>Notebook</v>
      </c>
      <c r="M2194" t="str">
        <f t="shared" si="104"/>
        <v>2026-06</v>
      </c>
    </row>
    <row r="2195" spans="1:13">
      <c r="A2195">
        <v>2194</v>
      </c>
      <c r="B2195">
        <v>2083</v>
      </c>
      <c r="C2195">
        <v>9</v>
      </c>
      <c r="D2195">
        <v>3</v>
      </c>
      <c r="E2195">
        <v>30</v>
      </c>
      <c r="F2195">
        <f t="shared" si="102"/>
        <v>90</v>
      </c>
      <c r="G2195" t="str">
        <f>VLOOKUP(B2195,Orders!$A$2:$D$1201,4,FALSE)</f>
        <v>Delivered</v>
      </c>
      <c r="H2195">
        <f t="shared" si="103"/>
        <v>90</v>
      </c>
      <c r="I2195" s="12">
        <f>VLOOKUP(B2195,Orders!$A$2:$D$1201,3,FALSE)</f>
        <v>46186</v>
      </c>
      <c r="L2195" t="str">
        <f>VLOOKUP(C2195,Products!$A$2:$D$13,2,FALSE)</f>
        <v>Lamp</v>
      </c>
      <c r="M2195" t="str">
        <f t="shared" si="104"/>
        <v>2026-06</v>
      </c>
    </row>
    <row r="2196" spans="1:13">
      <c r="A2196">
        <v>2195</v>
      </c>
      <c r="B2196">
        <v>2083</v>
      </c>
      <c r="C2196">
        <v>2</v>
      </c>
      <c r="D2196">
        <v>3</v>
      </c>
      <c r="E2196">
        <v>220</v>
      </c>
      <c r="F2196">
        <f t="shared" si="102"/>
        <v>660</v>
      </c>
      <c r="G2196" t="str">
        <f>VLOOKUP(B2196,Orders!$A$2:$D$1201,4,FALSE)</f>
        <v>Delivered</v>
      </c>
      <c r="H2196">
        <f t="shared" si="103"/>
        <v>660</v>
      </c>
      <c r="I2196" s="12">
        <f>VLOOKUP(B2196,Orders!$A$2:$D$1201,3,FALSE)</f>
        <v>46186</v>
      </c>
      <c r="L2196" t="str">
        <f>VLOOKUP(C2196,Products!$A$2:$D$13,2,FALSE)</f>
        <v>Monitor</v>
      </c>
      <c r="M2196" t="str">
        <f t="shared" si="104"/>
        <v>2026-06</v>
      </c>
    </row>
    <row r="2197" spans="1:13">
      <c r="A2197">
        <v>2196</v>
      </c>
      <c r="B2197">
        <v>2084</v>
      </c>
      <c r="C2197">
        <v>2</v>
      </c>
      <c r="D2197">
        <v>3</v>
      </c>
      <c r="E2197">
        <v>220</v>
      </c>
      <c r="F2197">
        <f t="shared" si="102"/>
        <v>660</v>
      </c>
      <c r="G2197" t="str">
        <f>VLOOKUP(B2197,Orders!$A$2:$D$1201,4,FALSE)</f>
        <v>Delivered</v>
      </c>
      <c r="H2197">
        <f t="shared" si="103"/>
        <v>660</v>
      </c>
      <c r="I2197" s="12">
        <f>VLOOKUP(B2197,Orders!$A$2:$D$1201,3,FALSE)</f>
        <v>46190</v>
      </c>
      <c r="L2197" t="str">
        <f>VLOOKUP(C2197,Products!$A$2:$D$13,2,FALSE)</f>
        <v>Monitor</v>
      </c>
      <c r="M2197" t="str">
        <f t="shared" si="104"/>
        <v>2026-06</v>
      </c>
    </row>
    <row r="2198" spans="1:13">
      <c r="A2198">
        <v>2197</v>
      </c>
      <c r="B2198">
        <v>2084</v>
      </c>
      <c r="C2198">
        <v>4</v>
      </c>
      <c r="D2198">
        <v>3</v>
      </c>
      <c r="E2198">
        <v>25</v>
      </c>
      <c r="F2198">
        <f t="shared" si="102"/>
        <v>75</v>
      </c>
      <c r="G2198" t="str">
        <f>VLOOKUP(B2198,Orders!$A$2:$D$1201,4,FALSE)</f>
        <v>Delivered</v>
      </c>
      <c r="H2198">
        <f t="shared" si="103"/>
        <v>75</v>
      </c>
      <c r="I2198" s="12">
        <f>VLOOKUP(B2198,Orders!$A$2:$D$1201,3,FALSE)</f>
        <v>46190</v>
      </c>
      <c r="L2198" t="str">
        <f>VLOOKUP(C2198,Products!$A$2:$D$13,2,FALSE)</f>
        <v>Mouse</v>
      </c>
      <c r="M2198" t="str">
        <f t="shared" si="104"/>
        <v>2026-06</v>
      </c>
    </row>
    <row r="2199" spans="1:13">
      <c r="A2199">
        <v>2198</v>
      </c>
      <c r="B2199">
        <v>2085</v>
      </c>
      <c r="C2199">
        <v>7</v>
      </c>
      <c r="D2199">
        <v>3</v>
      </c>
      <c r="E2199">
        <v>65</v>
      </c>
      <c r="F2199">
        <f t="shared" si="102"/>
        <v>195</v>
      </c>
      <c r="G2199" t="str">
        <f>VLOOKUP(B2199,Orders!$A$2:$D$1201,4,FALSE)</f>
        <v>Delivered</v>
      </c>
      <c r="H2199">
        <f t="shared" si="103"/>
        <v>195</v>
      </c>
      <c r="I2199" s="12">
        <f>VLOOKUP(B2199,Orders!$A$2:$D$1201,3,FALSE)</f>
        <v>46035</v>
      </c>
      <c r="L2199" t="str">
        <f>VLOOKUP(C2199,Products!$A$2:$D$13,2,FALSE)</f>
        <v>Headphones</v>
      </c>
      <c r="M2199" t="str">
        <f t="shared" si="104"/>
        <v>2026-01</v>
      </c>
    </row>
    <row r="2200" spans="1:13">
      <c r="A2200">
        <v>2199</v>
      </c>
      <c r="B2200">
        <v>2086</v>
      </c>
      <c r="C2200">
        <v>5</v>
      </c>
      <c r="D2200">
        <v>4</v>
      </c>
      <c r="E2200">
        <v>180</v>
      </c>
      <c r="F2200">
        <f t="shared" si="102"/>
        <v>720</v>
      </c>
      <c r="G2200" t="str">
        <f>VLOOKUP(B2200,Orders!$A$2:$D$1201,4,FALSE)</f>
        <v>Delivered</v>
      </c>
      <c r="H2200">
        <f t="shared" si="103"/>
        <v>720</v>
      </c>
      <c r="I2200" s="12">
        <f>VLOOKUP(B2200,Orders!$A$2:$D$1201,3,FALSE)</f>
        <v>46034</v>
      </c>
      <c r="L2200" t="str">
        <f>VLOOKUP(C2200,Products!$A$2:$D$13,2,FALSE)</f>
        <v>Desk</v>
      </c>
      <c r="M2200" t="str">
        <f t="shared" si="104"/>
        <v>2026-01</v>
      </c>
    </row>
    <row r="2201" spans="1:13">
      <c r="A2201">
        <v>2200</v>
      </c>
      <c r="B2201">
        <v>2086</v>
      </c>
      <c r="C2201">
        <v>12</v>
      </c>
      <c r="D2201">
        <v>2</v>
      </c>
      <c r="E2201">
        <v>22</v>
      </c>
      <c r="F2201">
        <f t="shared" si="102"/>
        <v>44</v>
      </c>
      <c r="G2201" t="str">
        <f>VLOOKUP(B2201,Orders!$A$2:$D$1201,4,FALSE)</f>
        <v>Delivered</v>
      </c>
      <c r="H2201">
        <f t="shared" si="103"/>
        <v>44</v>
      </c>
      <c r="I2201" s="12">
        <f>VLOOKUP(B2201,Orders!$A$2:$D$1201,3,FALSE)</f>
        <v>46034</v>
      </c>
      <c r="L2201" t="str">
        <f>VLOOKUP(C2201,Products!$A$2:$D$13,2,FALSE)</f>
        <v>Storage Box</v>
      </c>
      <c r="M2201" t="str">
        <f t="shared" si="104"/>
        <v>2026-01</v>
      </c>
    </row>
    <row r="2202" spans="1:13">
      <c r="A2202">
        <v>2201</v>
      </c>
      <c r="B2202">
        <v>2086</v>
      </c>
      <c r="C2202">
        <v>1</v>
      </c>
      <c r="D2202">
        <v>1</v>
      </c>
      <c r="E2202">
        <v>750</v>
      </c>
      <c r="F2202">
        <f t="shared" si="102"/>
        <v>750</v>
      </c>
      <c r="G2202" t="str">
        <f>VLOOKUP(B2202,Orders!$A$2:$D$1201,4,FALSE)</f>
        <v>Delivered</v>
      </c>
      <c r="H2202">
        <f t="shared" si="103"/>
        <v>750</v>
      </c>
      <c r="I2202" s="12">
        <f>VLOOKUP(B2202,Orders!$A$2:$D$1201,3,FALSE)</f>
        <v>46034</v>
      </c>
      <c r="L2202" t="str">
        <f>VLOOKUP(C2202,Products!$A$2:$D$13,2,FALSE)</f>
        <v>Laptop</v>
      </c>
      <c r="M2202" t="str">
        <f t="shared" si="104"/>
        <v>2026-01</v>
      </c>
    </row>
    <row r="2203" spans="1:13">
      <c r="A2203">
        <v>2202</v>
      </c>
      <c r="B2203">
        <v>2087</v>
      </c>
      <c r="C2203">
        <v>4</v>
      </c>
      <c r="D2203">
        <v>2</v>
      </c>
      <c r="E2203">
        <v>25</v>
      </c>
      <c r="F2203">
        <f t="shared" si="102"/>
        <v>50</v>
      </c>
      <c r="G2203" t="str">
        <f>VLOOKUP(B2203,Orders!$A$2:$D$1201,4,FALSE)</f>
        <v>Delivered</v>
      </c>
      <c r="H2203">
        <f t="shared" si="103"/>
        <v>50</v>
      </c>
      <c r="I2203" s="12">
        <f>VLOOKUP(B2203,Orders!$A$2:$D$1201,3,FALSE)</f>
        <v>46176</v>
      </c>
      <c r="L2203" t="str">
        <f>VLOOKUP(C2203,Products!$A$2:$D$13,2,FALSE)</f>
        <v>Mouse</v>
      </c>
      <c r="M2203" t="str">
        <f t="shared" si="104"/>
        <v>2026-06</v>
      </c>
    </row>
    <row r="2204" spans="1:13">
      <c r="A2204">
        <v>2203</v>
      </c>
      <c r="B2204">
        <v>2088</v>
      </c>
      <c r="C2204">
        <v>10</v>
      </c>
      <c r="D2204">
        <v>4</v>
      </c>
      <c r="E2204">
        <v>8</v>
      </c>
      <c r="F2204">
        <f t="shared" si="102"/>
        <v>32</v>
      </c>
      <c r="G2204" t="str">
        <f>VLOOKUP(B2204,Orders!$A$2:$D$1201,4,FALSE)</f>
        <v>Delivered</v>
      </c>
      <c r="H2204">
        <f t="shared" si="103"/>
        <v>32</v>
      </c>
      <c r="I2204" s="12">
        <f>VLOOKUP(B2204,Orders!$A$2:$D$1201,3,FALSE)</f>
        <v>46178</v>
      </c>
      <c r="L2204" t="str">
        <f>VLOOKUP(C2204,Products!$A$2:$D$13,2,FALSE)</f>
        <v>Notebook</v>
      </c>
      <c r="M2204" t="str">
        <f t="shared" si="104"/>
        <v>2026-06</v>
      </c>
    </row>
    <row r="2205" spans="1:13">
      <c r="A2205">
        <v>2204</v>
      </c>
      <c r="B2205">
        <v>2088</v>
      </c>
      <c r="C2205">
        <v>6</v>
      </c>
      <c r="D2205">
        <v>4</v>
      </c>
      <c r="E2205">
        <v>140</v>
      </c>
      <c r="F2205">
        <f t="shared" si="102"/>
        <v>560</v>
      </c>
      <c r="G2205" t="str">
        <f>VLOOKUP(B2205,Orders!$A$2:$D$1201,4,FALSE)</f>
        <v>Delivered</v>
      </c>
      <c r="H2205">
        <f t="shared" si="103"/>
        <v>560</v>
      </c>
      <c r="I2205" s="12">
        <f>VLOOKUP(B2205,Orders!$A$2:$D$1201,3,FALSE)</f>
        <v>46178</v>
      </c>
      <c r="L2205" t="str">
        <f>VLOOKUP(C2205,Products!$A$2:$D$13,2,FALSE)</f>
        <v>Chair</v>
      </c>
      <c r="M2205" t="str">
        <f t="shared" si="104"/>
        <v>2026-06</v>
      </c>
    </row>
    <row r="2206" spans="1:13">
      <c r="A2206">
        <v>2205</v>
      </c>
      <c r="B2206">
        <v>2088</v>
      </c>
      <c r="C2206">
        <v>9</v>
      </c>
      <c r="D2206">
        <v>1</v>
      </c>
      <c r="E2206">
        <v>30</v>
      </c>
      <c r="F2206">
        <f t="shared" si="102"/>
        <v>30</v>
      </c>
      <c r="G2206" t="str">
        <f>VLOOKUP(B2206,Orders!$A$2:$D$1201,4,FALSE)</f>
        <v>Delivered</v>
      </c>
      <c r="H2206">
        <f t="shared" si="103"/>
        <v>30</v>
      </c>
      <c r="I2206" s="12">
        <f>VLOOKUP(B2206,Orders!$A$2:$D$1201,3,FALSE)</f>
        <v>46178</v>
      </c>
      <c r="L2206" t="str">
        <f>VLOOKUP(C2206,Products!$A$2:$D$13,2,FALSE)</f>
        <v>Lamp</v>
      </c>
      <c r="M2206" t="str">
        <f t="shared" si="104"/>
        <v>2026-06</v>
      </c>
    </row>
    <row r="2207" spans="1:13">
      <c r="A2207">
        <v>2206</v>
      </c>
      <c r="B2207">
        <v>2089</v>
      </c>
      <c r="C2207">
        <v>9</v>
      </c>
      <c r="D2207">
        <v>2</v>
      </c>
      <c r="E2207">
        <v>30</v>
      </c>
      <c r="F2207">
        <f t="shared" si="102"/>
        <v>60</v>
      </c>
      <c r="G2207" t="str">
        <f>VLOOKUP(B2207,Orders!$A$2:$D$1201,4,FALSE)</f>
        <v>Cancelled</v>
      </c>
      <c r="H2207">
        <f t="shared" si="103"/>
        <v>0</v>
      </c>
      <c r="I2207" s="12">
        <f>VLOOKUP(B2207,Orders!$A$2:$D$1201,3,FALSE)</f>
        <v>46141</v>
      </c>
      <c r="L2207" t="str">
        <f>VLOOKUP(C2207,Products!$A$2:$D$13,2,FALSE)</f>
        <v>Lamp</v>
      </c>
      <c r="M2207" t="str">
        <f t="shared" si="104"/>
        <v>2026-04</v>
      </c>
    </row>
    <row r="2208" spans="1:13">
      <c r="A2208">
        <v>2207</v>
      </c>
      <c r="B2208">
        <v>2090</v>
      </c>
      <c r="C2208">
        <v>11</v>
      </c>
      <c r="D2208">
        <v>1</v>
      </c>
      <c r="E2208">
        <v>48</v>
      </c>
      <c r="F2208">
        <f t="shared" si="102"/>
        <v>48</v>
      </c>
      <c r="G2208" t="str">
        <f>VLOOKUP(B2208,Orders!$A$2:$D$1201,4,FALSE)</f>
        <v>Delivered</v>
      </c>
      <c r="H2208">
        <f t="shared" si="103"/>
        <v>48</v>
      </c>
      <c r="I2208" s="12">
        <f>VLOOKUP(B2208,Orders!$A$2:$D$1201,3,FALSE)</f>
        <v>46195</v>
      </c>
      <c r="L2208" t="str">
        <f>VLOOKUP(C2208,Products!$A$2:$D$13,2,FALSE)</f>
        <v>Backpack</v>
      </c>
      <c r="M2208" t="str">
        <f t="shared" si="104"/>
        <v>2026-06</v>
      </c>
    </row>
    <row r="2209" spans="1:13">
      <c r="A2209">
        <v>2208</v>
      </c>
      <c r="B2209">
        <v>2091</v>
      </c>
      <c r="C2209">
        <v>8</v>
      </c>
      <c r="D2209">
        <v>4</v>
      </c>
      <c r="E2209">
        <v>55</v>
      </c>
      <c r="F2209">
        <f t="shared" si="102"/>
        <v>220</v>
      </c>
      <c r="G2209" t="str">
        <f>VLOOKUP(B2209,Orders!$A$2:$D$1201,4,FALSE)</f>
        <v>Delivered</v>
      </c>
      <c r="H2209">
        <f t="shared" si="103"/>
        <v>220</v>
      </c>
      <c r="I2209" s="12">
        <f>VLOOKUP(B2209,Orders!$A$2:$D$1201,3,FALSE)</f>
        <v>46158</v>
      </c>
      <c r="L2209" t="str">
        <f>VLOOKUP(C2209,Products!$A$2:$D$13,2,FALSE)</f>
        <v>Webcam</v>
      </c>
      <c r="M2209" t="str">
        <f t="shared" si="104"/>
        <v>2026-05</v>
      </c>
    </row>
    <row r="2210" spans="1:13">
      <c r="A2210">
        <v>2209</v>
      </c>
      <c r="B2210">
        <v>2091</v>
      </c>
      <c r="C2210">
        <v>11</v>
      </c>
      <c r="D2210">
        <v>1</v>
      </c>
      <c r="E2210">
        <v>48</v>
      </c>
      <c r="F2210">
        <f t="shared" si="102"/>
        <v>48</v>
      </c>
      <c r="G2210" t="str">
        <f>VLOOKUP(B2210,Orders!$A$2:$D$1201,4,FALSE)</f>
        <v>Delivered</v>
      </c>
      <c r="H2210">
        <f t="shared" si="103"/>
        <v>48</v>
      </c>
      <c r="I2210" s="12">
        <f>VLOOKUP(B2210,Orders!$A$2:$D$1201,3,FALSE)</f>
        <v>46158</v>
      </c>
      <c r="L2210" t="str">
        <f>VLOOKUP(C2210,Products!$A$2:$D$13,2,FALSE)</f>
        <v>Backpack</v>
      </c>
      <c r="M2210" t="str">
        <f t="shared" si="104"/>
        <v>2026-05</v>
      </c>
    </row>
    <row r="2211" spans="1:13">
      <c r="A2211">
        <v>2210</v>
      </c>
      <c r="B2211">
        <v>2092</v>
      </c>
      <c r="C2211">
        <v>9</v>
      </c>
      <c r="D2211">
        <v>2</v>
      </c>
      <c r="E2211">
        <v>30</v>
      </c>
      <c r="F2211">
        <f t="shared" si="102"/>
        <v>60</v>
      </c>
      <c r="G2211" t="str">
        <f>VLOOKUP(B2211,Orders!$A$2:$D$1201,4,FALSE)</f>
        <v>Delivered</v>
      </c>
      <c r="H2211">
        <f t="shared" si="103"/>
        <v>60</v>
      </c>
      <c r="I2211" s="12">
        <f>VLOOKUP(B2211,Orders!$A$2:$D$1201,3,FALSE)</f>
        <v>46133</v>
      </c>
      <c r="L2211" t="str">
        <f>VLOOKUP(C2211,Products!$A$2:$D$13,2,FALSE)</f>
        <v>Lamp</v>
      </c>
      <c r="M2211" t="str">
        <f t="shared" si="104"/>
        <v>2026-04</v>
      </c>
    </row>
    <row r="2212" spans="1:13">
      <c r="A2212">
        <v>2211</v>
      </c>
      <c r="B2212">
        <v>2092</v>
      </c>
      <c r="C2212">
        <v>8</v>
      </c>
      <c r="D2212">
        <v>4</v>
      </c>
      <c r="E2212">
        <v>55</v>
      </c>
      <c r="F2212">
        <f t="shared" si="102"/>
        <v>220</v>
      </c>
      <c r="G2212" t="str">
        <f>VLOOKUP(B2212,Orders!$A$2:$D$1201,4,FALSE)</f>
        <v>Delivered</v>
      </c>
      <c r="H2212">
        <f t="shared" si="103"/>
        <v>220</v>
      </c>
      <c r="I2212" s="12">
        <f>VLOOKUP(B2212,Orders!$A$2:$D$1201,3,FALSE)</f>
        <v>46133</v>
      </c>
      <c r="L2212" t="str">
        <f>VLOOKUP(C2212,Products!$A$2:$D$13,2,FALSE)</f>
        <v>Webcam</v>
      </c>
      <c r="M2212" t="str">
        <f t="shared" si="104"/>
        <v>2026-04</v>
      </c>
    </row>
    <row r="2213" spans="1:13">
      <c r="A2213">
        <v>2212</v>
      </c>
      <c r="B2213">
        <v>2093</v>
      </c>
      <c r="C2213">
        <v>10</v>
      </c>
      <c r="D2213">
        <v>3</v>
      </c>
      <c r="E2213">
        <v>8</v>
      </c>
      <c r="F2213">
        <f t="shared" si="102"/>
        <v>24</v>
      </c>
      <c r="G2213" t="str">
        <f>VLOOKUP(B2213,Orders!$A$2:$D$1201,4,FALSE)</f>
        <v>Delivered</v>
      </c>
      <c r="H2213">
        <f t="shared" si="103"/>
        <v>24</v>
      </c>
      <c r="I2213" s="12">
        <f>VLOOKUP(B2213,Orders!$A$2:$D$1201,3,FALSE)</f>
        <v>46047</v>
      </c>
      <c r="L2213" t="str">
        <f>VLOOKUP(C2213,Products!$A$2:$D$13,2,FALSE)</f>
        <v>Notebook</v>
      </c>
      <c r="M2213" t="str">
        <f t="shared" si="104"/>
        <v>2026-01</v>
      </c>
    </row>
    <row r="2214" spans="1:13">
      <c r="A2214">
        <v>2213</v>
      </c>
      <c r="B2214">
        <v>2094</v>
      </c>
      <c r="C2214">
        <v>7</v>
      </c>
      <c r="D2214">
        <v>3</v>
      </c>
      <c r="E2214">
        <v>65</v>
      </c>
      <c r="F2214">
        <f t="shared" si="102"/>
        <v>195</v>
      </c>
      <c r="G2214" t="str">
        <f>VLOOKUP(B2214,Orders!$A$2:$D$1201,4,FALSE)</f>
        <v>Delivered</v>
      </c>
      <c r="H2214">
        <f t="shared" si="103"/>
        <v>195</v>
      </c>
      <c r="I2214" s="12">
        <f>VLOOKUP(B2214,Orders!$A$2:$D$1201,3,FALSE)</f>
        <v>46125</v>
      </c>
      <c r="L2214" t="str">
        <f>VLOOKUP(C2214,Products!$A$2:$D$13,2,FALSE)</f>
        <v>Headphones</v>
      </c>
      <c r="M2214" t="str">
        <f t="shared" si="104"/>
        <v>2026-04</v>
      </c>
    </row>
    <row r="2215" spans="1:13">
      <c r="A2215">
        <v>2214</v>
      </c>
      <c r="B2215">
        <v>2095</v>
      </c>
      <c r="C2215">
        <v>9</v>
      </c>
      <c r="D2215">
        <v>2</v>
      </c>
      <c r="E2215">
        <v>30</v>
      </c>
      <c r="F2215">
        <f t="shared" si="102"/>
        <v>60</v>
      </c>
      <c r="G2215" t="str">
        <f>VLOOKUP(B2215,Orders!$A$2:$D$1201,4,FALSE)</f>
        <v>Delivered</v>
      </c>
      <c r="H2215">
        <f t="shared" si="103"/>
        <v>60</v>
      </c>
      <c r="I2215" s="12">
        <f>VLOOKUP(B2215,Orders!$A$2:$D$1201,3,FALSE)</f>
        <v>46185</v>
      </c>
      <c r="L2215" t="str">
        <f>VLOOKUP(C2215,Products!$A$2:$D$13,2,FALSE)</f>
        <v>Lamp</v>
      </c>
      <c r="M2215" t="str">
        <f t="shared" si="104"/>
        <v>2026-06</v>
      </c>
    </row>
    <row r="2216" spans="1:13">
      <c r="A2216">
        <v>2215</v>
      </c>
      <c r="B2216">
        <v>2095</v>
      </c>
      <c r="C2216">
        <v>12</v>
      </c>
      <c r="D2216">
        <v>4</v>
      </c>
      <c r="E2216">
        <v>22</v>
      </c>
      <c r="F2216">
        <f t="shared" si="102"/>
        <v>88</v>
      </c>
      <c r="G2216" t="str">
        <f>VLOOKUP(B2216,Orders!$A$2:$D$1201,4,FALSE)</f>
        <v>Delivered</v>
      </c>
      <c r="H2216">
        <f t="shared" si="103"/>
        <v>88</v>
      </c>
      <c r="I2216" s="12">
        <f>VLOOKUP(B2216,Orders!$A$2:$D$1201,3,FALSE)</f>
        <v>46185</v>
      </c>
      <c r="L2216" t="str">
        <f>VLOOKUP(C2216,Products!$A$2:$D$13,2,FALSE)</f>
        <v>Storage Box</v>
      </c>
      <c r="M2216" t="str">
        <f t="shared" si="104"/>
        <v>2026-06</v>
      </c>
    </row>
    <row r="2217" spans="1:13">
      <c r="A2217">
        <v>2216</v>
      </c>
      <c r="B2217">
        <v>2095</v>
      </c>
      <c r="C2217">
        <v>7</v>
      </c>
      <c r="D2217">
        <v>4</v>
      </c>
      <c r="E2217">
        <v>65</v>
      </c>
      <c r="F2217">
        <f t="shared" si="102"/>
        <v>260</v>
      </c>
      <c r="G2217" t="str">
        <f>VLOOKUP(B2217,Orders!$A$2:$D$1201,4,FALSE)</f>
        <v>Delivered</v>
      </c>
      <c r="H2217">
        <f t="shared" si="103"/>
        <v>260</v>
      </c>
      <c r="I2217" s="12">
        <f>VLOOKUP(B2217,Orders!$A$2:$D$1201,3,FALSE)</f>
        <v>46185</v>
      </c>
      <c r="L2217" t="str">
        <f>VLOOKUP(C2217,Products!$A$2:$D$13,2,FALSE)</f>
        <v>Headphones</v>
      </c>
      <c r="M2217" t="str">
        <f t="shared" si="104"/>
        <v>2026-06</v>
      </c>
    </row>
    <row r="2218" spans="1:13">
      <c r="A2218">
        <v>2217</v>
      </c>
      <c r="B2218">
        <v>2096</v>
      </c>
      <c r="C2218">
        <v>6</v>
      </c>
      <c r="D2218">
        <v>1</v>
      </c>
      <c r="E2218">
        <v>140</v>
      </c>
      <c r="F2218">
        <f t="shared" si="102"/>
        <v>140</v>
      </c>
      <c r="G2218" t="str">
        <f>VLOOKUP(B2218,Orders!$A$2:$D$1201,4,FALSE)</f>
        <v>Delivered</v>
      </c>
      <c r="H2218">
        <f t="shared" si="103"/>
        <v>140</v>
      </c>
      <c r="I2218" s="12">
        <f>VLOOKUP(B2218,Orders!$A$2:$D$1201,3,FALSE)</f>
        <v>46068</v>
      </c>
      <c r="L2218" t="str">
        <f>VLOOKUP(C2218,Products!$A$2:$D$13,2,FALSE)</f>
        <v>Chair</v>
      </c>
      <c r="M2218" t="str">
        <f t="shared" si="104"/>
        <v>2026-02</v>
      </c>
    </row>
    <row r="2219" spans="1:13">
      <c r="A2219">
        <v>2218</v>
      </c>
      <c r="B2219">
        <v>2096</v>
      </c>
      <c r="C2219">
        <v>8</v>
      </c>
      <c r="D2219">
        <v>4</v>
      </c>
      <c r="E2219">
        <v>55</v>
      </c>
      <c r="F2219">
        <f t="shared" si="102"/>
        <v>220</v>
      </c>
      <c r="G2219" t="str">
        <f>VLOOKUP(B2219,Orders!$A$2:$D$1201,4,FALSE)</f>
        <v>Delivered</v>
      </c>
      <c r="H2219">
        <f t="shared" si="103"/>
        <v>220</v>
      </c>
      <c r="I2219" s="12">
        <f>VLOOKUP(B2219,Orders!$A$2:$D$1201,3,FALSE)</f>
        <v>46068</v>
      </c>
      <c r="L2219" t="str">
        <f>VLOOKUP(C2219,Products!$A$2:$D$13,2,FALSE)</f>
        <v>Webcam</v>
      </c>
      <c r="M2219" t="str">
        <f t="shared" si="104"/>
        <v>2026-02</v>
      </c>
    </row>
    <row r="2220" spans="1:13">
      <c r="A2220">
        <v>2219</v>
      </c>
      <c r="B2220">
        <v>2096</v>
      </c>
      <c r="C2220">
        <v>3</v>
      </c>
      <c r="D2220">
        <v>4</v>
      </c>
      <c r="E2220">
        <v>45</v>
      </c>
      <c r="F2220">
        <f t="shared" si="102"/>
        <v>180</v>
      </c>
      <c r="G2220" t="str">
        <f>VLOOKUP(B2220,Orders!$A$2:$D$1201,4,FALSE)</f>
        <v>Delivered</v>
      </c>
      <c r="H2220">
        <f t="shared" si="103"/>
        <v>180</v>
      </c>
      <c r="I2220" s="12">
        <f>VLOOKUP(B2220,Orders!$A$2:$D$1201,3,FALSE)</f>
        <v>46068</v>
      </c>
      <c r="L2220" t="str">
        <f>VLOOKUP(C2220,Products!$A$2:$D$13,2,FALSE)</f>
        <v>Keyboard</v>
      </c>
      <c r="M2220" t="str">
        <f t="shared" si="104"/>
        <v>2026-02</v>
      </c>
    </row>
    <row r="2221" spans="1:13">
      <c r="A2221">
        <v>2220</v>
      </c>
      <c r="B2221">
        <v>2097</v>
      </c>
      <c r="C2221">
        <v>10</v>
      </c>
      <c r="D2221">
        <v>4</v>
      </c>
      <c r="E2221">
        <v>8</v>
      </c>
      <c r="F2221">
        <f t="shared" si="102"/>
        <v>32</v>
      </c>
      <c r="G2221" t="str">
        <f>VLOOKUP(B2221,Orders!$A$2:$D$1201,4,FALSE)</f>
        <v>Delivered</v>
      </c>
      <c r="H2221">
        <f t="shared" si="103"/>
        <v>32</v>
      </c>
      <c r="I2221" s="12">
        <f>VLOOKUP(B2221,Orders!$A$2:$D$1201,3,FALSE)</f>
        <v>46080</v>
      </c>
      <c r="L2221" t="str">
        <f>VLOOKUP(C2221,Products!$A$2:$D$13,2,FALSE)</f>
        <v>Notebook</v>
      </c>
      <c r="M2221" t="str">
        <f t="shared" si="104"/>
        <v>2026-02</v>
      </c>
    </row>
    <row r="2222" spans="1:13">
      <c r="A2222">
        <v>2221</v>
      </c>
      <c r="B2222">
        <v>2098</v>
      </c>
      <c r="C2222">
        <v>1</v>
      </c>
      <c r="D2222">
        <v>4</v>
      </c>
      <c r="E2222">
        <v>750</v>
      </c>
      <c r="F2222">
        <f t="shared" si="102"/>
        <v>3000</v>
      </c>
      <c r="G2222" t="str">
        <f>VLOOKUP(B2222,Orders!$A$2:$D$1201,4,FALSE)</f>
        <v>Delivered</v>
      </c>
      <c r="H2222">
        <f t="shared" si="103"/>
        <v>3000</v>
      </c>
      <c r="I2222" s="12">
        <f>VLOOKUP(B2222,Orders!$A$2:$D$1201,3,FALSE)</f>
        <v>46183</v>
      </c>
      <c r="L2222" t="str">
        <f>VLOOKUP(C2222,Products!$A$2:$D$13,2,FALSE)</f>
        <v>Laptop</v>
      </c>
      <c r="M2222" t="str">
        <f t="shared" si="104"/>
        <v>2026-06</v>
      </c>
    </row>
    <row r="2223" spans="1:13">
      <c r="A2223">
        <v>2222</v>
      </c>
      <c r="B2223">
        <v>2098</v>
      </c>
      <c r="C2223">
        <v>10</v>
      </c>
      <c r="D2223">
        <v>2</v>
      </c>
      <c r="E2223">
        <v>8</v>
      </c>
      <c r="F2223">
        <f t="shared" si="102"/>
        <v>16</v>
      </c>
      <c r="G2223" t="str">
        <f>VLOOKUP(B2223,Orders!$A$2:$D$1201,4,FALSE)</f>
        <v>Delivered</v>
      </c>
      <c r="H2223">
        <f t="shared" si="103"/>
        <v>16</v>
      </c>
      <c r="I2223" s="12">
        <f>VLOOKUP(B2223,Orders!$A$2:$D$1201,3,FALSE)</f>
        <v>46183</v>
      </c>
      <c r="L2223" t="str">
        <f>VLOOKUP(C2223,Products!$A$2:$D$13,2,FALSE)</f>
        <v>Notebook</v>
      </c>
      <c r="M2223" t="str">
        <f t="shared" si="104"/>
        <v>2026-06</v>
      </c>
    </row>
    <row r="2224" spans="1:13">
      <c r="A2224">
        <v>2223</v>
      </c>
      <c r="B2224">
        <v>2099</v>
      </c>
      <c r="C2224">
        <v>3</v>
      </c>
      <c r="D2224">
        <v>1</v>
      </c>
      <c r="E2224">
        <v>45</v>
      </c>
      <c r="F2224">
        <f t="shared" si="102"/>
        <v>45</v>
      </c>
      <c r="G2224" t="str">
        <f>VLOOKUP(B2224,Orders!$A$2:$D$1201,4,FALSE)</f>
        <v>Delivered</v>
      </c>
      <c r="H2224">
        <f t="shared" si="103"/>
        <v>45</v>
      </c>
      <c r="I2224" s="12">
        <f>VLOOKUP(B2224,Orders!$A$2:$D$1201,3,FALSE)</f>
        <v>46067</v>
      </c>
      <c r="L2224" t="str">
        <f>VLOOKUP(C2224,Products!$A$2:$D$13,2,FALSE)</f>
        <v>Keyboard</v>
      </c>
      <c r="M2224" t="str">
        <f t="shared" si="104"/>
        <v>2026-02</v>
      </c>
    </row>
    <row r="2225" spans="1:13">
      <c r="A2225">
        <v>2224</v>
      </c>
      <c r="B2225">
        <v>2099</v>
      </c>
      <c r="C2225">
        <v>5</v>
      </c>
      <c r="D2225">
        <v>1</v>
      </c>
      <c r="E2225">
        <v>180</v>
      </c>
      <c r="F2225">
        <f t="shared" si="102"/>
        <v>180</v>
      </c>
      <c r="G2225" t="str">
        <f>VLOOKUP(B2225,Orders!$A$2:$D$1201,4,FALSE)</f>
        <v>Delivered</v>
      </c>
      <c r="H2225">
        <f t="shared" si="103"/>
        <v>180</v>
      </c>
      <c r="I2225" s="12">
        <f>VLOOKUP(B2225,Orders!$A$2:$D$1201,3,FALSE)</f>
        <v>46067</v>
      </c>
      <c r="L2225" t="str">
        <f>VLOOKUP(C2225,Products!$A$2:$D$13,2,FALSE)</f>
        <v>Desk</v>
      </c>
      <c r="M2225" t="str">
        <f t="shared" si="104"/>
        <v>2026-02</v>
      </c>
    </row>
    <row r="2226" spans="1:13">
      <c r="A2226">
        <v>2225</v>
      </c>
      <c r="B2226">
        <v>2100</v>
      </c>
      <c r="C2226">
        <v>9</v>
      </c>
      <c r="D2226">
        <v>1</v>
      </c>
      <c r="E2226">
        <v>30</v>
      </c>
      <c r="F2226">
        <f t="shared" si="102"/>
        <v>30</v>
      </c>
      <c r="G2226" t="str">
        <f>VLOOKUP(B2226,Orders!$A$2:$D$1201,4,FALSE)</f>
        <v>Pending</v>
      </c>
      <c r="H2226">
        <f t="shared" si="103"/>
        <v>30</v>
      </c>
      <c r="I2226" s="12">
        <f>VLOOKUP(B2226,Orders!$A$2:$D$1201,3,FALSE)</f>
        <v>46136</v>
      </c>
      <c r="L2226" t="str">
        <f>VLOOKUP(C2226,Products!$A$2:$D$13,2,FALSE)</f>
        <v>Lamp</v>
      </c>
      <c r="M2226" t="str">
        <f t="shared" si="104"/>
        <v>2026-04</v>
      </c>
    </row>
    <row r="2227" spans="1:13">
      <c r="A2227">
        <v>2226</v>
      </c>
      <c r="B2227">
        <v>2100</v>
      </c>
      <c r="C2227">
        <v>11</v>
      </c>
      <c r="D2227">
        <v>3</v>
      </c>
      <c r="E2227">
        <v>48</v>
      </c>
      <c r="F2227">
        <f t="shared" si="102"/>
        <v>144</v>
      </c>
      <c r="G2227" t="str">
        <f>VLOOKUP(B2227,Orders!$A$2:$D$1201,4,FALSE)</f>
        <v>Pending</v>
      </c>
      <c r="H2227">
        <f t="shared" si="103"/>
        <v>144</v>
      </c>
      <c r="I2227" s="12">
        <f>VLOOKUP(B2227,Orders!$A$2:$D$1201,3,FALSE)</f>
        <v>46136</v>
      </c>
      <c r="L2227" t="str">
        <f>VLOOKUP(C2227,Products!$A$2:$D$13,2,FALSE)</f>
        <v>Backpack</v>
      </c>
      <c r="M2227" t="str">
        <f t="shared" si="104"/>
        <v>2026-04</v>
      </c>
    </row>
    <row r="2228" spans="1:13">
      <c r="A2228">
        <v>2227</v>
      </c>
      <c r="B2228">
        <v>2101</v>
      </c>
      <c r="C2228">
        <v>12</v>
      </c>
      <c r="D2228">
        <v>1</v>
      </c>
      <c r="E2228">
        <v>22</v>
      </c>
      <c r="F2228">
        <f t="shared" si="102"/>
        <v>22</v>
      </c>
      <c r="G2228" t="str">
        <f>VLOOKUP(B2228,Orders!$A$2:$D$1201,4,FALSE)</f>
        <v>Delivered</v>
      </c>
      <c r="H2228">
        <f t="shared" si="103"/>
        <v>22</v>
      </c>
      <c r="I2228" s="12">
        <f>VLOOKUP(B2228,Orders!$A$2:$D$1201,3,FALSE)</f>
        <v>46085</v>
      </c>
      <c r="L2228" t="str">
        <f>VLOOKUP(C2228,Products!$A$2:$D$13,2,FALSE)</f>
        <v>Storage Box</v>
      </c>
      <c r="M2228" t="str">
        <f t="shared" si="104"/>
        <v>2026-03</v>
      </c>
    </row>
    <row r="2229" spans="1:13">
      <c r="A2229">
        <v>2228</v>
      </c>
      <c r="B2229">
        <v>2102</v>
      </c>
      <c r="C2229">
        <v>12</v>
      </c>
      <c r="D2229">
        <v>1</v>
      </c>
      <c r="E2229">
        <v>22</v>
      </c>
      <c r="F2229">
        <f t="shared" si="102"/>
        <v>22</v>
      </c>
      <c r="G2229" t="str">
        <f>VLOOKUP(B2229,Orders!$A$2:$D$1201,4,FALSE)</f>
        <v>Delivered</v>
      </c>
      <c r="H2229">
        <f t="shared" si="103"/>
        <v>22</v>
      </c>
      <c r="I2229" s="12">
        <f>VLOOKUP(B2229,Orders!$A$2:$D$1201,3,FALSE)</f>
        <v>46121</v>
      </c>
      <c r="L2229" t="str">
        <f>VLOOKUP(C2229,Products!$A$2:$D$13,2,FALSE)</f>
        <v>Storage Box</v>
      </c>
      <c r="M2229" t="str">
        <f t="shared" si="104"/>
        <v>2026-04</v>
      </c>
    </row>
    <row r="2230" spans="1:13">
      <c r="A2230">
        <v>2229</v>
      </c>
      <c r="B2230">
        <v>2102</v>
      </c>
      <c r="C2230">
        <v>9</v>
      </c>
      <c r="D2230">
        <v>1</v>
      </c>
      <c r="E2230">
        <v>30</v>
      </c>
      <c r="F2230">
        <f t="shared" si="102"/>
        <v>30</v>
      </c>
      <c r="G2230" t="str">
        <f>VLOOKUP(B2230,Orders!$A$2:$D$1201,4,FALSE)</f>
        <v>Delivered</v>
      </c>
      <c r="H2230">
        <f t="shared" si="103"/>
        <v>30</v>
      </c>
      <c r="I2230" s="12">
        <f>VLOOKUP(B2230,Orders!$A$2:$D$1201,3,FALSE)</f>
        <v>46121</v>
      </c>
      <c r="L2230" t="str">
        <f>VLOOKUP(C2230,Products!$A$2:$D$13,2,FALSE)</f>
        <v>Lamp</v>
      </c>
      <c r="M2230" t="str">
        <f t="shared" si="104"/>
        <v>2026-04</v>
      </c>
    </row>
    <row r="2231" spans="1:13">
      <c r="A2231">
        <v>2230</v>
      </c>
      <c r="B2231">
        <v>2103</v>
      </c>
      <c r="C2231">
        <v>11</v>
      </c>
      <c r="D2231">
        <v>1</v>
      </c>
      <c r="E2231">
        <v>48</v>
      </c>
      <c r="F2231">
        <f t="shared" si="102"/>
        <v>48</v>
      </c>
      <c r="G2231" t="str">
        <f>VLOOKUP(B2231,Orders!$A$2:$D$1201,4,FALSE)</f>
        <v>Delivered</v>
      </c>
      <c r="H2231">
        <f t="shared" si="103"/>
        <v>48</v>
      </c>
      <c r="I2231" s="12">
        <f>VLOOKUP(B2231,Orders!$A$2:$D$1201,3,FALSE)</f>
        <v>46033</v>
      </c>
      <c r="L2231" t="str">
        <f>VLOOKUP(C2231,Products!$A$2:$D$13,2,FALSE)</f>
        <v>Backpack</v>
      </c>
      <c r="M2231" t="str">
        <f t="shared" si="104"/>
        <v>2026-01</v>
      </c>
    </row>
    <row r="2232" spans="1:13">
      <c r="A2232">
        <v>2231</v>
      </c>
      <c r="B2232">
        <v>2103</v>
      </c>
      <c r="C2232">
        <v>8</v>
      </c>
      <c r="D2232">
        <v>1</v>
      </c>
      <c r="E2232">
        <v>55</v>
      </c>
      <c r="F2232">
        <f t="shared" si="102"/>
        <v>55</v>
      </c>
      <c r="G2232" t="str">
        <f>VLOOKUP(B2232,Orders!$A$2:$D$1201,4,FALSE)</f>
        <v>Delivered</v>
      </c>
      <c r="H2232">
        <f t="shared" si="103"/>
        <v>55</v>
      </c>
      <c r="I2232" s="12">
        <f>VLOOKUP(B2232,Orders!$A$2:$D$1201,3,FALSE)</f>
        <v>46033</v>
      </c>
      <c r="L2232" t="str">
        <f>VLOOKUP(C2232,Products!$A$2:$D$13,2,FALSE)</f>
        <v>Webcam</v>
      </c>
      <c r="M2232" t="str">
        <f t="shared" si="104"/>
        <v>2026-01</v>
      </c>
    </row>
    <row r="2233" spans="1:13">
      <c r="A2233">
        <v>2232</v>
      </c>
      <c r="B2233">
        <v>2103</v>
      </c>
      <c r="C2233">
        <v>7</v>
      </c>
      <c r="D2233">
        <v>2</v>
      </c>
      <c r="E2233">
        <v>65</v>
      </c>
      <c r="F2233">
        <f t="shared" si="102"/>
        <v>130</v>
      </c>
      <c r="G2233" t="str">
        <f>VLOOKUP(B2233,Orders!$A$2:$D$1201,4,FALSE)</f>
        <v>Delivered</v>
      </c>
      <c r="H2233">
        <f t="shared" si="103"/>
        <v>130</v>
      </c>
      <c r="I2233" s="12">
        <f>VLOOKUP(B2233,Orders!$A$2:$D$1201,3,FALSE)</f>
        <v>46033</v>
      </c>
      <c r="L2233" t="str">
        <f>VLOOKUP(C2233,Products!$A$2:$D$13,2,FALSE)</f>
        <v>Headphones</v>
      </c>
      <c r="M2233" t="str">
        <f t="shared" si="104"/>
        <v>2026-01</v>
      </c>
    </row>
    <row r="2234" spans="1:13">
      <c r="A2234">
        <v>2233</v>
      </c>
      <c r="B2234">
        <v>2104</v>
      </c>
      <c r="C2234">
        <v>4</v>
      </c>
      <c r="D2234">
        <v>4</v>
      </c>
      <c r="E2234">
        <v>25</v>
      </c>
      <c r="F2234">
        <f t="shared" si="102"/>
        <v>100</v>
      </c>
      <c r="G2234" t="str">
        <f>VLOOKUP(B2234,Orders!$A$2:$D$1201,4,FALSE)</f>
        <v>Delivered</v>
      </c>
      <c r="H2234">
        <f t="shared" si="103"/>
        <v>100</v>
      </c>
      <c r="I2234" s="12">
        <f>VLOOKUP(B2234,Orders!$A$2:$D$1201,3,FALSE)</f>
        <v>46066</v>
      </c>
      <c r="L2234" t="str">
        <f>VLOOKUP(C2234,Products!$A$2:$D$13,2,FALSE)</f>
        <v>Mouse</v>
      </c>
      <c r="M2234" t="str">
        <f t="shared" si="104"/>
        <v>2026-02</v>
      </c>
    </row>
    <row r="2235" spans="1:13">
      <c r="A2235">
        <v>2234</v>
      </c>
      <c r="B2235">
        <v>2105</v>
      </c>
      <c r="C2235">
        <v>5</v>
      </c>
      <c r="D2235">
        <v>3</v>
      </c>
      <c r="E2235">
        <v>180</v>
      </c>
      <c r="F2235">
        <f t="shared" si="102"/>
        <v>540</v>
      </c>
      <c r="G2235" t="str">
        <f>VLOOKUP(B2235,Orders!$A$2:$D$1201,4,FALSE)</f>
        <v>Cancelled</v>
      </c>
      <c r="H2235">
        <f t="shared" si="103"/>
        <v>0</v>
      </c>
      <c r="I2235" s="12">
        <f>VLOOKUP(B2235,Orders!$A$2:$D$1201,3,FALSE)</f>
        <v>46140</v>
      </c>
      <c r="L2235" t="str">
        <f>VLOOKUP(C2235,Products!$A$2:$D$13,2,FALSE)</f>
        <v>Desk</v>
      </c>
      <c r="M2235" t="str">
        <f t="shared" si="104"/>
        <v>2026-04</v>
      </c>
    </row>
    <row r="2236" spans="1:13">
      <c r="A2236">
        <v>2235</v>
      </c>
      <c r="B2236">
        <v>2106</v>
      </c>
      <c r="C2236">
        <v>12</v>
      </c>
      <c r="D2236">
        <v>3</v>
      </c>
      <c r="E2236">
        <v>22</v>
      </c>
      <c r="F2236">
        <f t="shared" si="102"/>
        <v>66</v>
      </c>
      <c r="G2236" t="str">
        <f>VLOOKUP(B2236,Orders!$A$2:$D$1201,4,FALSE)</f>
        <v>Delivered</v>
      </c>
      <c r="H2236">
        <f t="shared" si="103"/>
        <v>66</v>
      </c>
      <c r="I2236" s="12">
        <f>VLOOKUP(B2236,Orders!$A$2:$D$1201,3,FALSE)</f>
        <v>46098</v>
      </c>
      <c r="L2236" t="str">
        <f>VLOOKUP(C2236,Products!$A$2:$D$13,2,FALSE)</f>
        <v>Storage Box</v>
      </c>
      <c r="M2236" t="str">
        <f t="shared" si="104"/>
        <v>2026-03</v>
      </c>
    </row>
    <row r="2237" spans="1:13">
      <c r="A2237">
        <v>2236</v>
      </c>
      <c r="B2237">
        <v>2106</v>
      </c>
      <c r="C2237">
        <v>5</v>
      </c>
      <c r="D2237">
        <v>1</v>
      </c>
      <c r="E2237">
        <v>180</v>
      </c>
      <c r="F2237">
        <f t="shared" si="102"/>
        <v>180</v>
      </c>
      <c r="G2237" t="str">
        <f>VLOOKUP(B2237,Orders!$A$2:$D$1201,4,FALSE)</f>
        <v>Delivered</v>
      </c>
      <c r="H2237">
        <f t="shared" si="103"/>
        <v>180</v>
      </c>
      <c r="I2237" s="12">
        <f>VLOOKUP(B2237,Orders!$A$2:$D$1201,3,FALSE)</f>
        <v>46098</v>
      </c>
      <c r="L2237" t="str">
        <f>VLOOKUP(C2237,Products!$A$2:$D$13,2,FALSE)</f>
        <v>Desk</v>
      </c>
      <c r="M2237" t="str">
        <f t="shared" si="104"/>
        <v>2026-03</v>
      </c>
    </row>
    <row r="2238" spans="1:13">
      <c r="A2238">
        <v>2237</v>
      </c>
      <c r="B2238">
        <v>2107</v>
      </c>
      <c r="C2238">
        <v>12</v>
      </c>
      <c r="D2238">
        <v>3</v>
      </c>
      <c r="E2238">
        <v>22</v>
      </c>
      <c r="F2238">
        <f t="shared" si="102"/>
        <v>66</v>
      </c>
      <c r="G2238" t="str">
        <f>VLOOKUP(B2238,Orders!$A$2:$D$1201,4,FALSE)</f>
        <v>Delivered</v>
      </c>
      <c r="H2238">
        <f t="shared" si="103"/>
        <v>66</v>
      </c>
      <c r="I2238" s="12">
        <f>VLOOKUP(B2238,Orders!$A$2:$D$1201,3,FALSE)</f>
        <v>46117</v>
      </c>
      <c r="L2238" t="str">
        <f>VLOOKUP(C2238,Products!$A$2:$D$13,2,FALSE)</f>
        <v>Storage Box</v>
      </c>
      <c r="M2238" t="str">
        <f t="shared" si="104"/>
        <v>2026-04</v>
      </c>
    </row>
    <row r="2239" spans="1:13">
      <c r="A2239">
        <v>2238</v>
      </c>
      <c r="B2239">
        <v>2107</v>
      </c>
      <c r="C2239">
        <v>3</v>
      </c>
      <c r="D2239">
        <v>4</v>
      </c>
      <c r="E2239">
        <v>45</v>
      </c>
      <c r="F2239">
        <f t="shared" si="102"/>
        <v>180</v>
      </c>
      <c r="G2239" t="str">
        <f>VLOOKUP(B2239,Orders!$A$2:$D$1201,4,FALSE)</f>
        <v>Delivered</v>
      </c>
      <c r="H2239">
        <f t="shared" si="103"/>
        <v>180</v>
      </c>
      <c r="I2239" s="12">
        <f>VLOOKUP(B2239,Orders!$A$2:$D$1201,3,FALSE)</f>
        <v>46117</v>
      </c>
      <c r="L2239" t="str">
        <f>VLOOKUP(C2239,Products!$A$2:$D$13,2,FALSE)</f>
        <v>Keyboard</v>
      </c>
      <c r="M2239" t="str">
        <f t="shared" si="104"/>
        <v>2026-04</v>
      </c>
    </row>
    <row r="2240" spans="1:13">
      <c r="A2240">
        <v>2239</v>
      </c>
      <c r="B2240">
        <v>2108</v>
      </c>
      <c r="C2240">
        <v>5</v>
      </c>
      <c r="D2240">
        <v>2</v>
      </c>
      <c r="E2240">
        <v>180</v>
      </c>
      <c r="F2240">
        <f t="shared" si="102"/>
        <v>360</v>
      </c>
      <c r="G2240" t="str">
        <f>VLOOKUP(B2240,Orders!$A$2:$D$1201,4,FALSE)</f>
        <v>Delivered</v>
      </c>
      <c r="H2240">
        <f t="shared" si="103"/>
        <v>360</v>
      </c>
      <c r="I2240" s="12">
        <f>VLOOKUP(B2240,Orders!$A$2:$D$1201,3,FALSE)</f>
        <v>46055</v>
      </c>
      <c r="L2240" t="str">
        <f>VLOOKUP(C2240,Products!$A$2:$D$13,2,FALSE)</f>
        <v>Desk</v>
      </c>
      <c r="M2240" t="str">
        <f t="shared" si="104"/>
        <v>2026-02</v>
      </c>
    </row>
    <row r="2241" spans="1:13">
      <c r="A2241">
        <v>2240</v>
      </c>
      <c r="B2241">
        <v>2108</v>
      </c>
      <c r="C2241">
        <v>11</v>
      </c>
      <c r="D2241">
        <v>1</v>
      </c>
      <c r="E2241">
        <v>48</v>
      </c>
      <c r="F2241">
        <f t="shared" si="102"/>
        <v>48</v>
      </c>
      <c r="G2241" t="str">
        <f>VLOOKUP(B2241,Orders!$A$2:$D$1201,4,FALSE)</f>
        <v>Delivered</v>
      </c>
      <c r="H2241">
        <f t="shared" si="103"/>
        <v>48</v>
      </c>
      <c r="I2241" s="12">
        <f>VLOOKUP(B2241,Orders!$A$2:$D$1201,3,FALSE)</f>
        <v>46055</v>
      </c>
      <c r="L2241" t="str">
        <f>VLOOKUP(C2241,Products!$A$2:$D$13,2,FALSE)</f>
        <v>Backpack</v>
      </c>
      <c r="M2241" t="str">
        <f t="shared" si="104"/>
        <v>2026-02</v>
      </c>
    </row>
    <row r="2242" spans="1:13">
      <c r="A2242">
        <v>2241</v>
      </c>
      <c r="B2242">
        <v>2109</v>
      </c>
      <c r="C2242">
        <v>9</v>
      </c>
      <c r="D2242">
        <v>2</v>
      </c>
      <c r="E2242">
        <v>30</v>
      </c>
      <c r="F2242">
        <f t="shared" si="102"/>
        <v>60</v>
      </c>
      <c r="G2242" t="str">
        <f>VLOOKUP(B2242,Orders!$A$2:$D$1201,4,FALSE)</f>
        <v>Delivered</v>
      </c>
      <c r="H2242">
        <f t="shared" si="103"/>
        <v>60</v>
      </c>
      <c r="I2242" s="12">
        <f>VLOOKUP(B2242,Orders!$A$2:$D$1201,3,FALSE)</f>
        <v>46089</v>
      </c>
      <c r="L2242" t="str">
        <f>VLOOKUP(C2242,Products!$A$2:$D$13,2,FALSE)</f>
        <v>Lamp</v>
      </c>
      <c r="M2242" t="str">
        <f t="shared" si="104"/>
        <v>2026-03</v>
      </c>
    </row>
    <row r="2243" spans="1:13">
      <c r="A2243">
        <v>2242</v>
      </c>
      <c r="B2243">
        <v>2109</v>
      </c>
      <c r="C2243">
        <v>7</v>
      </c>
      <c r="D2243">
        <v>3</v>
      </c>
      <c r="E2243">
        <v>65</v>
      </c>
      <c r="F2243">
        <f t="shared" ref="F2243:F2306" si="105">D2243*E2243</f>
        <v>195</v>
      </c>
      <c r="G2243" t="str">
        <f>VLOOKUP(B2243,Orders!$A$2:$D$1201,4,FALSE)</f>
        <v>Delivered</v>
      </c>
      <c r="H2243">
        <f t="shared" ref="H2243:H2306" si="106">IF(G2243="Cancelled",0,F2243)</f>
        <v>195</v>
      </c>
      <c r="I2243" s="12">
        <f>VLOOKUP(B2243,Orders!$A$2:$D$1201,3,FALSE)</f>
        <v>46089</v>
      </c>
      <c r="L2243" t="str">
        <f>VLOOKUP(C2243,Products!$A$2:$D$13,2,FALSE)</f>
        <v>Headphones</v>
      </c>
      <c r="M2243" t="str">
        <f t="shared" ref="M2243:M2306" si="107">TEXT(I2243,"yyyy-mm")</f>
        <v>2026-03</v>
      </c>
    </row>
    <row r="2244" spans="1:13">
      <c r="A2244">
        <v>2243</v>
      </c>
      <c r="B2244">
        <v>2109</v>
      </c>
      <c r="C2244">
        <v>8</v>
      </c>
      <c r="D2244">
        <v>2</v>
      </c>
      <c r="E2244">
        <v>55</v>
      </c>
      <c r="F2244">
        <f t="shared" si="105"/>
        <v>110</v>
      </c>
      <c r="G2244" t="str">
        <f>VLOOKUP(B2244,Orders!$A$2:$D$1201,4,FALSE)</f>
        <v>Delivered</v>
      </c>
      <c r="H2244">
        <f t="shared" si="106"/>
        <v>110</v>
      </c>
      <c r="I2244" s="12">
        <f>VLOOKUP(B2244,Orders!$A$2:$D$1201,3,FALSE)</f>
        <v>46089</v>
      </c>
      <c r="L2244" t="str">
        <f>VLOOKUP(C2244,Products!$A$2:$D$13,2,FALSE)</f>
        <v>Webcam</v>
      </c>
      <c r="M2244" t="str">
        <f t="shared" si="107"/>
        <v>2026-03</v>
      </c>
    </row>
    <row r="2245" spans="1:13">
      <c r="A2245">
        <v>2244</v>
      </c>
      <c r="B2245">
        <v>2110</v>
      </c>
      <c r="C2245">
        <v>3</v>
      </c>
      <c r="D2245">
        <v>4</v>
      </c>
      <c r="E2245">
        <v>45</v>
      </c>
      <c r="F2245">
        <f t="shared" si="105"/>
        <v>180</v>
      </c>
      <c r="G2245" t="str">
        <f>VLOOKUP(B2245,Orders!$A$2:$D$1201,4,FALSE)</f>
        <v>Delivered</v>
      </c>
      <c r="H2245">
        <f t="shared" si="106"/>
        <v>180</v>
      </c>
      <c r="I2245" s="12">
        <f>VLOOKUP(B2245,Orders!$A$2:$D$1201,3,FALSE)</f>
        <v>46147</v>
      </c>
      <c r="L2245" t="str">
        <f>VLOOKUP(C2245,Products!$A$2:$D$13,2,FALSE)</f>
        <v>Keyboard</v>
      </c>
      <c r="M2245" t="str">
        <f t="shared" si="107"/>
        <v>2026-05</v>
      </c>
    </row>
    <row r="2246" spans="1:13">
      <c r="A2246">
        <v>2245</v>
      </c>
      <c r="B2246">
        <v>2110</v>
      </c>
      <c r="C2246">
        <v>8</v>
      </c>
      <c r="D2246">
        <v>1</v>
      </c>
      <c r="E2246">
        <v>55</v>
      </c>
      <c r="F2246">
        <f t="shared" si="105"/>
        <v>55</v>
      </c>
      <c r="G2246" t="str">
        <f>VLOOKUP(B2246,Orders!$A$2:$D$1201,4,FALSE)</f>
        <v>Delivered</v>
      </c>
      <c r="H2246">
        <f t="shared" si="106"/>
        <v>55</v>
      </c>
      <c r="I2246" s="12">
        <f>VLOOKUP(B2246,Orders!$A$2:$D$1201,3,FALSE)</f>
        <v>46147</v>
      </c>
      <c r="L2246" t="str">
        <f>VLOOKUP(C2246,Products!$A$2:$D$13,2,FALSE)</f>
        <v>Webcam</v>
      </c>
      <c r="M2246" t="str">
        <f t="shared" si="107"/>
        <v>2026-05</v>
      </c>
    </row>
    <row r="2247" spans="1:13">
      <c r="A2247">
        <v>2246</v>
      </c>
      <c r="B2247">
        <v>2111</v>
      </c>
      <c r="C2247">
        <v>4</v>
      </c>
      <c r="D2247">
        <v>4</v>
      </c>
      <c r="E2247">
        <v>25</v>
      </c>
      <c r="F2247">
        <f t="shared" si="105"/>
        <v>100</v>
      </c>
      <c r="G2247" t="str">
        <f>VLOOKUP(B2247,Orders!$A$2:$D$1201,4,FALSE)</f>
        <v>Delivered</v>
      </c>
      <c r="H2247">
        <f t="shared" si="106"/>
        <v>100</v>
      </c>
      <c r="I2247" s="12">
        <f>VLOOKUP(B2247,Orders!$A$2:$D$1201,3,FALSE)</f>
        <v>46080</v>
      </c>
      <c r="L2247" t="str">
        <f>VLOOKUP(C2247,Products!$A$2:$D$13,2,FALSE)</f>
        <v>Mouse</v>
      </c>
      <c r="M2247" t="str">
        <f t="shared" si="107"/>
        <v>2026-02</v>
      </c>
    </row>
    <row r="2248" spans="1:13">
      <c r="A2248">
        <v>2247</v>
      </c>
      <c r="B2248">
        <v>2111</v>
      </c>
      <c r="C2248">
        <v>6</v>
      </c>
      <c r="D2248">
        <v>1</v>
      </c>
      <c r="E2248">
        <v>140</v>
      </c>
      <c r="F2248">
        <f t="shared" si="105"/>
        <v>140</v>
      </c>
      <c r="G2248" t="str">
        <f>VLOOKUP(B2248,Orders!$A$2:$D$1201,4,FALSE)</f>
        <v>Delivered</v>
      </c>
      <c r="H2248">
        <f t="shared" si="106"/>
        <v>140</v>
      </c>
      <c r="I2248" s="12">
        <f>VLOOKUP(B2248,Orders!$A$2:$D$1201,3,FALSE)</f>
        <v>46080</v>
      </c>
      <c r="L2248" t="str">
        <f>VLOOKUP(C2248,Products!$A$2:$D$13,2,FALSE)</f>
        <v>Chair</v>
      </c>
      <c r="M2248" t="str">
        <f t="shared" si="107"/>
        <v>2026-02</v>
      </c>
    </row>
    <row r="2249" spans="1:13">
      <c r="A2249">
        <v>2248</v>
      </c>
      <c r="B2249">
        <v>2111</v>
      </c>
      <c r="C2249">
        <v>8</v>
      </c>
      <c r="D2249">
        <v>2</v>
      </c>
      <c r="E2249">
        <v>55</v>
      </c>
      <c r="F2249">
        <f t="shared" si="105"/>
        <v>110</v>
      </c>
      <c r="G2249" t="str">
        <f>VLOOKUP(B2249,Orders!$A$2:$D$1201,4,FALSE)</f>
        <v>Delivered</v>
      </c>
      <c r="H2249">
        <f t="shared" si="106"/>
        <v>110</v>
      </c>
      <c r="I2249" s="12">
        <f>VLOOKUP(B2249,Orders!$A$2:$D$1201,3,FALSE)</f>
        <v>46080</v>
      </c>
      <c r="L2249" t="str">
        <f>VLOOKUP(C2249,Products!$A$2:$D$13,2,FALSE)</f>
        <v>Webcam</v>
      </c>
      <c r="M2249" t="str">
        <f t="shared" si="107"/>
        <v>2026-02</v>
      </c>
    </row>
    <row r="2250" spans="1:13">
      <c r="A2250">
        <v>2249</v>
      </c>
      <c r="B2250">
        <v>2112</v>
      </c>
      <c r="C2250">
        <v>5</v>
      </c>
      <c r="D2250">
        <v>1</v>
      </c>
      <c r="E2250">
        <v>180</v>
      </c>
      <c r="F2250">
        <f t="shared" si="105"/>
        <v>180</v>
      </c>
      <c r="G2250" t="str">
        <f>VLOOKUP(B2250,Orders!$A$2:$D$1201,4,FALSE)</f>
        <v>Shipped</v>
      </c>
      <c r="H2250">
        <f t="shared" si="106"/>
        <v>180</v>
      </c>
      <c r="I2250" s="12">
        <f>VLOOKUP(B2250,Orders!$A$2:$D$1201,3,FALSE)</f>
        <v>46048</v>
      </c>
      <c r="L2250" t="str">
        <f>VLOOKUP(C2250,Products!$A$2:$D$13,2,FALSE)</f>
        <v>Desk</v>
      </c>
      <c r="M2250" t="str">
        <f t="shared" si="107"/>
        <v>2026-01</v>
      </c>
    </row>
    <row r="2251" spans="1:13">
      <c r="A2251">
        <v>2250</v>
      </c>
      <c r="B2251">
        <v>2113</v>
      </c>
      <c r="C2251">
        <v>5</v>
      </c>
      <c r="D2251">
        <v>2</v>
      </c>
      <c r="E2251">
        <v>180</v>
      </c>
      <c r="F2251">
        <f t="shared" si="105"/>
        <v>360</v>
      </c>
      <c r="G2251" t="str">
        <f>VLOOKUP(B2251,Orders!$A$2:$D$1201,4,FALSE)</f>
        <v>Delivered</v>
      </c>
      <c r="H2251">
        <f t="shared" si="106"/>
        <v>360</v>
      </c>
      <c r="I2251" s="12">
        <f>VLOOKUP(B2251,Orders!$A$2:$D$1201,3,FALSE)</f>
        <v>46137</v>
      </c>
      <c r="L2251" t="str">
        <f>VLOOKUP(C2251,Products!$A$2:$D$13,2,FALSE)</f>
        <v>Desk</v>
      </c>
      <c r="M2251" t="str">
        <f t="shared" si="107"/>
        <v>2026-04</v>
      </c>
    </row>
    <row r="2252" spans="1:13">
      <c r="A2252">
        <v>2251</v>
      </c>
      <c r="B2252">
        <v>2114</v>
      </c>
      <c r="C2252">
        <v>5</v>
      </c>
      <c r="D2252">
        <v>1</v>
      </c>
      <c r="E2252">
        <v>180</v>
      </c>
      <c r="F2252">
        <f t="shared" si="105"/>
        <v>180</v>
      </c>
      <c r="G2252" t="str">
        <f>VLOOKUP(B2252,Orders!$A$2:$D$1201,4,FALSE)</f>
        <v>Delivered</v>
      </c>
      <c r="H2252">
        <f t="shared" si="106"/>
        <v>180</v>
      </c>
      <c r="I2252" s="12">
        <f>VLOOKUP(B2252,Orders!$A$2:$D$1201,3,FALSE)</f>
        <v>46139</v>
      </c>
      <c r="L2252" t="str">
        <f>VLOOKUP(C2252,Products!$A$2:$D$13,2,FALSE)</f>
        <v>Desk</v>
      </c>
      <c r="M2252" t="str">
        <f t="shared" si="107"/>
        <v>2026-04</v>
      </c>
    </row>
    <row r="2253" spans="1:13">
      <c r="A2253">
        <v>2252</v>
      </c>
      <c r="B2253">
        <v>2114</v>
      </c>
      <c r="C2253">
        <v>2</v>
      </c>
      <c r="D2253">
        <v>2</v>
      </c>
      <c r="E2253">
        <v>220</v>
      </c>
      <c r="F2253">
        <f t="shared" si="105"/>
        <v>440</v>
      </c>
      <c r="G2253" t="str">
        <f>VLOOKUP(B2253,Orders!$A$2:$D$1201,4,FALSE)</f>
        <v>Delivered</v>
      </c>
      <c r="H2253">
        <f t="shared" si="106"/>
        <v>440</v>
      </c>
      <c r="I2253" s="12">
        <f>VLOOKUP(B2253,Orders!$A$2:$D$1201,3,FALSE)</f>
        <v>46139</v>
      </c>
      <c r="L2253" t="str">
        <f>VLOOKUP(C2253,Products!$A$2:$D$13,2,FALSE)</f>
        <v>Monitor</v>
      </c>
      <c r="M2253" t="str">
        <f t="shared" si="107"/>
        <v>2026-04</v>
      </c>
    </row>
    <row r="2254" spans="1:13">
      <c r="A2254">
        <v>2253</v>
      </c>
      <c r="B2254">
        <v>2114</v>
      </c>
      <c r="C2254">
        <v>4</v>
      </c>
      <c r="D2254">
        <v>3</v>
      </c>
      <c r="E2254">
        <v>25</v>
      </c>
      <c r="F2254">
        <f t="shared" si="105"/>
        <v>75</v>
      </c>
      <c r="G2254" t="str">
        <f>VLOOKUP(B2254,Orders!$A$2:$D$1201,4,FALSE)</f>
        <v>Delivered</v>
      </c>
      <c r="H2254">
        <f t="shared" si="106"/>
        <v>75</v>
      </c>
      <c r="I2254" s="12">
        <f>VLOOKUP(B2254,Orders!$A$2:$D$1201,3,FALSE)</f>
        <v>46139</v>
      </c>
      <c r="L2254" t="str">
        <f>VLOOKUP(C2254,Products!$A$2:$D$13,2,FALSE)</f>
        <v>Mouse</v>
      </c>
      <c r="M2254" t="str">
        <f t="shared" si="107"/>
        <v>2026-04</v>
      </c>
    </row>
    <row r="2255" spans="1:13">
      <c r="A2255">
        <v>2254</v>
      </c>
      <c r="B2255">
        <v>2115</v>
      </c>
      <c r="C2255">
        <v>6</v>
      </c>
      <c r="D2255">
        <v>1</v>
      </c>
      <c r="E2255">
        <v>140</v>
      </c>
      <c r="F2255">
        <f t="shared" si="105"/>
        <v>140</v>
      </c>
      <c r="G2255" t="str">
        <f>VLOOKUP(B2255,Orders!$A$2:$D$1201,4,FALSE)</f>
        <v>Delivered</v>
      </c>
      <c r="H2255">
        <f t="shared" si="106"/>
        <v>140</v>
      </c>
      <c r="I2255" s="12">
        <f>VLOOKUP(B2255,Orders!$A$2:$D$1201,3,FALSE)</f>
        <v>46145</v>
      </c>
      <c r="L2255" t="str">
        <f>VLOOKUP(C2255,Products!$A$2:$D$13,2,FALSE)</f>
        <v>Chair</v>
      </c>
      <c r="M2255" t="str">
        <f t="shared" si="107"/>
        <v>2026-05</v>
      </c>
    </row>
    <row r="2256" spans="1:13">
      <c r="A2256">
        <v>2255</v>
      </c>
      <c r="B2256">
        <v>2116</v>
      </c>
      <c r="C2256">
        <v>8</v>
      </c>
      <c r="D2256">
        <v>1</v>
      </c>
      <c r="E2256">
        <v>55</v>
      </c>
      <c r="F2256">
        <f t="shared" si="105"/>
        <v>55</v>
      </c>
      <c r="G2256" t="str">
        <f>VLOOKUP(B2256,Orders!$A$2:$D$1201,4,FALSE)</f>
        <v>Delivered</v>
      </c>
      <c r="H2256">
        <f t="shared" si="106"/>
        <v>55</v>
      </c>
      <c r="I2256" s="12">
        <f>VLOOKUP(B2256,Orders!$A$2:$D$1201,3,FALSE)</f>
        <v>46048</v>
      </c>
      <c r="L2256" t="str">
        <f>VLOOKUP(C2256,Products!$A$2:$D$13,2,FALSE)</f>
        <v>Webcam</v>
      </c>
      <c r="M2256" t="str">
        <f t="shared" si="107"/>
        <v>2026-01</v>
      </c>
    </row>
    <row r="2257" spans="1:13">
      <c r="A2257">
        <v>2256</v>
      </c>
      <c r="B2257">
        <v>2116</v>
      </c>
      <c r="C2257">
        <v>5</v>
      </c>
      <c r="D2257">
        <v>4</v>
      </c>
      <c r="E2257">
        <v>180</v>
      </c>
      <c r="F2257">
        <f t="shared" si="105"/>
        <v>720</v>
      </c>
      <c r="G2257" t="str">
        <f>VLOOKUP(B2257,Orders!$A$2:$D$1201,4,FALSE)</f>
        <v>Delivered</v>
      </c>
      <c r="H2257">
        <f t="shared" si="106"/>
        <v>720</v>
      </c>
      <c r="I2257" s="12">
        <f>VLOOKUP(B2257,Orders!$A$2:$D$1201,3,FALSE)</f>
        <v>46048</v>
      </c>
      <c r="L2257" t="str">
        <f>VLOOKUP(C2257,Products!$A$2:$D$13,2,FALSE)</f>
        <v>Desk</v>
      </c>
      <c r="M2257" t="str">
        <f t="shared" si="107"/>
        <v>2026-01</v>
      </c>
    </row>
    <row r="2258" spans="1:13">
      <c r="A2258">
        <v>2257</v>
      </c>
      <c r="B2258">
        <v>2116</v>
      </c>
      <c r="C2258">
        <v>10</v>
      </c>
      <c r="D2258">
        <v>1</v>
      </c>
      <c r="E2258">
        <v>8</v>
      </c>
      <c r="F2258">
        <f t="shared" si="105"/>
        <v>8</v>
      </c>
      <c r="G2258" t="str">
        <f>VLOOKUP(B2258,Orders!$A$2:$D$1201,4,FALSE)</f>
        <v>Delivered</v>
      </c>
      <c r="H2258">
        <f t="shared" si="106"/>
        <v>8</v>
      </c>
      <c r="I2258" s="12">
        <f>VLOOKUP(B2258,Orders!$A$2:$D$1201,3,FALSE)</f>
        <v>46048</v>
      </c>
      <c r="L2258" t="str">
        <f>VLOOKUP(C2258,Products!$A$2:$D$13,2,FALSE)</f>
        <v>Notebook</v>
      </c>
      <c r="M2258" t="str">
        <f t="shared" si="107"/>
        <v>2026-01</v>
      </c>
    </row>
    <row r="2259" spans="1:13">
      <c r="A2259">
        <v>2258</v>
      </c>
      <c r="B2259">
        <v>2117</v>
      </c>
      <c r="C2259">
        <v>5</v>
      </c>
      <c r="D2259">
        <v>4</v>
      </c>
      <c r="E2259">
        <v>180</v>
      </c>
      <c r="F2259">
        <f t="shared" si="105"/>
        <v>720</v>
      </c>
      <c r="G2259" t="str">
        <f>VLOOKUP(B2259,Orders!$A$2:$D$1201,4,FALSE)</f>
        <v>Delivered</v>
      </c>
      <c r="H2259">
        <f t="shared" si="106"/>
        <v>720</v>
      </c>
      <c r="I2259" s="12">
        <f>VLOOKUP(B2259,Orders!$A$2:$D$1201,3,FALSE)</f>
        <v>46185</v>
      </c>
      <c r="L2259" t="str">
        <f>VLOOKUP(C2259,Products!$A$2:$D$13,2,FALSE)</f>
        <v>Desk</v>
      </c>
      <c r="M2259" t="str">
        <f t="shared" si="107"/>
        <v>2026-06</v>
      </c>
    </row>
    <row r="2260" spans="1:13">
      <c r="A2260">
        <v>2259</v>
      </c>
      <c r="B2260">
        <v>2118</v>
      </c>
      <c r="C2260">
        <v>9</v>
      </c>
      <c r="D2260">
        <v>3</v>
      </c>
      <c r="E2260">
        <v>30</v>
      </c>
      <c r="F2260">
        <f t="shared" si="105"/>
        <v>90</v>
      </c>
      <c r="G2260" t="str">
        <f>VLOOKUP(B2260,Orders!$A$2:$D$1201,4,FALSE)</f>
        <v>Delivered</v>
      </c>
      <c r="H2260">
        <f t="shared" si="106"/>
        <v>90</v>
      </c>
      <c r="I2260" s="12">
        <f>VLOOKUP(B2260,Orders!$A$2:$D$1201,3,FALSE)</f>
        <v>46146</v>
      </c>
      <c r="L2260" t="str">
        <f>VLOOKUP(C2260,Products!$A$2:$D$13,2,FALSE)</f>
        <v>Lamp</v>
      </c>
      <c r="M2260" t="str">
        <f t="shared" si="107"/>
        <v>2026-05</v>
      </c>
    </row>
    <row r="2261" spans="1:13">
      <c r="A2261">
        <v>2260</v>
      </c>
      <c r="B2261">
        <v>2118</v>
      </c>
      <c r="C2261">
        <v>4</v>
      </c>
      <c r="D2261">
        <v>3</v>
      </c>
      <c r="E2261">
        <v>25</v>
      </c>
      <c r="F2261">
        <f t="shared" si="105"/>
        <v>75</v>
      </c>
      <c r="G2261" t="str">
        <f>VLOOKUP(B2261,Orders!$A$2:$D$1201,4,FALSE)</f>
        <v>Delivered</v>
      </c>
      <c r="H2261">
        <f t="shared" si="106"/>
        <v>75</v>
      </c>
      <c r="I2261" s="12">
        <f>VLOOKUP(B2261,Orders!$A$2:$D$1201,3,FALSE)</f>
        <v>46146</v>
      </c>
      <c r="L2261" t="str">
        <f>VLOOKUP(C2261,Products!$A$2:$D$13,2,FALSE)</f>
        <v>Mouse</v>
      </c>
      <c r="M2261" t="str">
        <f t="shared" si="107"/>
        <v>2026-05</v>
      </c>
    </row>
    <row r="2262" spans="1:13">
      <c r="A2262">
        <v>2261</v>
      </c>
      <c r="B2262">
        <v>2119</v>
      </c>
      <c r="C2262">
        <v>8</v>
      </c>
      <c r="D2262">
        <v>2</v>
      </c>
      <c r="E2262">
        <v>55</v>
      </c>
      <c r="F2262">
        <f t="shared" si="105"/>
        <v>110</v>
      </c>
      <c r="G2262" t="str">
        <f>VLOOKUP(B2262,Orders!$A$2:$D$1201,4,FALSE)</f>
        <v>Delivered</v>
      </c>
      <c r="H2262">
        <f t="shared" si="106"/>
        <v>110</v>
      </c>
      <c r="I2262" s="12">
        <f>VLOOKUP(B2262,Orders!$A$2:$D$1201,3,FALSE)</f>
        <v>46069</v>
      </c>
      <c r="L2262" t="str">
        <f>VLOOKUP(C2262,Products!$A$2:$D$13,2,FALSE)</f>
        <v>Webcam</v>
      </c>
      <c r="M2262" t="str">
        <f t="shared" si="107"/>
        <v>2026-02</v>
      </c>
    </row>
    <row r="2263" spans="1:13">
      <c r="A2263">
        <v>2262</v>
      </c>
      <c r="B2263">
        <v>2119</v>
      </c>
      <c r="C2263">
        <v>12</v>
      </c>
      <c r="D2263">
        <v>1</v>
      </c>
      <c r="E2263">
        <v>22</v>
      </c>
      <c r="F2263">
        <f t="shared" si="105"/>
        <v>22</v>
      </c>
      <c r="G2263" t="str">
        <f>VLOOKUP(B2263,Orders!$A$2:$D$1201,4,FALSE)</f>
        <v>Delivered</v>
      </c>
      <c r="H2263">
        <f t="shared" si="106"/>
        <v>22</v>
      </c>
      <c r="I2263" s="12">
        <f>VLOOKUP(B2263,Orders!$A$2:$D$1201,3,FALSE)</f>
        <v>46069</v>
      </c>
      <c r="L2263" t="str">
        <f>VLOOKUP(C2263,Products!$A$2:$D$13,2,FALSE)</f>
        <v>Storage Box</v>
      </c>
      <c r="M2263" t="str">
        <f t="shared" si="107"/>
        <v>2026-02</v>
      </c>
    </row>
    <row r="2264" spans="1:13">
      <c r="A2264">
        <v>2263</v>
      </c>
      <c r="B2264">
        <v>2119</v>
      </c>
      <c r="C2264">
        <v>3</v>
      </c>
      <c r="D2264">
        <v>4</v>
      </c>
      <c r="E2264">
        <v>45</v>
      </c>
      <c r="F2264">
        <f t="shared" si="105"/>
        <v>180</v>
      </c>
      <c r="G2264" t="str">
        <f>VLOOKUP(B2264,Orders!$A$2:$D$1201,4,FALSE)</f>
        <v>Delivered</v>
      </c>
      <c r="H2264">
        <f t="shared" si="106"/>
        <v>180</v>
      </c>
      <c r="I2264" s="12">
        <f>VLOOKUP(B2264,Orders!$A$2:$D$1201,3,FALSE)</f>
        <v>46069</v>
      </c>
      <c r="L2264" t="str">
        <f>VLOOKUP(C2264,Products!$A$2:$D$13,2,FALSE)</f>
        <v>Keyboard</v>
      </c>
      <c r="M2264" t="str">
        <f t="shared" si="107"/>
        <v>2026-02</v>
      </c>
    </row>
    <row r="2265" spans="1:13">
      <c r="A2265">
        <v>2264</v>
      </c>
      <c r="B2265">
        <v>2120</v>
      </c>
      <c r="C2265">
        <v>2</v>
      </c>
      <c r="D2265">
        <v>2</v>
      </c>
      <c r="E2265">
        <v>220</v>
      </c>
      <c r="F2265">
        <f t="shared" si="105"/>
        <v>440</v>
      </c>
      <c r="G2265" t="str">
        <f>VLOOKUP(B2265,Orders!$A$2:$D$1201,4,FALSE)</f>
        <v>Delivered</v>
      </c>
      <c r="H2265">
        <f t="shared" si="106"/>
        <v>440</v>
      </c>
      <c r="I2265" s="12">
        <f>VLOOKUP(B2265,Orders!$A$2:$D$1201,3,FALSE)</f>
        <v>46186</v>
      </c>
      <c r="L2265" t="str">
        <f>VLOOKUP(C2265,Products!$A$2:$D$13,2,FALSE)</f>
        <v>Monitor</v>
      </c>
      <c r="M2265" t="str">
        <f t="shared" si="107"/>
        <v>2026-06</v>
      </c>
    </row>
    <row r="2266" spans="1:13">
      <c r="A2266">
        <v>2265</v>
      </c>
      <c r="B2266">
        <v>2121</v>
      </c>
      <c r="C2266">
        <v>4</v>
      </c>
      <c r="D2266">
        <v>3</v>
      </c>
      <c r="E2266">
        <v>25</v>
      </c>
      <c r="F2266">
        <f t="shared" si="105"/>
        <v>75</v>
      </c>
      <c r="G2266" t="str">
        <f>VLOOKUP(B2266,Orders!$A$2:$D$1201,4,FALSE)</f>
        <v>Delivered</v>
      </c>
      <c r="H2266">
        <f t="shared" si="106"/>
        <v>75</v>
      </c>
      <c r="I2266" s="12">
        <f>VLOOKUP(B2266,Orders!$A$2:$D$1201,3,FALSE)</f>
        <v>46143</v>
      </c>
      <c r="L2266" t="str">
        <f>VLOOKUP(C2266,Products!$A$2:$D$13,2,FALSE)</f>
        <v>Mouse</v>
      </c>
      <c r="M2266" t="str">
        <f t="shared" si="107"/>
        <v>2026-05</v>
      </c>
    </row>
    <row r="2267" spans="1:13">
      <c r="A2267">
        <v>2266</v>
      </c>
      <c r="B2267">
        <v>2121</v>
      </c>
      <c r="C2267">
        <v>10</v>
      </c>
      <c r="D2267">
        <v>2</v>
      </c>
      <c r="E2267">
        <v>8</v>
      </c>
      <c r="F2267">
        <f t="shared" si="105"/>
        <v>16</v>
      </c>
      <c r="G2267" t="str">
        <f>VLOOKUP(B2267,Orders!$A$2:$D$1201,4,FALSE)</f>
        <v>Delivered</v>
      </c>
      <c r="H2267">
        <f t="shared" si="106"/>
        <v>16</v>
      </c>
      <c r="I2267" s="12">
        <f>VLOOKUP(B2267,Orders!$A$2:$D$1201,3,FALSE)</f>
        <v>46143</v>
      </c>
      <c r="L2267" t="str">
        <f>VLOOKUP(C2267,Products!$A$2:$D$13,2,FALSE)</f>
        <v>Notebook</v>
      </c>
      <c r="M2267" t="str">
        <f t="shared" si="107"/>
        <v>2026-05</v>
      </c>
    </row>
    <row r="2268" spans="1:13">
      <c r="A2268">
        <v>2267</v>
      </c>
      <c r="B2268">
        <v>2121</v>
      </c>
      <c r="C2268">
        <v>3</v>
      </c>
      <c r="D2268">
        <v>2</v>
      </c>
      <c r="E2268">
        <v>45</v>
      </c>
      <c r="F2268">
        <f t="shared" si="105"/>
        <v>90</v>
      </c>
      <c r="G2268" t="str">
        <f>VLOOKUP(B2268,Orders!$A$2:$D$1201,4,FALSE)</f>
        <v>Delivered</v>
      </c>
      <c r="H2268">
        <f t="shared" si="106"/>
        <v>90</v>
      </c>
      <c r="I2268" s="12">
        <f>VLOOKUP(B2268,Orders!$A$2:$D$1201,3,FALSE)</f>
        <v>46143</v>
      </c>
      <c r="L2268" t="str">
        <f>VLOOKUP(C2268,Products!$A$2:$D$13,2,FALSE)</f>
        <v>Keyboard</v>
      </c>
      <c r="M2268" t="str">
        <f t="shared" si="107"/>
        <v>2026-05</v>
      </c>
    </row>
    <row r="2269" spans="1:13">
      <c r="A2269">
        <v>2268</v>
      </c>
      <c r="B2269">
        <v>2122</v>
      </c>
      <c r="C2269">
        <v>11</v>
      </c>
      <c r="D2269">
        <v>4</v>
      </c>
      <c r="E2269">
        <v>48</v>
      </c>
      <c r="F2269">
        <f t="shared" si="105"/>
        <v>192</v>
      </c>
      <c r="G2269" t="str">
        <f>VLOOKUP(B2269,Orders!$A$2:$D$1201,4,FALSE)</f>
        <v>Delivered</v>
      </c>
      <c r="H2269">
        <f t="shared" si="106"/>
        <v>192</v>
      </c>
      <c r="I2269" s="12">
        <f>VLOOKUP(B2269,Orders!$A$2:$D$1201,3,FALSE)</f>
        <v>46192</v>
      </c>
      <c r="L2269" t="str">
        <f>VLOOKUP(C2269,Products!$A$2:$D$13,2,FALSE)</f>
        <v>Backpack</v>
      </c>
      <c r="M2269" t="str">
        <f t="shared" si="107"/>
        <v>2026-06</v>
      </c>
    </row>
    <row r="2270" spans="1:13">
      <c r="A2270">
        <v>2269</v>
      </c>
      <c r="B2270">
        <v>2122</v>
      </c>
      <c r="C2270">
        <v>10</v>
      </c>
      <c r="D2270">
        <v>3</v>
      </c>
      <c r="E2270">
        <v>8</v>
      </c>
      <c r="F2270">
        <f t="shared" si="105"/>
        <v>24</v>
      </c>
      <c r="G2270" t="str">
        <f>VLOOKUP(B2270,Orders!$A$2:$D$1201,4,FALSE)</f>
        <v>Delivered</v>
      </c>
      <c r="H2270">
        <f t="shared" si="106"/>
        <v>24</v>
      </c>
      <c r="I2270" s="12">
        <f>VLOOKUP(B2270,Orders!$A$2:$D$1201,3,FALSE)</f>
        <v>46192</v>
      </c>
      <c r="L2270" t="str">
        <f>VLOOKUP(C2270,Products!$A$2:$D$13,2,FALSE)</f>
        <v>Notebook</v>
      </c>
      <c r="M2270" t="str">
        <f t="shared" si="107"/>
        <v>2026-06</v>
      </c>
    </row>
    <row r="2271" spans="1:13">
      <c r="A2271">
        <v>2270</v>
      </c>
      <c r="B2271">
        <v>2123</v>
      </c>
      <c r="C2271">
        <v>6</v>
      </c>
      <c r="D2271">
        <v>3</v>
      </c>
      <c r="E2271">
        <v>140</v>
      </c>
      <c r="F2271">
        <f t="shared" si="105"/>
        <v>420</v>
      </c>
      <c r="G2271" t="str">
        <f>VLOOKUP(B2271,Orders!$A$2:$D$1201,4,FALSE)</f>
        <v>Delivered</v>
      </c>
      <c r="H2271">
        <f t="shared" si="106"/>
        <v>420</v>
      </c>
      <c r="I2271" s="12">
        <f>VLOOKUP(B2271,Orders!$A$2:$D$1201,3,FALSE)</f>
        <v>46117</v>
      </c>
      <c r="L2271" t="str">
        <f>VLOOKUP(C2271,Products!$A$2:$D$13,2,FALSE)</f>
        <v>Chair</v>
      </c>
      <c r="M2271" t="str">
        <f t="shared" si="107"/>
        <v>2026-04</v>
      </c>
    </row>
    <row r="2272" spans="1:13">
      <c r="A2272">
        <v>2271</v>
      </c>
      <c r="B2272">
        <v>2123</v>
      </c>
      <c r="C2272">
        <v>12</v>
      </c>
      <c r="D2272">
        <v>4</v>
      </c>
      <c r="E2272">
        <v>22</v>
      </c>
      <c r="F2272">
        <f t="shared" si="105"/>
        <v>88</v>
      </c>
      <c r="G2272" t="str">
        <f>VLOOKUP(B2272,Orders!$A$2:$D$1201,4,FALSE)</f>
        <v>Delivered</v>
      </c>
      <c r="H2272">
        <f t="shared" si="106"/>
        <v>88</v>
      </c>
      <c r="I2272" s="12">
        <f>VLOOKUP(B2272,Orders!$A$2:$D$1201,3,FALSE)</f>
        <v>46117</v>
      </c>
      <c r="L2272" t="str">
        <f>VLOOKUP(C2272,Products!$A$2:$D$13,2,FALSE)</f>
        <v>Storage Box</v>
      </c>
      <c r="M2272" t="str">
        <f t="shared" si="107"/>
        <v>2026-04</v>
      </c>
    </row>
    <row r="2273" spans="1:13">
      <c r="A2273">
        <v>2272</v>
      </c>
      <c r="B2273">
        <v>2123</v>
      </c>
      <c r="C2273">
        <v>8</v>
      </c>
      <c r="D2273">
        <v>4</v>
      </c>
      <c r="E2273">
        <v>55</v>
      </c>
      <c r="F2273">
        <f t="shared" si="105"/>
        <v>220</v>
      </c>
      <c r="G2273" t="str">
        <f>VLOOKUP(B2273,Orders!$A$2:$D$1201,4,FALSE)</f>
        <v>Delivered</v>
      </c>
      <c r="H2273">
        <f t="shared" si="106"/>
        <v>220</v>
      </c>
      <c r="I2273" s="12">
        <f>VLOOKUP(B2273,Orders!$A$2:$D$1201,3,FALSE)</f>
        <v>46117</v>
      </c>
      <c r="L2273" t="str">
        <f>VLOOKUP(C2273,Products!$A$2:$D$13,2,FALSE)</f>
        <v>Webcam</v>
      </c>
      <c r="M2273" t="str">
        <f t="shared" si="107"/>
        <v>2026-04</v>
      </c>
    </row>
    <row r="2274" spans="1:13">
      <c r="A2274">
        <v>2273</v>
      </c>
      <c r="B2274">
        <v>2124</v>
      </c>
      <c r="C2274">
        <v>5</v>
      </c>
      <c r="D2274">
        <v>2</v>
      </c>
      <c r="E2274">
        <v>180</v>
      </c>
      <c r="F2274">
        <f t="shared" si="105"/>
        <v>360</v>
      </c>
      <c r="G2274" t="str">
        <f>VLOOKUP(B2274,Orders!$A$2:$D$1201,4,FALSE)</f>
        <v>Delivered</v>
      </c>
      <c r="H2274">
        <f t="shared" si="106"/>
        <v>360</v>
      </c>
      <c r="I2274" s="12">
        <f>VLOOKUP(B2274,Orders!$A$2:$D$1201,3,FALSE)</f>
        <v>46127</v>
      </c>
      <c r="L2274" t="str">
        <f>VLOOKUP(C2274,Products!$A$2:$D$13,2,FALSE)</f>
        <v>Desk</v>
      </c>
      <c r="M2274" t="str">
        <f t="shared" si="107"/>
        <v>2026-04</v>
      </c>
    </row>
    <row r="2275" spans="1:13">
      <c r="A2275">
        <v>2274</v>
      </c>
      <c r="B2275">
        <v>2124</v>
      </c>
      <c r="C2275">
        <v>1</v>
      </c>
      <c r="D2275">
        <v>2</v>
      </c>
      <c r="E2275">
        <v>750</v>
      </c>
      <c r="F2275">
        <f t="shared" si="105"/>
        <v>1500</v>
      </c>
      <c r="G2275" t="str">
        <f>VLOOKUP(B2275,Orders!$A$2:$D$1201,4,FALSE)</f>
        <v>Delivered</v>
      </c>
      <c r="H2275">
        <f t="shared" si="106"/>
        <v>1500</v>
      </c>
      <c r="I2275" s="12">
        <f>VLOOKUP(B2275,Orders!$A$2:$D$1201,3,FALSE)</f>
        <v>46127</v>
      </c>
      <c r="L2275" t="str">
        <f>VLOOKUP(C2275,Products!$A$2:$D$13,2,FALSE)</f>
        <v>Laptop</v>
      </c>
      <c r="M2275" t="str">
        <f t="shared" si="107"/>
        <v>2026-04</v>
      </c>
    </row>
    <row r="2276" spans="1:13">
      <c r="A2276">
        <v>2275</v>
      </c>
      <c r="B2276">
        <v>2125</v>
      </c>
      <c r="C2276">
        <v>9</v>
      </c>
      <c r="D2276">
        <v>2</v>
      </c>
      <c r="E2276">
        <v>30</v>
      </c>
      <c r="F2276">
        <f t="shared" si="105"/>
        <v>60</v>
      </c>
      <c r="G2276" t="str">
        <f>VLOOKUP(B2276,Orders!$A$2:$D$1201,4,FALSE)</f>
        <v>Delivered</v>
      </c>
      <c r="H2276">
        <f t="shared" si="106"/>
        <v>60</v>
      </c>
      <c r="I2276" s="12">
        <f>VLOOKUP(B2276,Orders!$A$2:$D$1201,3,FALSE)</f>
        <v>46105</v>
      </c>
      <c r="L2276" t="str">
        <f>VLOOKUP(C2276,Products!$A$2:$D$13,2,FALSE)</f>
        <v>Lamp</v>
      </c>
      <c r="M2276" t="str">
        <f t="shared" si="107"/>
        <v>2026-03</v>
      </c>
    </row>
    <row r="2277" spans="1:13">
      <c r="A2277">
        <v>2276</v>
      </c>
      <c r="B2277">
        <v>2125</v>
      </c>
      <c r="C2277">
        <v>12</v>
      </c>
      <c r="D2277">
        <v>2</v>
      </c>
      <c r="E2277">
        <v>22</v>
      </c>
      <c r="F2277">
        <f t="shared" si="105"/>
        <v>44</v>
      </c>
      <c r="G2277" t="str">
        <f>VLOOKUP(B2277,Orders!$A$2:$D$1201,4,FALSE)</f>
        <v>Delivered</v>
      </c>
      <c r="H2277">
        <f t="shared" si="106"/>
        <v>44</v>
      </c>
      <c r="I2277" s="12">
        <f>VLOOKUP(B2277,Orders!$A$2:$D$1201,3,FALSE)</f>
        <v>46105</v>
      </c>
      <c r="L2277" t="str">
        <f>VLOOKUP(C2277,Products!$A$2:$D$13,2,FALSE)</f>
        <v>Storage Box</v>
      </c>
      <c r="M2277" t="str">
        <f t="shared" si="107"/>
        <v>2026-03</v>
      </c>
    </row>
    <row r="2278" spans="1:13">
      <c r="A2278">
        <v>2277</v>
      </c>
      <c r="B2278">
        <v>2126</v>
      </c>
      <c r="C2278">
        <v>10</v>
      </c>
      <c r="D2278">
        <v>4</v>
      </c>
      <c r="E2278">
        <v>8</v>
      </c>
      <c r="F2278">
        <f t="shared" si="105"/>
        <v>32</v>
      </c>
      <c r="G2278" t="str">
        <f>VLOOKUP(B2278,Orders!$A$2:$D$1201,4,FALSE)</f>
        <v>Delivered</v>
      </c>
      <c r="H2278">
        <f t="shared" si="106"/>
        <v>32</v>
      </c>
      <c r="I2278" s="12">
        <f>VLOOKUP(B2278,Orders!$A$2:$D$1201,3,FALSE)</f>
        <v>46085</v>
      </c>
      <c r="L2278" t="str">
        <f>VLOOKUP(C2278,Products!$A$2:$D$13,2,FALSE)</f>
        <v>Notebook</v>
      </c>
      <c r="M2278" t="str">
        <f t="shared" si="107"/>
        <v>2026-03</v>
      </c>
    </row>
    <row r="2279" spans="1:13">
      <c r="A2279">
        <v>2278</v>
      </c>
      <c r="B2279">
        <v>2126</v>
      </c>
      <c r="C2279">
        <v>8</v>
      </c>
      <c r="D2279">
        <v>4</v>
      </c>
      <c r="E2279">
        <v>55</v>
      </c>
      <c r="F2279">
        <f t="shared" si="105"/>
        <v>220</v>
      </c>
      <c r="G2279" t="str">
        <f>VLOOKUP(B2279,Orders!$A$2:$D$1201,4,FALSE)</f>
        <v>Delivered</v>
      </c>
      <c r="H2279">
        <f t="shared" si="106"/>
        <v>220</v>
      </c>
      <c r="I2279" s="12">
        <f>VLOOKUP(B2279,Orders!$A$2:$D$1201,3,FALSE)</f>
        <v>46085</v>
      </c>
      <c r="L2279" t="str">
        <f>VLOOKUP(C2279,Products!$A$2:$D$13,2,FALSE)</f>
        <v>Webcam</v>
      </c>
      <c r="M2279" t="str">
        <f t="shared" si="107"/>
        <v>2026-03</v>
      </c>
    </row>
    <row r="2280" spans="1:13">
      <c r="A2280">
        <v>2279</v>
      </c>
      <c r="B2280">
        <v>2126</v>
      </c>
      <c r="C2280">
        <v>1</v>
      </c>
      <c r="D2280">
        <v>2</v>
      </c>
      <c r="E2280">
        <v>750</v>
      </c>
      <c r="F2280">
        <f t="shared" si="105"/>
        <v>1500</v>
      </c>
      <c r="G2280" t="str">
        <f>VLOOKUP(B2280,Orders!$A$2:$D$1201,4,FALSE)</f>
        <v>Delivered</v>
      </c>
      <c r="H2280">
        <f t="shared" si="106"/>
        <v>1500</v>
      </c>
      <c r="I2280" s="12">
        <f>VLOOKUP(B2280,Orders!$A$2:$D$1201,3,FALSE)</f>
        <v>46085</v>
      </c>
      <c r="L2280" t="str">
        <f>VLOOKUP(C2280,Products!$A$2:$D$13,2,FALSE)</f>
        <v>Laptop</v>
      </c>
      <c r="M2280" t="str">
        <f t="shared" si="107"/>
        <v>2026-03</v>
      </c>
    </row>
    <row r="2281" spans="1:13">
      <c r="A2281">
        <v>2280</v>
      </c>
      <c r="B2281">
        <v>2127</v>
      </c>
      <c r="C2281">
        <v>6</v>
      </c>
      <c r="D2281">
        <v>1</v>
      </c>
      <c r="E2281">
        <v>140</v>
      </c>
      <c r="F2281">
        <f t="shared" si="105"/>
        <v>140</v>
      </c>
      <c r="G2281" t="str">
        <f>VLOOKUP(B2281,Orders!$A$2:$D$1201,4,FALSE)</f>
        <v>Delivered</v>
      </c>
      <c r="H2281">
        <f t="shared" si="106"/>
        <v>140</v>
      </c>
      <c r="I2281" s="12">
        <f>VLOOKUP(B2281,Orders!$A$2:$D$1201,3,FALSE)</f>
        <v>46037</v>
      </c>
      <c r="L2281" t="str">
        <f>VLOOKUP(C2281,Products!$A$2:$D$13,2,FALSE)</f>
        <v>Chair</v>
      </c>
      <c r="M2281" t="str">
        <f t="shared" si="107"/>
        <v>2026-01</v>
      </c>
    </row>
    <row r="2282" spans="1:13">
      <c r="A2282">
        <v>2281</v>
      </c>
      <c r="B2282">
        <v>2127</v>
      </c>
      <c r="C2282">
        <v>8</v>
      </c>
      <c r="D2282">
        <v>4</v>
      </c>
      <c r="E2282">
        <v>55</v>
      </c>
      <c r="F2282">
        <f t="shared" si="105"/>
        <v>220</v>
      </c>
      <c r="G2282" t="str">
        <f>VLOOKUP(B2282,Orders!$A$2:$D$1201,4,FALSE)</f>
        <v>Delivered</v>
      </c>
      <c r="H2282">
        <f t="shared" si="106"/>
        <v>220</v>
      </c>
      <c r="I2282" s="12">
        <f>VLOOKUP(B2282,Orders!$A$2:$D$1201,3,FALSE)</f>
        <v>46037</v>
      </c>
      <c r="L2282" t="str">
        <f>VLOOKUP(C2282,Products!$A$2:$D$13,2,FALSE)</f>
        <v>Webcam</v>
      </c>
      <c r="M2282" t="str">
        <f t="shared" si="107"/>
        <v>2026-01</v>
      </c>
    </row>
    <row r="2283" spans="1:13">
      <c r="A2283">
        <v>2282</v>
      </c>
      <c r="B2283">
        <v>2127</v>
      </c>
      <c r="C2283">
        <v>5</v>
      </c>
      <c r="D2283">
        <v>2</v>
      </c>
      <c r="E2283">
        <v>180</v>
      </c>
      <c r="F2283">
        <f t="shared" si="105"/>
        <v>360</v>
      </c>
      <c r="G2283" t="str">
        <f>VLOOKUP(B2283,Orders!$A$2:$D$1201,4,FALSE)</f>
        <v>Delivered</v>
      </c>
      <c r="H2283">
        <f t="shared" si="106"/>
        <v>360</v>
      </c>
      <c r="I2283" s="12">
        <f>VLOOKUP(B2283,Orders!$A$2:$D$1201,3,FALSE)</f>
        <v>46037</v>
      </c>
      <c r="L2283" t="str">
        <f>VLOOKUP(C2283,Products!$A$2:$D$13,2,FALSE)</f>
        <v>Desk</v>
      </c>
      <c r="M2283" t="str">
        <f t="shared" si="107"/>
        <v>2026-01</v>
      </c>
    </row>
    <row r="2284" spans="1:13">
      <c r="A2284">
        <v>2283</v>
      </c>
      <c r="B2284">
        <v>2128</v>
      </c>
      <c r="C2284">
        <v>5</v>
      </c>
      <c r="D2284">
        <v>1</v>
      </c>
      <c r="E2284">
        <v>180</v>
      </c>
      <c r="F2284">
        <f t="shared" si="105"/>
        <v>180</v>
      </c>
      <c r="G2284" t="str">
        <f>VLOOKUP(B2284,Orders!$A$2:$D$1201,4,FALSE)</f>
        <v>Delivered</v>
      </c>
      <c r="H2284">
        <f t="shared" si="106"/>
        <v>180</v>
      </c>
      <c r="I2284" s="12">
        <f>VLOOKUP(B2284,Orders!$A$2:$D$1201,3,FALSE)</f>
        <v>46128</v>
      </c>
      <c r="L2284" t="str">
        <f>VLOOKUP(C2284,Products!$A$2:$D$13,2,FALSE)</f>
        <v>Desk</v>
      </c>
      <c r="M2284" t="str">
        <f t="shared" si="107"/>
        <v>2026-04</v>
      </c>
    </row>
    <row r="2285" spans="1:13">
      <c r="A2285">
        <v>2284</v>
      </c>
      <c r="B2285">
        <v>2128</v>
      </c>
      <c r="C2285">
        <v>10</v>
      </c>
      <c r="D2285">
        <v>4</v>
      </c>
      <c r="E2285">
        <v>8</v>
      </c>
      <c r="F2285">
        <f t="shared" si="105"/>
        <v>32</v>
      </c>
      <c r="G2285" t="str">
        <f>VLOOKUP(B2285,Orders!$A$2:$D$1201,4,FALSE)</f>
        <v>Delivered</v>
      </c>
      <c r="H2285">
        <f t="shared" si="106"/>
        <v>32</v>
      </c>
      <c r="I2285" s="12">
        <f>VLOOKUP(B2285,Orders!$A$2:$D$1201,3,FALSE)</f>
        <v>46128</v>
      </c>
      <c r="L2285" t="str">
        <f>VLOOKUP(C2285,Products!$A$2:$D$13,2,FALSE)</f>
        <v>Notebook</v>
      </c>
      <c r="M2285" t="str">
        <f t="shared" si="107"/>
        <v>2026-04</v>
      </c>
    </row>
    <row r="2286" spans="1:13">
      <c r="A2286">
        <v>2285</v>
      </c>
      <c r="B2286">
        <v>2128</v>
      </c>
      <c r="C2286">
        <v>4</v>
      </c>
      <c r="D2286">
        <v>2</v>
      </c>
      <c r="E2286">
        <v>25</v>
      </c>
      <c r="F2286">
        <f t="shared" si="105"/>
        <v>50</v>
      </c>
      <c r="G2286" t="str">
        <f>VLOOKUP(B2286,Orders!$A$2:$D$1201,4,FALSE)</f>
        <v>Delivered</v>
      </c>
      <c r="H2286">
        <f t="shared" si="106"/>
        <v>50</v>
      </c>
      <c r="I2286" s="12">
        <f>VLOOKUP(B2286,Orders!$A$2:$D$1201,3,FALSE)</f>
        <v>46128</v>
      </c>
      <c r="L2286" t="str">
        <f>VLOOKUP(C2286,Products!$A$2:$D$13,2,FALSE)</f>
        <v>Mouse</v>
      </c>
      <c r="M2286" t="str">
        <f t="shared" si="107"/>
        <v>2026-04</v>
      </c>
    </row>
    <row r="2287" spans="1:13">
      <c r="A2287">
        <v>2286</v>
      </c>
      <c r="B2287">
        <v>2129</v>
      </c>
      <c r="C2287">
        <v>2</v>
      </c>
      <c r="D2287">
        <v>3</v>
      </c>
      <c r="E2287">
        <v>220</v>
      </c>
      <c r="F2287">
        <f t="shared" si="105"/>
        <v>660</v>
      </c>
      <c r="G2287" t="str">
        <f>VLOOKUP(B2287,Orders!$A$2:$D$1201,4,FALSE)</f>
        <v>Delivered</v>
      </c>
      <c r="H2287">
        <f t="shared" si="106"/>
        <v>660</v>
      </c>
      <c r="I2287" s="12">
        <f>VLOOKUP(B2287,Orders!$A$2:$D$1201,3,FALSE)</f>
        <v>46158</v>
      </c>
      <c r="L2287" t="str">
        <f>VLOOKUP(C2287,Products!$A$2:$D$13,2,FALSE)</f>
        <v>Monitor</v>
      </c>
      <c r="M2287" t="str">
        <f t="shared" si="107"/>
        <v>2026-05</v>
      </c>
    </row>
    <row r="2288" spans="1:13">
      <c r="A2288">
        <v>2287</v>
      </c>
      <c r="B2288">
        <v>2130</v>
      </c>
      <c r="C2288">
        <v>8</v>
      </c>
      <c r="D2288">
        <v>3</v>
      </c>
      <c r="E2288">
        <v>55</v>
      </c>
      <c r="F2288">
        <f t="shared" si="105"/>
        <v>165</v>
      </c>
      <c r="G2288" t="str">
        <f>VLOOKUP(B2288,Orders!$A$2:$D$1201,4,FALSE)</f>
        <v>Delivered</v>
      </c>
      <c r="H2288">
        <f t="shared" si="106"/>
        <v>165</v>
      </c>
      <c r="I2288" s="12">
        <f>VLOOKUP(B2288,Orders!$A$2:$D$1201,3,FALSE)</f>
        <v>46077</v>
      </c>
      <c r="L2288" t="str">
        <f>VLOOKUP(C2288,Products!$A$2:$D$13,2,FALSE)</f>
        <v>Webcam</v>
      </c>
      <c r="M2288" t="str">
        <f t="shared" si="107"/>
        <v>2026-02</v>
      </c>
    </row>
    <row r="2289" spans="1:13">
      <c r="A2289">
        <v>2288</v>
      </c>
      <c r="B2289">
        <v>2131</v>
      </c>
      <c r="C2289">
        <v>2</v>
      </c>
      <c r="D2289">
        <v>4</v>
      </c>
      <c r="E2289">
        <v>220</v>
      </c>
      <c r="F2289">
        <f t="shared" si="105"/>
        <v>880</v>
      </c>
      <c r="G2289" t="str">
        <f>VLOOKUP(B2289,Orders!$A$2:$D$1201,4,FALSE)</f>
        <v>Delivered</v>
      </c>
      <c r="H2289">
        <f t="shared" si="106"/>
        <v>880</v>
      </c>
      <c r="I2289" s="12">
        <f>VLOOKUP(B2289,Orders!$A$2:$D$1201,3,FALSE)</f>
        <v>46177</v>
      </c>
      <c r="L2289" t="str">
        <f>VLOOKUP(C2289,Products!$A$2:$D$13,2,FALSE)</f>
        <v>Monitor</v>
      </c>
      <c r="M2289" t="str">
        <f t="shared" si="107"/>
        <v>2026-06</v>
      </c>
    </row>
    <row r="2290" spans="1:13">
      <c r="A2290">
        <v>2289</v>
      </c>
      <c r="B2290">
        <v>2132</v>
      </c>
      <c r="C2290">
        <v>1</v>
      </c>
      <c r="D2290">
        <v>4</v>
      </c>
      <c r="E2290">
        <v>750</v>
      </c>
      <c r="F2290">
        <f t="shared" si="105"/>
        <v>3000</v>
      </c>
      <c r="G2290" t="str">
        <f>VLOOKUP(B2290,Orders!$A$2:$D$1201,4,FALSE)</f>
        <v>Shipped</v>
      </c>
      <c r="H2290">
        <f t="shared" si="106"/>
        <v>3000</v>
      </c>
      <c r="I2290" s="12">
        <f>VLOOKUP(B2290,Orders!$A$2:$D$1201,3,FALSE)</f>
        <v>46038</v>
      </c>
      <c r="L2290" t="str">
        <f>VLOOKUP(C2290,Products!$A$2:$D$13,2,FALSE)</f>
        <v>Laptop</v>
      </c>
      <c r="M2290" t="str">
        <f t="shared" si="107"/>
        <v>2026-01</v>
      </c>
    </row>
    <row r="2291" spans="1:13">
      <c r="A2291">
        <v>2290</v>
      </c>
      <c r="B2291">
        <v>2132</v>
      </c>
      <c r="C2291">
        <v>10</v>
      </c>
      <c r="D2291">
        <v>1</v>
      </c>
      <c r="E2291">
        <v>8</v>
      </c>
      <c r="F2291">
        <f t="shared" si="105"/>
        <v>8</v>
      </c>
      <c r="G2291" t="str">
        <f>VLOOKUP(B2291,Orders!$A$2:$D$1201,4,FALSE)</f>
        <v>Shipped</v>
      </c>
      <c r="H2291">
        <f t="shared" si="106"/>
        <v>8</v>
      </c>
      <c r="I2291" s="12">
        <f>VLOOKUP(B2291,Orders!$A$2:$D$1201,3,FALSE)</f>
        <v>46038</v>
      </c>
      <c r="L2291" t="str">
        <f>VLOOKUP(C2291,Products!$A$2:$D$13,2,FALSE)</f>
        <v>Notebook</v>
      </c>
      <c r="M2291" t="str">
        <f t="shared" si="107"/>
        <v>2026-01</v>
      </c>
    </row>
    <row r="2292" spans="1:13">
      <c r="A2292">
        <v>2291</v>
      </c>
      <c r="B2292">
        <v>2133</v>
      </c>
      <c r="C2292">
        <v>11</v>
      </c>
      <c r="D2292">
        <v>1</v>
      </c>
      <c r="E2292">
        <v>48</v>
      </c>
      <c r="F2292">
        <f t="shared" si="105"/>
        <v>48</v>
      </c>
      <c r="G2292" t="str">
        <f>VLOOKUP(B2292,Orders!$A$2:$D$1201,4,FALSE)</f>
        <v>Delivered</v>
      </c>
      <c r="H2292">
        <f t="shared" si="106"/>
        <v>48</v>
      </c>
      <c r="I2292" s="12">
        <f>VLOOKUP(B2292,Orders!$A$2:$D$1201,3,FALSE)</f>
        <v>46160</v>
      </c>
      <c r="L2292" t="str">
        <f>VLOOKUP(C2292,Products!$A$2:$D$13,2,FALSE)</f>
        <v>Backpack</v>
      </c>
      <c r="M2292" t="str">
        <f t="shared" si="107"/>
        <v>2026-05</v>
      </c>
    </row>
    <row r="2293" spans="1:13">
      <c r="A2293">
        <v>2292</v>
      </c>
      <c r="B2293">
        <v>2133</v>
      </c>
      <c r="C2293">
        <v>2</v>
      </c>
      <c r="D2293">
        <v>1</v>
      </c>
      <c r="E2293">
        <v>220</v>
      </c>
      <c r="F2293">
        <f t="shared" si="105"/>
        <v>220</v>
      </c>
      <c r="G2293" t="str">
        <f>VLOOKUP(B2293,Orders!$A$2:$D$1201,4,FALSE)</f>
        <v>Delivered</v>
      </c>
      <c r="H2293">
        <f t="shared" si="106"/>
        <v>220</v>
      </c>
      <c r="I2293" s="12">
        <f>VLOOKUP(B2293,Orders!$A$2:$D$1201,3,FALSE)</f>
        <v>46160</v>
      </c>
      <c r="L2293" t="str">
        <f>VLOOKUP(C2293,Products!$A$2:$D$13,2,FALSE)</f>
        <v>Monitor</v>
      </c>
      <c r="M2293" t="str">
        <f t="shared" si="107"/>
        <v>2026-05</v>
      </c>
    </row>
    <row r="2294" spans="1:13">
      <c r="A2294">
        <v>2293</v>
      </c>
      <c r="B2294">
        <v>2134</v>
      </c>
      <c r="C2294">
        <v>11</v>
      </c>
      <c r="D2294">
        <v>4</v>
      </c>
      <c r="E2294">
        <v>48</v>
      </c>
      <c r="F2294">
        <f t="shared" si="105"/>
        <v>192</v>
      </c>
      <c r="G2294" t="str">
        <f>VLOOKUP(B2294,Orders!$A$2:$D$1201,4,FALSE)</f>
        <v>Delivered</v>
      </c>
      <c r="H2294">
        <f t="shared" si="106"/>
        <v>192</v>
      </c>
      <c r="I2294" s="12">
        <f>VLOOKUP(B2294,Orders!$A$2:$D$1201,3,FALSE)</f>
        <v>46045</v>
      </c>
      <c r="L2294" t="str">
        <f>VLOOKUP(C2294,Products!$A$2:$D$13,2,FALSE)</f>
        <v>Backpack</v>
      </c>
      <c r="M2294" t="str">
        <f t="shared" si="107"/>
        <v>2026-01</v>
      </c>
    </row>
    <row r="2295" spans="1:13">
      <c r="A2295">
        <v>2294</v>
      </c>
      <c r="B2295">
        <v>2134</v>
      </c>
      <c r="C2295">
        <v>4</v>
      </c>
      <c r="D2295">
        <v>3</v>
      </c>
      <c r="E2295">
        <v>25</v>
      </c>
      <c r="F2295">
        <f t="shared" si="105"/>
        <v>75</v>
      </c>
      <c r="G2295" t="str">
        <f>VLOOKUP(B2295,Orders!$A$2:$D$1201,4,FALSE)</f>
        <v>Delivered</v>
      </c>
      <c r="H2295">
        <f t="shared" si="106"/>
        <v>75</v>
      </c>
      <c r="I2295" s="12">
        <f>VLOOKUP(B2295,Orders!$A$2:$D$1201,3,FALSE)</f>
        <v>46045</v>
      </c>
      <c r="L2295" t="str">
        <f>VLOOKUP(C2295,Products!$A$2:$D$13,2,FALSE)</f>
        <v>Mouse</v>
      </c>
      <c r="M2295" t="str">
        <f t="shared" si="107"/>
        <v>2026-01</v>
      </c>
    </row>
    <row r="2296" spans="1:13">
      <c r="A2296">
        <v>2295</v>
      </c>
      <c r="B2296">
        <v>2134</v>
      </c>
      <c r="C2296">
        <v>2</v>
      </c>
      <c r="D2296">
        <v>4</v>
      </c>
      <c r="E2296">
        <v>220</v>
      </c>
      <c r="F2296">
        <f t="shared" si="105"/>
        <v>880</v>
      </c>
      <c r="G2296" t="str">
        <f>VLOOKUP(B2296,Orders!$A$2:$D$1201,4,FALSE)</f>
        <v>Delivered</v>
      </c>
      <c r="H2296">
        <f t="shared" si="106"/>
        <v>880</v>
      </c>
      <c r="I2296" s="12">
        <f>VLOOKUP(B2296,Orders!$A$2:$D$1201,3,FALSE)</f>
        <v>46045</v>
      </c>
      <c r="L2296" t="str">
        <f>VLOOKUP(C2296,Products!$A$2:$D$13,2,FALSE)</f>
        <v>Monitor</v>
      </c>
      <c r="M2296" t="str">
        <f t="shared" si="107"/>
        <v>2026-01</v>
      </c>
    </row>
    <row r="2297" spans="1:13">
      <c r="A2297">
        <v>2296</v>
      </c>
      <c r="B2297">
        <v>2135</v>
      </c>
      <c r="C2297">
        <v>8</v>
      </c>
      <c r="D2297">
        <v>4</v>
      </c>
      <c r="E2297">
        <v>55</v>
      </c>
      <c r="F2297">
        <f t="shared" si="105"/>
        <v>220</v>
      </c>
      <c r="G2297" t="str">
        <f>VLOOKUP(B2297,Orders!$A$2:$D$1201,4,FALSE)</f>
        <v>Delivered</v>
      </c>
      <c r="H2297">
        <f t="shared" si="106"/>
        <v>220</v>
      </c>
      <c r="I2297" s="12">
        <f>VLOOKUP(B2297,Orders!$A$2:$D$1201,3,FALSE)</f>
        <v>46107</v>
      </c>
      <c r="L2297" t="str">
        <f>VLOOKUP(C2297,Products!$A$2:$D$13,2,FALSE)</f>
        <v>Webcam</v>
      </c>
      <c r="M2297" t="str">
        <f t="shared" si="107"/>
        <v>2026-03</v>
      </c>
    </row>
    <row r="2298" spans="1:13">
      <c r="A2298">
        <v>2297</v>
      </c>
      <c r="B2298">
        <v>2135</v>
      </c>
      <c r="C2298">
        <v>9</v>
      </c>
      <c r="D2298">
        <v>1</v>
      </c>
      <c r="E2298">
        <v>30</v>
      </c>
      <c r="F2298">
        <f t="shared" si="105"/>
        <v>30</v>
      </c>
      <c r="G2298" t="str">
        <f>VLOOKUP(B2298,Orders!$A$2:$D$1201,4,FALSE)</f>
        <v>Delivered</v>
      </c>
      <c r="H2298">
        <f t="shared" si="106"/>
        <v>30</v>
      </c>
      <c r="I2298" s="12">
        <f>VLOOKUP(B2298,Orders!$A$2:$D$1201,3,FALSE)</f>
        <v>46107</v>
      </c>
      <c r="L2298" t="str">
        <f>VLOOKUP(C2298,Products!$A$2:$D$13,2,FALSE)</f>
        <v>Lamp</v>
      </c>
      <c r="M2298" t="str">
        <f t="shared" si="107"/>
        <v>2026-03</v>
      </c>
    </row>
    <row r="2299" spans="1:13">
      <c r="A2299">
        <v>2298</v>
      </c>
      <c r="B2299">
        <v>2136</v>
      </c>
      <c r="C2299">
        <v>3</v>
      </c>
      <c r="D2299">
        <v>2</v>
      </c>
      <c r="E2299">
        <v>45</v>
      </c>
      <c r="F2299">
        <f t="shared" si="105"/>
        <v>90</v>
      </c>
      <c r="G2299" t="str">
        <f>VLOOKUP(B2299,Orders!$A$2:$D$1201,4,FALSE)</f>
        <v>Delivered</v>
      </c>
      <c r="H2299">
        <f t="shared" si="106"/>
        <v>90</v>
      </c>
      <c r="I2299" s="12">
        <f>VLOOKUP(B2299,Orders!$A$2:$D$1201,3,FALSE)</f>
        <v>46027</v>
      </c>
      <c r="L2299" t="str">
        <f>VLOOKUP(C2299,Products!$A$2:$D$13,2,FALSE)</f>
        <v>Keyboard</v>
      </c>
      <c r="M2299" t="str">
        <f t="shared" si="107"/>
        <v>2026-01</v>
      </c>
    </row>
    <row r="2300" spans="1:13">
      <c r="A2300">
        <v>2299</v>
      </c>
      <c r="B2300">
        <v>2136</v>
      </c>
      <c r="C2300">
        <v>5</v>
      </c>
      <c r="D2300">
        <v>3</v>
      </c>
      <c r="E2300">
        <v>180</v>
      </c>
      <c r="F2300">
        <f t="shared" si="105"/>
        <v>540</v>
      </c>
      <c r="G2300" t="str">
        <f>VLOOKUP(B2300,Orders!$A$2:$D$1201,4,FALSE)</f>
        <v>Delivered</v>
      </c>
      <c r="H2300">
        <f t="shared" si="106"/>
        <v>540</v>
      </c>
      <c r="I2300" s="12">
        <f>VLOOKUP(B2300,Orders!$A$2:$D$1201,3,FALSE)</f>
        <v>46027</v>
      </c>
      <c r="L2300" t="str">
        <f>VLOOKUP(C2300,Products!$A$2:$D$13,2,FALSE)</f>
        <v>Desk</v>
      </c>
      <c r="M2300" t="str">
        <f t="shared" si="107"/>
        <v>2026-01</v>
      </c>
    </row>
    <row r="2301" spans="1:13">
      <c r="A2301">
        <v>2300</v>
      </c>
      <c r="B2301">
        <v>2137</v>
      </c>
      <c r="C2301">
        <v>4</v>
      </c>
      <c r="D2301">
        <v>2</v>
      </c>
      <c r="E2301">
        <v>25</v>
      </c>
      <c r="F2301">
        <f t="shared" si="105"/>
        <v>50</v>
      </c>
      <c r="G2301" t="str">
        <f>VLOOKUP(B2301,Orders!$A$2:$D$1201,4,FALSE)</f>
        <v>Cancelled</v>
      </c>
      <c r="H2301">
        <f t="shared" si="106"/>
        <v>0</v>
      </c>
      <c r="I2301" s="12">
        <f>VLOOKUP(B2301,Orders!$A$2:$D$1201,3,FALSE)</f>
        <v>46113</v>
      </c>
      <c r="L2301" t="str">
        <f>VLOOKUP(C2301,Products!$A$2:$D$13,2,FALSE)</f>
        <v>Mouse</v>
      </c>
      <c r="M2301" t="str">
        <f t="shared" si="107"/>
        <v>2026-04</v>
      </c>
    </row>
    <row r="2302" spans="1:13">
      <c r="A2302">
        <v>2301</v>
      </c>
      <c r="B2302">
        <v>2138</v>
      </c>
      <c r="C2302">
        <v>9</v>
      </c>
      <c r="D2302">
        <v>1</v>
      </c>
      <c r="E2302">
        <v>30</v>
      </c>
      <c r="F2302">
        <f t="shared" si="105"/>
        <v>30</v>
      </c>
      <c r="G2302" t="str">
        <f>VLOOKUP(B2302,Orders!$A$2:$D$1201,4,FALSE)</f>
        <v>Delivered</v>
      </c>
      <c r="H2302">
        <f t="shared" si="106"/>
        <v>30</v>
      </c>
      <c r="I2302" s="12">
        <f>VLOOKUP(B2302,Orders!$A$2:$D$1201,3,FALSE)</f>
        <v>46075</v>
      </c>
      <c r="L2302" t="str">
        <f>VLOOKUP(C2302,Products!$A$2:$D$13,2,FALSE)</f>
        <v>Lamp</v>
      </c>
      <c r="M2302" t="str">
        <f t="shared" si="107"/>
        <v>2026-02</v>
      </c>
    </row>
    <row r="2303" spans="1:13">
      <c r="A2303">
        <v>2302</v>
      </c>
      <c r="B2303">
        <v>2139</v>
      </c>
      <c r="C2303">
        <v>5</v>
      </c>
      <c r="D2303">
        <v>2</v>
      </c>
      <c r="E2303">
        <v>180</v>
      </c>
      <c r="F2303">
        <f t="shared" si="105"/>
        <v>360</v>
      </c>
      <c r="G2303" t="str">
        <f>VLOOKUP(B2303,Orders!$A$2:$D$1201,4,FALSE)</f>
        <v>Shipped</v>
      </c>
      <c r="H2303">
        <f t="shared" si="106"/>
        <v>360</v>
      </c>
      <c r="I2303" s="12">
        <f>VLOOKUP(B2303,Orders!$A$2:$D$1201,3,FALSE)</f>
        <v>46103</v>
      </c>
      <c r="L2303" t="str">
        <f>VLOOKUP(C2303,Products!$A$2:$D$13,2,FALSE)</f>
        <v>Desk</v>
      </c>
      <c r="M2303" t="str">
        <f t="shared" si="107"/>
        <v>2026-03</v>
      </c>
    </row>
    <row r="2304" spans="1:13">
      <c r="A2304">
        <v>2303</v>
      </c>
      <c r="B2304">
        <v>2140</v>
      </c>
      <c r="C2304">
        <v>1</v>
      </c>
      <c r="D2304">
        <v>4</v>
      </c>
      <c r="E2304">
        <v>750</v>
      </c>
      <c r="F2304">
        <f t="shared" si="105"/>
        <v>3000</v>
      </c>
      <c r="G2304" t="str">
        <f>VLOOKUP(B2304,Orders!$A$2:$D$1201,4,FALSE)</f>
        <v>Shipped</v>
      </c>
      <c r="H2304">
        <f t="shared" si="106"/>
        <v>3000</v>
      </c>
      <c r="I2304" s="12">
        <f>VLOOKUP(B2304,Orders!$A$2:$D$1201,3,FALSE)</f>
        <v>46082</v>
      </c>
      <c r="L2304" t="str">
        <f>VLOOKUP(C2304,Products!$A$2:$D$13,2,FALSE)</f>
        <v>Laptop</v>
      </c>
      <c r="M2304" t="str">
        <f t="shared" si="107"/>
        <v>2026-03</v>
      </c>
    </row>
    <row r="2305" spans="1:13">
      <c r="A2305">
        <v>2304</v>
      </c>
      <c r="B2305">
        <v>2140</v>
      </c>
      <c r="C2305">
        <v>3</v>
      </c>
      <c r="D2305">
        <v>1</v>
      </c>
      <c r="E2305">
        <v>45</v>
      </c>
      <c r="F2305">
        <f t="shared" si="105"/>
        <v>45</v>
      </c>
      <c r="G2305" t="str">
        <f>VLOOKUP(B2305,Orders!$A$2:$D$1201,4,FALSE)</f>
        <v>Shipped</v>
      </c>
      <c r="H2305">
        <f t="shared" si="106"/>
        <v>45</v>
      </c>
      <c r="I2305" s="12">
        <f>VLOOKUP(B2305,Orders!$A$2:$D$1201,3,FALSE)</f>
        <v>46082</v>
      </c>
      <c r="L2305" t="str">
        <f>VLOOKUP(C2305,Products!$A$2:$D$13,2,FALSE)</f>
        <v>Keyboard</v>
      </c>
      <c r="M2305" t="str">
        <f t="shared" si="107"/>
        <v>2026-03</v>
      </c>
    </row>
    <row r="2306" spans="1:13">
      <c r="A2306">
        <v>2305</v>
      </c>
      <c r="B2306">
        <v>2141</v>
      </c>
      <c r="C2306">
        <v>1</v>
      </c>
      <c r="D2306">
        <v>4</v>
      </c>
      <c r="E2306">
        <v>750</v>
      </c>
      <c r="F2306">
        <f t="shared" si="105"/>
        <v>3000</v>
      </c>
      <c r="G2306" t="str">
        <f>VLOOKUP(B2306,Orders!$A$2:$D$1201,4,FALSE)</f>
        <v>Delivered</v>
      </c>
      <c r="H2306">
        <f t="shared" si="106"/>
        <v>3000</v>
      </c>
      <c r="I2306" s="12">
        <f>VLOOKUP(B2306,Orders!$A$2:$D$1201,3,FALSE)</f>
        <v>46029</v>
      </c>
      <c r="L2306" t="str">
        <f>VLOOKUP(C2306,Products!$A$2:$D$13,2,FALSE)</f>
        <v>Laptop</v>
      </c>
      <c r="M2306" t="str">
        <f t="shared" si="107"/>
        <v>2026-01</v>
      </c>
    </row>
    <row r="2307" spans="1:13">
      <c r="A2307">
        <v>2306</v>
      </c>
      <c r="B2307">
        <v>2141</v>
      </c>
      <c r="C2307">
        <v>8</v>
      </c>
      <c r="D2307">
        <v>4</v>
      </c>
      <c r="E2307">
        <v>55</v>
      </c>
      <c r="F2307">
        <f t="shared" ref="F2307:F2370" si="108">D2307*E2307</f>
        <v>220</v>
      </c>
      <c r="G2307" t="str">
        <f>VLOOKUP(B2307,Orders!$A$2:$D$1201,4,FALSE)</f>
        <v>Delivered</v>
      </c>
      <c r="H2307">
        <f t="shared" ref="H2307:H2370" si="109">IF(G2307="Cancelled",0,F2307)</f>
        <v>220</v>
      </c>
      <c r="I2307" s="12">
        <f>VLOOKUP(B2307,Orders!$A$2:$D$1201,3,FALSE)</f>
        <v>46029</v>
      </c>
      <c r="L2307" t="str">
        <f>VLOOKUP(C2307,Products!$A$2:$D$13,2,FALSE)</f>
        <v>Webcam</v>
      </c>
      <c r="M2307" t="str">
        <f t="shared" ref="M2307:M2370" si="110">TEXT(I2307,"yyyy-mm")</f>
        <v>2026-01</v>
      </c>
    </row>
    <row r="2308" spans="1:13">
      <c r="A2308">
        <v>2307</v>
      </c>
      <c r="B2308">
        <v>2142</v>
      </c>
      <c r="C2308">
        <v>12</v>
      </c>
      <c r="D2308">
        <v>2</v>
      </c>
      <c r="E2308">
        <v>22</v>
      </c>
      <c r="F2308">
        <f t="shared" si="108"/>
        <v>44</v>
      </c>
      <c r="G2308" t="str">
        <f>VLOOKUP(B2308,Orders!$A$2:$D$1201,4,FALSE)</f>
        <v>Shipped</v>
      </c>
      <c r="H2308">
        <f t="shared" si="109"/>
        <v>44</v>
      </c>
      <c r="I2308" s="12">
        <f>VLOOKUP(B2308,Orders!$A$2:$D$1201,3,FALSE)</f>
        <v>46046</v>
      </c>
      <c r="L2308" t="str">
        <f>VLOOKUP(C2308,Products!$A$2:$D$13,2,FALSE)</f>
        <v>Storage Box</v>
      </c>
      <c r="M2308" t="str">
        <f t="shared" si="110"/>
        <v>2026-01</v>
      </c>
    </row>
    <row r="2309" spans="1:13">
      <c r="A2309">
        <v>2308</v>
      </c>
      <c r="B2309">
        <v>2142</v>
      </c>
      <c r="C2309">
        <v>9</v>
      </c>
      <c r="D2309">
        <v>2</v>
      </c>
      <c r="E2309">
        <v>30</v>
      </c>
      <c r="F2309">
        <f t="shared" si="108"/>
        <v>60</v>
      </c>
      <c r="G2309" t="str">
        <f>VLOOKUP(B2309,Orders!$A$2:$D$1201,4,FALSE)</f>
        <v>Shipped</v>
      </c>
      <c r="H2309">
        <f t="shared" si="109"/>
        <v>60</v>
      </c>
      <c r="I2309" s="12">
        <f>VLOOKUP(B2309,Orders!$A$2:$D$1201,3,FALSE)</f>
        <v>46046</v>
      </c>
      <c r="L2309" t="str">
        <f>VLOOKUP(C2309,Products!$A$2:$D$13,2,FALSE)</f>
        <v>Lamp</v>
      </c>
      <c r="M2309" t="str">
        <f t="shared" si="110"/>
        <v>2026-01</v>
      </c>
    </row>
    <row r="2310" spans="1:13">
      <c r="A2310">
        <v>2309</v>
      </c>
      <c r="B2310">
        <v>2142</v>
      </c>
      <c r="C2310">
        <v>2</v>
      </c>
      <c r="D2310">
        <v>1</v>
      </c>
      <c r="E2310">
        <v>220</v>
      </c>
      <c r="F2310">
        <f t="shared" si="108"/>
        <v>220</v>
      </c>
      <c r="G2310" t="str">
        <f>VLOOKUP(B2310,Orders!$A$2:$D$1201,4,FALSE)</f>
        <v>Shipped</v>
      </c>
      <c r="H2310">
        <f t="shared" si="109"/>
        <v>220</v>
      </c>
      <c r="I2310" s="12">
        <f>VLOOKUP(B2310,Orders!$A$2:$D$1201,3,FALSE)</f>
        <v>46046</v>
      </c>
      <c r="L2310" t="str">
        <f>VLOOKUP(C2310,Products!$A$2:$D$13,2,FALSE)</f>
        <v>Monitor</v>
      </c>
      <c r="M2310" t="str">
        <f t="shared" si="110"/>
        <v>2026-01</v>
      </c>
    </row>
    <row r="2311" spans="1:13">
      <c r="A2311">
        <v>2310</v>
      </c>
      <c r="B2311">
        <v>2143</v>
      </c>
      <c r="C2311">
        <v>4</v>
      </c>
      <c r="D2311">
        <v>1</v>
      </c>
      <c r="E2311">
        <v>25</v>
      </c>
      <c r="F2311">
        <f t="shared" si="108"/>
        <v>25</v>
      </c>
      <c r="G2311" t="str">
        <f>VLOOKUP(B2311,Orders!$A$2:$D$1201,4,FALSE)</f>
        <v>Delivered</v>
      </c>
      <c r="H2311">
        <f t="shared" si="109"/>
        <v>25</v>
      </c>
      <c r="I2311" s="12">
        <f>VLOOKUP(B2311,Orders!$A$2:$D$1201,3,FALSE)</f>
        <v>46177</v>
      </c>
      <c r="L2311" t="str">
        <f>VLOOKUP(C2311,Products!$A$2:$D$13,2,FALSE)</f>
        <v>Mouse</v>
      </c>
      <c r="M2311" t="str">
        <f t="shared" si="110"/>
        <v>2026-06</v>
      </c>
    </row>
    <row r="2312" spans="1:13">
      <c r="A2312">
        <v>2311</v>
      </c>
      <c r="B2312">
        <v>2143</v>
      </c>
      <c r="C2312">
        <v>12</v>
      </c>
      <c r="D2312">
        <v>3</v>
      </c>
      <c r="E2312">
        <v>22</v>
      </c>
      <c r="F2312">
        <f t="shared" si="108"/>
        <v>66</v>
      </c>
      <c r="G2312" t="str">
        <f>VLOOKUP(B2312,Orders!$A$2:$D$1201,4,FALSE)</f>
        <v>Delivered</v>
      </c>
      <c r="H2312">
        <f t="shared" si="109"/>
        <v>66</v>
      </c>
      <c r="I2312" s="12">
        <f>VLOOKUP(B2312,Orders!$A$2:$D$1201,3,FALSE)</f>
        <v>46177</v>
      </c>
      <c r="L2312" t="str">
        <f>VLOOKUP(C2312,Products!$A$2:$D$13,2,FALSE)</f>
        <v>Storage Box</v>
      </c>
      <c r="M2312" t="str">
        <f t="shared" si="110"/>
        <v>2026-06</v>
      </c>
    </row>
    <row r="2313" spans="1:13">
      <c r="A2313">
        <v>2312</v>
      </c>
      <c r="B2313">
        <v>2144</v>
      </c>
      <c r="C2313">
        <v>2</v>
      </c>
      <c r="D2313">
        <v>3</v>
      </c>
      <c r="E2313">
        <v>220</v>
      </c>
      <c r="F2313">
        <f t="shared" si="108"/>
        <v>660</v>
      </c>
      <c r="G2313" t="str">
        <f>VLOOKUP(B2313,Orders!$A$2:$D$1201,4,FALSE)</f>
        <v>Delivered</v>
      </c>
      <c r="H2313">
        <f t="shared" si="109"/>
        <v>660</v>
      </c>
      <c r="I2313" s="12">
        <f>VLOOKUP(B2313,Orders!$A$2:$D$1201,3,FALSE)</f>
        <v>46024</v>
      </c>
      <c r="L2313" t="str">
        <f>VLOOKUP(C2313,Products!$A$2:$D$13,2,FALSE)</f>
        <v>Monitor</v>
      </c>
      <c r="M2313" t="str">
        <f t="shared" si="110"/>
        <v>2026-01</v>
      </c>
    </row>
    <row r="2314" spans="1:13">
      <c r="A2314">
        <v>2313</v>
      </c>
      <c r="B2314">
        <v>2144</v>
      </c>
      <c r="C2314">
        <v>6</v>
      </c>
      <c r="D2314">
        <v>3</v>
      </c>
      <c r="E2314">
        <v>140</v>
      </c>
      <c r="F2314">
        <f t="shared" si="108"/>
        <v>420</v>
      </c>
      <c r="G2314" t="str">
        <f>VLOOKUP(B2314,Orders!$A$2:$D$1201,4,FALSE)</f>
        <v>Delivered</v>
      </c>
      <c r="H2314">
        <f t="shared" si="109"/>
        <v>420</v>
      </c>
      <c r="I2314" s="12">
        <f>VLOOKUP(B2314,Orders!$A$2:$D$1201,3,FALSE)</f>
        <v>46024</v>
      </c>
      <c r="L2314" t="str">
        <f>VLOOKUP(C2314,Products!$A$2:$D$13,2,FALSE)</f>
        <v>Chair</v>
      </c>
      <c r="M2314" t="str">
        <f t="shared" si="110"/>
        <v>2026-01</v>
      </c>
    </row>
    <row r="2315" spans="1:13">
      <c r="A2315">
        <v>2314</v>
      </c>
      <c r="B2315">
        <v>2145</v>
      </c>
      <c r="C2315">
        <v>11</v>
      </c>
      <c r="D2315">
        <v>1</v>
      </c>
      <c r="E2315">
        <v>48</v>
      </c>
      <c r="F2315">
        <f t="shared" si="108"/>
        <v>48</v>
      </c>
      <c r="G2315" t="str">
        <f>VLOOKUP(B2315,Orders!$A$2:$D$1201,4,FALSE)</f>
        <v>Pending</v>
      </c>
      <c r="H2315">
        <f t="shared" si="109"/>
        <v>48</v>
      </c>
      <c r="I2315" s="12">
        <f>VLOOKUP(B2315,Orders!$A$2:$D$1201,3,FALSE)</f>
        <v>46081</v>
      </c>
      <c r="L2315" t="str">
        <f>VLOOKUP(C2315,Products!$A$2:$D$13,2,FALSE)</f>
        <v>Backpack</v>
      </c>
      <c r="M2315" t="str">
        <f t="shared" si="110"/>
        <v>2026-02</v>
      </c>
    </row>
    <row r="2316" spans="1:13">
      <c r="A2316">
        <v>2315</v>
      </c>
      <c r="B2316">
        <v>2145</v>
      </c>
      <c r="C2316">
        <v>7</v>
      </c>
      <c r="D2316">
        <v>3</v>
      </c>
      <c r="E2316">
        <v>65</v>
      </c>
      <c r="F2316">
        <f t="shared" si="108"/>
        <v>195</v>
      </c>
      <c r="G2316" t="str">
        <f>VLOOKUP(B2316,Orders!$A$2:$D$1201,4,FALSE)</f>
        <v>Pending</v>
      </c>
      <c r="H2316">
        <f t="shared" si="109"/>
        <v>195</v>
      </c>
      <c r="I2316" s="12">
        <f>VLOOKUP(B2316,Orders!$A$2:$D$1201,3,FALSE)</f>
        <v>46081</v>
      </c>
      <c r="L2316" t="str">
        <f>VLOOKUP(C2316,Products!$A$2:$D$13,2,FALSE)</f>
        <v>Headphones</v>
      </c>
      <c r="M2316" t="str">
        <f t="shared" si="110"/>
        <v>2026-02</v>
      </c>
    </row>
    <row r="2317" spans="1:13">
      <c r="A2317">
        <v>2316</v>
      </c>
      <c r="B2317">
        <v>2145</v>
      </c>
      <c r="C2317">
        <v>8</v>
      </c>
      <c r="D2317">
        <v>3</v>
      </c>
      <c r="E2317">
        <v>55</v>
      </c>
      <c r="F2317">
        <f t="shared" si="108"/>
        <v>165</v>
      </c>
      <c r="G2317" t="str">
        <f>VLOOKUP(B2317,Orders!$A$2:$D$1201,4,FALSE)</f>
        <v>Pending</v>
      </c>
      <c r="H2317">
        <f t="shared" si="109"/>
        <v>165</v>
      </c>
      <c r="I2317" s="12">
        <f>VLOOKUP(B2317,Orders!$A$2:$D$1201,3,FALSE)</f>
        <v>46081</v>
      </c>
      <c r="L2317" t="str">
        <f>VLOOKUP(C2317,Products!$A$2:$D$13,2,FALSE)</f>
        <v>Webcam</v>
      </c>
      <c r="M2317" t="str">
        <f t="shared" si="110"/>
        <v>2026-02</v>
      </c>
    </row>
    <row r="2318" spans="1:13">
      <c r="A2318">
        <v>2317</v>
      </c>
      <c r="B2318">
        <v>2146</v>
      </c>
      <c r="C2318">
        <v>1</v>
      </c>
      <c r="D2318">
        <v>2</v>
      </c>
      <c r="E2318">
        <v>750</v>
      </c>
      <c r="F2318">
        <f t="shared" si="108"/>
        <v>1500</v>
      </c>
      <c r="G2318" t="str">
        <f>VLOOKUP(B2318,Orders!$A$2:$D$1201,4,FALSE)</f>
        <v>Delivered</v>
      </c>
      <c r="H2318">
        <f t="shared" si="109"/>
        <v>1500</v>
      </c>
      <c r="I2318" s="12">
        <f>VLOOKUP(B2318,Orders!$A$2:$D$1201,3,FALSE)</f>
        <v>46059</v>
      </c>
      <c r="L2318" t="str">
        <f>VLOOKUP(C2318,Products!$A$2:$D$13,2,FALSE)</f>
        <v>Laptop</v>
      </c>
      <c r="M2318" t="str">
        <f t="shared" si="110"/>
        <v>2026-02</v>
      </c>
    </row>
    <row r="2319" spans="1:13">
      <c r="A2319">
        <v>2318</v>
      </c>
      <c r="B2319">
        <v>2146</v>
      </c>
      <c r="C2319">
        <v>3</v>
      </c>
      <c r="D2319">
        <v>2</v>
      </c>
      <c r="E2319">
        <v>45</v>
      </c>
      <c r="F2319">
        <f t="shared" si="108"/>
        <v>90</v>
      </c>
      <c r="G2319" t="str">
        <f>VLOOKUP(B2319,Orders!$A$2:$D$1201,4,FALSE)</f>
        <v>Delivered</v>
      </c>
      <c r="H2319">
        <f t="shared" si="109"/>
        <v>90</v>
      </c>
      <c r="I2319" s="12">
        <f>VLOOKUP(B2319,Orders!$A$2:$D$1201,3,FALSE)</f>
        <v>46059</v>
      </c>
      <c r="L2319" t="str">
        <f>VLOOKUP(C2319,Products!$A$2:$D$13,2,FALSE)</f>
        <v>Keyboard</v>
      </c>
      <c r="M2319" t="str">
        <f t="shared" si="110"/>
        <v>2026-02</v>
      </c>
    </row>
    <row r="2320" spans="1:13">
      <c r="A2320">
        <v>2319</v>
      </c>
      <c r="B2320">
        <v>2146</v>
      </c>
      <c r="C2320">
        <v>9</v>
      </c>
      <c r="D2320">
        <v>4</v>
      </c>
      <c r="E2320">
        <v>30</v>
      </c>
      <c r="F2320">
        <f t="shared" si="108"/>
        <v>120</v>
      </c>
      <c r="G2320" t="str">
        <f>VLOOKUP(B2320,Orders!$A$2:$D$1201,4,FALSE)</f>
        <v>Delivered</v>
      </c>
      <c r="H2320">
        <f t="shared" si="109"/>
        <v>120</v>
      </c>
      <c r="I2320" s="12">
        <f>VLOOKUP(B2320,Orders!$A$2:$D$1201,3,FALSE)</f>
        <v>46059</v>
      </c>
      <c r="L2320" t="str">
        <f>VLOOKUP(C2320,Products!$A$2:$D$13,2,FALSE)</f>
        <v>Lamp</v>
      </c>
      <c r="M2320" t="str">
        <f t="shared" si="110"/>
        <v>2026-02</v>
      </c>
    </row>
    <row r="2321" spans="1:13">
      <c r="A2321">
        <v>2320</v>
      </c>
      <c r="B2321">
        <v>2147</v>
      </c>
      <c r="C2321">
        <v>7</v>
      </c>
      <c r="D2321">
        <v>2</v>
      </c>
      <c r="E2321">
        <v>65</v>
      </c>
      <c r="F2321">
        <f t="shared" si="108"/>
        <v>130</v>
      </c>
      <c r="G2321" t="str">
        <f>VLOOKUP(B2321,Orders!$A$2:$D$1201,4,FALSE)</f>
        <v>Delivered</v>
      </c>
      <c r="H2321">
        <f t="shared" si="109"/>
        <v>130</v>
      </c>
      <c r="I2321" s="12">
        <f>VLOOKUP(B2321,Orders!$A$2:$D$1201,3,FALSE)</f>
        <v>46192</v>
      </c>
      <c r="L2321" t="str">
        <f>VLOOKUP(C2321,Products!$A$2:$D$13,2,FALSE)</f>
        <v>Headphones</v>
      </c>
      <c r="M2321" t="str">
        <f t="shared" si="110"/>
        <v>2026-06</v>
      </c>
    </row>
    <row r="2322" spans="1:13">
      <c r="A2322">
        <v>2321</v>
      </c>
      <c r="B2322">
        <v>2148</v>
      </c>
      <c r="C2322">
        <v>1</v>
      </c>
      <c r="D2322">
        <v>4</v>
      </c>
      <c r="E2322">
        <v>750</v>
      </c>
      <c r="F2322">
        <f t="shared" si="108"/>
        <v>3000</v>
      </c>
      <c r="G2322" t="str">
        <f>VLOOKUP(B2322,Orders!$A$2:$D$1201,4,FALSE)</f>
        <v>Delivered</v>
      </c>
      <c r="H2322">
        <f t="shared" si="109"/>
        <v>3000</v>
      </c>
      <c r="I2322" s="12">
        <f>VLOOKUP(B2322,Orders!$A$2:$D$1201,3,FALSE)</f>
        <v>46069</v>
      </c>
      <c r="L2322" t="str">
        <f>VLOOKUP(C2322,Products!$A$2:$D$13,2,FALSE)</f>
        <v>Laptop</v>
      </c>
      <c r="M2322" t="str">
        <f t="shared" si="110"/>
        <v>2026-02</v>
      </c>
    </row>
    <row r="2323" spans="1:13">
      <c r="A2323">
        <v>2322</v>
      </c>
      <c r="B2323">
        <v>2149</v>
      </c>
      <c r="C2323">
        <v>1</v>
      </c>
      <c r="D2323">
        <v>1</v>
      </c>
      <c r="E2323">
        <v>750</v>
      </c>
      <c r="F2323">
        <f t="shared" si="108"/>
        <v>750</v>
      </c>
      <c r="G2323" t="str">
        <f>VLOOKUP(B2323,Orders!$A$2:$D$1201,4,FALSE)</f>
        <v>Delivered</v>
      </c>
      <c r="H2323">
        <f t="shared" si="109"/>
        <v>750</v>
      </c>
      <c r="I2323" s="12">
        <f>VLOOKUP(B2323,Orders!$A$2:$D$1201,3,FALSE)</f>
        <v>46182</v>
      </c>
      <c r="L2323" t="str">
        <f>VLOOKUP(C2323,Products!$A$2:$D$13,2,FALSE)</f>
        <v>Laptop</v>
      </c>
      <c r="M2323" t="str">
        <f t="shared" si="110"/>
        <v>2026-06</v>
      </c>
    </row>
    <row r="2324" spans="1:13">
      <c r="A2324">
        <v>2323</v>
      </c>
      <c r="B2324">
        <v>2149</v>
      </c>
      <c r="C2324">
        <v>8</v>
      </c>
      <c r="D2324">
        <v>2</v>
      </c>
      <c r="E2324">
        <v>55</v>
      </c>
      <c r="F2324">
        <f t="shared" si="108"/>
        <v>110</v>
      </c>
      <c r="G2324" t="str">
        <f>VLOOKUP(B2324,Orders!$A$2:$D$1201,4,FALSE)</f>
        <v>Delivered</v>
      </c>
      <c r="H2324">
        <f t="shared" si="109"/>
        <v>110</v>
      </c>
      <c r="I2324" s="12">
        <f>VLOOKUP(B2324,Orders!$A$2:$D$1201,3,FALSE)</f>
        <v>46182</v>
      </c>
      <c r="L2324" t="str">
        <f>VLOOKUP(C2324,Products!$A$2:$D$13,2,FALSE)</f>
        <v>Webcam</v>
      </c>
      <c r="M2324" t="str">
        <f t="shared" si="110"/>
        <v>2026-06</v>
      </c>
    </row>
    <row r="2325" spans="1:13">
      <c r="A2325">
        <v>2324</v>
      </c>
      <c r="B2325">
        <v>2150</v>
      </c>
      <c r="C2325">
        <v>6</v>
      </c>
      <c r="D2325">
        <v>2</v>
      </c>
      <c r="E2325">
        <v>140</v>
      </c>
      <c r="F2325">
        <f t="shared" si="108"/>
        <v>280</v>
      </c>
      <c r="G2325" t="str">
        <f>VLOOKUP(B2325,Orders!$A$2:$D$1201,4,FALSE)</f>
        <v>Delivered</v>
      </c>
      <c r="H2325">
        <f t="shared" si="109"/>
        <v>280</v>
      </c>
      <c r="I2325" s="12">
        <f>VLOOKUP(B2325,Orders!$A$2:$D$1201,3,FALSE)</f>
        <v>46157</v>
      </c>
      <c r="L2325" t="str">
        <f>VLOOKUP(C2325,Products!$A$2:$D$13,2,FALSE)</f>
        <v>Chair</v>
      </c>
      <c r="M2325" t="str">
        <f t="shared" si="110"/>
        <v>2026-05</v>
      </c>
    </row>
    <row r="2326" spans="1:13">
      <c r="A2326">
        <v>2325</v>
      </c>
      <c r="B2326">
        <v>2151</v>
      </c>
      <c r="C2326">
        <v>3</v>
      </c>
      <c r="D2326">
        <v>1</v>
      </c>
      <c r="E2326">
        <v>45</v>
      </c>
      <c r="F2326">
        <f t="shared" si="108"/>
        <v>45</v>
      </c>
      <c r="G2326" t="str">
        <f>VLOOKUP(B2326,Orders!$A$2:$D$1201,4,FALSE)</f>
        <v>Pending</v>
      </c>
      <c r="H2326">
        <f t="shared" si="109"/>
        <v>45</v>
      </c>
      <c r="I2326" s="12">
        <f>VLOOKUP(B2326,Orders!$A$2:$D$1201,3,FALSE)</f>
        <v>46141</v>
      </c>
      <c r="L2326" t="str">
        <f>VLOOKUP(C2326,Products!$A$2:$D$13,2,FALSE)</f>
        <v>Keyboard</v>
      </c>
      <c r="M2326" t="str">
        <f t="shared" si="110"/>
        <v>2026-04</v>
      </c>
    </row>
    <row r="2327" spans="1:13">
      <c r="A2327">
        <v>2326</v>
      </c>
      <c r="B2327">
        <v>2151</v>
      </c>
      <c r="C2327">
        <v>10</v>
      </c>
      <c r="D2327">
        <v>3</v>
      </c>
      <c r="E2327">
        <v>8</v>
      </c>
      <c r="F2327">
        <f t="shared" si="108"/>
        <v>24</v>
      </c>
      <c r="G2327" t="str">
        <f>VLOOKUP(B2327,Orders!$A$2:$D$1201,4,FALSE)</f>
        <v>Pending</v>
      </c>
      <c r="H2327">
        <f t="shared" si="109"/>
        <v>24</v>
      </c>
      <c r="I2327" s="12">
        <f>VLOOKUP(B2327,Orders!$A$2:$D$1201,3,FALSE)</f>
        <v>46141</v>
      </c>
      <c r="L2327" t="str">
        <f>VLOOKUP(C2327,Products!$A$2:$D$13,2,FALSE)</f>
        <v>Notebook</v>
      </c>
      <c r="M2327" t="str">
        <f t="shared" si="110"/>
        <v>2026-04</v>
      </c>
    </row>
    <row r="2328" spans="1:13">
      <c r="A2328">
        <v>2327</v>
      </c>
      <c r="B2328">
        <v>2152</v>
      </c>
      <c r="C2328">
        <v>6</v>
      </c>
      <c r="D2328">
        <v>3</v>
      </c>
      <c r="E2328">
        <v>140</v>
      </c>
      <c r="F2328">
        <f t="shared" si="108"/>
        <v>420</v>
      </c>
      <c r="G2328" t="str">
        <f>VLOOKUP(B2328,Orders!$A$2:$D$1201,4,FALSE)</f>
        <v>Cancelled</v>
      </c>
      <c r="H2328">
        <f t="shared" si="109"/>
        <v>0</v>
      </c>
      <c r="I2328" s="12">
        <f>VLOOKUP(B2328,Orders!$A$2:$D$1201,3,FALSE)</f>
        <v>46143</v>
      </c>
      <c r="L2328" t="str">
        <f>VLOOKUP(C2328,Products!$A$2:$D$13,2,FALSE)</f>
        <v>Chair</v>
      </c>
      <c r="M2328" t="str">
        <f t="shared" si="110"/>
        <v>2026-05</v>
      </c>
    </row>
    <row r="2329" spans="1:13">
      <c r="A2329">
        <v>2328</v>
      </c>
      <c r="B2329">
        <v>2153</v>
      </c>
      <c r="C2329">
        <v>8</v>
      </c>
      <c r="D2329">
        <v>2</v>
      </c>
      <c r="E2329">
        <v>55</v>
      </c>
      <c r="F2329">
        <f t="shared" si="108"/>
        <v>110</v>
      </c>
      <c r="G2329" t="str">
        <f>VLOOKUP(B2329,Orders!$A$2:$D$1201,4,FALSE)</f>
        <v>Delivered</v>
      </c>
      <c r="H2329">
        <f t="shared" si="109"/>
        <v>110</v>
      </c>
      <c r="I2329" s="12">
        <f>VLOOKUP(B2329,Orders!$A$2:$D$1201,3,FALSE)</f>
        <v>46180</v>
      </c>
      <c r="L2329" t="str">
        <f>VLOOKUP(C2329,Products!$A$2:$D$13,2,FALSE)</f>
        <v>Webcam</v>
      </c>
      <c r="M2329" t="str">
        <f t="shared" si="110"/>
        <v>2026-06</v>
      </c>
    </row>
    <row r="2330" spans="1:13">
      <c r="A2330">
        <v>2329</v>
      </c>
      <c r="B2330">
        <v>2153</v>
      </c>
      <c r="C2330">
        <v>10</v>
      </c>
      <c r="D2330">
        <v>2</v>
      </c>
      <c r="E2330">
        <v>8</v>
      </c>
      <c r="F2330">
        <f t="shared" si="108"/>
        <v>16</v>
      </c>
      <c r="G2330" t="str">
        <f>VLOOKUP(B2330,Orders!$A$2:$D$1201,4,FALSE)</f>
        <v>Delivered</v>
      </c>
      <c r="H2330">
        <f t="shared" si="109"/>
        <v>16</v>
      </c>
      <c r="I2330" s="12">
        <f>VLOOKUP(B2330,Orders!$A$2:$D$1201,3,FALSE)</f>
        <v>46180</v>
      </c>
      <c r="L2330" t="str">
        <f>VLOOKUP(C2330,Products!$A$2:$D$13,2,FALSE)</f>
        <v>Notebook</v>
      </c>
      <c r="M2330" t="str">
        <f t="shared" si="110"/>
        <v>2026-06</v>
      </c>
    </row>
    <row r="2331" spans="1:13">
      <c r="A2331">
        <v>2330</v>
      </c>
      <c r="B2331">
        <v>2154</v>
      </c>
      <c r="C2331">
        <v>7</v>
      </c>
      <c r="D2331">
        <v>1</v>
      </c>
      <c r="E2331">
        <v>65</v>
      </c>
      <c r="F2331">
        <f t="shared" si="108"/>
        <v>65</v>
      </c>
      <c r="G2331" t="str">
        <f>VLOOKUP(B2331,Orders!$A$2:$D$1201,4,FALSE)</f>
        <v>Delivered</v>
      </c>
      <c r="H2331">
        <f t="shared" si="109"/>
        <v>65</v>
      </c>
      <c r="I2331" s="12">
        <f>VLOOKUP(B2331,Orders!$A$2:$D$1201,3,FALSE)</f>
        <v>46191</v>
      </c>
      <c r="L2331" t="str">
        <f>VLOOKUP(C2331,Products!$A$2:$D$13,2,FALSE)</f>
        <v>Headphones</v>
      </c>
      <c r="M2331" t="str">
        <f t="shared" si="110"/>
        <v>2026-06</v>
      </c>
    </row>
    <row r="2332" spans="1:13">
      <c r="A2332">
        <v>2331</v>
      </c>
      <c r="B2332">
        <v>2154</v>
      </c>
      <c r="C2332">
        <v>5</v>
      </c>
      <c r="D2332">
        <v>2</v>
      </c>
      <c r="E2332">
        <v>180</v>
      </c>
      <c r="F2332">
        <f t="shared" si="108"/>
        <v>360</v>
      </c>
      <c r="G2332" t="str">
        <f>VLOOKUP(B2332,Orders!$A$2:$D$1201,4,FALSE)</f>
        <v>Delivered</v>
      </c>
      <c r="H2332">
        <f t="shared" si="109"/>
        <v>360</v>
      </c>
      <c r="I2332" s="12">
        <f>VLOOKUP(B2332,Orders!$A$2:$D$1201,3,FALSE)</f>
        <v>46191</v>
      </c>
      <c r="L2332" t="str">
        <f>VLOOKUP(C2332,Products!$A$2:$D$13,2,FALSE)</f>
        <v>Desk</v>
      </c>
      <c r="M2332" t="str">
        <f t="shared" si="110"/>
        <v>2026-06</v>
      </c>
    </row>
    <row r="2333" spans="1:13">
      <c r="A2333">
        <v>2332</v>
      </c>
      <c r="B2333">
        <v>2154</v>
      </c>
      <c r="C2333">
        <v>10</v>
      </c>
      <c r="D2333">
        <v>2</v>
      </c>
      <c r="E2333">
        <v>8</v>
      </c>
      <c r="F2333">
        <f t="shared" si="108"/>
        <v>16</v>
      </c>
      <c r="G2333" t="str">
        <f>VLOOKUP(B2333,Orders!$A$2:$D$1201,4,FALSE)</f>
        <v>Delivered</v>
      </c>
      <c r="H2333">
        <f t="shared" si="109"/>
        <v>16</v>
      </c>
      <c r="I2333" s="12">
        <f>VLOOKUP(B2333,Orders!$A$2:$D$1201,3,FALSE)</f>
        <v>46191</v>
      </c>
      <c r="L2333" t="str">
        <f>VLOOKUP(C2333,Products!$A$2:$D$13,2,FALSE)</f>
        <v>Notebook</v>
      </c>
      <c r="M2333" t="str">
        <f t="shared" si="110"/>
        <v>2026-06</v>
      </c>
    </row>
    <row r="2334" spans="1:13">
      <c r="A2334">
        <v>2333</v>
      </c>
      <c r="B2334">
        <v>2155</v>
      </c>
      <c r="C2334">
        <v>10</v>
      </c>
      <c r="D2334">
        <v>3</v>
      </c>
      <c r="E2334">
        <v>8</v>
      </c>
      <c r="F2334">
        <f t="shared" si="108"/>
        <v>24</v>
      </c>
      <c r="G2334" t="str">
        <f>VLOOKUP(B2334,Orders!$A$2:$D$1201,4,FALSE)</f>
        <v>Delivered</v>
      </c>
      <c r="H2334">
        <f t="shared" si="109"/>
        <v>24</v>
      </c>
      <c r="I2334" s="12">
        <f>VLOOKUP(B2334,Orders!$A$2:$D$1201,3,FALSE)</f>
        <v>46141</v>
      </c>
      <c r="L2334" t="str">
        <f>VLOOKUP(C2334,Products!$A$2:$D$13,2,FALSE)</f>
        <v>Notebook</v>
      </c>
      <c r="M2334" t="str">
        <f t="shared" si="110"/>
        <v>2026-04</v>
      </c>
    </row>
    <row r="2335" spans="1:13">
      <c r="A2335">
        <v>2334</v>
      </c>
      <c r="B2335">
        <v>2155</v>
      </c>
      <c r="C2335">
        <v>5</v>
      </c>
      <c r="D2335">
        <v>4</v>
      </c>
      <c r="E2335">
        <v>180</v>
      </c>
      <c r="F2335">
        <f t="shared" si="108"/>
        <v>720</v>
      </c>
      <c r="G2335" t="str">
        <f>VLOOKUP(B2335,Orders!$A$2:$D$1201,4,FALSE)</f>
        <v>Delivered</v>
      </c>
      <c r="H2335">
        <f t="shared" si="109"/>
        <v>720</v>
      </c>
      <c r="I2335" s="12">
        <f>VLOOKUP(B2335,Orders!$A$2:$D$1201,3,FALSE)</f>
        <v>46141</v>
      </c>
      <c r="L2335" t="str">
        <f>VLOOKUP(C2335,Products!$A$2:$D$13,2,FALSE)</f>
        <v>Desk</v>
      </c>
      <c r="M2335" t="str">
        <f t="shared" si="110"/>
        <v>2026-04</v>
      </c>
    </row>
    <row r="2336" spans="1:13">
      <c r="A2336">
        <v>2335</v>
      </c>
      <c r="B2336">
        <v>2155</v>
      </c>
      <c r="C2336">
        <v>3</v>
      </c>
      <c r="D2336">
        <v>3</v>
      </c>
      <c r="E2336">
        <v>45</v>
      </c>
      <c r="F2336">
        <f t="shared" si="108"/>
        <v>135</v>
      </c>
      <c r="G2336" t="str">
        <f>VLOOKUP(B2336,Orders!$A$2:$D$1201,4,FALSE)</f>
        <v>Delivered</v>
      </c>
      <c r="H2336">
        <f t="shared" si="109"/>
        <v>135</v>
      </c>
      <c r="I2336" s="12">
        <f>VLOOKUP(B2336,Orders!$A$2:$D$1201,3,FALSE)</f>
        <v>46141</v>
      </c>
      <c r="L2336" t="str">
        <f>VLOOKUP(C2336,Products!$A$2:$D$13,2,FALSE)</f>
        <v>Keyboard</v>
      </c>
      <c r="M2336" t="str">
        <f t="shared" si="110"/>
        <v>2026-04</v>
      </c>
    </row>
    <row r="2337" spans="1:13">
      <c r="A2337">
        <v>2336</v>
      </c>
      <c r="B2337">
        <v>2156</v>
      </c>
      <c r="C2337">
        <v>1</v>
      </c>
      <c r="D2337">
        <v>2</v>
      </c>
      <c r="E2337">
        <v>750</v>
      </c>
      <c r="F2337">
        <f t="shared" si="108"/>
        <v>1500</v>
      </c>
      <c r="G2337" t="str">
        <f>VLOOKUP(B2337,Orders!$A$2:$D$1201,4,FALSE)</f>
        <v>Delivered</v>
      </c>
      <c r="H2337">
        <f t="shared" si="109"/>
        <v>1500</v>
      </c>
      <c r="I2337" s="12">
        <f>VLOOKUP(B2337,Orders!$A$2:$D$1201,3,FALSE)</f>
        <v>46121</v>
      </c>
      <c r="L2337" t="str">
        <f>VLOOKUP(C2337,Products!$A$2:$D$13,2,FALSE)</f>
        <v>Laptop</v>
      </c>
      <c r="M2337" t="str">
        <f t="shared" si="110"/>
        <v>2026-04</v>
      </c>
    </row>
    <row r="2338" spans="1:13">
      <c r="A2338">
        <v>2337</v>
      </c>
      <c r="B2338">
        <v>2157</v>
      </c>
      <c r="C2338">
        <v>6</v>
      </c>
      <c r="D2338">
        <v>4</v>
      </c>
      <c r="E2338">
        <v>140</v>
      </c>
      <c r="F2338">
        <f t="shared" si="108"/>
        <v>560</v>
      </c>
      <c r="G2338" t="str">
        <f>VLOOKUP(B2338,Orders!$A$2:$D$1201,4,FALSE)</f>
        <v>Delivered</v>
      </c>
      <c r="H2338">
        <f t="shared" si="109"/>
        <v>560</v>
      </c>
      <c r="I2338" s="12">
        <f>VLOOKUP(B2338,Orders!$A$2:$D$1201,3,FALSE)</f>
        <v>46105</v>
      </c>
      <c r="L2338" t="str">
        <f>VLOOKUP(C2338,Products!$A$2:$D$13,2,FALSE)</f>
        <v>Chair</v>
      </c>
      <c r="M2338" t="str">
        <f t="shared" si="110"/>
        <v>2026-03</v>
      </c>
    </row>
    <row r="2339" spans="1:13">
      <c r="A2339">
        <v>2338</v>
      </c>
      <c r="B2339">
        <v>2157</v>
      </c>
      <c r="C2339">
        <v>4</v>
      </c>
      <c r="D2339">
        <v>4</v>
      </c>
      <c r="E2339">
        <v>25</v>
      </c>
      <c r="F2339">
        <f t="shared" si="108"/>
        <v>100</v>
      </c>
      <c r="G2339" t="str">
        <f>VLOOKUP(B2339,Orders!$A$2:$D$1201,4,FALSE)</f>
        <v>Delivered</v>
      </c>
      <c r="H2339">
        <f t="shared" si="109"/>
        <v>100</v>
      </c>
      <c r="I2339" s="12">
        <f>VLOOKUP(B2339,Orders!$A$2:$D$1201,3,FALSE)</f>
        <v>46105</v>
      </c>
      <c r="L2339" t="str">
        <f>VLOOKUP(C2339,Products!$A$2:$D$13,2,FALSE)</f>
        <v>Mouse</v>
      </c>
      <c r="M2339" t="str">
        <f t="shared" si="110"/>
        <v>2026-03</v>
      </c>
    </row>
    <row r="2340" spans="1:13">
      <c r="A2340">
        <v>2339</v>
      </c>
      <c r="B2340">
        <v>2158</v>
      </c>
      <c r="C2340">
        <v>6</v>
      </c>
      <c r="D2340">
        <v>3</v>
      </c>
      <c r="E2340">
        <v>140</v>
      </c>
      <c r="F2340">
        <f t="shared" si="108"/>
        <v>420</v>
      </c>
      <c r="G2340" t="str">
        <f>VLOOKUP(B2340,Orders!$A$2:$D$1201,4,FALSE)</f>
        <v>Delivered</v>
      </c>
      <c r="H2340">
        <f t="shared" si="109"/>
        <v>420</v>
      </c>
      <c r="I2340" s="12">
        <f>VLOOKUP(B2340,Orders!$A$2:$D$1201,3,FALSE)</f>
        <v>46053</v>
      </c>
      <c r="L2340" t="str">
        <f>VLOOKUP(C2340,Products!$A$2:$D$13,2,FALSE)</f>
        <v>Chair</v>
      </c>
      <c r="M2340" t="str">
        <f t="shared" si="110"/>
        <v>2026-01</v>
      </c>
    </row>
    <row r="2341" spans="1:13">
      <c r="A2341">
        <v>2340</v>
      </c>
      <c r="B2341">
        <v>2158</v>
      </c>
      <c r="C2341">
        <v>3</v>
      </c>
      <c r="D2341">
        <v>3</v>
      </c>
      <c r="E2341">
        <v>45</v>
      </c>
      <c r="F2341">
        <f t="shared" si="108"/>
        <v>135</v>
      </c>
      <c r="G2341" t="str">
        <f>VLOOKUP(B2341,Orders!$A$2:$D$1201,4,FALSE)</f>
        <v>Delivered</v>
      </c>
      <c r="H2341">
        <f t="shared" si="109"/>
        <v>135</v>
      </c>
      <c r="I2341" s="12">
        <f>VLOOKUP(B2341,Orders!$A$2:$D$1201,3,FALSE)</f>
        <v>46053</v>
      </c>
      <c r="L2341" t="str">
        <f>VLOOKUP(C2341,Products!$A$2:$D$13,2,FALSE)</f>
        <v>Keyboard</v>
      </c>
      <c r="M2341" t="str">
        <f t="shared" si="110"/>
        <v>2026-01</v>
      </c>
    </row>
    <row r="2342" spans="1:13">
      <c r="A2342">
        <v>2341</v>
      </c>
      <c r="B2342">
        <v>2159</v>
      </c>
      <c r="C2342">
        <v>5</v>
      </c>
      <c r="D2342">
        <v>4</v>
      </c>
      <c r="E2342">
        <v>180</v>
      </c>
      <c r="F2342">
        <f t="shared" si="108"/>
        <v>720</v>
      </c>
      <c r="G2342" t="str">
        <f>VLOOKUP(B2342,Orders!$A$2:$D$1201,4,FALSE)</f>
        <v>Delivered</v>
      </c>
      <c r="H2342">
        <f t="shared" si="109"/>
        <v>720</v>
      </c>
      <c r="I2342" s="12">
        <f>VLOOKUP(B2342,Orders!$A$2:$D$1201,3,FALSE)</f>
        <v>46047</v>
      </c>
      <c r="L2342" t="str">
        <f>VLOOKUP(C2342,Products!$A$2:$D$13,2,FALSE)</f>
        <v>Desk</v>
      </c>
      <c r="M2342" t="str">
        <f t="shared" si="110"/>
        <v>2026-01</v>
      </c>
    </row>
    <row r="2343" spans="1:13">
      <c r="A2343">
        <v>2342</v>
      </c>
      <c r="B2343">
        <v>2159</v>
      </c>
      <c r="C2343">
        <v>2</v>
      </c>
      <c r="D2343">
        <v>1</v>
      </c>
      <c r="E2343">
        <v>220</v>
      </c>
      <c r="F2343">
        <f t="shared" si="108"/>
        <v>220</v>
      </c>
      <c r="G2343" t="str">
        <f>VLOOKUP(B2343,Orders!$A$2:$D$1201,4,FALSE)</f>
        <v>Delivered</v>
      </c>
      <c r="H2343">
        <f t="shared" si="109"/>
        <v>220</v>
      </c>
      <c r="I2343" s="12">
        <f>VLOOKUP(B2343,Orders!$A$2:$D$1201,3,FALSE)</f>
        <v>46047</v>
      </c>
      <c r="L2343" t="str">
        <f>VLOOKUP(C2343,Products!$A$2:$D$13,2,FALSE)</f>
        <v>Monitor</v>
      </c>
      <c r="M2343" t="str">
        <f t="shared" si="110"/>
        <v>2026-01</v>
      </c>
    </row>
    <row r="2344" spans="1:13">
      <c r="A2344">
        <v>2343</v>
      </c>
      <c r="B2344">
        <v>2159</v>
      </c>
      <c r="C2344">
        <v>6</v>
      </c>
      <c r="D2344">
        <v>2</v>
      </c>
      <c r="E2344">
        <v>140</v>
      </c>
      <c r="F2344">
        <f t="shared" si="108"/>
        <v>280</v>
      </c>
      <c r="G2344" t="str">
        <f>VLOOKUP(B2344,Orders!$A$2:$D$1201,4,FALSE)</f>
        <v>Delivered</v>
      </c>
      <c r="H2344">
        <f t="shared" si="109"/>
        <v>280</v>
      </c>
      <c r="I2344" s="12">
        <f>VLOOKUP(B2344,Orders!$A$2:$D$1201,3,FALSE)</f>
        <v>46047</v>
      </c>
      <c r="L2344" t="str">
        <f>VLOOKUP(C2344,Products!$A$2:$D$13,2,FALSE)</f>
        <v>Chair</v>
      </c>
      <c r="M2344" t="str">
        <f t="shared" si="110"/>
        <v>2026-01</v>
      </c>
    </row>
    <row r="2345" spans="1:13">
      <c r="A2345">
        <v>2344</v>
      </c>
      <c r="B2345">
        <v>2160</v>
      </c>
      <c r="C2345">
        <v>5</v>
      </c>
      <c r="D2345">
        <v>4</v>
      </c>
      <c r="E2345">
        <v>180</v>
      </c>
      <c r="F2345">
        <f t="shared" si="108"/>
        <v>720</v>
      </c>
      <c r="G2345" t="str">
        <f>VLOOKUP(B2345,Orders!$A$2:$D$1201,4,FALSE)</f>
        <v>Delivered</v>
      </c>
      <c r="H2345">
        <f t="shared" si="109"/>
        <v>720</v>
      </c>
      <c r="I2345" s="12">
        <f>VLOOKUP(B2345,Orders!$A$2:$D$1201,3,FALSE)</f>
        <v>46163</v>
      </c>
      <c r="L2345" t="str">
        <f>VLOOKUP(C2345,Products!$A$2:$D$13,2,FALSE)</f>
        <v>Desk</v>
      </c>
      <c r="M2345" t="str">
        <f t="shared" si="110"/>
        <v>2026-05</v>
      </c>
    </row>
    <row r="2346" spans="1:13">
      <c r="A2346">
        <v>2345</v>
      </c>
      <c r="B2346">
        <v>2160</v>
      </c>
      <c r="C2346">
        <v>8</v>
      </c>
      <c r="D2346">
        <v>1</v>
      </c>
      <c r="E2346">
        <v>55</v>
      </c>
      <c r="F2346">
        <f t="shared" si="108"/>
        <v>55</v>
      </c>
      <c r="G2346" t="str">
        <f>VLOOKUP(B2346,Orders!$A$2:$D$1201,4,FALSE)</f>
        <v>Delivered</v>
      </c>
      <c r="H2346">
        <f t="shared" si="109"/>
        <v>55</v>
      </c>
      <c r="I2346" s="12">
        <f>VLOOKUP(B2346,Orders!$A$2:$D$1201,3,FALSE)</f>
        <v>46163</v>
      </c>
      <c r="L2346" t="str">
        <f>VLOOKUP(C2346,Products!$A$2:$D$13,2,FALSE)</f>
        <v>Webcam</v>
      </c>
      <c r="M2346" t="str">
        <f t="shared" si="110"/>
        <v>2026-05</v>
      </c>
    </row>
    <row r="2347" spans="1:13">
      <c r="A2347">
        <v>2346</v>
      </c>
      <c r="B2347">
        <v>2161</v>
      </c>
      <c r="C2347">
        <v>4</v>
      </c>
      <c r="D2347">
        <v>3</v>
      </c>
      <c r="E2347">
        <v>25</v>
      </c>
      <c r="F2347">
        <f t="shared" si="108"/>
        <v>75</v>
      </c>
      <c r="G2347" t="str">
        <f>VLOOKUP(B2347,Orders!$A$2:$D$1201,4,FALSE)</f>
        <v>Delivered</v>
      </c>
      <c r="H2347">
        <f t="shared" si="109"/>
        <v>75</v>
      </c>
      <c r="I2347" s="12">
        <f>VLOOKUP(B2347,Orders!$A$2:$D$1201,3,FALSE)</f>
        <v>46072</v>
      </c>
      <c r="L2347" t="str">
        <f>VLOOKUP(C2347,Products!$A$2:$D$13,2,FALSE)</f>
        <v>Mouse</v>
      </c>
      <c r="M2347" t="str">
        <f t="shared" si="110"/>
        <v>2026-02</v>
      </c>
    </row>
    <row r="2348" spans="1:13">
      <c r="A2348">
        <v>2347</v>
      </c>
      <c r="B2348">
        <v>2162</v>
      </c>
      <c r="C2348">
        <v>9</v>
      </c>
      <c r="D2348">
        <v>2</v>
      </c>
      <c r="E2348">
        <v>30</v>
      </c>
      <c r="F2348">
        <f t="shared" si="108"/>
        <v>60</v>
      </c>
      <c r="G2348" t="str">
        <f>VLOOKUP(B2348,Orders!$A$2:$D$1201,4,FALSE)</f>
        <v>Delivered</v>
      </c>
      <c r="H2348">
        <f t="shared" si="109"/>
        <v>60</v>
      </c>
      <c r="I2348" s="12">
        <f>VLOOKUP(B2348,Orders!$A$2:$D$1201,3,FALSE)</f>
        <v>46157</v>
      </c>
      <c r="L2348" t="str">
        <f>VLOOKUP(C2348,Products!$A$2:$D$13,2,FALSE)</f>
        <v>Lamp</v>
      </c>
      <c r="M2348" t="str">
        <f t="shared" si="110"/>
        <v>2026-05</v>
      </c>
    </row>
    <row r="2349" spans="1:13">
      <c r="A2349">
        <v>2348</v>
      </c>
      <c r="B2349">
        <v>2162</v>
      </c>
      <c r="C2349">
        <v>4</v>
      </c>
      <c r="D2349">
        <v>3</v>
      </c>
      <c r="E2349">
        <v>25</v>
      </c>
      <c r="F2349">
        <f t="shared" si="108"/>
        <v>75</v>
      </c>
      <c r="G2349" t="str">
        <f>VLOOKUP(B2349,Orders!$A$2:$D$1201,4,FALSE)</f>
        <v>Delivered</v>
      </c>
      <c r="H2349">
        <f t="shared" si="109"/>
        <v>75</v>
      </c>
      <c r="I2349" s="12">
        <f>VLOOKUP(B2349,Orders!$A$2:$D$1201,3,FALSE)</f>
        <v>46157</v>
      </c>
      <c r="L2349" t="str">
        <f>VLOOKUP(C2349,Products!$A$2:$D$13,2,FALSE)</f>
        <v>Mouse</v>
      </c>
      <c r="M2349" t="str">
        <f t="shared" si="110"/>
        <v>2026-05</v>
      </c>
    </row>
    <row r="2350" spans="1:13">
      <c r="A2350">
        <v>2349</v>
      </c>
      <c r="B2350">
        <v>2163</v>
      </c>
      <c r="C2350">
        <v>10</v>
      </c>
      <c r="D2350">
        <v>3</v>
      </c>
      <c r="E2350">
        <v>8</v>
      </c>
      <c r="F2350">
        <f t="shared" si="108"/>
        <v>24</v>
      </c>
      <c r="G2350" t="str">
        <f>VLOOKUP(B2350,Orders!$A$2:$D$1201,4,FALSE)</f>
        <v>Delivered</v>
      </c>
      <c r="H2350">
        <f t="shared" si="109"/>
        <v>24</v>
      </c>
      <c r="I2350" s="12">
        <f>VLOOKUP(B2350,Orders!$A$2:$D$1201,3,FALSE)</f>
        <v>46080</v>
      </c>
      <c r="L2350" t="str">
        <f>VLOOKUP(C2350,Products!$A$2:$D$13,2,FALSE)</f>
        <v>Notebook</v>
      </c>
      <c r="M2350" t="str">
        <f t="shared" si="110"/>
        <v>2026-02</v>
      </c>
    </row>
    <row r="2351" spans="1:13">
      <c r="A2351">
        <v>2350</v>
      </c>
      <c r="B2351">
        <v>2163</v>
      </c>
      <c r="C2351">
        <v>7</v>
      </c>
      <c r="D2351">
        <v>1</v>
      </c>
      <c r="E2351">
        <v>65</v>
      </c>
      <c r="F2351">
        <f t="shared" si="108"/>
        <v>65</v>
      </c>
      <c r="G2351" t="str">
        <f>VLOOKUP(B2351,Orders!$A$2:$D$1201,4,FALSE)</f>
        <v>Delivered</v>
      </c>
      <c r="H2351">
        <f t="shared" si="109"/>
        <v>65</v>
      </c>
      <c r="I2351" s="12">
        <f>VLOOKUP(B2351,Orders!$A$2:$D$1201,3,FALSE)</f>
        <v>46080</v>
      </c>
      <c r="L2351" t="str">
        <f>VLOOKUP(C2351,Products!$A$2:$D$13,2,FALSE)</f>
        <v>Headphones</v>
      </c>
      <c r="M2351" t="str">
        <f t="shared" si="110"/>
        <v>2026-02</v>
      </c>
    </row>
    <row r="2352" spans="1:13">
      <c r="A2352">
        <v>2351</v>
      </c>
      <c r="B2352">
        <v>2163</v>
      </c>
      <c r="C2352">
        <v>4</v>
      </c>
      <c r="D2352">
        <v>4</v>
      </c>
      <c r="E2352">
        <v>25</v>
      </c>
      <c r="F2352">
        <f t="shared" si="108"/>
        <v>100</v>
      </c>
      <c r="G2352" t="str">
        <f>VLOOKUP(B2352,Orders!$A$2:$D$1201,4,FALSE)</f>
        <v>Delivered</v>
      </c>
      <c r="H2352">
        <f t="shared" si="109"/>
        <v>100</v>
      </c>
      <c r="I2352" s="12">
        <f>VLOOKUP(B2352,Orders!$A$2:$D$1201,3,FALSE)</f>
        <v>46080</v>
      </c>
      <c r="L2352" t="str">
        <f>VLOOKUP(C2352,Products!$A$2:$D$13,2,FALSE)</f>
        <v>Mouse</v>
      </c>
      <c r="M2352" t="str">
        <f t="shared" si="110"/>
        <v>2026-02</v>
      </c>
    </row>
    <row r="2353" spans="1:13">
      <c r="A2353">
        <v>2352</v>
      </c>
      <c r="B2353">
        <v>2164</v>
      </c>
      <c r="C2353">
        <v>2</v>
      </c>
      <c r="D2353">
        <v>3</v>
      </c>
      <c r="E2353">
        <v>220</v>
      </c>
      <c r="F2353">
        <f t="shared" si="108"/>
        <v>660</v>
      </c>
      <c r="G2353" t="str">
        <f>VLOOKUP(B2353,Orders!$A$2:$D$1201,4,FALSE)</f>
        <v>Delivered</v>
      </c>
      <c r="H2353">
        <f t="shared" si="109"/>
        <v>660</v>
      </c>
      <c r="I2353" s="12">
        <f>VLOOKUP(B2353,Orders!$A$2:$D$1201,3,FALSE)</f>
        <v>46142</v>
      </c>
      <c r="L2353" t="str">
        <f>VLOOKUP(C2353,Products!$A$2:$D$13,2,FALSE)</f>
        <v>Monitor</v>
      </c>
      <c r="M2353" t="str">
        <f t="shared" si="110"/>
        <v>2026-04</v>
      </c>
    </row>
    <row r="2354" spans="1:13">
      <c r="A2354">
        <v>2353</v>
      </c>
      <c r="B2354">
        <v>2165</v>
      </c>
      <c r="C2354">
        <v>7</v>
      </c>
      <c r="D2354">
        <v>2</v>
      </c>
      <c r="E2354">
        <v>65</v>
      </c>
      <c r="F2354">
        <f t="shared" si="108"/>
        <v>130</v>
      </c>
      <c r="G2354" t="str">
        <f>VLOOKUP(B2354,Orders!$A$2:$D$1201,4,FALSE)</f>
        <v>Delivered</v>
      </c>
      <c r="H2354">
        <f t="shared" si="109"/>
        <v>130</v>
      </c>
      <c r="I2354" s="12">
        <f>VLOOKUP(B2354,Orders!$A$2:$D$1201,3,FALSE)</f>
        <v>46179</v>
      </c>
      <c r="L2354" t="str">
        <f>VLOOKUP(C2354,Products!$A$2:$D$13,2,FALSE)</f>
        <v>Headphones</v>
      </c>
      <c r="M2354" t="str">
        <f t="shared" si="110"/>
        <v>2026-06</v>
      </c>
    </row>
    <row r="2355" spans="1:13">
      <c r="A2355">
        <v>2354</v>
      </c>
      <c r="B2355">
        <v>2166</v>
      </c>
      <c r="C2355">
        <v>10</v>
      </c>
      <c r="D2355">
        <v>2</v>
      </c>
      <c r="E2355">
        <v>8</v>
      </c>
      <c r="F2355">
        <f t="shared" si="108"/>
        <v>16</v>
      </c>
      <c r="G2355" t="str">
        <f>VLOOKUP(B2355,Orders!$A$2:$D$1201,4,FALSE)</f>
        <v>Delivered</v>
      </c>
      <c r="H2355">
        <f t="shared" si="109"/>
        <v>16</v>
      </c>
      <c r="I2355" s="12">
        <f>VLOOKUP(B2355,Orders!$A$2:$D$1201,3,FALSE)</f>
        <v>46123</v>
      </c>
      <c r="L2355" t="str">
        <f>VLOOKUP(C2355,Products!$A$2:$D$13,2,FALSE)</f>
        <v>Notebook</v>
      </c>
      <c r="M2355" t="str">
        <f t="shared" si="110"/>
        <v>2026-04</v>
      </c>
    </row>
    <row r="2356" spans="1:13">
      <c r="A2356">
        <v>2355</v>
      </c>
      <c r="B2356">
        <v>2166</v>
      </c>
      <c r="C2356">
        <v>4</v>
      </c>
      <c r="D2356">
        <v>3</v>
      </c>
      <c r="E2356">
        <v>25</v>
      </c>
      <c r="F2356">
        <f t="shared" si="108"/>
        <v>75</v>
      </c>
      <c r="G2356" t="str">
        <f>VLOOKUP(B2356,Orders!$A$2:$D$1201,4,FALSE)</f>
        <v>Delivered</v>
      </c>
      <c r="H2356">
        <f t="shared" si="109"/>
        <v>75</v>
      </c>
      <c r="I2356" s="12">
        <f>VLOOKUP(B2356,Orders!$A$2:$D$1201,3,FALSE)</f>
        <v>46123</v>
      </c>
      <c r="L2356" t="str">
        <f>VLOOKUP(C2356,Products!$A$2:$D$13,2,FALSE)</f>
        <v>Mouse</v>
      </c>
      <c r="M2356" t="str">
        <f t="shared" si="110"/>
        <v>2026-04</v>
      </c>
    </row>
    <row r="2357" spans="1:13">
      <c r="A2357">
        <v>2356</v>
      </c>
      <c r="B2357">
        <v>2167</v>
      </c>
      <c r="C2357">
        <v>3</v>
      </c>
      <c r="D2357">
        <v>2</v>
      </c>
      <c r="E2357">
        <v>45</v>
      </c>
      <c r="F2357">
        <f t="shared" si="108"/>
        <v>90</v>
      </c>
      <c r="G2357" t="str">
        <f>VLOOKUP(B2357,Orders!$A$2:$D$1201,4,FALSE)</f>
        <v>Delivered</v>
      </c>
      <c r="H2357">
        <f t="shared" si="109"/>
        <v>90</v>
      </c>
      <c r="I2357" s="12">
        <f>VLOOKUP(B2357,Orders!$A$2:$D$1201,3,FALSE)</f>
        <v>46054</v>
      </c>
      <c r="L2357" t="str">
        <f>VLOOKUP(C2357,Products!$A$2:$D$13,2,FALSE)</f>
        <v>Keyboard</v>
      </c>
      <c r="M2357" t="str">
        <f t="shared" si="110"/>
        <v>2026-02</v>
      </c>
    </row>
    <row r="2358" spans="1:13">
      <c r="A2358">
        <v>2357</v>
      </c>
      <c r="B2358">
        <v>2167</v>
      </c>
      <c r="C2358">
        <v>4</v>
      </c>
      <c r="D2358">
        <v>3</v>
      </c>
      <c r="E2358">
        <v>25</v>
      </c>
      <c r="F2358">
        <f t="shared" si="108"/>
        <v>75</v>
      </c>
      <c r="G2358" t="str">
        <f>VLOOKUP(B2358,Orders!$A$2:$D$1201,4,FALSE)</f>
        <v>Delivered</v>
      </c>
      <c r="H2358">
        <f t="shared" si="109"/>
        <v>75</v>
      </c>
      <c r="I2358" s="12">
        <f>VLOOKUP(B2358,Orders!$A$2:$D$1201,3,FALSE)</f>
        <v>46054</v>
      </c>
      <c r="L2358" t="str">
        <f>VLOOKUP(C2358,Products!$A$2:$D$13,2,FALSE)</f>
        <v>Mouse</v>
      </c>
      <c r="M2358" t="str">
        <f t="shared" si="110"/>
        <v>2026-02</v>
      </c>
    </row>
    <row r="2359" spans="1:13">
      <c r="A2359">
        <v>2358</v>
      </c>
      <c r="B2359">
        <v>2167</v>
      </c>
      <c r="C2359">
        <v>8</v>
      </c>
      <c r="D2359">
        <v>3</v>
      </c>
      <c r="E2359">
        <v>55</v>
      </c>
      <c r="F2359">
        <f t="shared" si="108"/>
        <v>165</v>
      </c>
      <c r="G2359" t="str">
        <f>VLOOKUP(B2359,Orders!$A$2:$D$1201,4,FALSE)</f>
        <v>Delivered</v>
      </c>
      <c r="H2359">
        <f t="shared" si="109"/>
        <v>165</v>
      </c>
      <c r="I2359" s="12">
        <f>VLOOKUP(B2359,Orders!$A$2:$D$1201,3,FALSE)</f>
        <v>46054</v>
      </c>
      <c r="L2359" t="str">
        <f>VLOOKUP(C2359,Products!$A$2:$D$13,2,FALSE)</f>
        <v>Webcam</v>
      </c>
      <c r="M2359" t="str">
        <f t="shared" si="110"/>
        <v>2026-02</v>
      </c>
    </row>
    <row r="2360" spans="1:13">
      <c r="A2360">
        <v>2359</v>
      </c>
      <c r="B2360">
        <v>2168</v>
      </c>
      <c r="C2360">
        <v>8</v>
      </c>
      <c r="D2360">
        <v>4</v>
      </c>
      <c r="E2360">
        <v>55</v>
      </c>
      <c r="F2360">
        <f t="shared" si="108"/>
        <v>220</v>
      </c>
      <c r="G2360" t="str">
        <f>VLOOKUP(B2360,Orders!$A$2:$D$1201,4,FALSE)</f>
        <v>Delivered</v>
      </c>
      <c r="H2360">
        <f t="shared" si="109"/>
        <v>220</v>
      </c>
      <c r="I2360" s="12">
        <f>VLOOKUP(B2360,Orders!$A$2:$D$1201,3,FALSE)</f>
        <v>46183</v>
      </c>
      <c r="L2360" t="str">
        <f>VLOOKUP(C2360,Products!$A$2:$D$13,2,FALSE)</f>
        <v>Webcam</v>
      </c>
      <c r="M2360" t="str">
        <f t="shared" si="110"/>
        <v>2026-06</v>
      </c>
    </row>
    <row r="2361" spans="1:13">
      <c r="A2361">
        <v>2360</v>
      </c>
      <c r="B2361">
        <v>2168</v>
      </c>
      <c r="C2361">
        <v>5</v>
      </c>
      <c r="D2361">
        <v>2</v>
      </c>
      <c r="E2361">
        <v>180</v>
      </c>
      <c r="F2361">
        <f t="shared" si="108"/>
        <v>360</v>
      </c>
      <c r="G2361" t="str">
        <f>VLOOKUP(B2361,Orders!$A$2:$D$1201,4,FALSE)</f>
        <v>Delivered</v>
      </c>
      <c r="H2361">
        <f t="shared" si="109"/>
        <v>360</v>
      </c>
      <c r="I2361" s="12">
        <f>VLOOKUP(B2361,Orders!$A$2:$D$1201,3,FALSE)</f>
        <v>46183</v>
      </c>
      <c r="L2361" t="str">
        <f>VLOOKUP(C2361,Products!$A$2:$D$13,2,FALSE)</f>
        <v>Desk</v>
      </c>
      <c r="M2361" t="str">
        <f t="shared" si="110"/>
        <v>2026-06</v>
      </c>
    </row>
    <row r="2362" spans="1:13">
      <c r="A2362">
        <v>2361</v>
      </c>
      <c r="B2362">
        <v>2168</v>
      </c>
      <c r="C2362">
        <v>2</v>
      </c>
      <c r="D2362">
        <v>1</v>
      </c>
      <c r="E2362">
        <v>220</v>
      </c>
      <c r="F2362">
        <f t="shared" si="108"/>
        <v>220</v>
      </c>
      <c r="G2362" t="str">
        <f>VLOOKUP(B2362,Orders!$A$2:$D$1201,4,FALSE)</f>
        <v>Delivered</v>
      </c>
      <c r="H2362">
        <f t="shared" si="109"/>
        <v>220</v>
      </c>
      <c r="I2362" s="12">
        <f>VLOOKUP(B2362,Orders!$A$2:$D$1201,3,FALSE)</f>
        <v>46183</v>
      </c>
      <c r="L2362" t="str">
        <f>VLOOKUP(C2362,Products!$A$2:$D$13,2,FALSE)</f>
        <v>Monitor</v>
      </c>
      <c r="M2362" t="str">
        <f t="shared" si="110"/>
        <v>2026-06</v>
      </c>
    </row>
    <row r="2363" spans="1:13">
      <c r="A2363">
        <v>2362</v>
      </c>
      <c r="B2363">
        <v>2169</v>
      </c>
      <c r="C2363">
        <v>11</v>
      </c>
      <c r="D2363">
        <v>4</v>
      </c>
      <c r="E2363">
        <v>48</v>
      </c>
      <c r="F2363">
        <f t="shared" si="108"/>
        <v>192</v>
      </c>
      <c r="G2363" t="str">
        <f>VLOOKUP(B2363,Orders!$A$2:$D$1201,4,FALSE)</f>
        <v>Delivered</v>
      </c>
      <c r="H2363">
        <f t="shared" si="109"/>
        <v>192</v>
      </c>
      <c r="I2363" s="12">
        <f>VLOOKUP(B2363,Orders!$A$2:$D$1201,3,FALSE)</f>
        <v>46033</v>
      </c>
      <c r="L2363" t="str">
        <f>VLOOKUP(C2363,Products!$A$2:$D$13,2,FALSE)</f>
        <v>Backpack</v>
      </c>
      <c r="M2363" t="str">
        <f t="shared" si="110"/>
        <v>2026-01</v>
      </c>
    </row>
    <row r="2364" spans="1:13">
      <c r="A2364">
        <v>2363</v>
      </c>
      <c r="B2364">
        <v>2170</v>
      </c>
      <c r="C2364">
        <v>12</v>
      </c>
      <c r="D2364">
        <v>3</v>
      </c>
      <c r="E2364">
        <v>22</v>
      </c>
      <c r="F2364">
        <f t="shared" si="108"/>
        <v>66</v>
      </c>
      <c r="G2364" t="str">
        <f>VLOOKUP(B2364,Orders!$A$2:$D$1201,4,FALSE)</f>
        <v>Delivered</v>
      </c>
      <c r="H2364">
        <f t="shared" si="109"/>
        <v>66</v>
      </c>
      <c r="I2364" s="12">
        <f>VLOOKUP(B2364,Orders!$A$2:$D$1201,3,FALSE)</f>
        <v>46097</v>
      </c>
      <c r="L2364" t="str">
        <f>VLOOKUP(C2364,Products!$A$2:$D$13,2,FALSE)</f>
        <v>Storage Box</v>
      </c>
      <c r="M2364" t="str">
        <f t="shared" si="110"/>
        <v>2026-03</v>
      </c>
    </row>
    <row r="2365" spans="1:13">
      <c r="A2365">
        <v>2364</v>
      </c>
      <c r="B2365">
        <v>2171</v>
      </c>
      <c r="C2365">
        <v>12</v>
      </c>
      <c r="D2365">
        <v>3</v>
      </c>
      <c r="E2365">
        <v>22</v>
      </c>
      <c r="F2365">
        <f t="shared" si="108"/>
        <v>66</v>
      </c>
      <c r="G2365" t="str">
        <f>VLOOKUP(B2365,Orders!$A$2:$D$1201,4,FALSE)</f>
        <v>Delivered</v>
      </c>
      <c r="H2365">
        <f t="shared" si="109"/>
        <v>66</v>
      </c>
      <c r="I2365" s="12">
        <f>VLOOKUP(B2365,Orders!$A$2:$D$1201,3,FALSE)</f>
        <v>46133</v>
      </c>
      <c r="L2365" t="str">
        <f>VLOOKUP(C2365,Products!$A$2:$D$13,2,FALSE)</f>
        <v>Storage Box</v>
      </c>
      <c r="M2365" t="str">
        <f t="shared" si="110"/>
        <v>2026-04</v>
      </c>
    </row>
    <row r="2366" spans="1:13">
      <c r="A2366">
        <v>2365</v>
      </c>
      <c r="B2366">
        <v>2171</v>
      </c>
      <c r="C2366">
        <v>5</v>
      </c>
      <c r="D2366">
        <v>3</v>
      </c>
      <c r="E2366">
        <v>180</v>
      </c>
      <c r="F2366">
        <f t="shared" si="108"/>
        <v>540</v>
      </c>
      <c r="G2366" t="str">
        <f>VLOOKUP(B2366,Orders!$A$2:$D$1201,4,FALSE)</f>
        <v>Delivered</v>
      </c>
      <c r="H2366">
        <f t="shared" si="109"/>
        <v>540</v>
      </c>
      <c r="I2366" s="12">
        <f>VLOOKUP(B2366,Orders!$A$2:$D$1201,3,FALSE)</f>
        <v>46133</v>
      </c>
      <c r="L2366" t="str">
        <f>VLOOKUP(C2366,Products!$A$2:$D$13,2,FALSE)</f>
        <v>Desk</v>
      </c>
      <c r="M2366" t="str">
        <f t="shared" si="110"/>
        <v>2026-04</v>
      </c>
    </row>
    <row r="2367" spans="1:13">
      <c r="A2367">
        <v>2366</v>
      </c>
      <c r="B2367">
        <v>2172</v>
      </c>
      <c r="C2367">
        <v>10</v>
      </c>
      <c r="D2367">
        <v>4</v>
      </c>
      <c r="E2367">
        <v>8</v>
      </c>
      <c r="F2367">
        <f t="shared" si="108"/>
        <v>32</v>
      </c>
      <c r="G2367" t="str">
        <f>VLOOKUP(B2367,Orders!$A$2:$D$1201,4,FALSE)</f>
        <v>Delivered</v>
      </c>
      <c r="H2367">
        <f t="shared" si="109"/>
        <v>32</v>
      </c>
      <c r="I2367" s="12">
        <f>VLOOKUP(B2367,Orders!$A$2:$D$1201,3,FALSE)</f>
        <v>46026</v>
      </c>
      <c r="L2367" t="str">
        <f>VLOOKUP(C2367,Products!$A$2:$D$13,2,FALSE)</f>
        <v>Notebook</v>
      </c>
      <c r="M2367" t="str">
        <f t="shared" si="110"/>
        <v>2026-01</v>
      </c>
    </row>
    <row r="2368" spans="1:13">
      <c r="A2368">
        <v>2367</v>
      </c>
      <c r="B2368">
        <v>2173</v>
      </c>
      <c r="C2368">
        <v>10</v>
      </c>
      <c r="D2368">
        <v>4</v>
      </c>
      <c r="E2368">
        <v>8</v>
      </c>
      <c r="F2368">
        <f t="shared" si="108"/>
        <v>32</v>
      </c>
      <c r="G2368" t="str">
        <f>VLOOKUP(B2368,Orders!$A$2:$D$1201,4,FALSE)</f>
        <v>Delivered</v>
      </c>
      <c r="H2368">
        <f t="shared" si="109"/>
        <v>32</v>
      </c>
      <c r="I2368" s="12">
        <f>VLOOKUP(B2368,Orders!$A$2:$D$1201,3,FALSE)</f>
        <v>46147</v>
      </c>
      <c r="L2368" t="str">
        <f>VLOOKUP(C2368,Products!$A$2:$D$13,2,FALSE)</f>
        <v>Notebook</v>
      </c>
      <c r="M2368" t="str">
        <f t="shared" si="110"/>
        <v>2026-05</v>
      </c>
    </row>
    <row r="2369" spans="1:13">
      <c r="A2369">
        <v>2368</v>
      </c>
      <c r="B2369">
        <v>2173</v>
      </c>
      <c r="C2369">
        <v>9</v>
      </c>
      <c r="D2369">
        <v>1</v>
      </c>
      <c r="E2369">
        <v>30</v>
      </c>
      <c r="F2369">
        <f t="shared" si="108"/>
        <v>30</v>
      </c>
      <c r="G2369" t="str">
        <f>VLOOKUP(B2369,Orders!$A$2:$D$1201,4,FALSE)</f>
        <v>Delivered</v>
      </c>
      <c r="H2369">
        <f t="shared" si="109"/>
        <v>30</v>
      </c>
      <c r="I2369" s="12">
        <f>VLOOKUP(B2369,Orders!$A$2:$D$1201,3,FALSE)</f>
        <v>46147</v>
      </c>
      <c r="L2369" t="str">
        <f>VLOOKUP(C2369,Products!$A$2:$D$13,2,FALSE)</f>
        <v>Lamp</v>
      </c>
      <c r="M2369" t="str">
        <f t="shared" si="110"/>
        <v>2026-05</v>
      </c>
    </row>
    <row r="2370" spans="1:13">
      <c r="A2370">
        <v>2369</v>
      </c>
      <c r="B2370">
        <v>2174</v>
      </c>
      <c r="C2370">
        <v>10</v>
      </c>
      <c r="D2370">
        <v>4</v>
      </c>
      <c r="E2370">
        <v>8</v>
      </c>
      <c r="F2370">
        <f t="shared" si="108"/>
        <v>32</v>
      </c>
      <c r="G2370" t="str">
        <f>VLOOKUP(B2370,Orders!$A$2:$D$1201,4,FALSE)</f>
        <v>Delivered</v>
      </c>
      <c r="H2370">
        <f t="shared" si="109"/>
        <v>32</v>
      </c>
      <c r="I2370" s="12">
        <f>VLOOKUP(B2370,Orders!$A$2:$D$1201,3,FALSE)</f>
        <v>46170</v>
      </c>
      <c r="L2370" t="str">
        <f>VLOOKUP(C2370,Products!$A$2:$D$13,2,FALSE)</f>
        <v>Notebook</v>
      </c>
      <c r="M2370" t="str">
        <f t="shared" si="110"/>
        <v>2026-05</v>
      </c>
    </row>
    <row r="2371" spans="1:13">
      <c r="A2371">
        <v>2370</v>
      </c>
      <c r="B2371">
        <v>2174</v>
      </c>
      <c r="C2371">
        <v>11</v>
      </c>
      <c r="D2371">
        <v>4</v>
      </c>
      <c r="E2371">
        <v>48</v>
      </c>
      <c r="F2371">
        <f t="shared" ref="F2371:F2428" si="111">D2371*E2371</f>
        <v>192</v>
      </c>
      <c r="G2371" t="str">
        <f>VLOOKUP(B2371,Orders!$A$2:$D$1201,4,FALSE)</f>
        <v>Delivered</v>
      </c>
      <c r="H2371">
        <f t="shared" ref="H2371:H2428" si="112">IF(G2371="Cancelled",0,F2371)</f>
        <v>192</v>
      </c>
      <c r="I2371" s="12">
        <f>VLOOKUP(B2371,Orders!$A$2:$D$1201,3,FALSE)</f>
        <v>46170</v>
      </c>
      <c r="L2371" t="str">
        <f>VLOOKUP(C2371,Products!$A$2:$D$13,2,FALSE)</f>
        <v>Backpack</v>
      </c>
      <c r="M2371" t="str">
        <f t="shared" ref="M2371:M2428" si="113">TEXT(I2371,"yyyy-mm")</f>
        <v>2026-05</v>
      </c>
    </row>
    <row r="2372" spans="1:13">
      <c r="A2372">
        <v>2371</v>
      </c>
      <c r="B2372">
        <v>2175</v>
      </c>
      <c r="C2372">
        <v>7</v>
      </c>
      <c r="D2372">
        <v>4</v>
      </c>
      <c r="E2372">
        <v>65</v>
      </c>
      <c r="F2372">
        <f t="shared" si="111"/>
        <v>260</v>
      </c>
      <c r="G2372" t="str">
        <f>VLOOKUP(B2372,Orders!$A$2:$D$1201,4,FALSE)</f>
        <v>Delivered</v>
      </c>
      <c r="H2372">
        <f t="shared" si="112"/>
        <v>260</v>
      </c>
      <c r="I2372" s="12">
        <f>VLOOKUP(B2372,Orders!$A$2:$D$1201,3,FALSE)</f>
        <v>46140</v>
      </c>
      <c r="L2372" t="str">
        <f>VLOOKUP(C2372,Products!$A$2:$D$13,2,FALSE)</f>
        <v>Headphones</v>
      </c>
      <c r="M2372" t="str">
        <f t="shared" si="113"/>
        <v>2026-04</v>
      </c>
    </row>
    <row r="2373" spans="1:13">
      <c r="A2373">
        <v>2372</v>
      </c>
      <c r="B2373">
        <v>2176</v>
      </c>
      <c r="C2373">
        <v>7</v>
      </c>
      <c r="D2373">
        <v>4</v>
      </c>
      <c r="E2373">
        <v>65</v>
      </c>
      <c r="F2373">
        <f t="shared" si="111"/>
        <v>260</v>
      </c>
      <c r="G2373" t="str">
        <f>VLOOKUP(B2373,Orders!$A$2:$D$1201,4,FALSE)</f>
        <v>Shipped</v>
      </c>
      <c r="H2373">
        <f t="shared" si="112"/>
        <v>260</v>
      </c>
      <c r="I2373" s="12">
        <f>VLOOKUP(B2373,Orders!$A$2:$D$1201,3,FALSE)</f>
        <v>46184</v>
      </c>
      <c r="L2373" t="str">
        <f>VLOOKUP(C2373,Products!$A$2:$D$13,2,FALSE)</f>
        <v>Headphones</v>
      </c>
      <c r="M2373" t="str">
        <f t="shared" si="113"/>
        <v>2026-06</v>
      </c>
    </row>
    <row r="2374" spans="1:13">
      <c r="A2374">
        <v>2373</v>
      </c>
      <c r="B2374">
        <v>2176</v>
      </c>
      <c r="C2374">
        <v>1</v>
      </c>
      <c r="D2374">
        <v>3</v>
      </c>
      <c r="E2374">
        <v>750</v>
      </c>
      <c r="F2374">
        <f t="shared" si="111"/>
        <v>2250</v>
      </c>
      <c r="G2374" t="str">
        <f>VLOOKUP(B2374,Orders!$A$2:$D$1201,4,FALSE)</f>
        <v>Shipped</v>
      </c>
      <c r="H2374">
        <f t="shared" si="112"/>
        <v>2250</v>
      </c>
      <c r="I2374" s="12">
        <f>VLOOKUP(B2374,Orders!$A$2:$D$1201,3,FALSE)</f>
        <v>46184</v>
      </c>
      <c r="L2374" t="str">
        <f>VLOOKUP(C2374,Products!$A$2:$D$13,2,FALSE)</f>
        <v>Laptop</v>
      </c>
      <c r="M2374" t="str">
        <f t="shared" si="113"/>
        <v>2026-06</v>
      </c>
    </row>
    <row r="2375" spans="1:13">
      <c r="A2375">
        <v>2374</v>
      </c>
      <c r="B2375">
        <v>2177</v>
      </c>
      <c r="C2375">
        <v>8</v>
      </c>
      <c r="D2375">
        <v>3</v>
      </c>
      <c r="E2375">
        <v>55</v>
      </c>
      <c r="F2375">
        <f t="shared" si="111"/>
        <v>165</v>
      </c>
      <c r="G2375" t="str">
        <f>VLOOKUP(B2375,Orders!$A$2:$D$1201,4,FALSE)</f>
        <v>Delivered</v>
      </c>
      <c r="H2375">
        <f t="shared" si="112"/>
        <v>165</v>
      </c>
      <c r="I2375" s="12">
        <f>VLOOKUP(B2375,Orders!$A$2:$D$1201,3,FALSE)</f>
        <v>46111</v>
      </c>
      <c r="L2375" t="str">
        <f>VLOOKUP(C2375,Products!$A$2:$D$13,2,FALSE)</f>
        <v>Webcam</v>
      </c>
      <c r="M2375" t="str">
        <f t="shared" si="113"/>
        <v>2026-03</v>
      </c>
    </row>
    <row r="2376" spans="1:13">
      <c r="A2376">
        <v>2375</v>
      </c>
      <c r="B2376">
        <v>2177</v>
      </c>
      <c r="C2376">
        <v>1</v>
      </c>
      <c r="D2376">
        <v>4</v>
      </c>
      <c r="E2376">
        <v>750</v>
      </c>
      <c r="F2376">
        <f t="shared" si="111"/>
        <v>3000</v>
      </c>
      <c r="G2376" t="str">
        <f>VLOOKUP(B2376,Orders!$A$2:$D$1201,4,FALSE)</f>
        <v>Delivered</v>
      </c>
      <c r="H2376">
        <f t="shared" si="112"/>
        <v>3000</v>
      </c>
      <c r="I2376" s="12">
        <f>VLOOKUP(B2376,Orders!$A$2:$D$1201,3,FALSE)</f>
        <v>46111</v>
      </c>
      <c r="L2376" t="str">
        <f>VLOOKUP(C2376,Products!$A$2:$D$13,2,FALSE)</f>
        <v>Laptop</v>
      </c>
      <c r="M2376" t="str">
        <f t="shared" si="113"/>
        <v>2026-03</v>
      </c>
    </row>
    <row r="2377" spans="1:13">
      <c r="A2377">
        <v>2376</v>
      </c>
      <c r="B2377">
        <v>2178</v>
      </c>
      <c r="C2377">
        <v>6</v>
      </c>
      <c r="D2377">
        <v>2</v>
      </c>
      <c r="E2377">
        <v>140</v>
      </c>
      <c r="F2377">
        <f t="shared" si="111"/>
        <v>280</v>
      </c>
      <c r="G2377" t="str">
        <f>VLOOKUP(B2377,Orders!$A$2:$D$1201,4,FALSE)</f>
        <v>Delivered</v>
      </c>
      <c r="H2377">
        <f t="shared" si="112"/>
        <v>280</v>
      </c>
      <c r="I2377" s="12">
        <f>VLOOKUP(B2377,Orders!$A$2:$D$1201,3,FALSE)</f>
        <v>46076</v>
      </c>
      <c r="L2377" t="str">
        <f>VLOOKUP(C2377,Products!$A$2:$D$13,2,FALSE)</f>
        <v>Chair</v>
      </c>
      <c r="M2377" t="str">
        <f t="shared" si="113"/>
        <v>2026-02</v>
      </c>
    </row>
    <row r="2378" spans="1:13">
      <c r="A2378">
        <v>2377</v>
      </c>
      <c r="B2378">
        <v>2178</v>
      </c>
      <c r="C2378">
        <v>7</v>
      </c>
      <c r="D2378">
        <v>4</v>
      </c>
      <c r="E2378">
        <v>65</v>
      </c>
      <c r="F2378">
        <f t="shared" si="111"/>
        <v>260</v>
      </c>
      <c r="G2378" t="str">
        <f>VLOOKUP(B2378,Orders!$A$2:$D$1201,4,FALSE)</f>
        <v>Delivered</v>
      </c>
      <c r="H2378">
        <f t="shared" si="112"/>
        <v>260</v>
      </c>
      <c r="I2378" s="12">
        <f>VLOOKUP(B2378,Orders!$A$2:$D$1201,3,FALSE)</f>
        <v>46076</v>
      </c>
      <c r="L2378" t="str">
        <f>VLOOKUP(C2378,Products!$A$2:$D$13,2,FALSE)</f>
        <v>Headphones</v>
      </c>
      <c r="M2378" t="str">
        <f t="shared" si="113"/>
        <v>2026-02</v>
      </c>
    </row>
    <row r="2379" spans="1:13">
      <c r="A2379">
        <v>2378</v>
      </c>
      <c r="B2379">
        <v>2178</v>
      </c>
      <c r="C2379">
        <v>12</v>
      </c>
      <c r="D2379">
        <v>1</v>
      </c>
      <c r="E2379">
        <v>22</v>
      </c>
      <c r="F2379">
        <f t="shared" si="111"/>
        <v>22</v>
      </c>
      <c r="G2379" t="str">
        <f>VLOOKUP(B2379,Orders!$A$2:$D$1201,4,FALSE)</f>
        <v>Delivered</v>
      </c>
      <c r="H2379">
        <f t="shared" si="112"/>
        <v>22</v>
      </c>
      <c r="I2379" s="12">
        <f>VLOOKUP(B2379,Orders!$A$2:$D$1201,3,FALSE)</f>
        <v>46076</v>
      </c>
      <c r="L2379" t="str">
        <f>VLOOKUP(C2379,Products!$A$2:$D$13,2,FALSE)</f>
        <v>Storage Box</v>
      </c>
      <c r="M2379" t="str">
        <f t="shared" si="113"/>
        <v>2026-02</v>
      </c>
    </row>
    <row r="2380" spans="1:13">
      <c r="A2380">
        <v>2379</v>
      </c>
      <c r="B2380">
        <v>2179</v>
      </c>
      <c r="C2380">
        <v>2</v>
      </c>
      <c r="D2380">
        <v>3</v>
      </c>
      <c r="E2380">
        <v>220</v>
      </c>
      <c r="F2380">
        <f t="shared" si="111"/>
        <v>660</v>
      </c>
      <c r="G2380" t="str">
        <f>VLOOKUP(B2380,Orders!$A$2:$D$1201,4,FALSE)</f>
        <v>Delivered</v>
      </c>
      <c r="H2380">
        <f t="shared" si="112"/>
        <v>660</v>
      </c>
      <c r="I2380" s="12">
        <f>VLOOKUP(B2380,Orders!$A$2:$D$1201,3,FALSE)</f>
        <v>46104</v>
      </c>
      <c r="L2380" t="str">
        <f>VLOOKUP(C2380,Products!$A$2:$D$13,2,FALSE)</f>
        <v>Monitor</v>
      </c>
      <c r="M2380" t="str">
        <f t="shared" si="113"/>
        <v>2026-03</v>
      </c>
    </row>
    <row r="2381" spans="1:13">
      <c r="A2381">
        <v>2380</v>
      </c>
      <c r="B2381">
        <v>2179</v>
      </c>
      <c r="C2381">
        <v>11</v>
      </c>
      <c r="D2381">
        <v>4</v>
      </c>
      <c r="E2381">
        <v>48</v>
      </c>
      <c r="F2381">
        <f t="shared" si="111"/>
        <v>192</v>
      </c>
      <c r="G2381" t="str">
        <f>VLOOKUP(B2381,Orders!$A$2:$D$1201,4,FALSE)</f>
        <v>Delivered</v>
      </c>
      <c r="H2381">
        <f t="shared" si="112"/>
        <v>192</v>
      </c>
      <c r="I2381" s="12">
        <f>VLOOKUP(B2381,Orders!$A$2:$D$1201,3,FALSE)</f>
        <v>46104</v>
      </c>
      <c r="L2381" t="str">
        <f>VLOOKUP(C2381,Products!$A$2:$D$13,2,FALSE)</f>
        <v>Backpack</v>
      </c>
      <c r="M2381" t="str">
        <f t="shared" si="113"/>
        <v>2026-03</v>
      </c>
    </row>
    <row r="2382" spans="1:13">
      <c r="A2382">
        <v>2381</v>
      </c>
      <c r="B2382">
        <v>2179</v>
      </c>
      <c r="C2382">
        <v>7</v>
      </c>
      <c r="D2382">
        <v>2</v>
      </c>
      <c r="E2382">
        <v>65</v>
      </c>
      <c r="F2382">
        <f t="shared" si="111"/>
        <v>130</v>
      </c>
      <c r="G2382" t="str">
        <f>VLOOKUP(B2382,Orders!$A$2:$D$1201,4,FALSE)</f>
        <v>Delivered</v>
      </c>
      <c r="H2382">
        <f t="shared" si="112"/>
        <v>130</v>
      </c>
      <c r="I2382" s="12">
        <f>VLOOKUP(B2382,Orders!$A$2:$D$1201,3,FALSE)</f>
        <v>46104</v>
      </c>
      <c r="L2382" t="str">
        <f>VLOOKUP(C2382,Products!$A$2:$D$13,2,FALSE)</f>
        <v>Headphones</v>
      </c>
      <c r="M2382" t="str">
        <f t="shared" si="113"/>
        <v>2026-03</v>
      </c>
    </row>
    <row r="2383" spans="1:13">
      <c r="A2383">
        <v>2382</v>
      </c>
      <c r="B2383">
        <v>2180</v>
      </c>
      <c r="C2383">
        <v>3</v>
      </c>
      <c r="D2383">
        <v>3</v>
      </c>
      <c r="E2383">
        <v>45</v>
      </c>
      <c r="F2383">
        <f t="shared" si="111"/>
        <v>135</v>
      </c>
      <c r="G2383" t="str">
        <f>VLOOKUP(B2383,Orders!$A$2:$D$1201,4,FALSE)</f>
        <v>Delivered</v>
      </c>
      <c r="H2383">
        <f t="shared" si="112"/>
        <v>135</v>
      </c>
      <c r="I2383" s="12">
        <f>VLOOKUP(B2383,Orders!$A$2:$D$1201,3,FALSE)</f>
        <v>46112</v>
      </c>
      <c r="L2383" t="str">
        <f>VLOOKUP(C2383,Products!$A$2:$D$13,2,FALSE)</f>
        <v>Keyboard</v>
      </c>
      <c r="M2383" t="str">
        <f t="shared" si="113"/>
        <v>2026-03</v>
      </c>
    </row>
    <row r="2384" spans="1:13">
      <c r="A2384">
        <v>2383</v>
      </c>
      <c r="B2384">
        <v>2180</v>
      </c>
      <c r="C2384">
        <v>12</v>
      </c>
      <c r="D2384">
        <v>1</v>
      </c>
      <c r="E2384">
        <v>22</v>
      </c>
      <c r="F2384">
        <f t="shared" si="111"/>
        <v>22</v>
      </c>
      <c r="G2384" t="str">
        <f>VLOOKUP(B2384,Orders!$A$2:$D$1201,4,FALSE)</f>
        <v>Delivered</v>
      </c>
      <c r="H2384">
        <f t="shared" si="112"/>
        <v>22</v>
      </c>
      <c r="I2384" s="12">
        <f>VLOOKUP(B2384,Orders!$A$2:$D$1201,3,FALSE)</f>
        <v>46112</v>
      </c>
      <c r="L2384" t="str">
        <f>VLOOKUP(C2384,Products!$A$2:$D$13,2,FALSE)</f>
        <v>Storage Box</v>
      </c>
      <c r="M2384" t="str">
        <f t="shared" si="113"/>
        <v>2026-03</v>
      </c>
    </row>
    <row r="2385" spans="1:13">
      <c r="A2385">
        <v>2384</v>
      </c>
      <c r="B2385">
        <v>2181</v>
      </c>
      <c r="C2385">
        <v>3</v>
      </c>
      <c r="D2385">
        <v>1</v>
      </c>
      <c r="E2385">
        <v>45</v>
      </c>
      <c r="F2385">
        <f t="shared" si="111"/>
        <v>45</v>
      </c>
      <c r="G2385" t="str">
        <f>VLOOKUP(B2385,Orders!$A$2:$D$1201,4,FALSE)</f>
        <v>Delivered</v>
      </c>
      <c r="H2385">
        <f t="shared" si="112"/>
        <v>45</v>
      </c>
      <c r="I2385" s="12">
        <f>VLOOKUP(B2385,Orders!$A$2:$D$1201,3,FALSE)</f>
        <v>46187</v>
      </c>
      <c r="L2385" t="str">
        <f>VLOOKUP(C2385,Products!$A$2:$D$13,2,FALSE)</f>
        <v>Keyboard</v>
      </c>
      <c r="M2385" t="str">
        <f t="shared" si="113"/>
        <v>2026-06</v>
      </c>
    </row>
    <row r="2386" spans="1:13">
      <c r="A2386">
        <v>2385</v>
      </c>
      <c r="B2386">
        <v>2181</v>
      </c>
      <c r="C2386">
        <v>7</v>
      </c>
      <c r="D2386">
        <v>2</v>
      </c>
      <c r="E2386">
        <v>65</v>
      </c>
      <c r="F2386">
        <f t="shared" si="111"/>
        <v>130</v>
      </c>
      <c r="G2386" t="str">
        <f>VLOOKUP(B2386,Orders!$A$2:$D$1201,4,FALSE)</f>
        <v>Delivered</v>
      </c>
      <c r="H2386">
        <f t="shared" si="112"/>
        <v>130</v>
      </c>
      <c r="I2386" s="12">
        <f>VLOOKUP(B2386,Orders!$A$2:$D$1201,3,FALSE)</f>
        <v>46187</v>
      </c>
      <c r="L2386" t="str">
        <f>VLOOKUP(C2386,Products!$A$2:$D$13,2,FALSE)</f>
        <v>Headphones</v>
      </c>
      <c r="M2386" t="str">
        <f t="shared" si="113"/>
        <v>2026-06</v>
      </c>
    </row>
    <row r="2387" spans="1:13">
      <c r="A2387">
        <v>2386</v>
      </c>
      <c r="B2387">
        <v>2181</v>
      </c>
      <c r="C2387">
        <v>10</v>
      </c>
      <c r="D2387">
        <v>1</v>
      </c>
      <c r="E2387">
        <v>8</v>
      </c>
      <c r="F2387">
        <f t="shared" si="111"/>
        <v>8</v>
      </c>
      <c r="G2387" t="str">
        <f>VLOOKUP(B2387,Orders!$A$2:$D$1201,4,FALSE)</f>
        <v>Delivered</v>
      </c>
      <c r="H2387">
        <f t="shared" si="112"/>
        <v>8</v>
      </c>
      <c r="I2387" s="12">
        <f>VLOOKUP(B2387,Orders!$A$2:$D$1201,3,FALSE)</f>
        <v>46187</v>
      </c>
      <c r="L2387" t="str">
        <f>VLOOKUP(C2387,Products!$A$2:$D$13,2,FALSE)</f>
        <v>Notebook</v>
      </c>
      <c r="M2387" t="str">
        <f t="shared" si="113"/>
        <v>2026-06</v>
      </c>
    </row>
    <row r="2388" spans="1:13">
      <c r="A2388">
        <v>2387</v>
      </c>
      <c r="B2388">
        <v>2182</v>
      </c>
      <c r="C2388">
        <v>6</v>
      </c>
      <c r="D2388">
        <v>4</v>
      </c>
      <c r="E2388">
        <v>140</v>
      </c>
      <c r="F2388">
        <f t="shared" si="111"/>
        <v>560</v>
      </c>
      <c r="G2388" t="str">
        <f>VLOOKUP(B2388,Orders!$A$2:$D$1201,4,FALSE)</f>
        <v>Delivered</v>
      </c>
      <c r="H2388">
        <f t="shared" si="112"/>
        <v>560</v>
      </c>
      <c r="I2388" s="12">
        <f>VLOOKUP(B2388,Orders!$A$2:$D$1201,3,FALSE)</f>
        <v>46090</v>
      </c>
      <c r="L2388" t="str">
        <f>VLOOKUP(C2388,Products!$A$2:$D$13,2,FALSE)</f>
        <v>Chair</v>
      </c>
      <c r="M2388" t="str">
        <f t="shared" si="113"/>
        <v>2026-03</v>
      </c>
    </row>
    <row r="2389" spans="1:13">
      <c r="A2389">
        <v>2388</v>
      </c>
      <c r="B2389">
        <v>2182</v>
      </c>
      <c r="C2389">
        <v>7</v>
      </c>
      <c r="D2389">
        <v>1</v>
      </c>
      <c r="E2389">
        <v>65</v>
      </c>
      <c r="F2389">
        <f t="shared" si="111"/>
        <v>65</v>
      </c>
      <c r="G2389" t="str">
        <f>VLOOKUP(B2389,Orders!$A$2:$D$1201,4,FALSE)</f>
        <v>Delivered</v>
      </c>
      <c r="H2389">
        <f t="shared" si="112"/>
        <v>65</v>
      </c>
      <c r="I2389" s="12">
        <f>VLOOKUP(B2389,Orders!$A$2:$D$1201,3,FALSE)</f>
        <v>46090</v>
      </c>
      <c r="L2389" t="str">
        <f>VLOOKUP(C2389,Products!$A$2:$D$13,2,FALSE)</f>
        <v>Headphones</v>
      </c>
      <c r="M2389" t="str">
        <f t="shared" si="113"/>
        <v>2026-03</v>
      </c>
    </row>
    <row r="2390" spans="1:13">
      <c r="A2390">
        <v>2389</v>
      </c>
      <c r="B2390">
        <v>2182</v>
      </c>
      <c r="C2390">
        <v>3</v>
      </c>
      <c r="D2390">
        <v>3</v>
      </c>
      <c r="E2390">
        <v>45</v>
      </c>
      <c r="F2390">
        <f t="shared" si="111"/>
        <v>135</v>
      </c>
      <c r="G2390" t="str">
        <f>VLOOKUP(B2390,Orders!$A$2:$D$1201,4,FALSE)</f>
        <v>Delivered</v>
      </c>
      <c r="H2390">
        <f t="shared" si="112"/>
        <v>135</v>
      </c>
      <c r="I2390" s="12">
        <f>VLOOKUP(B2390,Orders!$A$2:$D$1201,3,FALSE)</f>
        <v>46090</v>
      </c>
      <c r="L2390" t="str">
        <f>VLOOKUP(C2390,Products!$A$2:$D$13,2,FALSE)</f>
        <v>Keyboard</v>
      </c>
      <c r="M2390" t="str">
        <f t="shared" si="113"/>
        <v>2026-03</v>
      </c>
    </row>
    <row r="2391" spans="1:13">
      <c r="A2391">
        <v>2390</v>
      </c>
      <c r="B2391">
        <v>2183</v>
      </c>
      <c r="C2391">
        <v>3</v>
      </c>
      <c r="D2391">
        <v>1</v>
      </c>
      <c r="E2391">
        <v>45</v>
      </c>
      <c r="F2391">
        <f t="shared" si="111"/>
        <v>45</v>
      </c>
      <c r="G2391" t="str">
        <f>VLOOKUP(B2391,Orders!$A$2:$D$1201,4,FALSE)</f>
        <v>Delivered</v>
      </c>
      <c r="H2391">
        <f t="shared" si="112"/>
        <v>45</v>
      </c>
      <c r="I2391" s="12">
        <f>VLOOKUP(B2391,Orders!$A$2:$D$1201,3,FALSE)</f>
        <v>46136</v>
      </c>
      <c r="L2391" t="str">
        <f>VLOOKUP(C2391,Products!$A$2:$D$13,2,FALSE)</f>
        <v>Keyboard</v>
      </c>
      <c r="M2391" t="str">
        <f t="shared" si="113"/>
        <v>2026-04</v>
      </c>
    </row>
    <row r="2392" spans="1:13">
      <c r="A2392">
        <v>2391</v>
      </c>
      <c r="B2392">
        <v>2183</v>
      </c>
      <c r="C2392">
        <v>11</v>
      </c>
      <c r="D2392">
        <v>4</v>
      </c>
      <c r="E2392">
        <v>48</v>
      </c>
      <c r="F2392">
        <f t="shared" si="111"/>
        <v>192</v>
      </c>
      <c r="G2392" t="str">
        <f>VLOOKUP(B2392,Orders!$A$2:$D$1201,4,FALSE)</f>
        <v>Delivered</v>
      </c>
      <c r="H2392">
        <f t="shared" si="112"/>
        <v>192</v>
      </c>
      <c r="I2392" s="12">
        <f>VLOOKUP(B2392,Orders!$A$2:$D$1201,3,FALSE)</f>
        <v>46136</v>
      </c>
      <c r="L2392" t="str">
        <f>VLOOKUP(C2392,Products!$A$2:$D$13,2,FALSE)</f>
        <v>Backpack</v>
      </c>
      <c r="M2392" t="str">
        <f t="shared" si="113"/>
        <v>2026-04</v>
      </c>
    </row>
    <row r="2393" spans="1:13">
      <c r="A2393">
        <v>2392</v>
      </c>
      <c r="B2393">
        <v>2183</v>
      </c>
      <c r="C2393">
        <v>5</v>
      </c>
      <c r="D2393">
        <v>2</v>
      </c>
      <c r="E2393">
        <v>180</v>
      </c>
      <c r="F2393">
        <f t="shared" si="111"/>
        <v>360</v>
      </c>
      <c r="G2393" t="str">
        <f>VLOOKUP(B2393,Orders!$A$2:$D$1201,4,FALSE)</f>
        <v>Delivered</v>
      </c>
      <c r="H2393">
        <f t="shared" si="112"/>
        <v>360</v>
      </c>
      <c r="I2393" s="12">
        <f>VLOOKUP(B2393,Orders!$A$2:$D$1201,3,FALSE)</f>
        <v>46136</v>
      </c>
      <c r="L2393" t="str">
        <f>VLOOKUP(C2393,Products!$A$2:$D$13,2,FALSE)</f>
        <v>Desk</v>
      </c>
      <c r="M2393" t="str">
        <f t="shared" si="113"/>
        <v>2026-04</v>
      </c>
    </row>
    <row r="2394" spans="1:13">
      <c r="A2394">
        <v>2393</v>
      </c>
      <c r="B2394">
        <v>2184</v>
      </c>
      <c r="C2394">
        <v>1</v>
      </c>
      <c r="D2394">
        <v>3</v>
      </c>
      <c r="E2394">
        <v>750</v>
      </c>
      <c r="F2394">
        <f t="shared" si="111"/>
        <v>2250</v>
      </c>
      <c r="G2394" t="str">
        <f>VLOOKUP(B2394,Orders!$A$2:$D$1201,4,FALSE)</f>
        <v>Delivered</v>
      </c>
      <c r="H2394">
        <f t="shared" si="112"/>
        <v>2250</v>
      </c>
      <c r="I2394" s="12">
        <f>VLOOKUP(B2394,Orders!$A$2:$D$1201,3,FALSE)</f>
        <v>46135</v>
      </c>
      <c r="L2394" t="str">
        <f>VLOOKUP(C2394,Products!$A$2:$D$13,2,FALSE)</f>
        <v>Laptop</v>
      </c>
      <c r="M2394" t="str">
        <f t="shared" si="113"/>
        <v>2026-04</v>
      </c>
    </row>
    <row r="2395" spans="1:13">
      <c r="A2395">
        <v>2394</v>
      </c>
      <c r="B2395">
        <v>2185</v>
      </c>
      <c r="C2395">
        <v>7</v>
      </c>
      <c r="D2395">
        <v>2</v>
      </c>
      <c r="E2395">
        <v>65</v>
      </c>
      <c r="F2395">
        <f t="shared" si="111"/>
        <v>130</v>
      </c>
      <c r="G2395" t="str">
        <f>VLOOKUP(B2395,Orders!$A$2:$D$1201,4,FALSE)</f>
        <v>Delivered</v>
      </c>
      <c r="H2395">
        <f t="shared" si="112"/>
        <v>130</v>
      </c>
      <c r="I2395" s="12">
        <f>VLOOKUP(B2395,Orders!$A$2:$D$1201,3,FALSE)</f>
        <v>46129</v>
      </c>
      <c r="L2395" t="str">
        <f>VLOOKUP(C2395,Products!$A$2:$D$13,2,FALSE)</f>
        <v>Headphones</v>
      </c>
      <c r="M2395" t="str">
        <f t="shared" si="113"/>
        <v>2026-04</v>
      </c>
    </row>
    <row r="2396" spans="1:13">
      <c r="A2396">
        <v>2395</v>
      </c>
      <c r="B2396">
        <v>2186</v>
      </c>
      <c r="C2396">
        <v>7</v>
      </c>
      <c r="D2396">
        <v>3</v>
      </c>
      <c r="E2396">
        <v>65</v>
      </c>
      <c r="F2396">
        <f t="shared" si="111"/>
        <v>195</v>
      </c>
      <c r="G2396" t="str">
        <f>VLOOKUP(B2396,Orders!$A$2:$D$1201,4,FALSE)</f>
        <v>Delivered</v>
      </c>
      <c r="H2396">
        <f t="shared" si="112"/>
        <v>195</v>
      </c>
      <c r="I2396" s="12">
        <f>VLOOKUP(B2396,Orders!$A$2:$D$1201,3,FALSE)</f>
        <v>46089</v>
      </c>
      <c r="L2396" t="str">
        <f>VLOOKUP(C2396,Products!$A$2:$D$13,2,FALSE)</f>
        <v>Headphones</v>
      </c>
      <c r="M2396" t="str">
        <f t="shared" si="113"/>
        <v>2026-03</v>
      </c>
    </row>
    <row r="2397" spans="1:13">
      <c r="A2397">
        <v>2396</v>
      </c>
      <c r="B2397">
        <v>2186</v>
      </c>
      <c r="C2397">
        <v>6</v>
      </c>
      <c r="D2397">
        <v>2</v>
      </c>
      <c r="E2397">
        <v>140</v>
      </c>
      <c r="F2397">
        <f t="shared" si="111"/>
        <v>280</v>
      </c>
      <c r="G2397" t="str">
        <f>VLOOKUP(B2397,Orders!$A$2:$D$1201,4,FALSE)</f>
        <v>Delivered</v>
      </c>
      <c r="H2397">
        <f t="shared" si="112"/>
        <v>280</v>
      </c>
      <c r="I2397" s="12">
        <f>VLOOKUP(B2397,Orders!$A$2:$D$1201,3,FALSE)</f>
        <v>46089</v>
      </c>
      <c r="L2397" t="str">
        <f>VLOOKUP(C2397,Products!$A$2:$D$13,2,FALSE)</f>
        <v>Chair</v>
      </c>
      <c r="M2397" t="str">
        <f t="shared" si="113"/>
        <v>2026-03</v>
      </c>
    </row>
    <row r="2398" spans="1:13">
      <c r="A2398">
        <v>2397</v>
      </c>
      <c r="B2398">
        <v>2187</v>
      </c>
      <c r="C2398">
        <v>10</v>
      </c>
      <c r="D2398">
        <v>4</v>
      </c>
      <c r="E2398">
        <v>8</v>
      </c>
      <c r="F2398">
        <f t="shared" si="111"/>
        <v>32</v>
      </c>
      <c r="G2398" t="str">
        <f>VLOOKUP(B2398,Orders!$A$2:$D$1201,4,FALSE)</f>
        <v>Cancelled</v>
      </c>
      <c r="H2398">
        <f t="shared" si="112"/>
        <v>0</v>
      </c>
      <c r="I2398" s="12">
        <f>VLOOKUP(B2398,Orders!$A$2:$D$1201,3,FALSE)</f>
        <v>46105</v>
      </c>
      <c r="L2398" t="str">
        <f>VLOOKUP(C2398,Products!$A$2:$D$13,2,FALSE)</f>
        <v>Notebook</v>
      </c>
      <c r="M2398" t="str">
        <f t="shared" si="113"/>
        <v>2026-03</v>
      </c>
    </row>
    <row r="2399" spans="1:13">
      <c r="A2399">
        <v>2398</v>
      </c>
      <c r="B2399">
        <v>2187</v>
      </c>
      <c r="C2399">
        <v>3</v>
      </c>
      <c r="D2399">
        <v>3</v>
      </c>
      <c r="E2399">
        <v>45</v>
      </c>
      <c r="F2399">
        <f t="shared" si="111"/>
        <v>135</v>
      </c>
      <c r="G2399" t="str">
        <f>VLOOKUP(B2399,Orders!$A$2:$D$1201,4,FALSE)</f>
        <v>Cancelled</v>
      </c>
      <c r="H2399">
        <f t="shared" si="112"/>
        <v>0</v>
      </c>
      <c r="I2399" s="12">
        <f>VLOOKUP(B2399,Orders!$A$2:$D$1201,3,FALSE)</f>
        <v>46105</v>
      </c>
      <c r="L2399" t="str">
        <f>VLOOKUP(C2399,Products!$A$2:$D$13,2,FALSE)</f>
        <v>Keyboard</v>
      </c>
      <c r="M2399" t="str">
        <f t="shared" si="113"/>
        <v>2026-03</v>
      </c>
    </row>
    <row r="2400" spans="1:13">
      <c r="A2400">
        <v>2399</v>
      </c>
      <c r="B2400">
        <v>2187</v>
      </c>
      <c r="C2400">
        <v>2</v>
      </c>
      <c r="D2400">
        <v>1</v>
      </c>
      <c r="E2400">
        <v>220</v>
      </c>
      <c r="F2400">
        <f t="shared" si="111"/>
        <v>220</v>
      </c>
      <c r="G2400" t="str">
        <f>VLOOKUP(B2400,Orders!$A$2:$D$1201,4,FALSE)</f>
        <v>Cancelled</v>
      </c>
      <c r="H2400">
        <f t="shared" si="112"/>
        <v>0</v>
      </c>
      <c r="I2400" s="12">
        <f>VLOOKUP(B2400,Orders!$A$2:$D$1201,3,FALSE)</f>
        <v>46105</v>
      </c>
      <c r="L2400" t="str">
        <f>VLOOKUP(C2400,Products!$A$2:$D$13,2,FALSE)</f>
        <v>Monitor</v>
      </c>
      <c r="M2400" t="str">
        <f t="shared" si="113"/>
        <v>2026-03</v>
      </c>
    </row>
    <row r="2401" spans="1:13">
      <c r="A2401">
        <v>2400</v>
      </c>
      <c r="B2401">
        <v>2188</v>
      </c>
      <c r="C2401">
        <v>12</v>
      </c>
      <c r="D2401">
        <v>2</v>
      </c>
      <c r="E2401">
        <v>22</v>
      </c>
      <c r="F2401">
        <f t="shared" si="111"/>
        <v>44</v>
      </c>
      <c r="G2401" t="str">
        <f>VLOOKUP(B2401,Orders!$A$2:$D$1201,4,FALSE)</f>
        <v>Delivered</v>
      </c>
      <c r="H2401">
        <f t="shared" si="112"/>
        <v>44</v>
      </c>
      <c r="I2401" s="12">
        <f>VLOOKUP(B2401,Orders!$A$2:$D$1201,3,FALSE)</f>
        <v>46177</v>
      </c>
      <c r="L2401" t="str">
        <f>VLOOKUP(C2401,Products!$A$2:$D$13,2,FALSE)</f>
        <v>Storage Box</v>
      </c>
      <c r="M2401" t="str">
        <f t="shared" si="113"/>
        <v>2026-06</v>
      </c>
    </row>
    <row r="2402" spans="1:13">
      <c r="A2402">
        <v>2401</v>
      </c>
      <c r="B2402">
        <v>2188</v>
      </c>
      <c r="C2402">
        <v>11</v>
      </c>
      <c r="D2402">
        <v>4</v>
      </c>
      <c r="E2402">
        <v>48</v>
      </c>
      <c r="F2402">
        <f t="shared" si="111"/>
        <v>192</v>
      </c>
      <c r="G2402" t="str">
        <f>VLOOKUP(B2402,Orders!$A$2:$D$1201,4,FALSE)</f>
        <v>Delivered</v>
      </c>
      <c r="H2402">
        <f t="shared" si="112"/>
        <v>192</v>
      </c>
      <c r="I2402" s="12">
        <f>VLOOKUP(B2402,Orders!$A$2:$D$1201,3,FALSE)</f>
        <v>46177</v>
      </c>
      <c r="L2402" t="str">
        <f>VLOOKUP(C2402,Products!$A$2:$D$13,2,FALSE)</f>
        <v>Backpack</v>
      </c>
      <c r="M2402" t="str">
        <f t="shared" si="113"/>
        <v>2026-06</v>
      </c>
    </row>
    <row r="2403" spans="1:13">
      <c r="A2403">
        <v>2402</v>
      </c>
      <c r="B2403">
        <v>2188</v>
      </c>
      <c r="C2403">
        <v>9</v>
      </c>
      <c r="D2403">
        <v>3</v>
      </c>
      <c r="E2403">
        <v>30</v>
      </c>
      <c r="F2403">
        <f t="shared" si="111"/>
        <v>90</v>
      </c>
      <c r="G2403" t="str">
        <f>VLOOKUP(B2403,Orders!$A$2:$D$1201,4,FALSE)</f>
        <v>Delivered</v>
      </c>
      <c r="H2403">
        <f t="shared" si="112"/>
        <v>90</v>
      </c>
      <c r="I2403" s="12">
        <f>VLOOKUP(B2403,Orders!$A$2:$D$1201,3,FALSE)</f>
        <v>46177</v>
      </c>
      <c r="L2403" t="str">
        <f>VLOOKUP(C2403,Products!$A$2:$D$13,2,FALSE)</f>
        <v>Lamp</v>
      </c>
      <c r="M2403" t="str">
        <f t="shared" si="113"/>
        <v>2026-06</v>
      </c>
    </row>
    <row r="2404" spans="1:13">
      <c r="A2404">
        <v>2403</v>
      </c>
      <c r="B2404">
        <v>2189</v>
      </c>
      <c r="C2404">
        <v>9</v>
      </c>
      <c r="D2404">
        <v>4</v>
      </c>
      <c r="E2404">
        <v>30</v>
      </c>
      <c r="F2404">
        <f t="shared" si="111"/>
        <v>120</v>
      </c>
      <c r="G2404" t="str">
        <f>VLOOKUP(B2404,Orders!$A$2:$D$1201,4,FALSE)</f>
        <v>Delivered</v>
      </c>
      <c r="H2404">
        <f t="shared" si="112"/>
        <v>120</v>
      </c>
      <c r="I2404" s="12">
        <f>VLOOKUP(B2404,Orders!$A$2:$D$1201,3,FALSE)</f>
        <v>46174</v>
      </c>
      <c r="L2404" t="str">
        <f>VLOOKUP(C2404,Products!$A$2:$D$13,2,FALSE)</f>
        <v>Lamp</v>
      </c>
      <c r="M2404" t="str">
        <f t="shared" si="113"/>
        <v>2026-06</v>
      </c>
    </row>
    <row r="2405" spans="1:13">
      <c r="A2405">
        <v>2404</v>
      </c>
      <c r="B2405">
        <v>2190</v>
      </c>
      <c r="C2405">
        <v>12</v>
      </c>
      <c r="D2405">
        <v>3</v>
      </c>
      <c r="E2405">
        <v>22</v>
      </c>
      <c r="F2405">
        <f t="shared" si="111"/>
        <v>66</v>
      </c>
      <c r="G2405" t="str">
        <f>VLOOKUP(B2405,Orders!$A$2:$D$1201,4,FALSE)</f>
        <v>Delivered</v>
      </c>
      <c r="H2405">
        <f t="shared" si="112"/>
        <v>66</v>
      </c>
      <c r="I2405" s="12">
        <f>VLOOKUP(B2405,Orders!$A$2:$D$1201,3,FALSE)</f>
        <v>46060</v>
      </c>
      <c r="L2405" t="str">
        <f>VLOOKUP(C2405,Products!$A$2:$D$13,2,FALSE)</f>
        <v>Storage Box</v>
      </c>
      <c r="M2405" t="str">
        <f t="shared" si="113"/>
        <v>2026-02</v>
      </c>
    </row>
    <row r="2406" spans="1:13">
      <c r="A2406">
        <v>2405</v>
      </c>
      <c r="B2406">
        <v>2191</v>
      </c>
      <c r="C2406">
        <v>4</v>
      </c>
      <c r="D2406">
        <v>4</v>
      </c>
      <c r="E2406">
        <v>25</v>
      </c>
      <c r="F2406">
        <f t="shared" si="111"/>
        <v>100</v>
      </c>
      <c r="G2406" t="str">
        <f>VLOOKUP(B2406,Orders!$A$2:$D$1201,4,FALSE)</f>
        <v>Delivered</v>
      </c>
      <c r="H2406">
        <f t="shared" si="112"/>
        <v>100</v>
      </c>
      <c r="I2406" s="12">
        <f>VLOOKUP(B2406,Orders!$A$2:$D$1201,3,FALSE)</f>
        <v>46176</v>
      </c>
      <c r="L2406" t="str">
        <f>VLOOKUP(C2406,Products!$A$2:$D$13,2,FALSE)</f>
        <v>Mouse</v>
      </c>
      <c r="M2406" t="str">
        <f t="shared" si="113"/>
        <v>2026-06</v>
      </c>
    </row>
    <row r="2407" spans="1:13">
      <c r="A2407">
        <v>2406</v>
      </c>
      <c r="B2407">
        <v>2191</v>
      </c>
      <c r="C2407">
        <v>11</v>
      </c>
      <c r="D2407">
        <v>3</v>
      </c>
      <c r="E2407">
        <v>48</v>
      </c>
      <c r="F2407">
        <f t="shared" si="111"/>
        <v>144</v>
      </c>
      <c r="G2407" t="str">
        <f>VLOOKUP(B2407,Orders!$A$2:$D$1201,4,FALSE)</f>
        <v>Delivered</v>
      </c>
      <c r="H2407">
        <f t="shared" si="112"/>
        <v>144</v>
      </c>
      <c r="I2407" s="12">
        <f>VLOOKUP(B2407,Orders!$A$2:$D$1201,3,FALSE)</f>
        <v>46176</v>
      </c>
      <c r="L2407" t="str">
        <f>VLOOKUP(C2407,Products!$A$2:$D$13,2,FALSE)</f>
        <v>Backpack</v>
      </c>
      <c r="M2407" t="str">
        <f t="shared" si="113"/>
        <v>2026-06</v>
      </c>
    </row>
    <row r="2408" spans="1:13">
      <c r="A2408">
        <v>2407</v>
      </c>
      <c r="B2408">
        <v>2192</v>
      </c>
      <c r="C2408">
        <v>11</v>
      </c>
      <c r="D2408">
        <v>1</v>
      </c>
      <c r="E2408">
        <v>48</v>
      </c>
      <c r="F2408">
        <f t="shared" si="111"/>
        <v>48</v>
      </c>
      <c r="G2408" t="str">
        <f>VLOOKUP(B2408,Orders!$A$2:$D$1201,4,FALSE)</f>
        <v>Shipped</v>
      </c>
      <c r="H2408">
        <f t="shared" si="112"/>
        <v>48</v>
      </c>
      <c r="I2408" s="12">
        <f>VLOOKUP(B2408,Orders!$A$2:$D$1201,3,FALSE)</f>
        <v>46153</v>
      </c>
      <c r="L2408" t="str">
        <f>VLOOKUP(C2408,Products!$A$2:$D$13,2,FALSE)</f>
        <v>Backpack</v>
      </c>
      <c r="M2408" t="str">
        <f t="shared" si="113"/>
        <v>2026-05</v>
      </c>
    </row>
    <row r="2409" spans="1:13">
      <c r="A2409">
        <v>2408</v>
      </c>
      <c r="B2409">
        <v>2192</v>
      </c>
      <c r="C2409">
        <v>10</v>
      </c>
      <c r="D2409">
        <v>1</v>
      </c>
      <c r="E2409">
        <v>8</v>
      </c>
      <c r="F2409">
        <f t="shared" si="111"/>
        <v>8</v>
      </c>
      <c r="G2409" t="str">
        <f>VLOOKUP(B2409,Orders!$A$2:$D$1201,4,FALSE)</f>
        <v>Shipped</v>
      </c>
      <c r="H2409">
        <f t="shared" si="112"/>
        <v>8</v>
      </c>
      <c r="I2409" s="12">
        <f>VLOOKUP(B2409,Orders!$A$2:$D$1201,3,FALSE)</f>
        <v>46153</v>
      </c>
      <c r="L2409" t="str">
        <f>VLOOKUP(C2409,Products!$A$2:$D$13,2,FALSE)</f>
        <v>Notebook</v>
      </c>
      <c r="M2409" t="str">
        <f t="shared" si="113"/>
        <v>2026-05</v>
      </c>
    </row>
    <row r="2410" spans="1:13">
      <c r="A2410">
        <v>2409</v>
      </c>
      <c r="B2410">
        <v>2192</v>
      </c>
      <c r="C2410">
        <v>6</v>
      </c>
      <c r="D2410">
        <v>3</v>
      </c>
      <c r="E2410">
        <v>140</v>
      </c>
      <c r="F2410">
        <f t="shared" si="111"/>
        <v>420</v>
      </c>
      <c r="G2410" t="str">
        <f>VLOOKUP(B2410,Orders!$A$2:$D$1201,4,FALSE)</f>
        <v>Shipped</v>
      </c>
      <c r="H2410">
        <f t="shared" si="112"/>
        <v>420</v>
      </c>
      <c r="I2410" s="12">
        <f>VLOOKUP(B2410,Orders!$A$2:$D$1201,3,FALSE)</f>
        <v>46153</v>
      </c>
      <c r="L2410" t="str">
        <f>VLOOKUP(C2410,Products!$A$2:$D$13,2,FALSE)</f>
        <v>Chair</v>
      </c>
      <c r="M2410" t="str">
        <f t="shared" si="113"/>
        <v>2026-05</v>
      </c>
    </row>
    <row r="2411" spans="1:13">
      <c r="A2411">
        <v>2410</v>
      </c>
      <c r="B2411">
        <v>2193</v>
      </c>
      <c r="C2411">
        <v>3</v>
      </c>
      <c r="D2411">
        <v>2</v>
      </c>
      <c r="E2411">
        <v>45</v>
      </c>
      <c r="F2411">
        <f t="shared" si="111"/>
        <v>90</v>
      </c>
      <c r="G2411" t="str">
        <f>VLOOKUP(B2411,Orders!$A$2:$D$1201,4,FALSE)</f>
        <v>Delivered</v>
      </c>
      <c r="H2411">
        <f t="shared" si="112"/>
        <v>90</v>
      </c>
      <c r="I2411" s="12">
        <f>VLOOKUP(B2411,Orders!$A$2:$D$1201,3,FALSE)</f>
        <v>46180</v>
      </c>
      <c r="L2411" t="str">
        <f>VLOOKUP(C2411,Products!$A$2:$D$13,2,FALSE)</f>
        <v>Keyboard</v>
      </c>
      <c r="M2411" t="str">
        <f t="shared" si="113"/>
        <v>2026-06</v>
      </c>
    </row>
    <row r="2412" spans="1:13">
      <c r="A2412">
        <v>2411</v>
      </c>
      <c r="B2412">
        <v>2193</v>
      </c>
      <c r="C2412">
        <v>4</v>
      </c>
      <c r="D2412">
        <v>2</v>
      </c>
      <c r="E2412">
        <v>25</v>
      </c>
      <c r="F2412">
        <f t="shared" si="111"/>
        <v>50</v>
      </c>
      <c r="G2412" t="str">
        <f>VLOOKUP(B2412,Orders!$A$2:$D$1201,4,FALSE)</f>
        <v>Delivered</v>
      </c>
      <c r="H2412">
        <f t="shared" si="112"/>
        <v>50</v>
      </c>
      <c r="I2412" s="12">
        <f>VLOOKUP(B2412,Orders!$A$2:$D$1201,3,FALSE)</f>
        <v>46180</v>
      </c>
      <c r="L2412" t="str">
        <f>VLOOKUP(C2412,Products!$A$2:$D$13,2,FALSE)</f>
        <v>Mouse</v>
      </c>
      <c r="M2412" t="str">
        <f t="shared" si="113"/>
        <v>2026-06</v>
      </c>
    </row>
    <row r="2413" spans="1:13">
      <c r="A2413">
        <v>2412</v>
      </c>
      <c r="B2413">
        <v>2193</v>
      </c>
      <c r="C2413">
        <v>11</v>
      </c>
      <c r="D2413">
        <v>1</v>
      </c>
      <c r="E2413">
        <v>48</v>
      </c>
      <c r="F2413">
        <f t="shared" si="111"/>
        <v>48</v>
      </c>
      <c r="G2413" t="str">
        <f>VLOOKUP(B2413,Orders!$A$2:$D$1201,4,FALSE)</f>
        <v>Delivered</v>
      </c>
      <c r="H2413">
        <f t="shared" si="112"/>
        <v>48</v>
      </c>
      <c r="I2413" s="12">
        <f>VLOOKUP(B2413,Orders!$A$2:$D$1201,3,FALSE)</f>
        <v>46180</v>
      </c>
      <c r="L2413" t="str">
        <f>VLOOKUP(C2413,Products!$A$2:$D$13,2,FALSE)</f>
        <v>Backpack</v>
      </c>
      <c r="M2413" t="str">
        <f t="shared" si="113"/>
        <v>2026-06</v>
      </c>
    </row>
    <row r="2414" spans="1:13">
      <c r="A2414">
        <v>2413</v>
      </c>
      <c r="B2414">
        <v>2194</v>
      </c>
      <c r="C2414">
        <v>11</v>
      </c>
      <c r="D2414">
        <v>4</v>
      </c>
      <c r="E2414">
        <v>48</v>
      </c>
      <c r="F2414">
        <f t="shared" si="111"/>
        <v>192</v>
      </c>
      <c r="G2414" t="str">
        <f>VLOOKUP(B2414,Orders!$A$2:$D$1201,4,FALSE)</f>
        <v>Shipped</v>
      </c>
      <c r="H2414">
        <f t="shared" si="112"/>
        <v>192</v>
      </c>
      <c r="I2414" s="12">
        <f>VLOOKUP(B2414,Orders!$A$2:$D$1201,3,FALSE)</f>
        <v>46047</v>
      </c>
      <c r="L2414" t="str">
        <f>VLOOKUP(C2414,Products!$A$2:$D$13,2,FALSE)</f>
        <v>Backpack</v>
      </c>
      <c r="M2414" t="str">
        <f t="shared" si="113"/>
        <v>2026-01</v>
      </c>
    </row>
    <row r="2415" spans="1:13">
      <c r="A2415">
        <v>2414</v>
      </c>
      <c r="B2415">
        <v>2194</v>
      </c>
      <c r="C2415">
        <v>7</v>
      </c>
      <c r="D2415">
        <v>4</v>
      </c>
      <c r="E2415">
        <v>65</v>
      </c>
      <c r="F2415">
        <f t="shared" si="111"/>
        <v>260</v>
      </c>
      <c r="G2415" t="str">
        <f>VLOOKUP(B2415,Orders!$A$2:$D$1201,4,FALSE)</f>
        <v>Shipped</v>
      </c>
      <c r="H2415">
        <f t="shared" si="112"/>
        <v>260</v>
      </c>
      <c r="I2415" s="12">
        <f>VLOOKUP(B2415,Orders!$A$2:$D$1201,3,FALSE)</f>
        <v>46047</v>
      </c>
      <c r="L2415" t="str">
        <f>VLOOKUP(C2415,Products!$A$2:$D$13,2,FALSE)</f>
        <v>Headphones</v>
      </c>
      <c r="M2415" t="str">
        <f t="shared" si="113"/>
        <v>2026-01</v>
      </c>
    </row>
    <row r="2416" spans="1:13">
      <c r="A2416">
        <v>2415</v>
      </c>
      <c r="B2416">
        <v>2194</v>
      </c>
      <c r="C2416">
        <v>12</v>
      </c>
      <c r="D2416">
        <v>2</v>
      </c>
      <c r="E2416">
        <v>22</v>
      </c>
      <c r="F2416">
        <f t="shared" si="111"/>
        <v>44</v>
      </c>
      <c r="G2416" t="str">
        <f>VLOOKUP(B2416,Orders!$A$2:$D$1201,4,FALSE)</f>
        <v>Shipped</v>
      </c>
      <c r="H2416">
        <f t="shared" si="112"/>
        <v>44</v>
      </c>
      <c r="I2416" s="12">
        <f>VLOOKUP(B2416,Orders!$A$2:$D$1201,3,FALSE)</f>
        <v>46047</v>
      </c>
      <c r="L2416" t="str">
        <f>VLOOKUP(C2416,Products!$A$2:$D$13,2,FALSE)</f>
        <v>Storage Box</v>
      </c>
      <c r="M2416" t="str">
        <f t="shared" si="113"/>
        <v>2026-01</v>
      </c>
    </row>
    <row r="2417" spans="1:13">
      <c r="A2417">
        <v>2416</v>
      </c>
      <c r="B2417">
        <v>2195</v>
      </c>
      <c r="C2417">
        <v>7</v>
      </c>
      <c r="D2417">
        <v>1</v>
      </c>
      <c r="E2417">
        <v>65</v>
      </c>
      <c r="F2417">
        <f t="shared" si="111"/>
        <v>65</v>
      </c>
      <c r="G2417" t="str">
        <f>VLOOKUP(B2417,Orders!$A$2:$D$1201,4,FALSE)</f>
        <v>Delivered</v>
      </c>
      <c r="H2417">
        <f t="shared" si="112"/>
        <v>65</v>
      </c>
      <c r="I2417" s="12">
        <f>VLOOKUP(B2417,Orders!$A$2:$D$1201,3,FALSE)</f>
        <v>46047</v>
      </c>
      <c r="L2417" t="str">
        <f>VLOOKUP(C2417,Products!$A$2:$D$13,2,FALSE)</f>
        <v>Headphones</v>
      </c>
      <c r="M2417" t="str">
        <f t="shared" si="113"/>
        <v>2026-01</v>
      </c>
    </row>
    <row r="2418" spans="1:13">
      <c r="A2418">
        <v>2417</v>
      </c>
      <c r="B2418">
        <v>2195</v>
      </c>
      <c r="C2418">
        <v>5</v>
      </c>
      <c r="D2418">
        <v>2</v>
      </c>
      <c r="E2418">
        <v>180</v>
      </c>
      <c r="F2418">
        <f t="shared" si="111"/>
        <v>360</v>
      </c>
      <c r="G2418" t="str">
        <f>VLOOKUP(B2418,Orders!$A$2:$D$1201,4,FALSE)</f>
        <v>Delivered</v>
      </c>
      <c r="H2418">
        <f t="shared" si="112"/>
        <v>360</v>
      </c>
      <c r="I2418" s="12">
        <f>VLOOKUP(B2418,Orders!$A$2:$D$1201,3,FALSE)</f>
        <v>46047</v>
      </c>
      <c r="L2418" t="str">
        <f>VLOOKUP(C2418,Products!$A$2:$D$13,2,FALSE)</f>
        <v>Desk</v>
      </c>
      <c r="M2418" t="str">
        <f t="shared" si="113"/>
        <v>2026-01</v>
      </c>
    </row>
    <row r="2419" spans="1:13">
      <c r="A2419">
        <v>2418</v>
      </c>
      <c r="B2419">
        <v>2195</v>
      </c>
      <c r="C2419">
        <v>8</v>
      </c>
      <c r="D2419">
        <v>3</v>
      </c>
      <c r="E2419">
        <v>55</v>
      </c>
      <c r="F2419">
        <f t="shared" si="111"/>
        <v>165</v>
      </c>
      <c r="G2419" t="str">
        <f>VLOOKUP(B2419,Orders!$A$2:$D$1201,4,FALSE)</f>
        <v>Delivered</v>
      </c>
      <c r="H2419">
        <f t="shared" si="112"/>
        <v>165</v>
      </c>
      <c r="I2419" s="12">
        <f>VLOOKUP(B2419,Orders!$A$2:$D$1201,3,FALSE)</f>
        <v>46047</v>
      </c>
      <c r="L2419" t="str">
        <f>VLOOKUP(C2419,Products!$A$2:$D$13,2,FALSE)</f>
        <v>Webcam</v>
      </c>
      <c r="M2419" t="str">
        <f t="shared" si="113"/>
        <v>2026-01</v>
      </c>
    </row>
    <row r="2420" spans="1:13">
      <c r="A2420">
        <v>2419</v>
      </c>
      <c r="B2420">
        <v>2196</v>
      </c>
      <c r="C2420">
        <v>5</v>
      </c>
      <c r="D2420">
        <v>1</v>
      </c>
      <c r="E2420">
        <v>180</v>
      </c>
      <c r="F2420">
        <f t="shared" si="111"/>
        <v>180</v>
      </c>
      <c r="G2420" t="str">
        <f>VLOOKUP(B2420,Orders!$A$2:$D$1201,4,FALSE)</f>
        <v>Delivered</v>
      </c>
      <c r="H2420">
        <f t="shared" si="112"/>
        <v>180</v>
      </c>
      <c r="I2420" s="12">
        <f>VLOOKUP(B2420,Orders!$A$2:$D$1201,3,FALSE)</f>
        <v>46043</v>
      </c>
      <c r="L2420" t="str">
        <f>VLOOKUP(C2420,Products!$A$2:$D$13,2,FALSE)</f>
        <v>Desk</v>
      </c>
      <c r="M2420" t="str">
        <f t="shared" si="113"/>
        <v>2026-01</v>
      </c>
    </row>
    <row r="2421" spans="1:13">
      <c r="A2421">
        <v>2420</v>
      </c>
      <c r="B2421">
        <v>2196</v>
      </c>
      <c r="C2421">
        <v>1</v>
      </c>
      <c r="D2421">
        <v>1</v>
      </c>
      <c r="E2421">
        <v>750</v>
      </c>
      <c r="F2421">
        <f t="shared" si="111"/>
        <v>750</v>
      </c>
      <c r="G2421" t="str">
        <f>VLOOKUP(B2421,Orders!$A$2:$D$1201,4,FALSE)</f>
        <v>Delivered</v>
      </c>
      <c r="H2421">
        <f t="shared" si="112"/>
        <v>750</v>
      </c>
      <c r="I2421" s="12">
        <f>VLOOKUP(B2421,Orders!$A$2:$D$1201,3,FALSE)</f>
        <v>46043</v>
      </c>
      <c r="L2421" t="str">
        <f>VLOOKUP(C2421,Products!$A$2:$D$13,2,FALSE)</f>
        <v>Laptop</v>
      </c>
      <c r="M2421" t="str">
        <f t="shared" si="113"/>
        <v>2026-01</v>
      </c>
    </row>
    <row r="2422" spans="1:13">
      <c r="A2422">
        <v>2421</v>
      </c>
      <c r="B2422">
        <v>2196</v>
      </c>
      <c r="C2422">
        <v>10</v>
      </c>
      <c r="D2422">
        <v>3</v>
      </c>
      <c r="E2422">
        <v>8</v>
      </c>
      <c r="F2422">
        <f t="shared" si="111"/>
        <v>24</v>
      </c>
      <c r="G2422" t="str">
        <f>VLOOKUP(B2422,Orders!$A$2:$D$1201,4,FALSE)</f>
        <v>Delivered</v>
      </c>
      <c r="H2422">
        <f t="shared" si="112"/>
        <v>24</v>
      </c>
      <c r="I2422" s="12">
        <f>VLOOKUP(B2422,Orders!$A$2:$D$1201,3,FALSE)</f>
        <v>46043</v>
      </c>
      <c r="L2422" t="str">
        <f>VLOOKUP(C2422,Products!$A$2:$D$13,2,FALSE)</f>
        <v>Notebook</v>
      </c>
      <c r="M2422" t="str">
        <f t="shared" si="113"/>
        <v>2026-01</v>
      </c>
    </row>
    <row r="2423" spans="1:13">
      <c r="A2423">
        <v>2422</v>
      </c>
      <c r="B2423">
        <v>2197</v>
      </c>
      <c r="C2423">
        <v>10</v>
      </c>
      <c r="D2423">
        <v>3</v>
      </c>
      <c r="E2423">
        <v>8</v>
      </c>
      <c r="F2423">
        <f t="shared" si="111"/>
        <v>24</v>
      </c>
      <c r="G2423" t="str">
        <f>VLOOKUP(B2423,Orders!$A$2:$D$1201,4,FALSE)</f>
        <v>Delivered</v>
      </c>
      <c r="H2423">
        <f t="shared" si="112"/>
        <v>24</v>
      </c>
      <c r="I2423" s="12">
        <f>VLOOKUP(B2423,Orders!$A$2:$D$1201,3,FALSE)</f>
        <v>46024</v>
      </c>
      <c r="L2423" t="str">
        <f>VLOOKUP(C2423,Products!$A$2:$D$13,2,FALSE)</f>
        <v>Notebook</v>
      </c>
      <c r="M2423" t="str">
        <f t="shared" si="113"/>
        <v>2026-01</v>
      </c>
    </row>
    <row r="2424" spans="1:13">
      <c r="A2424">
        <v>2423</v>
      </c>
      <c r="B2424">
        <v>2198</v>
      </c>
      <c r="C2424">
        <v>2</v>
      </c>
      <c r="D2424">
        <v>2</v>
      </c>
      <c r="E2424">
        <v>220</v>
      </c>
      <c r="F2424">
        <f t="shared" si="111"/>
        <v>440</v>
      </c>
      <c r="G2424" t="str">
        <f>VLOOKUP(B2424,Orders!$A$2:$D$1201,4,FALSE)</f>
        <v>Delivered</v>
      </c>
      <c r="H2424">
        <f t="shared" si="112"/>
        <v>440</v>
      </c>
      <c r="I2424" s="12">
        <f>VLOOKUP(B2424,Orders!$A$2:$D$1201,3,FALSE)</f>
        <v>46150</v>
      </c>
      <c r="L2424" t="str">
        <f>VLOOKUP(C2424,Products!$A$2:$D$13,2,FALSE)</f>
        <v>Monitor</v>
      </c>
      <c r="M2424" t="str">
        <f t="shared" si="113"/>
        <v>2026-05</v>
      </c>
    </row>
    <row r="2425" spans="1:13">
      <c r="A2425">
        <v>2424</v>
      </c>
      <c r="B2425">
        <v>2198</v>
      </c>
      <c r="C2425">
        <v>11</v>
      </c>
      <c r="D2425">
        <v>3</v>
      </c>
      <c r="E2425">
        <v>48</v>
      </c>
      <c r="F2425">
        <f t="shared" si="111"/>
        <v>144</v>
      </c>
      <c r="G2425" t="str">
        <f>VLOOKUP(B2425,Orders!$A$2:$D$1201,4,FALSE)</f>
        <v>Delivered</v>
      </c>
      <c r="H2425">
        <f t="shared" si="112"/>
        <v>144</v>
      </c>
      <c r="I2425" s="12">
        <f>VLOOKUP(B2425,Orders!$A$2:$D$1201,3,FALSE)</f>
        <v>46150</v>
      </c>
      <c r="L2425" t="str">
        <f>VLOOKUP(C2425,Products!$A$2:$D$13,2,FALSE)</f>
        <v>Backpack</v>
      </c>
      <c r="M2425" t="str">
        <f t="shared" si="113"/>
        <v>2026-05</v>
      </c>
    </row>
    <row r="2426" spans="1:13">
      <c r="A2426">
        <v>2425</v>
      </c>
      <c r="B2426">
        <v>2199</v>
      </c>
      <c r="C2426">
        <v>10</v>
      </c>
      <c r="D2426">
        <v>1</v>
      </c>
      <c r="E2426">
        <v>8</v>
      </c>
      <c r="F2426">
        <f t="shared" si="111"/>
        <v>8</v>
      </c>
      <c r="G2426" t="str">
        <f>VLOOKUP(B2426,Orders!$A$2:$D$1201,4,FALSE)</f>
        <v>Delivered</v>
      </c>
      <c r="H2426">
        <f t="shared" si="112"/>
        <v>8</v>
      </c>
      <c r="I2426" s="12">
        <f>VLOOKUP(B2426,Orders!$A$2:$D$1201,3,FALSE)</f>
        <v>46152</v>
      </c>
      <c r="L2426" t="str">
        <f>VLOOKUP(C2426,Products!$A$2:$D$13,2,FALSE)</f>
        <v>Notebook</v>
      </c>
      <c r="M2426" t="str">
        <f t="shared" si="113"/>
        <v>2026-05</v>
      </c>
    </row>
    <row r="2427" spans="1:13">
      <c r="A2427">
        <v>2426</v>
      </c>
      <c r="B2427">
        <v>2200</v>
      </c>
      <c r="C2427">
        <v>11</v>
      </c>
      <c r="D2427">
        <v>2</v>
      </c>
      <c r="E2427">
        <v>48</v>
      </c>
      <c r="F2427">
        <f t="shared" si="111"/>
        <v>96</v>
      </c>
      <c r="G2427" t="str">
        <f>VLOOKUP(B2427,Orders!$A$2:$D$1201,4,FALSE)</f>
        <v>Shipped</v>
      </c>
      <c r="H2427">
        <f t="shared" si="112"/>
        <v>96</v>
      </c>
      <c r="I2427" s="12">
        <f>VLOOKUP(B2427,Orders!$A$2:$D$1201,3,FALSE)</f>
        <v>46102</v>
      </c>
      <c r="L2427" t="str">
        <f>VLOOKUP(C2427,Products!$A$2:$D$13,2,FALSE)</f>
        <v>Backpack</v>
      </c>
      <c r="M2427" t="str">
        <f t="shared" si="113"/>
        <v>2026-03</v>
      </c>
    </row>
    <row r="2428" spans="1:13">
      <c r="A2428">
        <v>2427</v>
      </c>
      <c r="B2428">
        <v>2200</v>
      </c>
      <c r="C2428">
        <v>3</v>
      </c>
      <c r="D2428">
        <v>1</v>
      </c>
      <c r="E2428">
        <v>45</v>
      </c>
      <c r="F2428">
        <f t="shared" si="111"/>
        <v>45</v>
      </c>
      <c r="G2428" t="str">
        <f>VLOOKUP(B2428,Orders!$A$2:$D$1201,4,FALSE)</f>
        <v>Shipped</v>
      </c>
      <c r="H2428">
        <f t="shared" si="112"/>
        <v>45</v>
      </c>
      <c r="I2428" s="12">
        <f>VLOOKUP(B2428,Orders!$A$2:$D$1201,3,FALSE)</f>
        <v>46102</v>
      </c>
      <c r="L2428" t="str">
        <f>VLOOKUP(C2428,Products!$A$2:$D$13,2,FALSE)</f>
        <v>Keyboard</v>
      </c>
      <c r="M2428" t="str">
        <f t="shared" si="113"/>
        <v>2026-03</v>
      </c>
    </row>
  </sheetData>
  <autoFilter ref="A1:E2428" xr:uid="{00000000-0009-0000-0000-000003000000}"/>
  <conditionalFormatting sqref="A2:A2428">
    <cfRule type="duplicateValues" dxfId="0" priority="1"/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1FDF-2B01-4B94-87E2-69349F3867DA}">
  <dimension ref="A1:D6"/>
  <sheetViews>
    <sheetView workbookViewId="0">
      <selection activeCell="B24" sqref="B24"/>
    </sheetView>
  </sheetViews>
  <sheetFormatPr defaultRowHeight="14.4"/>
  <cols>
    <col min="1" max="1" width="11.21875" customWidth="1"/>
    <col min="2" max="2" width="53.44140625" customWidth="1"/>
    <col min="3" max="3" width="60" customWidth="1"/>
    <col min="4" max="4" width="14.44140625" customWidth="1"/>
  </cols>
  <sheetData>
    <row r="1" spans="1:4">
      <c r="A1" t="s">
        <v>350</v>
      </c>
      <c r="B1" t="s">
        <v>351</v>
      </c>
      <c r="C1" t="s">
        <v>352</v>
      </c>
      <c r="D1" t="s">
        <v>353</v>
      </c>
    </row>
    <row r="2" spans="1:4">
      <c r="A2" t="s">
        <v>354</v>
      </c>
      <c r="B2" t="s">
        <v>355</v>
      </c>
      <c r="C2" t="s">
        <v>356</v>
      </c>
      <c r="D2">
        <v>1</v>
      </c>
    </row>
    <row r="3" spans="1:4">
      <c r="A3" t="s">
        <v>357</v>
      </c>
      <c r="B3" t="s">
        <v>358</v>
      </c>
      <c r="C3" t="s">
        <v>359</v>
      </c>
      <c r="D3">
        <v>0</v>
      </c>
    </row>
    <row r="4" spans="1:4">
      <c r="A4" t="s">
        <v>357</v>
      </c>
      <c r="B4" t="s">
        <v>361</v>
      </c>
      <c r="C4" t="s">
        <v>362</v>
      </c>
      <c r="D4">
        <v>0</v>
      </c>
    </row>
    <row r="5" spans="1:4">
      <c r="A5" t="s">
        <v>365</v>
      </c>
      <c r="B5" t="s">
        <v>366</v>
      </c>
      <c r="C5" t="s">
        <v>367</v>
      </c>
      <c r="D5">
        <v>0</v>
      </c>
    </row>
    <row r="6" spans="1:4">
      <c r="A6" t="s">
        <v>365</v>
      </c>
      <c r="B6" t="s">
        <v>369</v>
      </c>
      <c r="C6" t="s">
        <v>370</v>
      </c>
      <c r="D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FDE9B-7785-431C-B07D-98F227C9C920}">
  <dimension ref="A3:G8"/>
  <sheetViews>
    <sheetView workbookViewId="0">
      <selection activeCell="E29" sqref="E29"/>
    </sheetView>
  </sheetViews>
  <sheetFormatPr defaultRowHeight="14.4"/>
  <cols>
    <col min="1" max="1" width="15.44140625" bestFit="1" customWidth="1"/>
    <col min="2" max="2" width="15.5546875" bestFit="1" customWidth="1"/>
    <col min="3" max="3" width="12.33203125" bestFit="1" customWidth="1"/>
    <col min="4" max="4" width="7.6640625" bestFit="1" customWidth="1"/>
    <col min="5" max="5" width="9.21875" bestFit="1" customWidth="1"/>
    <col min="6" max="6" width="10.77734375" bestFit="1" customWidth="1"/>
  </cols>
  <sheetData>
    <row r="3" spans="1:7">
      <c r="A3" s="4" t="s">
        <v>384</v>
      </c>
      <c r="B3" s="4" t="s">
        <v>382</v>
      </c>
    </row>
    <row r="4" spans="1:7">
      <c r="A4" s="4" t="s">
        <v>380</v>
      </c>
      <c r="B4" t="s">
        <v>374</v>
      </c>
      <c r="C4" t="s">
        <v>383</v>
      </c>
      <c r="D4" t="s">
        <v>373</v>
      </c>
      <c r="E4" t="s">
        <v>375</v>
      </c>
      <c r="F4" t="s">
        <v>381</v>
      </c>
      <c r="G4" t="s">
        <v>385</v>
      </c>
    </row>
    <row r="5" spans="1:7">
      <c r="A5" s="5" t="s">
        <v>348</v>
      </c>
      <c r="B5">
        <v>112</v>
      </c>
      <c r="C5">
        <v>30</v>
      </c>
      <c r="D5">
        <v>243</v>
      </c>
      <c r="F5">
        <v>385</v>
      </c>
      <c r="G5" s="6">
        <f>D5/(D5+B5)</f>
        <v>0.6845070422535211</v>
      </c>
    </row>
    <row r="6" spans="1:7">
      <c r="A6" s="5" t="s">
        <v>347</v>
      </c>
      <c r="B6">
        <v>101</v>
      </c>
      <c r="C6">
        <v>30</v>
      </c>
      <c r="D6">
        <v>238</v>
      </c>
      <c r="E6">
        <v>1</v>
      </c>
      <c r="F6">
        <v>370</v>
      </c>
      <c r="G6" s="6">
        <f t="shared" ref="G6:G7" si="0">D6/(D6+B6)</f>
        <v>0.70206489675516226</v>
      </c>
    </row>
    <row r="7" spans="1:7">
      <c r="A7" s="5" t="s">
        <v>346</v>
      </c>
      <c r="B7">
        <v>108</v>
      </c>
      <c r="C7">
        <v>41</v>
      </c>
      <c r="D7">
        <v>241</v>
      </c>
      <c r="F7">
        <v>390</v>
      </c>
      <c r="G7" s="6">
        <f t="shared" si="0"/>
        <v>0.69054441260744981</v>
      </c>
    </row>
    <row r="8" spans="1:7">
      <c r="A8" s="5" t="s">
        <v>381</v>
      </c>
      <c r="B8">
        <v>321</v>
      </c>
      <c r="C8">
        <v>101</v>
      </c>
      <c r="D8">
        <v>722</v>
      </c>
      <c r="E8">
        <v>1</v>
      </c>
      <c r="F8">
        <v>1145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86442-53FB-4109-AEEE-A88D8AE6A167}">
  <dimension ref="A1:G8"/>
  <sheetViews>
    <sheetView workbookViewId="0">
      <selection activeCell="L27" sqref="L27"/>
    </sheetView>
  </sheetViews>
  <sheetFormatPr defaultRowHeight="14.4"/>
  <cols>
    <col min="1" max="1" width="15.44140625" bestFit="1" customWidth="1"/>
    <col min="2" max="2" width="15.5546875" bestFit="1" customWidth="1"/>
    <col min="3" max="3" width="12.33203125" bestFit="1" customWidth="1"/>
    <col min="4" max="4" width="7.6640625" bestFit="1" customWidth="1"/>
    <col min="5" max="5" width="9.21875" bestFit="1" customWidth="1"/>
    <col min="6" max="6" width="10.77734375" bestFit="1" customWidth="1"/>
  </cols>
  <sheetData>
    <row r="1" spans="1:7">
      <c r="A1" s="4" t="s">
        <v>386</v>
      </c>
      <c r="B1" t="s">
        <v>373</v>
      </c>
    </row>
    <row r="3" spans="1:7">
      <c r="A3" s="4" t="s">
        <v>380</v>
      </c>
      <c r="B3" s="4" t="s">
        <v>382</v>
      </c>
    </row>
    <row r="4" spans="1:7">
      <c r="A4" s="4" t="s">
        <v>380</v>
      </c>
      <c r="B4" t="s">
        <v>374</v>
      </c>
      <c r="C4" t="s">
        <v>383</v>
      </c>
      <c r="D4" t="s">
        <v>373</v>
      </c>
      <c r="E4" t="s">
        <v>375</v>
      </c>
      <c r="F4" t="s">
        <v>381</v>
      </c>
      <c r="G4" t="s">
        <v>387</v>
      </c>
    </row>
    <row r="5" spans="1:7">
      <c r="A5" s="5" t="s">
        <v>348</v>
      </c>
      <c r="B5" s="7">
        <v>81</v>
      </c>
      <c r="C5" s="7">
        <v>17</v>
      </c>
      <c r="D5" s="7">
        <v>200</v>
      </c>
      <c r="E5" s="7"/>
      <c r="F5" s="7">
        <v>298</v>
      </c>
      <c r="G5" s="8">
        <f>D5/(D5+B5)</f>
        <v>0.71174377224199292</v>
      </c>
    </row>
    <row r="6" spans="1:7">
      <c r="A6" s="5" t="s">
        <v>347</v>
      </c>
      <c r="B6" s="7">
        <v>76</v>
      </c>
      <c r="C6" s="7">
        <v>18</v>
      </c>
      <c r="D6" s="7">
        <v>188</v>
      </c>
      <c r="E6" s="7">
        <v>1</v>
      </c>
      <c r="F6" s="7">
        <v>283</v>
      </c>
      <c r="G6" s="8">
        <f t="shared" ref="G6:G7" si="0">D6/(D6+B6)</f>
        <v>0.71212121212121215</v>
      </c>
    </row>
    <row r="7" spans="1:7">
      <c r="A7" s="5" t="s">
        <v>346</v>
      </c>
      <c r="B7" s="7">
        <v>84</v>
      </c>
      <c r="C7" s="7">
        <v>23</v>
      </c>
      <c r="D7" s="7">
        <v>196</v>
      </c>
      <c r="E7" s="7"/>
      <c r="F7" s="7">
        <v>303</v>
      </c>
      <c r="G7" s="8">
        <f t="shared" si="0"/>
        <v>0.7</v>
      </c>
    </row>
    <row r="8" spans="1:7">
      <c r="A8" s="5" t="s">
        <v>381</v>
      </c>
      <c r="B8" s="7">
        <v>241</v>
      </c>
      <c r="C8" s="7">
        <v>58</v>
      </c>
      <c r="D8" s="7">
        <v>584</v>
      </c>
      <c r="E8" s="7">
        <v>1</v>
      </c>
      <c r="F8" s="7">
        <v>884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146"/>
  <sheetViews>
    <sheetView topLeftCell="E1" workbookViewId="0">
      <pane ySplit="1" topLeftCell="A2" activePane="bottomLeft" state="frozen"/>
      <selection pane="bottomLeft" activeCell="M20" sqref="M20"/>
    </sheetView>
  </sheetViews>
  <sheetFormatPr defaultRowHeight="14.4"/>
  <cols>
    <col min="1" max="1" width="9" customWidth="1"/>
    <col min="2" max="2" width="16" customWidth="1"/>
    <col min="3" max="3" width="22" customWidth="1"/>
    <col min="4" max="4" width="19" customWidth="1"/>
    <col min="5" max="5" width="22" customWidth="1"/>
    <col min="6" max="6" width="20" customWidth="1"/>
    <col min="7" max="7" width="26" customWidth="1"/>
    <col min="8" max="8" width="20.21875" customWidth="1"/>
    <col min="9" max="9" width="14.77734375" customWidth="1"/>
    <col min="10" max="10" width="12.33203125" customWidth="1"/>
    <col min="11" max="11" width="14.88671875" customWidth="1"/>
    <col min="12" max="12" width="14.77734375" customWidth="1"/>
    <col min="13" max="13" width="33.109375" customWidth="1"/>
    <col min="14" max="14" width="11.6640625" customWidth="1"/>
    <col min="15" max="15" width="21.6640625" customWidth="1"/>
  </cols>
  <sheetData>
    <row r="1" spans="1:15">
      <c r="A1" t="s">
        <v>330</v>
      </c>
      <c r="B1" t="s">
        <v>340</v>
      </c>
      <c r="C1" t="s">
        <v>341</v>
      </c>
      <c r="D1" t="s">
        <v>342</v>
      </c>
      <c r="E1" t="s">
        <v>343</v>
      </c>
      <c r="F1" t="s">
        <v>344</v>
      </c>
      <c r="G1" t="s">
        <v>345</v>
      </c>
      <c r="H1" t="s">
        <v>363</v>
      </c>
      <c r="I1" t="s">
        <v>364</v>
      </c>
      <c r="J1" t="s">
        <v>368</v>
      </c>
      <c r="K1" t="s">
        <v>371</v>
      </c>
      <c r="L1" t="s">
        <v>386</v>
      </c>
      <c r="M1" t="s">
        <v>371</v>
      </c>
      <c r="N1" t="s">
        <v>372</v>
      </c>
      <c r="O1" t="s">
        <v>388</v>
      </c>
    </row>
    <row r="2" spans="1:15">
      <c r="A2">
        <v>1001</v>
      </c>
      <c r="B2" t="s">
        <v>346</v>
      </c>
      <c r="C2" s="1">
        <v>46044</v>
      </c>
      <c r="D2" s="1">
        <v>46044</v>
      </c>
      <c r="E2" s="1">
        <v>46049</v>
      </c>
      <c r="H2">
        <f>LEN(B2)-LEN(TRIM(B2))</f>
        <v>0</v>
      </c>
      <c r="I2" t="str">
        <f>TRIM(B2)</f>
        <v>SwiftShip</v>
      </c>
      <c r="J2" t="str">
        <f>VLOOKUP(A2,Orders!$A$2:$D$1201,4,FALSE)</f>
        <v>Shipped</v>
      </c>
      <c r="K2" t="str">
        <f>IF(J2&lt;&gt;"Delivered","Not delivered",IF(OR(E2="",F2=""),"Unknown",IF(F2&lt;=E2,"On time","Late")))</f>
        <v>Not delivered</v>
      </c>
      <c r="L2" t="str">
        <f>IF(D2="","Not dispatched",IF(C2="","Unknown",IF(D2&lt;=C2,"On time","Late")))</f>
        <v>On time</v>
      </c>
      <c r="M2" t="s">
        <v>373</v>
      </c>
      <c r="N2">
        <f>COUNTIF($K$2:$K$1146,M2)</f>
        <v>722</v>
      </c>
      <c r="O2" t="str">
        <f>IF(OR(F2="",G2=""),"",G2-F2)</f>
        <v/>
      </c>
    </row>
    <row r="3" spans="1:15">
      <c r="A3">
        <v>1005</v>
      </c>
      <c r="B3" t="s">
        <v>347</v>
      </c>
      <c r="C3" s="1">
        <v>46145</v>
      </c>
      <c r="D3" s="1">
        <v>46145</v>
      </c>
      <c r="E3" s="1">
        <v>46150</v>
      </c>
      <c r="G3" s="1">
        <v>46150</v>
      </c>
      <c r="H3">
        <f t="shared" ref="H3:H66" si="0">LEN(B3)-LEN(TRIM(B3))</f>
        <v>0</v>
      </c>
      <c r="I3" t="str">
        <f t="shared" ref="I3:I66" si="1">TRIM(B3)</f>
        <v>ParcelOne</v>
      </c>
      <c r="J3" t="str">
        <f>VLOOKUP(A3,Orders!$A$2:$D$1201,4,FALSE)</f>
        <v>Delivered</v>
      </c>
      <c r="K3" t="str">
        <f t="shared" ref="K3:K66" si="2">IF(J3&lt;&gt;"Delivered","Not delivered",IF(OR(E3="",F3=""),"Unknown",IF(F3&lt;=E3,"On time","Late")))</f>
        <v>Unknown</v>
      </c>
      <c r="L3" t="str">
        <f t="shared" ref="L3:L66" si="3">IF(D3="","Not dispatched",IF(C3="","Unknown",IF(D3&lt;=C3,"On time","Late")))</f>
        <v>On time</v>
      </c>
      <c r="M3" t="s">
        <v>374</v>
      </c>
      <c r="N3">
        <f t="shared" ref="N3:N5" si="4">COUNTIF($K$2:$K$1146,M3)</f>
        <v>321</v>
      </c>
      <c r="O3" t="str">
        <f t="shared" ref="O3:O66" si="5">IF(OR(F3="",G3=""),"",G3-F3)</f>
        <v/>
      </c>
    </row>
    <row r="4" spans="1:15">
      <c r="A4">
        <v>1006</v>
      </c>
      <c r="B4" t="s">
        <v>346</v>
      </c>
      <c r="C4" s="1">
        <v>46096</v>
      </c>
      <c r="D4" s="1">
        <v>46096</v>
      </c>
      <c r="E4" s="1">
        <v>46101</v>
      </c>
      <c r="F4" s="1">
        <v>46105</v>
      </c>
      <c r="G4" s="1">
        <v>46105</v>
      </c>
      <c r="H4">
        <f t="shared" si="0"/>
        <v>0</v>
      </c>
      <c r="I4" t="str">
        <f t="shared" si="1"/>
        <v>SwiftShip</v>
      </c>
      <c r="J4" t="str">
        <f>VLOOKUP(A4,Orders!$A$2:$D$1201,4,FALSE)</f>
        <v>Delivered</v>
      </c>
      <c r="K4" t="str">
        <f t="shared" si="2"/>
        <v>Late</v>
      </c>
      <c r="L4" t="str">
        <f t="shared" si="3"/>
        <v>On time</v>
      </c>
      <c r="M4" t="s">
        <v>375</v>
      </c>
      <c r="N4">
        <f t="shared" si="4"/>
        <v>1</v>
      </c>
      <c r="O4">
        <f t="shared" si="5"/>
        <v>0</v>
      </c>
    </row>
    <row r="5" spans="1:15">
      <c r="A5">
        <v>1007</v>
      </c>
      <c r="B5" t="s">
        <v>348</v>
      </c>
      <c r="C5" s="1">
        <v>46034</v>
      </c>
      <c r="D5" s="1">
        <v>46034</v>
      </c>
      <c r="E5" s="1">
        <v>46039</v>
      </c>
      <c r="F5" s="1">
        <v>46039</v>
      </c>
      <c r="G5" s="1">
        <v>46039</v>
      </c>
      <c r="H5">
        <f t="shared" si="0"/>
        <v>0</v>
      </c>
      <c r="I5" t="str">
        <f t="shared" si="1"/>
        <v>MetroLogistics</v>
      </c>
      <c r="J5" t="str">
        <f>VLOOKUP(A5,Orders!$A$2:$D$1201,4,FALSE)</f>
        <v>Delivered</v>
      </c>
      <c r="K5" t="str">
        <f t="shared" si="2"/>
        <v>On time</v>
      </c>
      <c r="L5" t="str">
        <f t="shared" si="3"/>
        <v>On time</v>
      </c>
      <c r="M5" t="s">
        <v>376</v>
      </c>
      <c r="N5">
        <f t="shared" si="4"/>
        <v>101</v>
      </c>
      <c r="O5">
        <f t="shared" si="5"/>
        <v>0</v>
      </c>
    </row>
    <row r="6" spans="1:15">
      <c r="A6">
        <v>1008</v>
      </c>
      <c r="B6" t="s">
        <v>348</v>
      </c>
      <c r="C6" s="1">
        <v>46136</v>
      </c>
      <c r="D6" s="1">
        <v>46138</v>
      </c>
      <c r="E6" s="1">
        <v>46141</v>
      </c>
      <c r="F6" s="1">
        <v>46145</v>
      </c>
      <c r="G6" s="1">
        <v>46145</v>
      </c>
      <c r="H6">
        <f t="shared" si="0"/>
        <v>0</v>
      </c>
      <c r="I6" t="str">
        <f t="shared" si="1"/>
        <v>MetroLogistics</v>
      </c>
      <c r="J6" t="str">
        <f>VLOOKUP(A6,Orders!$A$2:$D$1201,4,FALSE)</f>
        <v>Delivered</v>
      </c>
      <c r="K6" t="str">
        <f t="shared" si="2"/>
        <v>Late</v>
      </c>
      <c r="L6" t="str">
        <f t="shared" si="3"/>
        <v>Late</v>
      </c>
      <c r="O6">
        <f t="shared" si="5"/>
        <v>0</v>
      </c>
    </row>
    <row r="7" spans="1:15">
      <c r="A7">
        <v>1009</v>
      </c>
      <c r="B7" t="s">
        <v>346</v>
      </c>
      <c r="C7" s="1">
        <v>46056</v>
      </c>
      <c r="D7" s="1">
        <v>46056</v>
      </c>
      <c r="E7" s="1">
        <v>46061</v>
      </c>
      <c r="F7" s="1">
        <v>46060</v>
      </c>
      <c r="G7" s="1">
        <v>46060</v>
      </c>
      <c r="H7">
        <f t="shared" si="0"/>
        <v>0</v>
      </c>
      <c r="I7" t="str">
        <f t="shared" si="1"/>
        <v>SwiftShip</v>
      </c>
      <c r="J7" t="str">
        <f>VLOOKUP(A7,Orders!$A$2:$D$1201,4,FALSE)</f>
        <v>Delivered</v>
      </c>
      <c r="K7" t="str">
        <f t="shared" si="2"/>
        <v>On time</v>
      </c>
      <c r="L7" t="str">
        <f t="shared" si="3"/>
        <v>On time</v>
      </c>
      <c r="M7" t="s">
        <v>377</v>
      </c>
      <c r="N7" s="3">
        <f>N2/(N2+N3)</f>
        <v>0.69223394055608822</v>
      </c>
      <c r="O7">
        <f t="shared" si="5"/>
        <v>0</v>
      </c>
    </row>
    <row r="8" spans="1:15">
      <c r="A8">
        <v>1010</v>
      </c>
      <c r="B8" t="s">
        <v>346</v>
      </c>
      <c r="C8" s="1">
        <v>46198</v>
      </c>
      <c r="D8" s="1">
        <v>46198</v>
      </c>
      <c r="E8" s="1">
        <v>46203</v>
      </c>
      <c r="F8" s="1">
        <v>46204</v>
      </c>
      <c r="G8" s="1">
        <v>46204</v>
      </c>
      <c r="H8">
        <f t="shared" si="0"/>
        <v>0</v>
      </c>
      <c r="I8" t="str">
        <f t="shared" si="1"/>
        <v>SwiftShip</v>
      </c>
      <c r="J8" t="str">
        <f>VLOOKUP(A8,Orders!$A$2:$D$1201,4,FALSE)</f>
        <v>Delivered</v>
      </c>
      <c r="K8" t="str">
        <f t="shared" si="2"/>
        <v>Late</v>
      </c>
      <c r="L8" t="str">
        <f t="shared" si="3"/>
        <v>On time</v>
      </c>
      <c r="M8" t="s">
        <v>378</v>
      </c>
      <c r="N8" s="2">
        <v>0.95</v>
      </c>
      <c r="O8">
        <f t="shared" si="5"/>
        <v>0</v>
      </c>
    </row>
    <row r="9" spans="1:15">
      <c r="A9">
        <v>1011</v>
      </c>
      <c r="B9" t="s">
        <v>347</v>
      </c>
      <c r="C9" s="1">
        <v>46144</v>
      </c>
      <c r="D9" s="1">
        <v>46145</v>
      </c>
      <c r="E9" s="1">
        <v>46149</v>
      </c>
      <c r="F9" s="1">
        <v>46150</v>
      </c>
      <c r="G9" s="1">
        <v>46150</v>
      </c>
      <c r="H9">
        <f t="shared" si="0"/>
        <v>0</v>
      </c>
      <c r="I9" t="str">
        <f t="shared" si="1"/>
        <v>ParcelOne</v>
      </c>
      <c r="J9" t="str">
        <f>VLOOKUP(A9,Orders!$A$2:$D$1201,4,FALSE)</f>
        <v>Delivered</v>
      </c>
      <c r="K9" t="str">
        <f t="shared" si="2"/>
        <v>Late</v>
      </c>
      <c r="L9" t="str">
        <f t="shared" si="3"/>
        <v>Late</v>
      </c>
      <c r="M9" t="s">
        <v>379</v>
      </c>
      <c r="N9">
        <f>(N8-N7)*100</f>
        <v>25.776605944391171</v>
      </c>
      <c r="O9">
        <f t="shared" si="5"/>
        <v>0</v>
      </c>
    </row>
    <row r="10" spans="1:15">
      <c r="A10">
        <v>1012</v>
      </c>
      <c r="B10" t="s">
        <v>348</v>
      </c>
      <c r="C10" s="1">
        <v>46075</v>
      </c>
      <c r="D10" s="1">
        <v>46075</v>
      </c>
      <c r="E10" s="1">
        <v>46080</v>
      </c>
      <c r="F10" s="1">
        <v>46082</v>
      </c>
      <c r="G10" s="1">
        <v>46082</v>
      </c>
      <c r="H10">
        <f t="shared" si="0"/>
        <v>0</v>
      </c>
      <c r="I10" t="str">
        <f t="shared" si="1"/>
        <v>MetroLogistics</v>
      </c>
      <c r="J10" t="str">
        <f>VLOOKUP(A10,Orders!$A$2:$D$1201,4,FALSE)</f>
        <v>Delivered</v>
      </c>
      <c r="K10" t="str">
        <f t="shared" si="2"/>
        <v>Late</v>
      </c>
      <c r="L10" t="str">
        <f t="shared" si="3"/>
        <v>On time</v>
      </c>
      <c r="O10">
        <f t="shared" si="5"/>
        <v>0</v>
      </c>
    </row>
    <row r="11" spans="1:15">
      <c r="A11">
        <v>1013</v>
      </c>
      <c r="B11" t="s">
        <v>346</v>
      </c>
      <c r="C11" s="1">
        <v>46203</v>
      </c>
      <c r="D11" s="1">
        <v>46204</v>
      </c>
      <c r="E11" s="1">
        <v>46208</v>
      </c>
      <c r="F11" s="1">
        <v>46210</v>
      </c>
      <c r="G11" s="1">
        <v>46211</v>
      </c>
      <c r="H11">
        <f t="shared" si="0"/>
        <v>0</v>
      </c>
      <c r="I11" t="str">
        <f t="shared" si="1"/>
        <v>SwiftShip</v>
      </c>
      <c r="J11" t="str">
        <f>VLOOKUP(A11,Orders!$A$2:$D$1201,4,FALSE)</f>
        <v>Delivered</v>
      </c>
      <c r="K11" t="str">
        <f t="shared" si="2"/>
        <v>Late</v>
      </c>
      <c r="L11" t="str">
        <f t="shared" si="3"/>
        <v>Late</v>
      </c>
      <c r="M11" t="s">
        <v>389</v>
      </c>
      <c r="N11">
        <f>COUNTIF($O$2:$O$1146,"&gt;0")</f>
        <v>217</v>
      </c>
      <c r="O11">
        <f t="shared" si="5"/>
        <v>1</v>
      </c>
    </row>
    <row r="12" spans="1:15">
      <c r="A12">
        <v>1014</v>
      </c>
      <c r="B12" t="s">
        <v>348</v>
      </c>
      <c r="C12" s="1">
        <v>46081</v>
      </c>
      <c r="D12" s="1">
        <v>46081</v>
      </c>
      <c r="E12" s="1">
        <v>46086</v>
      </c>
      <c r="F12" s="1">
        <v>46087</v>
      </c>
      <c r="G12" s="1">
        <v>46087</v>
      </c>
      <c r="H12">
        <f t="shared" si="0"/>
        <v>0</v>
      </c>
      <c r="I12" t="str">
        <f t="shared" si="1"/>
        <v>MetroLogistics</v>
      </c>
      <c r="J12" t="str">
        <f>VLOOKUP(A12,Orders!$A$2:$D$1201,4,FALSE)</f>
        <v>Delivered</v>
      </c>
      <c r="K12" t="str">
        <f t="shared" si="2"/>
        <v>Late</v>
      </c>
      <c r="L12" t="str">
        <f t="shared" si="3"/>
        <v>On time</v>
      </c>
      <c r="M12" t="s">
        <v>390</v>
      </c>
      <c r="N12" s="8">
        <f>N11/COUNT($O$2:$O$1146)</f>
        <v>0.20805369127516779</v>
      </c>
      <c r="O12">
        <f t="shared" si="5"/>
        <v>0</v>
      </c>
    </row>
    <row r="13" spans="1:15">
      <c r="A13">
        <v>1015</v>
      </c>
      <c r="B13" t="s">
        <v>346</v>
      </c>
      <c r="C13" s="1">
        <v>46177</v>
      </c>
      <c r="D13" s="1">
        <v>46177</v>
      </c>
      <c r="E13" s="1">
        <v>46182</v>
      </c>
      <c r="F13" s="1">
        <v>46183</v>
      </c>
      <c r="G13" s="1">
        <v>46184</v>
      </c>
      <c r="H13">
        <f t="shared" si="0"/>
        <v>0</v>
      </c>
      <c r="I13" t="str">
        <f t="shared" si="1"/>
        <v>SwiftShip</v>
      </c>
      <c r="J13" t="str">
        <f>VLOOKUP(A13,Orders!$A$2:$D$1201,4,FALSE)</f>
        <v>Delivered</v>
      </c>
      <c r="K13" t="str">
        <f t="shared" si="2"/>
        <v>Late</v>
      </c>
      <c r="L13" t="str">
        <f t="shared" si="3"/>
        <v>On time</v>
      </c>
      <c r="O13">
        <f t="shared" si="5"/>
        <v>1</v>
      </c>
    </row>
    <row r="14" spans="1:15">
      <c r="A14">
        <v>1016</v>
      </c>
      <c r="B14" t="s">
        <v>347</v>
      </c>
      <c r="C14" s="1">
        <v>46158</v>
      </c>
      <c r="D14" s="1">
        <v>46158</v>
      </c>
      <c r="E14" s="1">
        <v>46163</v>
      </c>
      <c r="F14" s="1">
        <v>46163</v>
      </c>
      <c r="G14" s="1">
        <v>46163</v>
      </c>
      <c r="H14">
        <f t="shared" si="0"/>
        <v>0</v>
      </c>
      <c r="I14" t="str">
        <f t="shared" si="1"/>
        <v>ParcelOne</v>
      </c>
      <c r="J14" t="str">
        <f>VLOOKUP(A14,Orders!$A$2:$D$1201,4,FALSE)</f>
        <v>Delivered</v>
      </c>
      <c r="K14" t="str">
        <f t="shared" si="2"/>
        <v>On time</v>
      </c>
      <c r="L14" t="str">
        <f t="shared" si="3"/>
        <v>On time</v>
      </c>
      <c r="M14" s="9" t="s">
        <v>391</v>
      </c>
      <c r="O14">
        <f t="shared" si="5"/>
        <v>0</v>
      </c>
    </row>
    <row r="15" spans="1:15" ht="100.8">
      <c r="A15">
        <v>1017</v>
      </c>
      <c r="B15" t="s">
        <v>348</v>
      </c>
      <c r="C15" s="1">
        <v>46063</v>
      </c>
      <c r="D15" s="1">
        <v>46063</v>
      </c>
      <c r="E15" s="1">
        <v>46068</v>
      </c>
      <c r="F15" s="1">
        <v>46067</v>
      </c>
      <c r="G15" s="1">
        <v>46067</v>
      </c>
      <c r="H15">
        <f t="shared" si="0"/>
        <v>0</v>
      </c>
      <c r="I15" t="str">
        <f t="shared" si="1"/>
        <v>MetroLogistics</v>
      </c>
      <c r="J15" t="str">
        <f>VLOOKUP(A15,Orders!$A$2:$D$1201,4,FALSE)</f>
        <v>Delivered</v>
      </c>
      <c r="K15" t="str">
        <f t="shared" si="2"/>
        <v>On time</v>
      </c>
      <c r="L15" t="str">
        <f t="shared" si="3"/>
        <v>On time</v>
      </c>
      <c r="M15" s="10" t="s">
        <v>392</v>
      </c>
      <c r="O15">
        <f t="shared" si="5"/>
        <v>0</v>
      </c>
    </row>
    <row r="16" spans="1:15">
      <c r="A16">
        <v>1018</v>
      </c>
      <c r="B16" t="s">
        <v>346</v>
      </c>
      <c r="C16" s="1">
        <v>46203</v>
      </c>
      <c r="D16" s="1">
        <v>46203</v>
      </c>
      <c r="E16" s="1">
        <v>46208</v>
      </c>
      <c r="F16" s="1">
        <v>46210</v>
      </c>
      <c r="G16" s="1">
        <v>46212</v>
      </c>
      <c r="H16">
        <f t="shared" si="0"/>
        <v>0</v>
      </c>
      <c r="I16" t="str">
        <f t="shared" si="1"/>
        <v>SwiftShip</v>
      </c>
      <c r="J16" t="str">
        <f>VLOOKUP(A16,Orders!$A$2:$D$1201,4,FALSE)</f>
        <v>Delivered</v>
      </c>
      <c r="K16" t="str">
        <f t="shared" si="2"/>
        <v>Late</v>
      </c>
      <c r="L16" t="str">
        <f t="shared" si="3"/>
        <v>On time</v>
      </c>
      <c r="O16">
        <f t="shared" si="5"/>
        <v>2</v>
      </c>
    </row>
    <row r="17" spans="1:15">
      <c r="A17">
        <v>1019</v>
      </c>
      <c r="B17" t="s">
        <v>346</v>
      </c>
      <c r="C17" s="1">
        <v>46162</v>
      </c>
      <c r="D17" s="1">
        <v>46162</v>
      </c>
      <c r="E17" s="1">
        <v>46167</v>
      </c>
      <c r="F17" s="1">
        <v>46167</v>
      </c>
      <c r="G17" s="1">
        <v>46167</v>
      </c>
      <c r="H17">
        <f t="shared" si="0"/>
        <v>0</v>
      </c>
      <c r="I17" t="str">
        <f t="shared" si="1"/>
        <v>SwiftShip</v>
      </c>
      <c r="J17" t="str">
        <f>VLOOKUP(A17,Orders!$A$2:$D$1201,4,FALSE)</f>
        <v>Delivered</v>
      </c>
      <c r="K17" t="str">
        <f t="shared" si="2"/>
        <v>On time</v>
      </c>
      <c r="L17" t="str">
        <f t="shared" si="3"/>
        <v>On time</v>
      </c>
      <c r="O17">
        <f t="shared" si="5"/>
        <v>0</v>
      </c>
    </row>
    <row r="18" spans="1:15">
      <c r="A18">
        <v>1020</v>
      </c>
      <c r="B18" t="s">
        <v>346</v>
      </c>
      <c r="C18" s="1">
        <v>46067</v>
      </c>
      <c r="D18" s="1">
        <v>46067</v>
      </c>
      <c r="E18" s="1">
        <v>46072</v>
      </c>
      <c r="F18" s="1">
        <v>46072</v>
      </c>
      <c r="G18" s="1">
        <v>46072</v>
      </c>
      <c r="H18">
        <f t="shared" si="0"/>
        <v>0</v>
      </c>
      <c r="I18" t="str">
        <f t="shared" si="1"/>
        <v>SwiftShip</v>
      </c>
      <c r="J18" t="str">
        <f>VLOOKUP(A18,Orders!$A$2:$D$1201,4,FALSE)</f>
        <v>Delivered</v>
      </c>
      <c r="K18" t="str">
        <f t="shared" si="2"/>
        <v>On time</v>
      </c>
      <c r="L18" t="str">
        <f t="shared" si="3"/>
        <v>On time</v>
      </c>
      <c r="O18">
        <f t="shared" si="5"/>
        <v>0</v>
      </c>
    </row>
    <row r="19" spans="1:15">
      <c r="A19">
        <v>1021</v>
      </c>
      <c r="B19" t="s">
        <v>347</v>
      </c>
      <c r="C19" s="1">
        <v>46108</v>
      </c>
      <c r="D19" s="1">
        <v>46109</v>
      </c>
      <c r="E19" s="1">
        <v>46113</v>
      </c>
      <c r="F19" s="1">
        <v>46113</v>
      </c>
      <c r="G19" s="1">
        <v>46113</v>
      </c>
      <c r="H19">
        <f t="shared" si="0"/>
        <v>0</v>
      </c>
      <c r="I19" t="str">
        <f t="shared" si="1"/>
        <v>ParcelOne</v>
      </c>
      <c r="J19" t="str">
        <f>VLOOKUP(A19,Orders!$A$2:$D$1201,4,FALSE)</f>
        <v>Delivered</v>
      </c>
      <c r="K19" t="str">
        <f t="shared" si="2"/>
        <v>On time</v>
      </c>
      <c r="L19" t="str">
        <f t="shared" si="3"/>
        <v>Late</v>
      </c>
      <c r="O19">
        <f t="shared" si="5"/>
        <v>0</v>
      </c>
    </row>
    <row r="20" spans="1:15">
      <c r="A20">
        <v>1022</v>
      </c>
      <c r="B20" t="s">
        <v>347</v>
      </c>
      <c r="C20" s="1">
        <v>46114</v>
      </c>
      <c r="D20" s="1">
        <v>46114</v>
      </c>
      <c r="E20" s="1">
        <v>46119</v>
      </c>
      <c r="F20" s="1">
        <v>46119</v>
      </c>
      <c r="G20" s="1">
        <v>46119</v>
      </c>
      <c r="H20">
        <f t="shared" si="0"/>
        <v>0</v>
      </c>
      <c r="I20" t="str">
        <f t="shared" si="1"/>
        <v>ParcelOne</v>
      </c>
      <c r="J20" t="str">
        <f>VLOOKUP(A20,Orders!$A$2:$D$1201,4,FALSE)</f>
        <v>Delivered</v>
      </c>
      <c r="K20" t="str">
        <f t="shared" si="2"/>
        <v>On time</v>
      </c>
      <c r="L20" t="str">
        <f t="shared" si="3"/>
        <v>On time</v>
      </c>
      <c r="O20">
        <f t="shared" si="5"/>
        <v>0</v>
      </c>
    </row>
    <row r="21" spans="1:15">
      <c r="A21">
        <v>1023</v>
      </c>
      <c r="B21" t="s">
        <v>348</v>
      </c>
      <c r="C21" s="1">
        <v>46144</v>
      </c>
      <c r="D21" s="1">
        <v>46144</v>
      </c>
      <c r="E21" s="1">
        <v>46149</v>
      </c>
      <c r="F21" s="1">
        <v>46148</v>
      </c>
      <c r="G21" s="1">
        <v>46148</v>
      </c>
      <c r="H21">
        <f t="shared" si="0"/>
        <v>0</v>
      </c>
      <c r="I21" t="str">
        <f t="shared" si="1"/>
        <v>MetroLogistics</v>
      </c>
      <c r="J21" t="str">
        <f>VLOOKUP(A21,Orders!$A$2:$D$1201,4,FALSE)</f>
        <v>Delivered</v>
      </c>
      <c r="K21" t="str">
        <f t="shared" si="2"/>
        <v>On time</v>
      </c>
      <c r="L21" t="str">
        <f t="shared" si="3"/>
        <v>On time</v>
      </c>
      <c r="O21">
        <f t="shared" si="5"/>
        <v>0</v>
      </c>
    </row>
    <row r="22" spans="1:15">
      <c r="A22">
        <v>1024</v>
      </c>
      <c r="B22" t="s">
        <v>349</v>
      </c>
      <c r="C22" s="1">
        <v>46031</v>
      </c>
      <c r="D22" s="1">
        <v>46031</v>
      </c>
      <c r="E22" s="1">
        <v>46036</v>
      </c>
      <c r="H22">
        <f t="shared" si="0"/>
        <v>2</v>
      </c>
      <c r="I22" t="str">
        <f t="shared" si="1"/>
        <v>SwiftShip</v>
      </c>
      <c r="J22" t="str">
        <f>VLOOKUP(A22,Orders!$A$2:$D$1201,4,FALSE)</f>
        <v>Shipped</v>
      </c>
      <c r="K22" t="str">
        <f t="shared" si="2"/>
        <v>Not delivered</v>
      </c>
      <c r="L22" t="str">
        <f t="shared" si="3"/>
        <v>On time</v>
      </c>
      <c r="O22" t="str">
        <f t="shared" si="5"/>
        <v/>
      </c>
    </row>
    <row r="23" spans="1:15">
      <c r="A23">
        <v>1025</v>
      </c>
      <c r="B23" t="s">
        <v>346</v>
      </c>
      <c r="C23" s="1">
        <v>46200</v>
      </c>
      <c r="D23" s="1">
        <v>46200</v>
      </c>
      <c r="E23" s="1">
        <v>46205</v>
      </c>
      <c r="F23" s="1">
        <v>46205</v>
      </c>
      <c r="G23" s="1">
        <v>46206</v>
      </c>
      <c r="H23">
        <f t="shared" si="0"/>
        <v>0</v>
      </c>
      <c r="I23" t="str">
        <f t="shared" si="1"/>
        <v>SwiftShip</v>
      </c>
      <c r="J23" t="str">
        <f>VLOOKUP(A23,Orders!$A$2:$D$1201,4,FALSE)</f>
        <v>Delivered</v>
      </c>
      <c r="K23" t="str">
        <f t="shared" si="2"/>
        <v>On time</v>
      </c>
      <c r="L23" t="str">
        <f t="shared" si="3"/>
        <v>On time</v>
      </c>
      <c r="O23">
        <f t="shared" si="5"/>
        <v>1</v>
      </c>
    </row>
    <row r="24" spans="1:15">
      <c r="A24">
        <v>1026</v>
      </c>
      <c r="B24" t="s">
        <v>346</v>
      </c>
      <c r="C24" s="1">
        <v>46052</v>
      </c>
      <c r="D24" s="1">
        <v>46052</v>
      </c>
      <c r="E24" s="1">
        <v>46057</v>
      </c>
      <c r="F24" s="1">
        <v>46058</v>
      </c>
      <c r="G24" s="1">
        <v>46058</v>
      </c>
      <c r="H24">
        <f t="shared" si="0"/>
        <v>0</v>
      </c>
      <c r="I24" t="str">
        <f t="shared" si="1"/>
        <v>SwiftShip</v>
      </c>
      <c r="J24" t="str">
        <f>VLOOKUP(A24,Orders!$A$2:$D$1201,4,FALSE)</f>
        <v>Delivered</v>
      </c>
      <c r="K24" t="str">
        <f t="shared" si="2"/>
        <v>Late</v>
      </c>
      <c r="L24" t="str">
        <f t="shared" si="3"/>
        <v>On time</v>
      </c>
      <c r="O24">
        <f t="shared" si="5"/>
        <v>0</v>
      </c>
    </row>
    <row r="25" spans="1:15">
      <c r="A25">
        <v>1027</v>
      </c>
      <c r="B25" t="s">
        <v>346</v>
      </c>
      <c r="C25" s="1">
        <v>46087</v>
      </c>
      <c r="D25" s="1">
        <v>46087</v>
      </c>
      <c r="E25" s="1">
        <v>46092</v>
      </c>
      <c r="F25" s="1">
        <v>46092</v>
      </c>
      <c r="G25" s="1">
        <v>46092</v>
      </c>
      <c r="H25">
        <f t="shared" si="0"/>
        <v>0</v>
      </c>
      <c r="I25" t="str">
        <f t="shared" si="1"/>
        <v>SwiftShip</v>
      </c>
      <c r="J25" t="str">
        <f>VLOOKUP(A25,Orders!$A$2:$D$1201,4,FALSE)</f>
        <v>Delivered</v>
      </c>
      <c r="K25" t="str">
        <f t="shared" si="2"/>
        <v>On time</v>
      </c>
      <c r="L25" t="str">
        <f t="shared" si="3"/>
        <v>On time</v>
      </c>
      <c r="O25">
        <f t="shared" si="5"/>
        <v>0</v>
      </c>
    </row>
    <row r="26" spans="1:15">
      <c r="A26">
        <v>1028</v>
      </c>
      <c r="B26" t="s">
        <v>346</v>
      </c>
      <c r="C26" s="1">
        <v>46079</v>
      </c>
      <c r="D26" s="1">
        <v>46079</v>
      </c>
      <c r="E26" s="1">
        <v>46084</v>
      </c>
      <c r="F26" s="1">
        <v>46083</v>
      </c>
      <c r="G26" s="1">
        <v>46083</v>
      </c>
      <c r="H26">
        <f t="shared" si="0"/>
        <v>0</v>
      </c>
      <c r="I26" t="str">
        <f t="shared" si="1"/>
        <v>SwiftShip</v>
      </c>
      <c r="J26" t="str">
        <f>VLOOKUP(A26,Orders!$A$2:$D$1201,4,FALSE)</f>
        <v>Delivered</v>
      </c>
      <c r="K26" t="str">
        <f t="shared" si="2"/>
        <v>On time</v>
      </c>
      <c r="L26" t="str">
        <f t="shared" si="3"/>
        <v>On time</v>
      </c>
      <c r="O26">
        <f t="shared" si="5"/>
        <v>0</v>
      </c>
    </row>
    <row r="27" spans="1:15">
      <c r="A27">
        <v>1029</v>
      </c>
      <c r="B27" t="s">
        <v>348</v>
      </c>
      <c r="C27" s="1">
        <v>46150</v>
      </c>
      <c r="D27" s="1">
        <v>46150</v>
      </c>
      <c r="E27" s="1">
        <v>46155</v>
      </c>
      <c r="F27" s="1">
        <v>46155</v>
      </c>
      <c r="G27" s="1">
        <v>46155</v>
      </c>
      <c r="H27">
        <f t="shared" si="0"/>
        <v>0</v>
      </c>
      <c r="I27" t="str">
        <f t="shared" si="1"/>
        <v>MetroLogistics</v>
      </c>
      <c r="J27" t="str">
        <f>VLOOKUP(A27,Orders!$A$2:$D$1201,4,FALSE)</f>
        <v>Delivered</v>
      </c>
      <c r="K27" t="str">
        <f t="shared" si="2"/>
        <v>On time</v>
      </c>
      <c r="L27" t="str">
        <f t="shared" si="3"/>
        <v>On time</v>
      </c>
      <c r="O27">
        <f t="shared" si="5"/>
        <v>0</v>
      </c>
    </row>
    <row r="28" spans="1:15">
      <c r="A28">
        <v>1030</v>
      </c>
      <c r="B28" t="s">
        <v>347</v>
      </c>
      <c r="C28" s="1">
        <v>46173</v>
      </c>
      <c r="D28" s="1">
        <v>46173</v>
      </c>
      <c r="E28" s="1">
        <v>46178</v>
      </c>
      <c r="F28" s="1">
        <v>46178</v>
      </c>
      <c r="G28" s="1">
        <v>46178</v>
      </c>
      <c r="H28">
        <f t="shared" si="0"/>
        <v>0</v>
      </c>
      <c r="I28" t="str">
        <f t="shared" si="1"/>
        <v>ParcelOne</v>
      </c>
      <c r="J28" t="str">
        <f>VLOOKUP(A28,Orders!$A$2:$D$1201,4,FALSE)</f>
        <v>Delivered</v>
      </c>
      <c r="K28" t="str">
        <f t="shared" si="2"/>
        <v>On time</v>
      </c>
      <c r="L28" t="str">
        <f t="shared" si="3"/>
        <v>On time</v>
      </c>
      <c r="O28">
        <f t="shared" si="5"/>
        <v>0</v>
      </c>
    </row>
    <row r="29" spans="1:15">
      <c r="A29">
        <v>1031</v>
      </c>
      <c r="B29" t="s">
        <v>346</v>
      </c>
      <c r="C29" s="1">
        <v>46105</v>
      </c>
      <c r="D29" s="1">
        <v>46107</v>
      </c>
      <c r="E29" s="1">
        <v>46110</v>
      </c>
      <c r="F29" s="1">
        <v>46111</v>
      </c>
      <c r="G29" s="1">
        <v>46111</v>
      </c>
      <c r="H29">
        <f t="shared" si="0"/>
        <v>0</v>
      </c>
      <c r="I29" t="str">
        <f t="shared" si="1"/>
        <v>SwiftShip</v>
      </c>
      <c r="J29" t="str">
        <f>VLOOKUP(A29,Orders!$A$2:$D$1201,4,FALSE)</f>
        <v>Delivered</v>
      </c>
      <c r="K29" t="str">
        <f t="shared" si="2"/>
        <v>Late</v>
      </c>
      <c r="L29" t="str">
        <f t="shared" si="3"/>
        <v>Late</v>
      </c>
      <c r="O29">
        <f t="shared" si="5"/>
        <v>0</v>
      </c>
    </row>
    <row r="30" spans="1:15">
      <c r="A30">
        <v>1032</v>
      </c>
      <c r="B30" t="s">
        <v>347</v>
      </c>
      <c r="C30" s="1">
        <v>46070</v>
      </c>
      <c r="D30" s="1">
        <v>46072</v>
      </c>
      <c r="E30" s="1">
        <v>46075</v>
      </c>
      <c r="F30" s="1">
        <v>46075</v>
      </c>
      <c r="G30" s="1">
        <v>46075</v>
      </c>
      <c r="H30">
        <f t="shared" si="0"/>
        <v>0</v>
      </c>
      <c r="I30" t="str">
        <f t="shared" si="1"/>
        <v>ParcelOne</v>
      </c>
      <c r="J30" t="str">
        <f>VLOOKUP(A30,Orders!$A$2:$D$1201,4,FALSE)</f>
        <v>Delivered</v>
      </c>
      <c r="K30" t="str">
        <f t="shared" si="2"/>
        <v>On time</v>
      </c>
      <c r="L30" t="str">
        <f t="shared" si="3"/>
        <v>Late</v>
      </c>
      <c r="O30">
        <f t="shared" si="5"/>
        <v>0</v>
      </c>
    </row>
    <row r="31" spans="1:15">
      <c r="A31">
        <v>1034</v>
      </c>
      <c r="B31" t="s">
        <v>346</v>
      </c>
      <c r="C31" s="1">
        <v>46145</v>
      </c>
      <c r="D31" s="1">
        <v>46147</v>
      </c>
      <c r="E31" s="1">
        <v>46150</v>
      </c>
      <c r="F31" s="1">
        <v>46150</v>
      </c>
      <c r="G31" s="1">
        <v>46151</v>
      </c>
      <c r="H31">
        <f t="shared" si="0"/>
        <v>0</v>
      </c>
      <c r="I31" t="str">
        <f t="shared" si="1"/>
        <v>SwiftShip</v>
      </c>
      <c r="J31" t="str">
        <f>VLOOKUP(A31,Orders!$A$2:$D$1201,4,FALSE)</f>
        <v>Delivered</v>
      </c>
      <c r="K31" t="str">
        <f t="shared" si="2"/>
        <v>On time</v>
      </c>
      <c r="L31" t="str">
        <f t="shared" si="3"/>
        <v>Late</v>
      </c>
      <c r="O31">
        <f t="shared" si="5"/>
        <v>1</v>
      </c>
    </row>
    <row r="32" spans="1:15">
      <c r="A32">
        <v>1035</v>
      </c>
      <c r="B32" t="s">
        <v>346</v>
      </c>
      <c r="C32" s="1">
        <v>46150</v>
      </c>
      <c r="D32" s="1">
        <v>46150</v>
      </c>
      <c r="E32" s="1">
        <v>46155</v>
      </c>
      <c r="F32" s="1">
        <v>46154</v>
      </c>
      <c r="G32" s="1">
        <v>46154</v>
      </c>
      <c r="H32">
        <f t="shared" si="0"/>
        <v>0</v>
      </c>
      <c r="I32" t="str">
        <f t="shared" si="1"/>
        <v>SwiftShip</v>
      </c>
      <c r="J32" t="str">
        <f>VLOOKUP(A32,Orders!$A$2:$D$1201,4,FALSE)</f>
        <v>Delivered</v>
      </c>
      <c r="K32" t="str">
        <f t="shared" si="2"/>
        <v>On time</v>
      </c>
      <c r="L32" t="str">
        <f t="shared" si="3"/>
        <v>On time</v>
      </c>
      <c r="O32">
        <f t="shared" si="5"/>
        <v>0</v>
      </c>
    </row>
    <row r="33" spans="1:15">
      <c r="A33">
        <v>1036</v>
      </c>
      <c r="B33" t="s">
        <v>347</v>
      </c>
      <c r="C33" s="1">
        <v>46180</v>
      </c>
      <c r="D33" s="1">
        <v>46180</v>
      </c>
      <c r="E33" s="1">
        <v>46185</v>
      </c>
      <c r="F33" s="1">
        <v>46183</v>
      </c>
      <c r="G33" s="1">
        <v>46185</v>
      </c>
      <c r="H33">
        <f t="shared" si="0"/>
        <v>0</v>
      </c>
      <c r="I33" t="str">
        <f t="shared" si="1"/>
        <v>ParcelOne</v>
      </c>
      <c r="J33" t="str">
        <f>VLOOKUP(A33,Orders!$A$2:$D$1201,4,FALSE)</f>
        <v>Delivered</v>
      </c>
      <c r="K33" t="str">
        <f t="shared" si="2"/>
        <v>On time</v>
      </c>
      <c r="L33" t="str">
        <f t="shared" si="3"/>
        <v>On time</v>
      </c>
      <c r="O33">
        <f t="shared" si="5"/>
        <v>2</v>
      </c>
    </row>
    <row r="34" spans="1:15">
      <c r="A34">
        <v>1037</v>
      </c>
      <c r="B34" t="s">
        <v>346</v>
      </c>
      <c r="C34" s="1">
        <v>46078</v>
      </c>
      <c r="D34" s="1">
        <v>46078</v>
      </c>
      <c r="E34" s="1">
        <v>46083</v>
      </c>
      <c r="F34" s="1">
        <v>46083</v>
      </c>
      <c r="G34" s="1">
        <v>46083</v>
      </c>
      <c r="H34">
        <f t="shared" si="0"/>
        <v>0</v>
      </c>
      <c r="I34" t="str">
        <f t="shared" si="1"/>
        <v>SwiftShip</v>
      </c>
      <c r="J34" t="str">
        <f>VLOOKUP(A34,Orders!$A$2:$D$1201,4,FALSE)</f>
        <v>Delivered</v>
      </c>
      <c r="K34" t="str">
        <f t="shared" si="2"/>
        <v>On time</v>
      </c>
      <c r="L34" t="str">
        <f t="shared" si="3"/>
        <v>On time</v>
      </c>
      <c r="O34">
        <f t="shared" si="5"/>
        <v>0</v>
      </c>
    </row>
    <row r="35" spans="1:15">
      <c r="A35">
        <v>1038</v>
      </c>
      <c r="B35" t="s">
        <v>346</v>
      </c>
      <c r="C35" s="1">
        <v>46033</v>
      </c>
      <c r="D35" s="1">
        <v>46033</v>
      </c>
      <c r="E35" s="1">
        <v>46038</v>
      </c>
      <c r="F35" s="1">
        <v>46037</v>
      </c>
      <c r="G35" s="1">
        <v>46037</v>
      </c>
      <c r="H35">
        <f t="shared" si="0"/>
        <v>0</v>
      </c>
      <c r="I35" t="str">
        <f t="shared" si="1"/>
        <v>SwiftShip</v>
      </c>
      <c r="J35" t="str">
        <f>VLOOKUP(A35,Orders!$A$2:$D$1201,4,FALSE)</f>
        <v>Delivered</v>
      </c>
      <c r="K35" t="str">
        <f t="shared" si="2"/>
        <v>On time</v>
      </c>
      <c r="L35" t="str">
        <f t="shared" si="3"/>
        <v>On time</v>
      </c>
      <c r="O35">
        <f t="shared" si="5"/>
        <v>0</v>
      </c>
    </row>
    <row r="36" spans="1:15">
      <c r="A36">
        <v>1039</v>
      </c>
      <c r="B36" t="s">
        <v>346</v>
      </c>
      <c r="C36" s="1">
        <v>46061</v>
      </c>
      <c r="D36" s="1">
        <v>46061</v>
      </c>
      <c r="E36" s="1">
        <v>46066</v>
      </c>
      <c r="F36" s="1">
        <v>46067</v>
      </c>
      <c r="G36" s="1">
        <v>46067</v>
      </c>
      <c r="H36">
        <f t="shared" si="0"/>
        <v>0</v>
      </c>
      <c r="I36" t="str">
        <f t="shared" si="1"/>
        <v>SwiftShip</v>
      </c>
      <c r="J36" t="str">
        <f>VLOOKUP(A36,Orders!$A$2:$D$1201,4,FALSE)</f>
        <v>Delivered</v>
      </c>
      <c r="K36" t="str">
        <f t="shared" si="2"/>
        <v>Late</v>
      </c>
      <c r="L36" t="str">
        <f t="shared" si="3"/>
        <v>On time</v>
      </c>
      <c r="O36">
        <f t="shared" si="5"/>
        <v>0</v>
      </c>
    </row>
    <row r="37" spans="1:15">
      <c r="A37">
        <v>1040</v>
      </c>
      <c r="B37" t="s">
        <v>347</v>
      </c>
      <c r="C37" s="1">
        <v>46153</v>
      </c>
      <c r="D37" s="1">
        <v>46154</v>
      </c>
      <c r="E37" s="1">
        <v>46158</v>
      </c>
      <c r="F37" s="1">
        <v>46159</v>
      </c>
      <c r="G37" s="1">
        <v>46159</v>
      </c>
      <c r="H37">
        <f t="shared" si="0"/>
        <v>0</v>
      </c>
      <c r="I37" t="str">
        <f t="shared" si="1"/>
        <v>ParcelOne</v>
      </c>
      <c r="J37" t="str">
        <f>VLOOKUP(A37,Orders!$A$2:$D$1201,4,FALSE)</f>
        <v>Delivered</v>
      </c>
      <c r="K37" t="str">
        <f t="shared" si="2"/>
        <v>Late</v>
      </c>
      <c r="L37" t="str">
        <f t="shared" si="3"/>
        <v>Late</v>
      </c>
      <c r="O37">
        <f t="shared" si="5"/>
        <v>0</v>
      </c>
    </row>
    <row r="38" spans="1:15">
      <c r="A38">
        <v>1041</v>
      </c>
      <c r="B38" t="s">
        <v>348</v>
      </c>
      <c r="C38" s="1">
        <v>46048</v>
      </c>
      <c r="D38" s="1">
        <v>46048</v>
      </c>
      <c r="E38" s="1">
        <v>46053</v>
      </c>
      <c r="F38" s="1">
        <v>46053</v>
      </c>
      <c r="G38" s="1">
        <v>46053</v>
      </c>
      <c r="H38">
        <f t="shared" si="0"/>
        <v>0</v>
      </c>
      <c r="I38" t="str">
        <f t="shared" si="1"/>
        <v>MetroLogistics</v>
      </c>
      <c r="J38" t="str">
        <f>VLOOKUP(A38,Orders!$A$2:$D$1201,4,FALSE)</f>
        <v>Delivered</v>
      </c>
      <c r="K38" t="str">
        <f t="shared" si="2"/>
        <v>On time</v>
      </c>
      <c r="L38" t="str">
        <f t="shared" si="3"/>
        <v>On time</v>
      </c>
      <c r="O38">
        <f t="shared" si="5"/>
        <v>0</v>
      </c>
    </row>
    <row r="39" spans="1:15">
      <c r="A39">
        <v>1042</v>
      </c>
      <c r="B39" t="s">
        <v>347</v>
      </c>
      <c r="C39" s="1">
        <v>46136</v>
      </c>
      <c r="D39" s="1">
        <v>46136</v>
      </c>
      <c r="E39" s="1">
        <v>46141</v>
      </c>
      <c r="F39" s="1">
        <v>46141</v>
      </c>
      <c r="G39" s="1">
        <v>46141</v>
      </c>
      <c r="H39">
        <f t="shared" si="0"/>
        <v>0</v>
      </c>
      <c r="I39" t="str">
        <f t="shared" si="1"/>
        <v>ParcelOne</v>
      </c>
      <c r="J39" t="str">
        <f>VLOOKUP(A39,Orders!$A$2:$D$1201,4,FALSE)</f>
        <v>Delivered</v>
      </c>
      <c r="K39" t="str">
        <f t="shared" si="2"/>
        <v>On time</v>
      </c>
      <c r="L39" t="str">
        <f t="shared" si="3"/>
        <v>On time</v>
      </c>
      <c r="O39">
        <f t="shared" si="5"/>
        <v>0</v>
      </c>
    </row>
    <row r="40" spans="1:15">
      <c r="A40">
        <v>1043</v>
      </c>
      <c r="B40" t="s">
        <v>346</v>
      </c>
      <c r="C40" s="1">
        <v>46109</v>
      </c>
      <c r="D40" s="1">
        <v>46109</v>
      </c>
      <c r="E40" s="1">
        <v>46114</v>
      </c>
      <c r="F40" s="1">
        <v>46114</v>
      </c>
      <c r="G40" s="1">
        <v>46114</v>
      </c>
      <c r="H40">
        <f t="shared" si="0"/>
        <v>0</v>
      </c>
      <c r="I40" t="str">
        <f t="shared" si="1"/>
        <v>SwiftShip</v>
      </c>
      <c r="J40" t="str">
        <f>VLOOKUP(A40,Orders!$A$2:$D$1201,4,FALSE)</f>
        <v>Delivered</v>
      </c>
      <c r="K40" t="str">
        <f t="shared" si="2"/>
        <v>On time</v>
      </c>
      <c r="L40" t="str">
        <f t="shared" si="3"/>
        <v>On time</v>
      </c>
      <c r="O40">
        <f t="shared" si="5"/>
        <v>0</v>
      </c>
    </row>
    <row r="41" spans="1:15">
      <c r="A41">
        <v>1044</v>
      </c>
      <c r="B41" t="s">
        <v>347</v>
      </c>
      <c r="C41" s="1">
        <v>46156</v>
      </c>
      <c r="D41" s="1">
        <v>46156</v>
      </c>
      <c r="E41" s="1">
        <v>46161</v>
      </c>
      <c r="F41" s="1">
        <v>46161</v>
      </c>
      <c r="G41" s="1">
        <v>46161</v>
      </c>
      <c r="H41">
        <f t="shared" si="0"/>
        <v>0</v>
      </c>
      <c r="I41" t="str">
        <f t="shared" si="1"/>
        <v>ParcelOne</v>
      </c>
      <c r="J41" t="str">
        <f>VLOOKUP(A41,Orders!$A$2:$D$1201,4,FALSE)</f>
        <v>Delivered</v>
      </c>
      <c r="K41" t="str">
        <f t="shared" si="2"/>
        <v>On time</v>
      </c>
      <c r="L41" t="str">
        <f t="shared" si="3"/>
        <v>On time</v>
      </c>
      <c r="O41">
        <f t="shared" si="5"/>
        <v>0</v>
      </c>
    </row>
    <row r="42" spans="1:15">
      <c r="A42">
        <v>1045</v>
      </c>
      <c r="B42" t="s">
        <v>347</v>
      </c>
      <c r="C42" s="1">
        <v>46077</v>
      </c>
      <c r="D42" s="1">
        <v>46079</v>
      </c>
      <c r="E42" s="1">
        <v>46082</v>
      </c>
      <c r="F42" s="1">
        <v>46082</v>
      </c>
      <c r="G42" s="1">
        <v>46082</v>
      </c>
      <c r="H42">
        <f t="shared" si="0"/>
        <v>0</v>
      </c>
      <c r="I42" t="str">
        <f t="shared" si="1"/>
        <v>ParcelOne</v>
      </c>
      <c r="J42" t="str">
        <f>VLOOKUP(A42,Orders!$A$2:$D$1201,4,FALSE)</f>
        <v>Delivered</v>
      </c>
      <c r="K42" t="str">
        <f t="shared" si="2"/>
        <v>On time</v>
      </c>
      <c r="L42" t="str">
        <f t="shared" si="3"/>
        <v>Late</v>
      </c>
      <c r="O42">
        <f t="shared" si="5"/>
        <v>0</v>
      </c>
    </row>
    <row r="43" spans="1:15">
      <c r="A43">
        <v>1046</v>
      </c>
      <c r="B43" t="s">
        <v>348</v>
      </c>
      <c r="C43" s="1">
        <v>46104</v>
      </c>
      <c r="D43" s="1">
        <v>46106</v>
      </c>
      <c r="E43" s="1">
        <v>46109</v>
      </c>
      <c r="F43" s="1">
        <v>46109</v>
      </c>
      <c r="G43" s="1">
        <v>46109</v>
      </c>
      <c r="H43">
        <f t="shared" si="0"/>
        <v>0</v>
      </c>
      <c r="I43" t="str">
        <f t="shared" si="1"/>
        <v>MetroLogistics</v>
      </c>
      <c r="J43" t="str">
        <f>VLOOKUP(A43,Orders!$A$2:$D$1201,4,FALSE)</f>
        <v>Delivered</v>
      </c>
      <c r="K43" t="str">
        <f t="shared" si="2"/>
        <v>On time</v>
      </c>
      <c r="L43" t="str">
        <f t="shared" si="3"/>
        <v>Late</v>
      </c>
      <c r="O43">
        <f t="shared" si="5"/>
        <v>0</v>
      </c>
    </row>
    <row r="44" spans="1:15">
      <c r="A44">
        <v>1047</v>
      </c>
      <c r="B44" t="s">
        <v>348</v>
      </c>
      <c r="C44" s="1">
        <v>46099</v>
      </c>
      <c r="D44" s="1">
        <v>46099</v>
      </c>
      <c r="E44" s="1">
        <v>46104</v>
      </c>
      <c r="F44" s="1">
        <v>46104</v>
      </c>
      <c r="G44" s="1">
        <v>46106</v>
      </c>
      <c r="H44">
        <f t="shared" si="0"/>
        <v>0</v>
      </c>
      <c r="I44" t="str">
        <f t="shared" si="1"/>
        <v>MetroLogistics</v>
      </c>
      <c r="J44" t="str">
        <f>VLOOKUP(A44,Orders!$A$2:$D$1201,4,FALSE)</f>
        <v>Delivered</v>
      </c>
      <c r="K44" t="str">
        <f t="shared" si="2"/>
        <v>On time</v>
      </c>
      <c r="L44" t="str">
        <f t="shared" si="3"/>
        <v>On time</v>
      </c>
      <c r="O44">
        <f t="shared" si="5"/>
        <v>2</v>
      </c>
    </row>
    <row r="45" spans="1:15">
      <c r="A45">
        <v>1049</v>
      </c>
      <c r="B45" t="s">
        <v>346</v>
      </c>
      <c r="C45" s="1">
        <v>46097</v>
      </c>
      <c r="D45" s="1">
        <v>46097</v>
      </c>
      <c r="E45" s="1">
        <v>46102</v>
      </c>
      <c r="F45" s="1">
        <v>46102</v>
      </c>
      <c r="G45" s="1">
        <v>46102</v>
      </c>
      <c r="H45">
        <f t="shared" si="0"/>
        <v>0</v>
      </c>
      <c r="I45" t="str">
        <f t="shared" si="1"/>
        <v>SwiftShip</v>
      </c>
      <c r="J45" t="str">
        <f>VLOOKUP(A45,Orders!$A$2:$D$1201,4,FALSE)</f>
        <v>Delivered</v>
      </c>
      <c r="K45" t="str">
        <f t="shared" si="2"/>
        <v>On time</v>
      </c>
      <c r="L45" t="str">
        <f t="shared" si="3"/>
        <v>On time</v>
      </c>
      <c r="O45">
        <f t="shared" si="5"/>
        <v>0</v>
      </c>
    </row>
    <row r="46" spans="1:15">
      <c r="A46">
        <v>1050</v>
      </c>
      <c r="B46" t="s">
        <v>348</v>
      </c>
      <c r="C46" s="1">
        <v>46073</v>
      </c>
      <c r="E46" s="1">
        <v>46078</v>
      </c>
      <c r="H46">
        <f t="shared" si="0"/>
        <v>0</v>
      </c>
      <c r="I46" t="str">
        <f t="shared" si="1"/>
        <v>MetroLogistics</v>
      </c>
      <c r="J46" t="str">
        <f>VLOOKUP(A46,Orders!$A$2:$D$1201,4,FALSE)</f>
        <v>Pending</v>
      </c>
      <c r="K46" t="str">
        <f t="shared" si="2"/>
        <v>Not delivered</v>
      </c>
      <c r="L46" t="str">
        <f t="shared" si="3"/>
        <v>Not dispatched</v>
      </c>
      <c r="O46" t="str">
        <f t="shared" si="5"/>
        <v/>
      </c>
    </row>
    <row r="47" spans="1:15">
      <c r="A47">
        <v>1051</v>
      </c>
      <c r="B47" t="s">
        <v>346</v>
      </c>
      <c r="C47" s="1">
        <v>46122</v>
      </c>
      <c r="D47" s="1">
        <v>46123</v>
      </c>
      <c r="E47" s="1">
        <v>46127</v>
      </c>
      <c r="F47" s="1">
        <v>46127</v>
      </c>
      <c r="G47" s="1">
        <v>46127</v>
      </c>
      <c r="H47">
        <f t="shared" si="0"/>
        <v>0</v>
      </c>
      <c r="I47" t="str">
        <f t="shared" si="1"/>
        <v>SwiftShip</v>
      </c>
      <c r="J47" t="str">
        <f>VLOOKUP(A47,Orders!$A$2:$D$1201,4,FALSE)</f>
        <v>Delivered</v>
      </c>
      <c r="K47" t="str">
        <f t="shared" si="2"/>
        <v>On time</v>
      </c>
      <c r="L47" t="str">
        <f t="shared" si="3"/>
        <v>Late</v>
      </c>
      <c r="O47">
        <f t="shared" si="5"/>
        <v>0</v>
      </c>
    </row>
    <row r="48" spans="1:15">
      <c r="A48">
        <v>1052</v>
      </c>
      <c r="B48" t="s">
        <v>348</v>
      </c>
      <c r="C48" s="1">
        <v>46028</v>
      </c>
      <c r="D48" s="1">
        <v>46028</v>
      </c>
      <c r="E48" s="1">
        <v>46033</v>
      </c>
      <c r="F48" s="1">
        <v>46035</v>
      </c>
      <c r="G48" s="1">
        <v>46036</v>
      </c>
      <c r="H48">
        <f t="shared" si="0"/>
        <v>0</v>
      </c>
      <c r="I48" t="str">
        <f t="shared" si="1"/>
        <v>MetroLogistics</v>
      </c>
      <c r="J48" t="str">
        <f>VLOOKUP(A48,Orders!$A$2:$D$1201,4,FALSE)</f>
        <v>Delivered</v>
      </c>
      <c r="K48" t="str">
        <f t="shared" si="2"/>
        <v>Late</v>
      </c>
      <c r="L48" t="str">
        <f t="shared" si="3"/>
        <v>On time</v>
      </c>
      <c r="O48">
        <f t="shared" si="5"/>
        <v>1</v>
      </c>
    </row>
    <row r="49" spans="1:15">
      <c r="A49">
        <v>1053</v>
      </c>
      <c r="B49" t="s">
        <v>346</v>
      </c>
      <c r="C49" s="1">
        <v>46122</v>
      </c>
      <c r="D49" s="1">
        <v>46122</v>
      </c>
      <c r="E49" s="1">
        <v>46127</v>
      </c>
      <c r="H49">
        <f t="shared" si="0"/>
        <v>0</v>
      </c>
      <c r="I49" t="str">
        <f t="shared" si="1"/>
        <v>SwiftShip</v>
      </c>
      <c r="J49" t="str">
        <f>VLOOKUP(A49,Orders!$A$2:$D$1201,4,FALSE)</f>
        <v>Shipped</v>
      </c>
      <c r="K49" t="str">
        <f t="shared" si="2"/>
        <v>Not delivered</v>
      </c>
      <c r="L49" t="str">
        <f t="shared" si="3"/>
        <v>On time</v>
      </c>
      <c r="O49" t="str">
        <f t="shared" si="5"/>
        <v/>
      </c>
    </row>
    <row r="50" spans="1:15">
      <c r="A50">
        <v>1054</v>
      </c>
      <c r="B50" t="s">
        <v>346</v>
      </c>
      <c r="C50" s="1">
        <v>46050</v>
      </c>
      <c r="D50" s="1">
        <v>46050</v>
      </c>
      <c r="E50" s="1">
        <v>46055</v>
      </c>
      <c r="F50" s="1">
        <v>46053</v>
      </c>
      <c r="G50" s="1">
        <v>46053</v>
      </c>
      <c r="H50">
        <f t="shared" si="0"/>
        <v>0</v>
      </c>
      <c r="I50" t="str">
        <f t="shared" si="1"/>
        <v>SwiftShip</v>
      </c>
      <c r="J50" t="str">
        <f>VLOOKUP(A50,Orders!$A$2:$D$1201,4,FALSE)</f>
        <v>Delivered</v>
      </c>
      <c r="K50" t="str">
        <f t="shared" si="2"/>
        <v>On time</v>
      </c>
      <c r="L50" t="str">
        <f t="shared" si="3"/>
        <v>On time</v>
      </c>
      <c r="O50">
        <f t="shared" si="5"/>
        <v>0</v>
      </c>
    </row>
    <row r="51" spans="1:15">
      <c r="A51">
        <v>1055</v>
      </c>
      <c r="B51" t="s">
        <v>347</v>
      </c>
      <c r="C51" s="1">
        <v>46062</v>
      </c>
      <c r="D51" s="1">
        <v>46062</v>
      </c>
      <c r="E51" s="1">
        <v>46067</v>
      </c>
      <c r="F51" s="1">
        <v>46066</v>
      </c>
      <c r="G51" s="1">
        <v>46068</v>
      </c>
      <c r="H51">
        <f t="shared" si="0"/>
        <v>0</v>
      </c>
      <c r="I51" t="str">
        <f t="shared" si="1"/>
        <v>ParcelOne</v>
      </c>
      <c r="J51" t="str">
        <f>VLOOKUP(A51,Orders!$A$2:$D$1201,4,FALSE)</f>
        <v>Delivered</v>
      </c>
      <c r="K51" t="str">
        <f t="shared" si="2"/>
        <v>On time</v>
      </c>
      <c r="L51" t="str">
        <f t="shared" si="3"/>
        <v>On time</v>
      </c>
      <c r="O51">
        <f t="shared" si="5"/>
        <v>2</v>
      </c>
    </row>
    <row r="52" spans="1:15">
      <c r="A52">
        <v>1056</v>
      </c>
      <c r="B52" t="s">
        <v>346</v>
      </c>
      <c r="C52" s="1">
        <v>46084</v>
      </c>
      <c r="D52" s="1">
        <v>46086</v>
      </c>
      <c r="E52" s="1">
        <v>46089</v>
      </c>
      <c r="F52" s="1">
        <v>46090</v>
      </c>
      <c r="G52" s="1">
        <v>46090</v>
      </c>
      <c r="H52">
        <f t="shared" si="0"/>
        <v>0</v>
      </c>
      <c r="I52" t="str">
        <f t="shared" si="1"/>
        <v>SwiftShip</v>
      </c>
      <c r="J52" t="str">
        <f>VLOOKUP(A52,Orders!$A$2:$D$1201,4,FALSE)</f>
        <v>Delivered</v>
      </c>
      <c r="K52" t="str">
        <f t="shared" si="2"/>
        <v>Late</v>
      </c>
      <c r="L52" t="str">
        <f t="shared" si="3"/>
        <v>Late</v>
      </c>
      <c r="O52">
        <f t="shared" si="5"/>
        <v>0</v>
      </c>
    </row>
    <row r="53" spans="1:15">
      <c r="A53">
        <v>1057</v>
      </c>
      <c r="B53" t="s">
        <v>346</v>
      </c>
      <c r="C53" s="1">
        <v>46113</v>
      </c>
      <c r="E53" s="1">
        <v>46118</v>
      </c>
      <c r="H53">
        <f t="shared" si="0"/>
        <v>0</v>
      </c>
      <c r="I53" t="str">
        <f t="shared" si="1"/>
        <v>SwiftShip</v>
      </c>
      <c r="J53" t="str">
        <f>VLOOKUP(A53,Orders!$A$2:$D$1201,4,FALSE)</f>
        <v>Pending</v>
      </c>
      <c r="K53" t="str">
        <f t="shared" si="2"/>
        <v>Not delivered</v>
      </c>
      <c r="L53" t="str">
        <f t="shared" si="3"/>
        <v>Not dispatched</v>
      </c>
      <c r="O53" t="str">
        <f t="shared" si="5"/>
        <v/>
      </c>
    </row>
    <row r="54" spans="1:15">
      <c r="A54">
        <v>1058</v>
      </c>
      <c r="B54" t="s">
        <v>348</v>
      </c>
      <c r="C54" s="1">
        <v>46052</v>
      </c>
      <c r="D54" s="1">
        <v>46054</v>
      </c>
      <c r="E54" s="1">
        <v>46057</v>
      </c>
      <c r="F54" s="1">
        <v>46057</v>
      </c>
      <c r="G54" s="1">
        <v>46057</v>
      </c>
      <c r="H54">
        <f t="shared" si="0"/>
        <v>0</v>
      </c>
      <c r="I54" t="str">
        <f t="shared" si="1"/>
        <v>MetroLogistics</v>
      </c>
      <c r="J54" t="str">
        <f>VLOOKUP(A54,Orders!$A$2:$D$1201,4,FALSE)</f>
        <v>Delivered</v>
      </c>
      <c r="K54" t="str">
        <f t="shared" si="2"/>
        <v>On time</v>
      </c>
      <c r="L54" t="str">
        <f t="shared" si="3"/>
        <v>Late</v>
      </c>
      <c r="O54">
        <f t="shared" si="5"/>
        <v>0</v>
      </c>
    </row>
    <row r="55" spans="1:15">
      <c r="A55">
        <v>1059</v>
      </c>
      <c r="B55" t="s">
        <v>348</v>
      </c>
      <c r="C55" s="1">
        <v>46200</v>
      </c>
      <c r="D55" s="1">
        <v>46200</v>
      </c>
      <c r="E55" s="1">
        <v>46205</v>
      </c>
      <c r="F55" s="1">
        <v>46205</v>
      </c>
      <c r="G55" s="1">
        <v>46205</v>
      </c>
      <c r="H55">
        <f t="shared" si="0"/>
        <v>0</v>
      </c>
      <c r="I55" t="str">
        <f t="shared" si="1"/>
        <v>MetroLogistics</v>
      </c>
      <c r="J55" t="str">
        <f>VLOOKUP(A55,Orders!$A$2:$D$1201,4,FALSE)</f>
        <v>Delivered</v>
      </c>
      <c r="K55" t="str">
        <f t="shared" si="2"/>
        <v>On time</v>
      </c>
      <c r="L55" t="str">
        <f t="shared" si="3"/>
        <v>On time</v>
      </c>
      <c r="O55">
        <f t="shared" si="5"/>
        <v>0</v>
      </c>
    </row>
    <row r="56" spans="1:15">
      <c r="A56">
        <v>1060</v>
      </c>
      <c r="B56" t="s">
        <v>346</v>
      </c>
      <c r="C56" s="1">
        <v>46193</v>
      </c>
      <c r="D56" s="1">
        <v>46193</v>
      </c>
      <c r="E56" s="1">
        <v>46198</v>
      </c>
      <c r="F56" s="1">
        <v>46199</v>
      </c>
      <c r="G56" s="1">
        <v>46199</v>
      </c>
      <c r="H56">
        <f t="shared" si="0"/>
        <v>0</v>
      </c>
      <c r="I56" t="str">
        <f t="shared" si="1"/>
        <v>SwiftShip</v>
      </c>
      <c r="J56" t="str">
        <f>VLOOKUP(A56,Orders!$A$2:$D$1201,4,FALSE)</f>
        <v>Delivered</v>
      </c>
      <c r="K56" t="str">
        <f t="shared" si="2"/>
        <v>Late</v>
      </c>
      <c r="L56" t="str">
        <f t="shared" si="3"/>
        <v>On time</v>
      </c>
      <c r="O56">
        <f t="shared" si="5"/>
        <v>0</v>
      </c>
    </row>
    <row r="57" spans="1:15">
      <c r="A57">
        <v>1061</v>
      </c>
      <c r="B57" t="s">
        <v>346</v>
      </c>
      <c r="C57" s="1">
        <v>46108</v>
      </c>
      <c r="D57" s="1">
        <v>46108</v>
      </c>
      <c r="E57" s="1">
        <v>46113</v>
      </c>
      <c r="F57" s="1">
        <v>46115</v>
      </c>
      <c r="G57" s="1">
        <v>46116</v>
      </c>
      <c r="H57">
        <f t="shared" si="0"/>
        <v>0</v>
      </c>
      <c r="I57" t="str">
        <f t="shared" si="1"/>
        <v>SwiftShip</v>
      </c>
      <c r="J57" t="str">
        <f>VLOOKUP(A57,Orders!$A$2:$D$1201,4,FALSE)</f>
        <v>Delivered</v>
      </c>
      <c r="K57" t="str">
        <f t="shared" si="2"/>
        <v>Late</v>
      </c>
      <c r="L57" t="str">
        <f t="shared" si="3"/>
        <v>On time</v>
      </c>
      <c r="O57">
        <f t="shared" si="5"/>
        <v>1</v>
      </c>
    </row>
    <row r="58" spans="1:15">
      <c r="A58">
        <v>1062</v>
      </c>
      <c r="B58" t="s">
        <v>348</v>
      </c>
      <c r="C58" s="1">
        <v>46148</v>
      </c>
      <c r="D58" s="1">
        <v>46149</v>
      </c>
      <c r="E58" s="1">
        <v>46153</v>
      </c>
      <c r="H58">
        <f t="shared" si="0"/>
        <v>0</v>
      </c>
      <c r="I58" t="str">
        <f t="shared" si="1"/>
        <v>MetroLogistics</v>
      </c>
      <c r="J58" t="str">
        <f>VLOOKUP(A58,Orders!$A$2:$D$1201,4,FALSE)</f>
        <v>Shipped</v>
      </c>
      <c r="K58" t="str">
        <f t="shared" si="2"/>
        <v>Not delivered</v>
      </c>
      <c r="L58" t="str">
        <f t="shared" si="3"/>
        <v>Late</v>
      </c>
      <c r="O58" t="str">
        <f t="shared" si="5"/>
        <v/>
      </c>
    </row>
    <row r="59" spans="1:15">
      <c r="A59">
        <v>1063</v>
      </c>
      <c r="B59" t="s">
        <v>348</v>
      </c>
      <c r="C59" s="1">
        <v>46197</v>
      </c>
      <c r="E59" s="1">
        <v>46202</v>
      </c>
      <c r="H59">
        <f t="shared" si="0"/>
        <v>0</v>
      </c>
      <c r="I59" t="str">
        <f t="shared" si="1"/>
        <v>MetroLogistics</v>
      </c>
      <c r="J59" t="str">
        <f>VLOOKUP(A59,Orders!$A$2:$D$1201,4,FALSE)</f>
        <v>Pending</v>
      </c>
      <c r="K59" t="str">
        <f t="shared" si="2"/>
        <v>Not delivered</v>
      </c>
      <c r="L59" t="str">
        <f t="shared" si="3"/>
        <v>Not dispatched</v>
      </c>
      <c r="O59" t="str">
        <f t="shared" si="5"/>
        <v/>
      </c>
    </row>
    <row r="60" spans="1:15">
      <c r="A60">
        <v>1064</v>
      </c>
      <c r="B60" t="s">
        <v>348</v>
      </c>
      <c r="C60" s="1">
        <v>46056</v>
      </c>
      <c r="D60" s="1">
        <v>46056</v>
      </c>
      <c r="E60" s="1">
        <v>46061</v>
      </c>
      <c r="F60" s="1">
        <v>46063</v>
      </c>
      <c r="G60" s="1">
        <v>46063</v>
      </c>
      <c r="H60">
        <f t="shared" si="0"/>
        <v>0</v>
      </c>
      <c r="I60" t="str">
        <f t="shared" si="1"/>
        <v>MetroLogistics</v>
      </c>
      <c r="J60" t="str">
        <f>VLOOKUP(A60,Orders!$A$2:$D$1201,4,FALSE)</f>
        <v>Delivered</v>
      </c>
      <c r="K60" t="str">
        <f t="shared" si="2"/>
        <v>Late</v>
      </c>
      <c r="L60" t="str">
        <f t="shared" si="3"/>
        <v>On time</v>
      </c>
      <c r="O60">
        <f t="shared" si="5"/>
        <v>0</v>
      </c>
    </row>
    <row r="61" spans="1:15">
      <c r="A61">
        <v>1065</v>
      </c>
      <c r="B61" t="s">
        <v>347</v>
      </c>
      <c r="C61" s="1">
        <v>46081</v>
      </c>
      <c r="D61" s="1">
        <v>46083</v>
      </c>
      <c r="E61" s="1">
        <v>46086</v>
      </c>
      <c r="F61" s="1">
        <v>46086</v>
      </c>
      <c r="G61" s="1">
        <v>46086</v>
      </c>
      <c r="H61">
        <f t="shared" si="0"/>
        <v>0</v>
      </c>
      <c r="I61" t="str">
        <f t="shared" si="1"/>
        <v>ParcelOne</v>
      </c>
      <c r="J61" t="str">
        <f>VLOOKUP(A61,Orders!$A$2:$D$1201,4,FALSE)</f>
        <v>Delivered</v>
      </c>
      <c r="K61" t="str">
        <f t="shared" si="2"/>
        <v>On time</v>
      </c>
      <c r="L61" t="str">
        <f t="shared" si="3"/>
        <v>Late</v>
      </c>
      <c r="O61">
        <f t="shared" si="5"/>
        <v>0</v>
      </c>
    </row>
    <row r="62" spans="1:15">
      <c r="A62">
        <v>1067</v>
      </c>
      <c r="B62" t="s">
        <v>348</v>
      </c>
      <c r="C62" s="1">
        <v>46131</v>
      </c>
      <c r="D62" s="1">
        <v>46131</v>
      </c>
      <c r="E62" s="1">
        <v>46136</v>
      </c>
      <c r="F62" s="1">
        <v>46135</v>
      </c>
      <c r="G62" s="1">
        <v>46135</v>
      </c>
      <c r="H62">
        <f t="shared" si="0"/>
        <v>0</v>
      </c>
      <c r="I62" t="str">
        <f t="shared" si="1"/>
        <v>MetroLogistics</v>
      </c>
      <c r="J62" t="str">
        <f>VLOOKUP(A62,Orders!$A$2:$D$1201,4,FALSE)</f>
        <v>Delivered</v>
      </c>
      <c r="K62" t="str">
        <f t="shared" si="2"/>
        <v>On time</v>
      </c>
      <c r="L62" t="str">
        <f t="shared" si="3"/>
        <v>On time</v>
      </c>
      <c r="O62">
        <f t="shared" si="5"/>
        <v>0</v>
      </c>
    </row>
    <row r="63" spans="1:15">
      <c r="A63">
        <v>1068</v>
      </c>
      <c r="B63" t="s">
        <v>346</v>
      </c>
      <c r="C63" s="1">
        <v>46119</v>
      </c>
      <c r="D63" s="1">
        <v>46119</v>
      </c>
      <c r="E63" s="1">
        <v>46124</v>
      </c>
      <c r="F63" s="1">
        <v>46123</v>
      </c>
      <c r="G63" s="1">
        <v>46124</v>
      </c>
      <c r="H63">
        <f t="shared" si="0"/>
        <v>0</v>
      </c>
      <c r="I63" t="str">
        <f t="shared" si="1"/>
        <v>SwiftShip</v>
      </c>
      <c r="J63" t="str">
        <f>VLOOKUP(A63,Orders!$A$2:$D$1201,4,FALSE)</f>
        <v>Delivered</v>
      </c>
      <c r="K63" t="str">
        <f t="shared" si="2"/>
        <v>On time</v>
      </c>
      <c r="L63" t="str">
        <f t="shared" si="3"/>
        <v>On time</v>
      </c>
      <c r="O63">
        <f t="shared" si="5"/>
        <v>1</v>
      </c>
    </row>
    <row r="64" spans="1:15">
      <c r="A64">
        <v>1069</v>
      </c>
      <c r="B64" t="s">
        <v>348</v>
      </c>
      <c r="C64" s="1">
        <v>46048</v>
      </c>
      <c r="D64" s="1">
        <v>46050</v>
      </c>
      <c r="E64" s="1">
        <v>46053</v>
      </c>
      <c r="F64" s="1">
        <v>46054</v>
      </c>
      <c r="G64" s="1">
        <v>46054</v>
      </c>
      <c r="H64">
        <f t="shared" si="0"/>
        <v>0</v>
      </c>
      <c r="I64" t="str">
        <f t="shared" si="1"/>
        <v>MetroLogistics</v>
      </c>
      <c r="J64" t="str">
        <f>VLOOKUP(A64,Orders!$A$2:$D$1201,4,FALSE)</f>
        <v>Delivered</v>
      </c>
      <c r="K64" t="str">
        <f t="shared" si="2"/>
        <v>Late</v>
      </c>
      <c r="L64" t="str">
        <f t="shared" si="3"/>
        <v>Late</v>
      </c>
      <c r="O64">
        <f t="shared" si="5"/>
        <v>0</v>
      </c>
    </row>
    <row r="65" spans="1:15">
      <c r="A65">
        <v>1070</v>
      </c>
      <c r="B65" t="s">
        <v>346</v>
      </c>
      <c r="C65" s="1">
        <v>46078</v>
      </c>
      <c r="D65" s="1">
        <v>46079</v>
      </c>
      <c r="E65" s="1">
        <v>46083</v>
      </c>
      <c r="F65" s="1">
        <v>46082</v>
      </c>
      <c r="G65" s="1">
        <v>46082</v>
      </c>
      <c r="H65">
        <f t="shared" si="0"/>
        <v>0</v>
      </c>
      <c r="I65" t="str">
        <f t="shared" si="1"/>
        <v>SwiftShip</v>
      </c>
      <c r="J65" t="str">
        <f>VLOOKUP(A65,Orders!$A$2:$D$1201,4,FALSE)</f>
        <v>Delivered</v>
      </c>
      <c r="K65" t="str">
        <f t="shared" si="2"/>
        <v>On time</v>
      </c>
      <c r="L65" t="str">
        <f t="shared" si="3"/>
        <v>Late</v>
      </c>
      <c r="O65">
        <f t="shared" si="5"/>
        <v>0</v>
      </c>
    </row>
    <row r="66" spans="1:15">
      <c r="A66">
        <v>1071</v>
      </c>
      <c r="B66" t="s">
        <v>347</v>
      </c>
      <c r="C66" s="1">
        <v>46069</v>
      </c>
      <c r="D66" s="1">
        <v>46069</v>
      </c>
      <c r="E66" s="1">
        <v>46074</v>
      </c>
      <c r="F66" s="1">
        <v>46073</v>
      </c>
      <c r="G66" s="1">
        <v>46073</v>
      </c>
      <c r="H66">
        <f t="shared" si="0"/>
        <v>0</v>
      </c>
      <c r="I66" t="str">
        <f t="shared" si="1"/>
        <v>ParcelOne</v>
      </c>
      <c r="J66" t="str">
        <f>VLOOKUP(A66,Orders!$A$2:$D$1201,4,FALSE)</f>
        <v>Delivered</v>
      </c>
      <c r="K66" t="str">
        <f t="shared" si="2"/>
        <v>On time</v>
      </c>
      <c r="L66" t="str">
        <f t="shared" si="3"/>
        <v>On time</v>
      </c>
      <c r="O66">
        <f t="shared" si="5"/>
        <v>0</v>
      </c>
    </row>
    <row r="67" spans="1:15">
      <c r="A67">
        <v>1072</v>
      </c>
      <c r="B67" t="s">
        <v>348</v>
      </c>
      <c r="C67" s="1">
        <v>46092</v>
      </c>
      <c r="D67" s="1">
        <v>46092</v>
      </c>
      <c r="E67" s="1">
        <v>46097</v>
      </c>
      <c r="F67" s="1">
        <v>46096</v>
      </c>
      <c r="G67" s="1">
        <v>46096</v>
      </c>
      <c r="H67">
        <f t="shared" ref="H67:H130" si="6">LEN(B67)-LEN(TRIM(B67))</f>
        <v>0</v>
      </c>
      <c r="I67" t="str">
        <f t="shared" ref="I67:I130" si="7">TRIM(B67)</f>
        <v>MetroLogistics</v>
      </c>
      <c r="J67" t="str">
        <f>VLOOKUP(A67,Orders!$A$2:$D$1201,4,FALSE)</f>
        <v>Delivered</v>
      </c>
      <c r="K67" t="str">
        <f t="shared" ref="K67:K130" si="8">IF(J67&lt;&gt;"Delivered","Not delivered",IF(OR(E67="",F67=""),"Unknown",IF(F67&lt;=E67,"On time","Late")))</f>
        <v>On time</v>
      </c>
      <c r="L67" t="str">
        <f t="shared" ref="L67:L130" si="9">IF(D67="","Not dispatched",IF(C67="","Unknown",IF(D67&lt;=C67,"On time","Late")))</f>
        <v>On time</v>
      </c>
      <c r="O67">
        <f t="shared" ref="O67:O130" si="10">IF(OR(F67="",G67=""),"",G67-F67)</f>
        <v>0</v>
      </c>
    </row>
    <row r="68" spans="1:15">
      <c r="A68">
        <v>1073</v>
      </c>
      <c r="B68" t="s">
        <v>347</v>
      </c>
      <c r="C68" s="1">
        <v>46193</v>
      </c>
      <c r="D68" s="1">
        <v>46193</v>
      </c>
      <c r="E68" s="1">
        <v>46198</v>
      </c>
      <c r="F68" s="1">
        <v>46200</v>
      </c>
      <c r="G68" s="1">
        <v>46200</v>
      </c>
      <c r="H68">
        <f t="shared" si="6"/>
        <v>0</v>
      </c>
      <c r="I68" t="str">
        <f t="shared" si="7"/>
        <v>ParcelOne</v>
      </c>
      <c r="J68" t="str">
        <f>VLOOKUP(A68,Orders!$A$2:$D$1201,4,FALSE)</f>
        <v>Delivered</v>
      </c>
      <c r="K68" t="str">
        <f t="shared" si="8"/>
        <v>Late</v>
      </c>
      <c r="L68" t="str">
        <f t="shared" si="9"/>
        <v>On time</v>
      </c>
      <c r="O68">
        <f t="shared" si="10"/>
        <v>0</v>
      </c>
    </row>
    <row r="69" spans="1:15">
      <c r="A69">
        <v>1074</v>
      </c>
      <c r="B69" t="s">
        <v>348</v>
      </c>
      <c r="C69" s="1">
        <v>46107</v>
      </c>
      <c r="D69" s="1">
        <v>46107</v>
      </c>
      <c r="E69" s="1">
        <v>46112</v>
      </c>
      <c r="F69" s="1">
        <v>46112</v>
      </c>
      <c r="G69" s="1">
        <v>46112</v>
      </c>
      <c r="H69">
        <f t="shared" si="6"/>
        <v>0</v>
      </c>
      <c r="I69" t="str">
        <f t="shared" si="7"/>
        <v>MetroLogistics</v>
      </c>
      <c r="J69" t="str">
        <f>VLOOKUP(A69,Orders!$A$2:$D$1201,4,FALSE)</f>
        <v>Delivered</v>
      </c>
      <c r="K69" t="str">
        <f t="shared" si="8"/>
        <v>On time</v>
      </c>
      <c r="L69" t="str">
        <f t="shared" si="9"/>
        <v>On time</v>
      </c>
      <c r="O69">
        <f t="shared" si="10"/>
        <v>0</v>
      </c>
    </row>
    <row r="70" spans="1:15">
      <c r="A70">
        <v>1075</v>
      </c>
      <c r="B70" t="s">
        <v>348</v>
      </c>
      <c r="C70" s="1">
        <v>46179</v>
      </c>
      <c r="D70" s="1">
        <v>46179</v>
      </c>
      <c r="E70" s="1">
        <v>46184</v>
      </c>
      <c r="F70" s="1">
        <v>46185</v>
      </c>
      <c r="G70" s="1">
        <v>46185</v>
      </c>
      <c r="H70">
        <f t="shared" si="6"/>
        <v>0</v>
      </c>
      <c r="I70" t="str">
        <f t="shared" si="7"/>
        <v>MetroLogistics</v>
      </c>
      <c r="J70" t="str">
        <f>VLOOKUP(A70,Orders!$A$2:$D$1201,4,FALSE)</f>
        <v>Delivered</v>
      </c>
      <c r="K70" t="str">
        <f t="shared" si="8"/>
        <v>Late</v>
      </c>
      <c r="L70" t="str">
        <f t="shared" si="9"/>
        <v>On time</v>
      </c>
      <c r="O70">
        <f t="shared" si="10"/>
        <v>0</v>
      </c>
    </row>
    <row r="71" spans="1:15">
      <c r="A71">
        <v>1076</v>
      </c>
      <c r="B71" t="s">
        <v>348</v>
      </c>
      <c r="C71" s="1">
        <v>46049</v>
      </c>
      <c r="D71" s="1">
        <v>46050</v>
      </c>
      <c r="E71" s="1">
        <v>46054</v>
      </c>
      <c r="F71" s="1">
        <v>46053</v>
      </c>
      <c r="G71" s="1">
        <v>46053</v>
      </c>
      <c r="H71">
        <f t="shared" si="6"/>
        <v>0</v>
      </c>
      <c r="I71" t="str">
        <f t="shared" si="7"/>
        <v>MetroLogistics</v>
      </c>
      <c r="J71" t="str">
        <f>VLOOKUP(A71,Orders!$A$2:$D$1201,4,FALSE)</f>
        <v>Delivered</v>
      </c>
      <c r="K71" t="str">
        <f t="shared" si="8"/>
        <v>On time</v>
      </c>
      <c r="L71" t="str">
        <f t="shared" si="9"/>
        <v>Late</v>
      </c>
      <c r="O71">
        <f t="shared" si="10"/>
        <v>0</v>
      </c>
    </row>
    <row r="72" spans="1:15">
      <c r="A72">
        <v>1077</v>
      </c>
      <c r="B72" t="s">
        <v>346</v>
      </c>
      <c r="C72" s="1">
        <v>46120</v>
      </c>
      <c r="D72" s="1">
        <v>46120</v>
      </c>
      <c r="E72" s="1">
        <v>46125</v>
      </c>
      <c r="F72" s="1">
        <v>46125</v>
      </c>
      <c r="G72" s="1">
        <v>46126</v>
      </c>
      <c r="H72">
        <f t="shared" si="6"/>
        <v>0</v>
      </c>
      <c r="I72" t="str">
        <f t="shared" si="7"/>
        <v>SwiftShip</v>
      </c>
      <c r="J72" t="str">
        <f>VLOOKUP(A72,Orders!$A$2:$D$1201,4,FALSE)</f>
        <v>Delivered</v>
      </c>
      <c r="K72" t="str">
        <f t="shared" si="8"/>
        <v>On time</v>
      </c>
      <c r="L72" t="str">
        <f t="shared" si="9"/>
        <v>On time</v>
      </c>
      <c r="O72">
        <f t="shared" si="10"/>
        <v>1</v>
      </c>
    </row>
    <row r="73" spans="1:15">
      <c r="A73">
        <v>1078</v>
      </c>
      <c r="B73" t="s">
        <v>347</v>
      </c>
      <c r="C73" s="1">
        <v>46038</v>
      </c>
      <c r="D73" s="1">
        <v>46038</v>
      </c>
      <c r="E73" s="1">
        <v>46043</v>
      </c>
      <c r="H73">
        <f t="shared" si="6"/>
        <v>0</v>
      </c>
      <c r="I73" t="str">
        <f t="shared" si="7"/>
        <v>ParcelOne</v>
      </c>
      <c r="J73" t="str">
        <f>VLOOKUP(A73,Orders!$A$2:$D$1201,4,FALSE)</f>
        <v>Shipped</v>
      </c>
      <c r="K73" t="str">
        <f t="shared" si="8"/>
        <v>Not delivered</v>
      </c>
      <c r="L73" t="str">
        <f t="shared" si="9"/>
        <v>On time</v>
      </c>
      <c r="O73" t="str">
        <f t="shared" si="10"/>
        <v/>
      </c>
    </row>
    <row r="74" spans="1:15">
      <c r="A74">
        <v>1079</v>
      </c>
      <c r="B74" t="s">
        <v>348</v>
      </c>
      <c r="C74" s="1">
        <v>46052</v>
      </c>
      <c r="D74" s="1">
        <v>46053</v>
      </c>
      <c r="E74" s="1">
        <v>46057</v>
      </c>
      <c r="F74" s="1">
        <v>46061</v>
      </c>
      <c r="G74" s="1">
        <v>46062</v>
      </c>
      <c r="H74">
        <f t="shared" si="6"/>
        <v>0</v>
      </c>
      <c r="I74" t="str">
        <f t="shared" si="7"/>
        <v>MetroLogistics</v>
      </c>
      <c r="J74" t="str">
        <f>VLOOKUP(A74,Orders!$A$2:$D$1201,4,FALSE)</f>
        <v>Delivered</v>
      </c>
      <c r="K74" t="str">
        <f t="shared" si="8"/>
        <v>Late</v>
      </c>
      <c r="L74" t="str">
        <f t="shared" si="9"/>
        <v>Late</v>
      </c>
      <c r="O74">
        <f t="shared" si="10"/>
        <v>1</v>
      </c>
    </row>
    <row r="75" spans="1:15">
      <c r="A75">
        <v>1080</v>
      </c>
      <c r="B75" t="s">
        <v>347</v>
      </c>
      <c r="C75" s="1">
        <v>46197</v>
      </c>
      <c r="D75" s="1">
        <v>46199</v>
      </c>
      <c r="E75" s="1">
        <v>46202</v>
      </c>
      <c r="F75" s="1">
        <v>46202</v>
      </c>
      <c r="G75" s="1">
        <v>46202</v>
      </c>
      <c r="H75">
        <f t="shared" si="6"/>
        <v>0</v>
      </c>
      <c r="I75" t="str">
        <f t="shared" si="7"/>
        <v>ParcelOne</v>
      </c>
      <c r="J75" t="str">
        <f>VLOOKUP(A75,Orders!$A$2:$D$1201,4,FALSE)</f>
        <v>Delivered</v>
      </c>
      <c r="K75" t="str">
        <f t="shared" si="8"/>
        <v>On time</v>
      </c>
      <c r="L75" t="str">
        <f t="shared" si="9"/>
        <v>Late</v>
      </c>
      <c r="O75">
        <f t="shared" si="10"/>
        <v>0</v>
      </c>
    </row>
    <row r="76" spans="1:15">
      <c r="A76">
        <v>1081</v>
      </c>
      <c r="B76" t="s">
        <v>346</v>
      </c>
      <c r="C76" s="1">
        <v>46169</v>
      </c>
      <c r="D76" s="1">
        <v>46169</v>
      </c>
      <c r="E76" s="1">
        <v>46174</v>
      </c>
      <c r="F76" s="1">
        <v>46174</v>
      </c>
      <c r="G76" s="1">
        <v>46174</v>
      </c>
      <c r="H76">
        <f t="shared" si="6"/>
        <v>0</v>
      </c>
      <c r="I76" t="str">
        <f t="shared" si="7"/>
        <v>SwiftShip</v>
      </c>
      <c r="J76" t="str">
        <f>VLOOKUP(A76,Orders!$A$2:$D$1201,4,FALSE)</f>
        <v>Delivered</v>
      </c>
      <c r="K76" t="str">
        <f t="shared" si="8"/>
        <v>On time</v>
      </c>
      <c r="L76" t="str">
        <f t="shared" si="9"/>
        <v>On time</v>
      </c>
      <c r="O76">
        <f t="shared" si="10"/>
        <v>0</v>
      </c>
    </row>
    <row r="77" spans="1:15">
      <c r="A77">
        <v>1082</v>
      </c>
      <c r="B77" t="s">
        <v>346</v>
      </c>
      <c r="C77" s="1">
        <v>46112</v>
      </c>
      <c r="D77" s="1">
        <v>46112</v>
      </c>
      <c r="E77" s="1">
        <v>46117</v>
      </c>
      <c r="F77" s="1">
        <v>46117</v>
      </c>
      <c r="G77" s="1">
        <v>46117</v>
      </c>
      <c r="H77">
        <f t="shared" si="6"/>
        <v>0</v>
      </c>
      <c r="I77" t="str">
        <f t="shared" si="7"/>
        <v>SwiftShip</v>
      </c>
      <c r="J77" t="str">
        <f>VLOOKUP(A77,Orders!$A$2:$D$1201,4,FALSE)</f>
        <v>Delivered</v>
      </c>
      <c r="K77" t="str">
        <f t="shared" si="8"/>
        <v>On time</v>
      </c>
      <c r="L77" t="str">
        <f t="shared" si="9"/>
        <v>On time</v>
      </c>
      <c r="O77">
        <f t="shared" si="10"/>
        <v>0</v>
      </c>
    </row>
    <row r="78" spans="1:15">
      <c r="A78">
        <v>1083</v>
      </c>
      <c r="B78" t="s">
        <v>346</v>
      </c>
      <c r="C78" s="1">
        <v>46138</v>
      </c>
      <c r="D78" s="1">
        <v>46138</v>
      </c>
      <c r="E78" s="1">
        <v>46143</v>
      </c>
      <c r="F78" s="1">
        <v>46143</v>
      </c>
      <c r="G78" s="1">
        <v>46143</v>
      </c>
      <c r="H78">
        <f t="shared" si="6"/>
        <v>0</v>
      </c>
      <c r="I78" t="str">
        <f t="shared" si="7"/>
        <v>SwiftShip</v>
      </c>
      <c r="J78" t="str">
        <f>VLOOKUP(A78,Orders!$A$2:$D$1201,4,FALSE)</f>
        <v>Delivered</v>
      </c>
      <c r="K78" t="str">
        <f t="shared" si="8"/>
        <v>On time</v>
      </c>
      <c r="L78" t="str">
        <f t="shared" si="9"/>
        <v>On time</v>
      </c>
      <c r="O78">
        <f t="shared" si="10"/>
        <v>0</v>
      </c>
    </row>
    <row r="79" spans="1:15">
      <c r="A79">
        <v>1084</v>
      </c>
      <c r="B79" t="s">
        <v>347</v>
      </c>
      <c r="C79" s="1">
        <v>46159</v>
      </c>
      <c r="D79" s="1">
        <v>46159</v>
      </c>
      <c r="E79" s="1">
        <v>46164</v>
      </c>
      <c r="F79" s="1">
        <v>46164</v>
      </c>
      <c r="G79" s="1">
        <v>46164</v>
      </c>
      <c r="H79">
        <f t="shared" si="6"/>
        <v>0</v>
      </c>
      <c r="I79" t="str">
        <f t="shared" si="7"/>
        <v>ParcelOne</v>
      </c>
      <c r="J79" t="str">
        <f>VLOOKUP(A79,Orders!$A$2:$D$1201,4,FALSE)</f>
        <v>Delivered</v>
      </c>
      <c r="K79" t="str">
        <f t="shared" si="8"/>
        <v>On time</v>
      </c>
      <c r="L79" t="str">
        <f t="shared" si="9"/>
        <v>On time</v>
      </c>
      <c r="O79">
        <f t="shared" si="10"/>
        <v>0</v>
      </c>
    </row>
    <row r="80" spans="1:15">
      <c r="A80">
        <v>1085</v>
      </c>
      <c r="B80" t="s">
        <v>348</v>
      </c>
      <c r="C80" s="1">
        <v>46090</v>
      </c>
      <c r="D80" s="1">
        <v>46090</v>
      </c>
      <c r="E80" s="1">
        <v>46095</v>
      </c>
      <c r="F80" s="1">
        <v>46095</v>
      </c>
      <c r="G80" s="1">
        <v>46095</v>
      </c>
      <c r="H80">
        <f t="shared" si="6"/>
        <v>0</v>
      </c>
      <c r="I80" t="str">
        <f t="shared" si="7"/>
        <v>MetroLogistics</v>
      </c>
      <c r="J80" t="str">
        <f>VLOOKUP(A80,Orders!$A$2:$D$1201,4,FALSE)</f>
        <v>Delivered</v>
      </c>
      <c r="K80" t="str">
        <f t="shared" si="8"/>
        <v>On time</v>
      </c>
      <c r="L80" t="str">
        <f t="shared" si="9"/>
        <v>On time</v>
      </c>
      <c r="O80">
        <f t="shared" si="10"/>
        <v>0</v>
      </c>
    </row>
    <row r="81" spans="1:15">
      <c r="A81">
        <v>1086</v>
      </c>
      <c r="B81" t="s">
        <v>346</v>
      </c>
      <c r="C81" s="1">
        <v>46168</v>
      </c>
      <c r="D81" s="1">
        <v>46168</v>
      </c>
      <c r="E81" s="1">
        <v>46173</v>
      </c>
      <c r="F81" s="1">
        <v>46173</v>
      </c>
      <c r="G81" s="1">
        <v>46173</v>
      </c>
      <c r="H81">
        <f t="shared" si="6"/>
        <v>0</v>
      </c>
      <c r="I81" t="str">
        <f t="shared" si="7"/>
        <v>SwiftShip</v>
      </c>
      <c r="J81" t="str">
        <f>VLOOKUP(A81,Orders!$A$2:$D$1201,4,FALSE)</f>
        <v>Delivered</v>
      </c>
      <c r="K81" t="str">
        <f t="shared" si="8"/>
        <v>On time</v>
      </c>
      <c r="L81" t="str">
        <f t="shared" si="9"/>
        <v>On time</v>
      </c>
      <c r="O81">
        <f t="shared" si="10"/>
        <v>0</v>
      </c>
    </row>
    <row r="82" spans="1:15">
      <c r="A82">
        <v>1087</v>
      </c>
      <c r="B82" t="s">
        <v>346</v>
      </c>
      <c r="C82" s="1">
        <v>46172</v>
      </c>
      <c r="D82" s="1">
        <v>46174</v>
      </c>
      <c r="E82" s="1">
        <v>46177</v>
      </c>
      <c r="F82" s="1">
        <v>46176</v>
      </c>
      <c r="G82" s="1">
        <v>46178</v>
      </c>
      <c r="H82">
        <f t="shared" si="6"/>
        <v>0</v>
      </c>
      <c r="I82" t="str">
        <f t="shared" si="7"/>
        <v>SwiftShip</v>
      </c>
      <c r="J82" t="str">
        <f>VLOOKUP(A82,Orders!$A$2:$D$1201,4,FALSE)</f>
        <v>Delivered</v>
      </c>
      <c r="K82" t="str">
        <f t="shared" si="8"/>
        <v>On time</v>
      </c>
      <c r="L82" t="str">
        <f t="shared" si="9"/>
        <v>Late</v>
      </c>
      <c r="O82">
        <f t="shared" si="10"/>
        <v>2</v>
      </c>
    </row>
    <row r="83" spans="1:15">
      <c r="A83">
        <v>1088</v>
      </c>
      <c r="B83" t="s">
        <v>346</v>
      </c>
      <c r="C83" s="1">
        <v>46201</v>
      </c>
      <c r="D83" s="1">
        <v>46201</v>
      </c>
      <c r="E83" s="1">
        <v>46206</v>
      </c>
      <c r="H83">
        <f t="shared" si="6"/>
        <v>0</v>
      </c>
      <c r="I83" t="str">
        <f t="shared" si="7"/>
        <v>SwiftShip</v>
      </c>
      <c r="J83" t="str">
        <f>VLOOKUP(A83,Orders!$A$2:$D$1201,4,FALSE)</f>
        <v>Shipped</v>
      </c>
      <c r="K83" t="str">
        <f t="shared" si="8"/>
        <v>Not delivered</v>
      </c>
      <c r="L83" t="str">
        <f t="shared" si="9"/>
        <v>On time</v>
      </c>
      <c r="O83" t="str">
        <f t="shared" si="10"/>
        <v/>
      </c>
    </row>
    <row r="84" spans="1:15">
      <c r="A84">
        <v>1089</v>
      </c>
      <c r="B84" t="s">
        <v>348</v>
      </c>
      <c r="C84" s="1">
        <v>46104</v>
      </c>
      <c r="D84" s="1">
        <v>46106</v>
      </c>
      <c r="E84" s="1">
        <v>46109</v>
      </c>
      <c r="F84" s="1">
        <v>46109</v>
      </c>
      <c r="G84" s="1">
        <v>46109</v>
      </c>
      <c r="H84">
        <f t="shared" si="6"/>
        <v>0</v>
      </c>
      <c r="I84" t="str">
        <f t="shared" si="7"/>
        <v>MetroLogistics</v>
      </c>
      <c r="J84" t="str">
        <f>VLOOKUP(A84,Orders!$A$2:$D$1201,4,FALSE)</f>
        <v>Delivered</v>
      </c>
      <c r="K84" t="str">
        <f t="shared" si="8"/>
        <v>On time</v>
      </c>
      <c r="L84" t="str">
        <f t="shared" si="9"/>
        <v>Late</v>
      </c>
      <c r="O84">
        <f t="shared" si="10"/>
        <v>0</v>
      </c>
    </row>
    <row r="85" spans="1:15">
      <c r="A85">
        <v>1090</v>
      </c>
      <c r="B85" t="s">
        <v>348</v>
      </c>
      <c r="C85" s="1">
        <v>46062</v>
      </c>
      <c r="D85" s="1">
        <v>46062</v>
      </c>
      <c r="E85" s="1">
        <v>46067</v>
      </c>
      <c r="F85" s="1">
        <v>46068</v>
      </c>
      <c r="G85" s="1">
        <v>46068</v>
      </c>
      <c r="H85">
        <f t="shared" si="6"/>
        <v>0</v>
      </c>
      <c r="I85" t="str">
        <f t="shared" si="7"/>
        <v>MetroLogistics</v>
      </c>
      <c r="J85" t="str">
        <f>VLOOKUP(A85,Orders!$A$2:$D$1201,4,FALSE)</f>
        <v>Delivered</v>
      </c>
      <c r="K85" t="str">
        <f t="shared" si="8"/>
        <v>Late</v>
      </c>
      <c r="L85" t="str">
        <f t="shared" si="9"/>
        <v>On time</v>
      </c>
      <c r="O85">
        <f t="shared" si="10"/>
        <v>0</v>
      </c>
    </row>
    <row r="86" spans="1:15">
      <c r="A86">
        <v>1091</v>
      </c>
      <c r="B86" t="s">
        <v>346</v>
      </c>
      <c r="C86" s="1">
        <v>46173</v>
      </c>
      <c r="D86" s="1">
        <v>46173</v>
      </c>
      <c r="E86" s="1">
        <v>46178</v>
      </c>
      <c r="F86" s="1">
        <v>46178</v>
      </c>
      <c r="G86" s="1">
        <v>46178</v>
      </c>
      <c r="H86">
        <f t="shared" si="6"/>
        <v>0</v>
      </c>
      <c r="I86" t="str">
        <f t="shared" si="7"/>
        <v>SwiftShip</v>
      </c>
      <c r="J86" t="str">
        <f>VLOOKUP(A86,Orders!$A$2:$D$1201,4,FALSE)</f>
        <v>Delivered</v>
      </c>
      <c r="K86" t="str">
        <f t="shared" si="8"/>
        <v>On time</v>
      </c>
      <c r="L86" t="str">
        <f t="shared" si="9"/>
        <v>On time</v>
      </c>
      <c r="O86">
        <f t="shared" si="10"/>
        <v>0</v>
      </c>
    </row>
    <row r="87" spans="1:15">
      <c r="A87">
        <v>1092</v>
      </c>
      <c r="B87" t="s">
        <v>347</v>
      </c>
      <c r="C87" s="1">
        <v>46176</v>
      </c>
      <c r="D87" s="1">
        <v>46176</v>
      </c>
      <c r="E87" s="1">
        <v>46181</v>
      </c>
      <c r="F87" s="1">
        <v>46179</v>
      </c>
      <c r="G87" s="1">
        <v>46180</v>
      </c>
      <c r="H87">
        <f t="shared" si="6"/>
        <v>0</v>
      </c>
      <c r="I87" t="str">
        <f t="shared" si="7"/>
        <v>ParcelOne</v>
      </c>
      <c r="J87" t="str">
        <f>VLOOKUP(A87,Orders!$A$2:$D$1201,4,FALSE)</f>
        <v>Delivered</v>
      </c>
      <c r="K87" t="str">
        <f t="shared" si="8"/>
        <v>On time</v>
      </c>
      <c r="L87" t="str">
        <f t="shared" si="9"/>
        <v>On time</v>
      </c>
      <c r="O87">
        <f t="shared" si="10"/>
        <v>1</v>
      </c>
    </row>
    <row r="88" spans="1:15">
      <c r="A88">
        <v>1094</v>
      </c>
      <c r="B88" t="s">
        <v>347</v>
      </c>
      <c r="C88" s="1">
        <v>46171</v>
      </c>
      <c r="D88" s="1">
        <v>46172</v>
      </c>
      <c r="E88" s="1">
        <v>46176</v>
      </c>
      <c r="F88" s="1">
        <v>46178</v>
      </c>
      <c r="G88" s="1">
        <v>46180</v>
      </c>
      <c r="H88">
        <f t="shared" si="6"/>
        <v>0</v>
      </c>
      <c r="I88" t="str">
        <f t="shared" si="7"/>
        <v>ParcelOne</v>
      </c>
      <c r="J88" t="str">
        <f>VLOOKUP(A88,Orders!$A$2:$D$1201,4,FALSE)</f>
        <v>Delivered</v>
      </c>
      <c r="K88" t="str">
        <f t="shared" si="8"/>
        <v>Late</v>
      </c>
      <c r="L88" t="str">
        <f t="shared" si="9"/>
        <v>Late</v>
      </c>
      <c r="O88">
        <f t="shared" si="10"/>
        <v>2</v>
      </c>
    </row>
    <row r="89" spans="1:15">
      <c r="A89">
        <v>1095</v>
      </c>
      <c r="B89" t="s">
        <v>346</v>
      </c>
      <c r="C89" s="1">
        <v>46154</v>
      </c>
      <c r="D89" s="1">
        <v>46156</v>
      </c>
      <c r="E89" s="1">
        <v>46159</v>
      </c>
      <c r="F89" s="1">
        <v>46159</v>
      </c>
      <c r="G89" s="1">
        <v>46159</v>
      </c>
      <c r="H89">
        <f t="shared" si="6"/>
        <v>0</v>
      </c>
      <c r="I89" t="str">
        <f t="shared" si="7"/>
        <v>SwiftShip</v>
      </c>
      <c r="J89" t="str">
        <f>VLOOKUP(A89,Orders!$A$2:$D$1201,4,FALSE)</f>
        <v>Delivered</v>
      </c>
      <c r="K89" t="str">
        <f t="shared" si="8"/>
        <v>On time</v>
      </c>
      <c r="L89" t="str">
        <f t="shared" si="9"/>
        <v>Late</v>
      </c>
      <c r="O89">
        <f t="shared" si="10"/>
        <v>0</v>
      </c>
    </row>
    <row r="90" spans="1:15">
      <c r="A90">
        <v>1096</v>
      </c>
      <c r="B90" t="s">
        <v>347</v>
      </c>
      <c r="C90" s="1">
        <v>46120</v>
      </c>
      <c r="D90" s="1">
        <v>46120</v>
      </c>
      <c r="E90" s="1">
        <v>46125</v>
      </c>
      <c r="H90">
        <f t="shared" si="6"/>
        <v>0</v>
      </c>
      <c r="I90" t="str">
        <f t="shared" si="7"/>
        <v>ParcelOne</v>
      </c>
      <c r="J90" t="str">
        <f>VLOOKUP(A90,Orders!$A$2:$D$1201,4,FALSE)</f>
        <v>Shipped</v>
      </c>
      <c r="K90" t="str">
        <f t="shared" si="8"/>
        <v>Not delivered</v>
      </c>
      <c r="L90" t="str">
        <f t="shared" si="9"/>
        <v>On time</v>
      </c>
      <c r="O90" t="str">
        <f t="shared" si="10"/>
        <v/>
      </c>
    </row>
    <row r="91" spans="1:15">
      <c r="A91">
        <v>1097</v>
      </c>
      <c r="B91" t="s">
        <v>346</v>
      </c>
      <c r="C91" s="1">
        <v>46167</v>
      </c>
      <c r="D91" s="1">
        <v>46167</v>
      </c>
      <c r="E91" s="1">
        <v>46172</v>
      </c>
      <c r="F91" s="1">
        <v>46172</v>
      </c>
      <c r="G91" s="1">
        <v>46174</v>
      </c>
      <c r="H91">
        <f t="shared" si="6"/>
        <v>0</v>
      </c>
      <c r="I91" t="str">
        <f t="shared" si="7"/>
        <v>SwiftShip</v>
      </c>
      <c r="J91" t="str">
        <f>VLOOKUP(A91,Orders!$A$2:$D$1201,4,FALSE)</f>
        <v>Delivered</v>
      </c>
      <c r="K91" t="str">
        <f t="shared" si="8"/>
        <v>On time</v>
      </c>
      <c r="L91" t="str">
        <f t="shared" si="9"/>
        <v>On time</v>
      </c>
      <c r="O91">
        <f t="shared" si="10"/>
        <v>2</v>
      </c>
    </row>
    <row r="92" spans="1:15">
      <c r="A92">
        <v>1098</v>
      </c>
      <c r="B92" t="s">
        <v>347</v>
      </c>
      <c r="C92" s="1">
        <v>46192</v>
      </c>
      <c r="D92" s="1">
        <v>46192</v>
      </c>
      <c r="E92" s="1">
        <v>46197</v>
      </c>
      <c r="F92" s="1">
        <v>46197</v>
      </c>
      <c r="G92" s="1">
        <v>46197</v>
      </c>
      <c r="H92">
        <f t="shared" si="6"/>
        <v>0</v>
      </c>
      <c r="I92" t="str">
        <f t="shared" si="7"/>
        <v>ParcelOne</v>
      </c>
      <c r="J92" t="str">
        <f>VLOOKUP(A92,Orders!$A$2:$D$1201,4,FALSE)</f>
        <v>Delivered</v>
      </c>
      <c r="K92" t="str">
        <f t="shared" si="8"/>
        <v>On time</v>
      </c>
      <c r="L92" t="str">
        <f t="shared" si="9"/>
        <v>On time</v>
      </c>
      <c r="O92">
        <f t="shared" si="10"/>
        <v>0</v>
      </c>
    </row>
    <row r="93" spans="1:15">
      <c r="A93">
        <v>1099</v>
      </c>
      <c r="B93" t="s">
        <v>347</v>
      </c>
      <c r="C93" s="1">
        <v>46196</v>
      </c>
      <c r="D93" s="1">
        <v>46196</v>
      </c>
      <c r="E93" s="1">
        <v>46201</v>
      </c>
      <c r="F93" s="1">
        <v>46199</v>
      </c>
      <c r="G93" s="1">
        <v>46199</v>
      </c>
      <c r="H93">
        <f t="shared" si="6"/>
        <v>0</v>
      </c>
      <c r="I93" t="str">
        <f t="shared" si="7"/>
        <v>ParcelOne</v>
      </c>
      <c r="J93" t="str">
        <f>VLOOKUP(A93,Orders!$A$2:$D$1201,4,FALSE)</f>
        <v>Delivered</v>
      </c>
      <c r="K93" t="str">
        <f t="shared" si="8"/>
        <v>On time</v>
      </c>
      <c r="L93" t="str">
        <f t="shared" si="9"/>
        <v>On time</v>
      </c>
      <c r="O93">
        <f t="shared" si="10"/>
        <v>0</v>
      </c>
    </row>
    <row r="94" spans="1:15">
      <c r="A94">
        <v>1100</v>
      </c>
      <c r="B94" t="s">
        <v>346</v>
      </c>
      <c r="C94" s="1">
        <v>46112</v>
      </c>
      <c r="D94" s="1">
        <v>46112</v>
      </c>
      <c r="E94" s="1">
        <v>46117</v>
      </c>
      <c r="H94">
        <f t="shared" si="6"/>
        <v>0</v>
      </c>
      <c r="I94" t="str">
        <f t="shared" si="7"/>
        <v>SwiftShip</v>
      </c>
      <c r="J94" t="str">
        <f>VLOOKUP(A94,Orders!$A$2:$D$1201,4,FALSE)</f>
        <v>Shipped</v>
      </c>
      <c r="K94" t="str">
        <f t="shared" si="8"/>
        <v>Not delivered</v>
      </c>
      <c r="L94" t="str">
        <f t="shared" si="9"/>
        <v>On time</v>
      </c>
      <c r="O94" t="str">
        <f t="shared" si="10"/>
        <v/>
      </c>
    </row>
    <row r="95" spans="1:15">
      <c r="A95">
        <v>1101</v>
      </c>
      <c r="B95" t="s">
        <v>347</v>
      </c>
      <c r="C95" s="1">
        <v>46050</v>
      </c>
      <c r="D95" s="1">
        <v>46050</v>
      </c>
      <c r="E95" s="1">
        <v>46055</v>
      </c>
      <c r="F95" s="1">
        <v>46056</v>
      </c>
      <c r="G95" s="1">
        <v>46056</v>
      </c>
      <c r="H95">
        <f t="shared" si="6"/>
        <v>0</v>
      </c>
      <c r="I95" t="str">
        <f t="shared" si="7"/>
        <v>ParcelOne</v>
      </c>
      <c r="J95" t="str">
        <f>VLOOKUP(A95,Orders!$A$2:$D$1201,4,FALSE)</f>
        <v>Delivered</v>
      </c>
      <c r="K95" t="str">
        <f t="shared" si="8"/>
        <v>Late</v>
      </c>
      <c r="L95" t="str">
        <f t="shared" si="9"/>
        <v>On time</v>
      </c>
      <c r="O95">
        <f t="shared" si="10"/>
        <v>0</v>
      </c>
    </row>
    <row r="96" spans="1:15">
      <c r="A96">
        <v>1102</v>
      </c>
      <c r="B96" t="s">
        <v>346</v>
      </c>
      <c r="C96" s="1">
        <v>46137</v>
      </c>
      <c r="D96" s="1">
        <v>46137</v>
      </c>
      <c r="E96" s="1">
        <v>46142</v>
      </c>
      <c r="F96" s="1">
        <v>46142</v>
      </c>
      <c r="G96" s="1">
        <v>46143</v>
      </c>
      <c r="H96">
        <f t="shared" si="6"/>
        <v>0</v>
      </c>
      <c r="I96" t="str">
        <f t="shared" si="7"/>
        <v>SwiftShip</v>
      </c>
      <c r="J96" t="str">
        <f>VLOOKUP(A96,Orders!$A$2:$D$1201,4,FALSE)</f>
        <v>Delivered</v>
      </c>
      <c r="K96" t="str">
        <f t="shared" si="8"/>
        <v>On time</v>
      </c>
      <c r="L96" t="str">
        <f t="shared" si="9"/>
        <v>On time</v>
      </c>
      <c r="O96">
        <f t="shared" si="10"/>
        <v>1</v>
      </c>
    </row>
    <row r="97" spans="1:15">
      <c r="A97">
        <v>1103</v>
      </c>
      <c r="B97" t="s">
        <v>347</v>
      </c>
      <c r="C97" s="1">
        <v>46074</v>
      </c>
      <c r="D97" s="1">
        <v>46076</v>
      </c>
      <c r="E97" s="1">
        <v>46079</v>
      </c>
      <c r="F97" s="1">
        <v>46080</v>
      </c>
      <c r="G97" s="1">
        <v>46081</v>
      </c>
      <c r="H97">
        <f t="shared" si="6"/>
        <v>0</v>
      </c>
      <c r="I97" t="str">
        <f t="shared" si="7"/>
        <v>ParcelOne</v>
      </c>
      <c r="J97" t="str">
        <f>VLOOKUP(A97,Orders!$A$2:$D$1201,4,FALSE)</f>
        <v>Delivered</v>
      </c>
      <c r="K97" t="str">
        <f t="shared" si="8"/>
        <v>Late</v>
      </c>
      <c r="L97" t="str">
        <f t="shared" si="9"/>
        <v>Late</v>
      </c>
      <c r="O97">
        <f t="shared" si="10"/>
        <v>1</v>
      </c>
    </row>
    <row r="98" spans="1:15">
      <c r="A98">
        <v>1104</v>
      </c>
      <c r="B98" t="s">
        <v>348</v>
      </c>
      <c r="C98" s="1">
        <v>46089</v>
      </c>
      <c r="D98" s="1">
        <v>46089</v>
      </c>
      <c r="E98" s="1">
        <v>46094</v>
      </c>
      <c r="F98" s="1">
        <v>46093</v>
      </c>
      <c r="G98" s="1">
        <v>46093</v>
      </c>
      <c r="H98">
        <f t="shared" si="6"/>
        <v>0</v>
      </c>
      <c r="I98" t="str">
        <f t="shared" si="7"/>
        <v>MetroLogistics</v>
      </c>
      <c r="J98" t="str">
        <f>VLOOKUP(A98,Orders!$A$2:$D$1201,4,FALSE)</f>
        <v>Delivered</v>
      </c>
      <c r="K98" t="str">
        <f t="shared" si="8"/>
        <v>On time</v>
      </c>
      <c r="L98" t="str">
        <f t="shared" si="9"/>
        <v>On time</v>
      </c>
      <c r="O98">
        <f t="shared" si="10"/>
        <v>0</v>
      </c>
    </row>
    <row r="99" spans="1:15">
      <c r="A99">
        <v>1105</v>
      </c>
      <c r="B99" t="s">
        <v>346</v>
      </c>
      <c r="C99" s="1">
        <v>46062</v>
      </c>
      <c r="D99" s="1">
        <v>46064</v>
      </c>
      <c r="E99" s="1">
        <v>46067</v>
      </c>
      <c r="F99" s="1">
        <v>46067</v>
      </c>
      <c r="G99" s="1">
        <v>46067</v>
      </c>
      <c r="H99">
        <f t="shared" si="6"/>
        <v>0</v>
      </c>
      <c r="I99" t="str">
        <f t="shared" si="7"/>
        <v>SwiftShip</v>
      </c>
      <c r="J99" t="str">
        <f>VLOOKUP(A99,Orders!$A$2:$D$1201,4,FALSE)</f>
        <v>Delivered</v>
      </c>
      <c r="K99" t="str">
        <f t="shared" si="8"/>
        <v>On time</v>
      </c>
      <c r="L99" t="str">
        <f t="shared" si="9"/>
        <v>Late</v>
      </c>
      <c r="O99">
        <f t="shared" si="10"/>
        <v>0</v>
      </c>
    </row>
    <row r="100" spans="1:15">
      <c r="A100">
        <v>1106</v>
      </c>
      <c r="B100" t="s">
        <v>347</v>
      </c>
      <c r="C100" s="1">
        <v>46085</v>
      </c>
      <c r="D100" s="1">
        <v>46086</v>
      </c>
      <c r="E100" s="1">
        <v>46090</v>
      </c>
      <c r="F100" s="1">
        <v>46090</v>
      </c>
      <c r="G100" s="1">
        <v>46090</v>
      </c>
      <c r="H100">
        <f t="shared" si="6"/>
        <v>0</v>
      </c>
      <c r="I100" t="str">
        <f t="shared" si="7"/>
        <v>ParcelOne</v>
      </c>
      <c r="J100" t="str">
        <f>VLOOKUP(A100,Orders!$A$2:$D$1201,4,FALSE)</f>
        <v>Delivered</v>
      </c>
      <c r="K100" t="str">
        <f t="shared" si="8"/>
        <v>On time</v>
      </c>
      <c r="L100" t="str">
        <f t="shared" si="9"/>
        <v>Late</v>
      </c>
      <c r="O100">
        <f t="shared" si="10"/>
        <v>0</v>
      </c>
    </row>
    <row r="101" spans="1:15">
      <c r="A101">
        <v>1107</v>
      </c>
      <c r="B101" t="s">
        <v>348</v>
      </c>
      <c r="C101" s="1">
        <v>46034</v>
      </c>
      <c r="D101" s="1">
        <v>46034</v>
      </c>
      <c r="E101" s="1">
        <v>46039</v>
      </c>
      <c r="F101" s="1">
        <v>46041</v>
      </c>
      <c r="G101" s="1">
        <v>46041</v>
      </c>
      <c r="H101">
        <f t="shared" si="6"/>
        <v>0</v>
      </c>
      <c r="I101" t="str">
        <f t="shared" si="7"/>
        <v>MetroLogistics</v>
      </c>
      <c r="J101" t="str">
        <f>VLOOKUP(A101,Orders!$A$2:$D$1201,4,FALSE)</f>
        <v>Delivered</v>
      </c>
      <c r="K101" t="str">
        <f t="shared" si="8"/>
        <v>Late</v>
      </c>
      <c r="L101" t="str">
        <f t="shared" si="9"/>
        <v>On time</v>
      </c>
      <c r="O101">
        <f t="shared" si="10"/>
        <v>0</v>
      </c>
    </row>
    <row r="102" spans="1:15">
      <c r="A102">
        <v>1108</v>
      </c>
      <c r="B102" t="s">
        <v>347</v>
      </c>
      <c r="C102" s="1">
        <v>46180</v>
      </c>
      <c r="D102" s="1">
        <v>46180</v>
      </c>
      <c r="E102" s="1">
        <v>46185</v>
      </c>
      <c r="F102" s="1">
        <v>46185</v>
      </c>
      <c r="G102" s="1">
        <v>46185</v>
      </c>
      <c r="H102">
        <f t="shared" si="6"/>
        <v>0</v>
      </c>
      <c r="I102" t="str">
        <f t="shared" si="7"/>
        <v>ParcelOne</v>
      </c>
      <c r="J102" t="str">
        <f>VLOOKUP(A102,Orders!$A$2:$D$1201,4,FALSE)</f>
        <v>Delivered</v>
      </c>
      <c r="K102" t="str">
        <f t="shared" si="8"/>
        <v>On time</v>
      </c>
      <c r="L102" t="str">
        <f t="shared" si="9"/>
        <v>On time</v>
      </c>
      <c r="O102">
        <f t="shared" si="10"/>
        <v>0</v>
      </c>
    </row>
    <row r="103" spans="1:15">
      <c r="A103">
        <v>1109</v>
      </c>
      <c r="B103" t="s">
        <v>346</v>
      </c>
      <c r="C103" s="1">
        <v>46053</v>
      </c>
      <c r="D103" s="1">
        <v>46053</v>
      </c>
      <c r="E103" s="1">
        <v>46058</v>
      </c>
      <c r="F103" s="1">
        <v>46058</v>
      </c>
      <c r="G103" s="1">
        <v>46058</v>
      </c>
      <c r="H103">
        <f t="shared" si="6"/>
        <v>0</v>
      </c>
      <c r="I103" t="str">
        <f t="shared" si="7"/>
        <v>SwiftShip</v>
      </c>
      <c r="J103" t="str">
        <f>VLOOKUP(A103,Orders!$A$2:$D$1201,4,FALSE)</f>
        <v>Delivered</v>
      </c>
      <c r="K103" t="str">
        <f t="shared" si="8"/>
        <v>On time</v>
      </c>
      <c r="L103" t="str">
        <f t="shared" si="9"/>
        <v>On time</v>
      </c>
      <c r="O103">
        <f t="shared" si="10"/>
        <v>0</v>
      </c>
    </row>
    <row r="104" spans="1:15">
      <c r="A104">
        <v>1110</v>
      </c>
      <c r="B104" t="s">
        <v>348</v>
      </c>
      <c r="C104" s="1">
        <v>46072</v>
      </c>
      <c r="D104" s="1">
        <v>46072</v>
      </c>
      <c r="E104" s="1">
        <v>46077</v>
      </c>
      <c r="F104" s="1">
        <v>46077</v>
      </c>
      <c r="G104" s="1">
        <v>46077</v>
      </c>
      <c r="H104">
        <f t="shared" si="6"/>
        <v>0</v>
      </c>
      <c r="I104" t="str">
        <f t="shared" si="7"/>
        <v>MetroLogistics</v>
      </c>
      <c r="J104" t="str">
        <f>VLOOKUP(A104,Orders!$A$2:$D$1201,4,FALSE)</f>
        <v>Delivered</v>
      </c>
      <c r="K104" t="str">
        <f t="shared" si="8"/>
        <v>On time</v>
      </c>
      <c r="L104" t="str">
        <f t="shared" si="9"/>
        <v>On time</v>
      </c>
      <c r="O104">
        <f t="shared" si="10"/>
        <v>0</v>
      </c>
    </row>
    <row r="105" spans="1:15">
      <c r="A105">
        <v>1111</v>
      </c>
      <c r="B105" t="s">
        <v>348</v>
      </c>
      <c r="C105" s="1">
        <v>46029</v>
      </c>
      <c r="D105" s="1">
        <v>46029</v>
      </c>
      <c r="E105" s="1">
        <v>46034</v>
      </c>
      <c r="F105" s="1">
        <v>46034</v>
      </c>
      <c r="G105" s="1">
        <v>46034</v>
      </c>
      <c r="H105">
        <f t="shared" si="6"/>
        <v>0</v>
      </c>
      <c r="I105" t="str">
        <f t="shared" si="7"/>
        <v>MetroLogistics</v>
      </c>
      <c r="J105" t="str">
        <f>VLOOKUP(A105,Orders!$A$2:$D$1201,4,FALSE)</f>
        <v>Delivered</v>
      </c>
      <c r="K105" t="str">
        <f t="shared" si="8"/>
        <v>On time</v>
      </c>
      <c r="L105" t="str">
        <f t="shared" si="9"/>
        <v>On time</v>
      </c>
      <c r="O105">
        <f t="shared" si="10"/>
        <v>0</v>
      </c>
    </row>
    <row r="106" spans="1:15">
      <c r="A106">
        <v>1112</v>
      </c>
      <c r="B106" t="s">
        <v>347</v>
      </c>
      <c r="C106" s="1">
        <v>46069</v>
      </c>
      <c r="D106" s="1">
        <v>46069</v>
      </c>
      <c r="E106" s="1">
        <v>46074</v>
      </c>
      <c r="F106" s="1">
        <v>46073</v>
      </c>
      <c r="G106" s="1">
        <v>46073</v>
      </c>
      <c r="H106">
        <f t="shared" si="6"/>
        <v>0</v>
      </c>
      <c r="I106" t="str">
        <f t="shared" si="7"/>
        <v>ParcelOne</v>
      </c>
      <c r="J106" t="str">
        <f>VLOOKUP(A106,Orders!$A$2:$D$1201,4,FALSE)</f>
        <v>Delivered</v>
      </c>
      <c r="K106" t="str">
        <f t="shared" si="8"/>
        <v>On time</v>
      </c>
      <c r="L106" t="str">
        <f t="shared" si="9"/>
        <v>On time</v>
      </c>
      <c r="O106">
        <f t="shared" si="10"/>
        <v>0</v>
      </c>
    </row>
    <row r="107" spans="1:15">
      <c r="A107">
        <v>1113</v>
      </c>
      <c r="B107" t="s">
        <v>347</v>
      </c>
      <c r="C107" s="1">
        <v>46105</v>
      </c>
      <c r="D107" s="1">
        <v>46105</v>
      </c>
      <c r="E107" s="1">
        <v>46110</v>
      </c>
      <c r="H107">
        <f t="shared" si="6"/>
        <v>0</v>
      </c>
      <c r="I107" t="str">
        <f t="shared" si="7"/>
        <v>ParcelOne</v>
      </c>
      <c r="J107" t="str">
        <f>VLOOKUP(A107,Orders!$A$2:$D$1201,4,FALSE)</f>
        <v>Shipped</v>
      </c>
      <c r="K107" t="str">
        <f t="shared" si="8"/>
        <v>Not delivered</v>
      </c>
      <c r="L107" t="str">
        <f t="shared" si="9"/>
        <v>On time</v>
      </c>
      <c r="O107" t="str">
        <f t="shared" si="10"/>
        <v/>
      </c>
    </row>
    <row r="108" spans="1:15">
      <c r="A108">
        <v>1114</v>
      </c>
      <c r="B108" t="s">
        <v>347</v>
      </c>
      <c r="C108" s="1">
        <v>46098</v>
      </c>
      <c r="D108" s="1">
        <v>46098</v>
      </c>
      <c r="E108" s="1">
        <v>46103</v>
      </c>
      <c r="F108" s="1">
        <v>46105</v>
      </c>
      <c r="G108" s="1">
        <v>46105</v>
      </c>
      <c r="H108">
        <f t="shared" si="6"/>
        <v>0</v>
      </c>
      <c r="I108" t="str">
        <f t="shared" si="7"/>
        <v>ParcelOne</v>
      </c>
      <c r="J108" t="str">
        <f>VLOOKUP(A108,Orders!$A$2:$D$1201,4,FALSE)</f>
        <v>Delivered</v>
      </c>
      <c r="K108" t="str">
        <f t="shared" si="8"/>
        <v>Late</v>
      </c>
      <c r="L108" t="str">
        <f t="shared" si="9"/>
        <v>On time</v>
      </c>
      <c r="O108">
        <f t="shared" si="10"/>
        <v>0</v>
      </c>
    </row>
    <row r="109" spans="1:15">
      <c r="A109">
        <v>1115</v>
      </c>
      <c r="B109" t="s">
        <v>348</v>
      </c>
      <c r="C109" s="1">
        <v>46152</v>
      </c>
      <c r="D109" s="1">
        <v>46152</v>
      </c>
      <c r="E109" s="1">
        <v>46157</v>
      </c>
      <c r="F109" s="1">
        <v>46157</v>
      </c>
      <c r="G109" s="1">
        <v>46157</v>
      </c>
      <c r="H109">
        <f t="shared" si="6"/>
        <v>0</v>
      </c>
      <c r="I109" t="str">
        <f t="shared" si="7"/>
        <v>MetroLogistics</v>
      </c>
      <c r="J109" t="str">
        <f>VLOOKUP(A109,Orders!$A$2:$D$1201,4,FALSE)</f>
        <v>Delivered</v>
      </c>
      <c r="K109" t="str">
        <f t="shared" si="8"/>
        <v>On time</v>
      </c>
      <c r="L109" t="str">
        <f t="shared" si="9"/>
        <v>On time</v>
      </c>
      <c r="O109">
        <f t="shared" si="10"/>
        <v>0</v>
      </c>
    </row>
    <row r="110" spans="1:15">
      <c r="A110">
        <v>1116</v>
      </c>
      <c r="B110" t="s">
        <v>346</v>
      </c>
      <c r="C110" s="1">
        <v>46100</v>
      </c>
      <c r="D110" s="1">
        <v>46100</v>
      </c>
      <c r="E110" s="1">
        <v>46105</v>
      </c>
      <c r="F110" s="1">
        <v>46103</v>
      </c>
      <c r="G110" s="1">
        <v>46104</v>
      </c>
      <c r="H110">
        <f t="shared" si="6"/>
        <v>0</v>
      </c>
      <c r="I110" t="str">
        <f t="shared" si="7"/>
        <v>SwiftShip</v>
      </c>
      <c r="J110" t="str">
        <f>VLOOKUP(A110,Orders!$A$2:$D$1201,4,FALSE)</f>
        <v>Delivered</v>
      </c>
      <c r="K110" t="str">
        <f t="shared" si="8"/>
        <v>On time</v>
      </c>
      <c r="L110" t="str">
        <f t="shared" si="9"/>
        <v>On time</v>
      </c>
      <c r="O110">
        <f t="shared" si="10"/>
        <v>1</v>
      </c>
    </row>
    <row r="111" spans="1:15">
      <c r="A111">
        <v>1117</v>
      </c>
      <c r="B111" t="s">
        <v>347</v>
      </c>
      <c r="C111" s="1">
        <v>46182</v>
      </c>
      <c r="E111" s="1">
        <v>46187</v>
      </c>
      <c r="H111">
        <f t="shared" si="6"/>
        <v>0</v>
      </c>
      <c r="I111" t="str">
        <f t="shared" si="7"/>
        <v>ParcelOne</v>
      </c>
      <c r="J111" t="str">
        <f>VLOOKUP(A111,Orders!$A$2:$D$1201,4,FALSE)</f>
        <v>Pending</v>
      </c>
      <c r="K111" t="str">
        <f t="shared" si="8"/>
        <v>Not delivered</v>
      </c>
      <c r="L111" t="str">
        <f t="shared" si="9"/>
        <v>Not dispatched</v>
      </c>
      <c r="O111" t="str">
        <f t="shared" si="10"/>
        <v/>
      </c>
    </row>
    <row r="112" spans="1:15">
      <c r="A112">
        <v>1118</v>
      </c>
      <c r="B112" t="s">
        <v>348</v>
      </c>
      <c r="C112" s="1">
        <v>46180</v>
      </c>
      <c r="D112" s="1">
        <v>46180</v>
      </c>
      <c r="E112" s="1">
        <v>46185</v>
      </c>
      <c r="F112" s="1">
        <v>46185</v>
      </c>
      <c r="G112" s="1">
        <v>46185</v>
      </c>
      <c r="H112">
        <f t="shared" si="6"/>
        <v>0</v>
      </c>
      <c r="I112" t="str">
        <f t="shared" si="7"/>
        <v>MetroLogistics</v>
      </c>
      <c r="J112" t="str">
        <f>VLOOKUP(A112,Orders!$A$2:$D$1201,4,FALSE)</f>
        <v>Delivered</v>
      </c>
      <c r="K112" t="str">
        <f t="shared" si="8"/>
        <v>On time</v>
      </c>
      <c r="L112" t="str">
        <f t="shared" si="9"/>
        <v>On time</v>
      </c>
      <c r="O112">
        <f t="shared" si="10"/>
        <v>0</v>
      </c>
    </row>
    <row r="113" spans="1:15">
      <c r="A113">
        <v>1119</v>
      </c>
      <c r="B113" t="s">
        <v>347</v>
      </c>
      <c r="C113" s="1">
        <v>46033</v>
      </c>
      <c r="D113" s="1">
        <v>46033</v>
      </c>
      <c r="E113" s="1">
        <v>46038</v>
      </c>
      <c r="F113" s="1">
        <v>46038</v>
      </c>
      <c r="G113" s="1">
        <v>46038</v>
      </c>
      <c r="H113">
        <f t="shared" si="6"/>
        <v>0</v>
      </c>
      <c r="I113" t="str">
        <f t="shared" si="7"/>
        <v>ParcelOne</v>
      </c>
      <c r="J113" t="str">
        <f>VLOOKUP(A113,Orders!$A$2:$D$1201,4,FALSE)</f>
        <v>Delivered</v>
      </c>
      <c r="K113" t="str">
        <f t="shared" si="8"/>
        <v>On time</v>
      </c>
      <c r="L113" t="str">
        <f t="shared" si="9"/>
        <v>On time</v>
      </c>
      <c r="O113">
        <f t="shared" si="10"/>
        <v>0</v>
      </c>
    </row>
    <row r="114" spans="1:15">
      <c r="A114">
        <v>1120</v>
      </c>
      <c r="B114" t="s">
        <v>348</v>
      </c>
      <c r="C114" s="1">
        <v>46054</v>
      </c>
      <c r="D114" s="1">
        <v>46054</v>
      </c>
      <c r="E114" s="1">
        <v>46059</v>
      </c>
      <c r="F114" s="1">
        <v>46060</v>
      </c>
      <c r="G114" s="1">
        <v>46060</v>
      </c>
      <c r="H114">
        <f t="shared" si="6"/>
        <v>0</v>
      </c>
      <c r="I114" t="str">
        <f t="shared" si="7"/>
        <v>MetroLogistics</v>
      </c>
      <c r="J114" t="str">
        <f>VLOOKUP(A114,Orders!$A$2:$D$1201,4,FALSE)</f>
        <v>Delivered</v>
      </c>
      <c r="K114" t="str">
        <f t="shared" si="8"/>
        <v>Late</v>
      </c>
      <c r="L114" t="str">
        <f t="shared" si="9"/>
        <v>On time</v>
      </c>
      <c r="O114">
        <f t="shared" si="10"/>
        <v>0</v>
      </c>
    </row>
    <row r="115" spans="1:15">
      <c r="A115">
        <v>1121</v>
      </c>
      <c r="B115" t="s">
        <v>346</v>
      </c>
      <c r="C115" s="1">
        <v>46098</v>
      </c>
      <c r="D115" s="1">
        <v>46099</v>
      </c>
      <c r="E115" s="1">
        <v>46103</v>
      </c>
      <c r="F115" s="1">
        <v>46103</v>
      </c>
      <c r="G115" s="1">
        <v>46104</v>
      </c>
      <c r="H115">
        <f t="shared" si="6"/>
        <v>0</v>
      </c>
      <c r="I115" t="str">
        <f t="shared" si="7"/>
        <v>SwiftShip</v>
      </c>
      <c r="J115" t="str">
        <f>VLOOKUP(A115,Orders!$A$2:$D$1201,4,FALSE)</f>
        <v>Delivered</v>
      </c>
      <c r="K115" t="str">
        <f t="shared" si="8"/>
        <v>On time</v>
      </c>
      <c r="L115" t="str">
        <f t="shared" si="9"/>
        <v>Late</v>
      </c>
      <c r="O115">
        <f t="shared" si="10"/>
        <v>1</v>
      </c>
    </row>
    <row r="116" spans="1:15">
      <c r="A116">
        <v>1122</v>
      </c>
      <c r="B116" t="s">
        <v>346</v>
      </c>
      <c r="C116" s="1">
        <v>46047</v>
      </c>
      <c r="D116" s="1">
        <v>46047</v>
      </c>
      <c r="E116" s="1">
        <v>46052</v>
      </c>
      <c r="F116" s="1">
        <v>46056</v>
      </c>
      <c r="G116" s="1">
        <v>46056</v>
      </c>
      <c r="H116">
        <f t="shared" si="6"/>
        <v>0</v>
      </c>
      <c r="I116" t="str">
        <f t="shared" si="7"/>
        <v>SwiftShip</v>
      </c>
      <c r="J116" t="str">
        <f>VLOOKUP(A116,Orders!$A$2:$D$1201,4,FALSE)</f>
        <v>Delivered</v>
      </c>
      <c r="K116" t="str">
        <f t="shared" si="8"/>
        <v>Late</v>
      </c>
      <c r="L116" t="str">
        <f t="shared" si="9"/>
        <v>On time</v>
      </c>
      <c r="O116">
        <f t="shared" si="10"/>
        <v>0</v>
      </c>
    </row>
    <row r="117" spans="1:15">
      <c r="A117">
        <v>1123</v>
      </c>
      <c r="B117" t="s">
        <v>348</v>
      </c>
      <c r="C117" s="1">
        <v>46155</v>
      </c>
      <c r="D117" s="1">
        <v>46155</v>
      </c>
      <c r="E117" s="1">
        <v>46160</v>
      </c>
      <c r="F117" s="1">
        <v>46160</v>
      </c>
      <c r="G117" s="1">
        <v>46160</v>
      </c>
      <c r="H117">
        <f t="shared" si="6"/>
        <v>0</v>
      </c>
      <c r="I117" t="str">
        <f t="shared" si="7"/>
        <v>MetroLogistics</v>
      </c>
      <c r="J117" t="str">
        <f>VLOOKUP(A117,Orders!$A$2:$D$1201,4,FALSE)</f>
        <v>Delivered</v>
      </c>
      <c r="K117" t="str">
        <f t="shared" si="8"/>
        <v>On time</v>
      </c>
      <c r="L117" t="str">
        <f t="shared" si="9"/>
        <v>On time</v>
      </c>
      <c r="O117">
        <f t="shared" si="10"/>
        <v>0</v>
      </c>
    </row>
    <row r="118" spans="1:15">
      <c r="A118">
        <v>1124</v>
      </c>
      <c r="B118" t="s">
        <v>346</v>
      </c>
      <c r="C118" s="1">
        <v>46058</v>
      </c>
      <c r="D118" s="1">
        <v>46060</v>
      </c>
      <c r="E118" s="1">
        <v>46063</v>
      </c>
      <c r="F118" s="1">
        <v>46064</v>
      </c>
      <c r="G118" s="1">
        <v>46064</v>
      </c>
      <c r="H118">
        <f t="shared" si="6"/>
        <v>0</v>
      </c>
      <c r="I118" t="str">
        <f t="shared" si="7"/>
        <v>SwiftShip</v>
      </c>
      <c r="J118" t="str">
        <f>VLOOKUP(A118,Orders!$A$2:$D$1201,4,FALSE)</f>
        <v>Delivered</v>
      </c>
      <c r="K118" t="str">
        <f t="shared" si="8"/>
        <v>Late</v>
      </c>
      <c r="L118" t="str">
        <f t="shared" si="9"/>
        <v>Late</v>
      </c>
      <c r="O118">
        <f t="shared" si="10"/>
        <v>0</v>
      </c>
    </row>
    <row r="119" spans="1:15">
      <c r="A119">
        <v>1125</v>
      </c>
      <c r="B119" t="s">
        <v>347</v>
      </c>
      <c r="C119" s="1">
        <v>46172</v>
      </c>
      <c r="D119" s="1">
        <v>46172</v>
      </c>
      <c r="E119" s="1">
        <v>46177</v>
      </c>
      <c r="F119" s="1">
        <v>46176</v>
      </c>
      <c r="G119" s="1">
        <v>46176</v>
      </c>
      <c r="H119">
        <f t="shared" si="6"/>
        <v>0</v>
      </c>
      <c r="I119" t="str">
        <f t="shared" si="7"/>
        <v>ParcelOne</v>
      </c>
      <c r="J119" t="str">
        <f>VLOOKUP(A119,Orders!$A$2:$D$1201,4,FALSE)</f>
        <v>Delivered</v>
      </c>
      <c r="K119" t="str">
        <f t="shared" si="8"/>
        <v>On time</v>
      </c>
      <c r="L119" t="str">
        <f t="shared" si="9"/>
        <v>On time</v>
      </c>
      <c r="O119">
        <f t="shared" si="10"/>
        <v>0</v>
      </c>
    </row>
    <row r="120" spans="1:15">
      <c r="A120">
        <v>1126</v>
      </c>
      <c r="B120" t="s">
        <v>348</v>
      </c>
      <c r="C120" s="1">
        <v>46056</v>
      </c>
      <c r="D120" s="1">
        <v>46058</v>
      </c>
      <c r="E120" s="1">
        <v>46061</v>
      </c>
      <c r="F120" s="1">
        <v>46060</v>
      </c>
      <c r="G120" s="1">
        <v>46062</v>
      </c>
      <c r="H120">
        <f t="shared" si="6"/>
        <v>0</v>
      </c>
      <c r="I120" t="str">
        <f t="shared" si="7"/>
        <v>MetroLogistics</v>
      </c>
      <c r="J120" t="str">
        <f>VLOOKUP(A120,Orders!$A$2:$D$1201,4,FALSE)</f>
        <v>Delivered</v>
      </c>
      <c r="K120" t="str">
        <f t="shared" si="8"/>
        <v>On time</v>
      </c>
      <c r="L120" t="str">
        <f t="shared" si="9"/>
        <v>Late</v>
      </c>
      <c r="O120">
        <f t="shared" si="10"/>
        <v>2</v>
      </c>
    </row>
    <row r="121" spans="1:15">
      <c r="A121">
        <v>1127</v>
      </c>
      <c r="B121" t="s">
        <v>348</v>
      </c>
      <c r="C121" s="1">
        <v>46097</v>
      </c>
      <c r="D121" s="1">
        <v>46097</v>
      </c>
      <c r="E121" s="1">
        <v>46102</v>
      </c>
      <c r="F121" s="1">
        <v>46102</v>
      </c>
      <c r="G121" s="1">
        <v>46102</v>
      </c>
      <c r="H121">
        <f t="shared" si="6"/>
        <v>0</v>
      </c>
      <c r="I121" t="str">
        <f t="shared" si="7"/>
        <v>MetroLogistics</v>
      </c>
      <c r="J121" t="str">
        <f>VLOOKUP(A121,Orders!$A$2:$D$1201,4,FALSE)</f>
        <v>Delivered</v>
      </c>
      <c r="K121" t="str">
        <f t="shared" si="8"/>
        <v>On time</v>
      </c>
      <c r="L121" t="str">
        <f t="shared" si="9"/>
        <v>On time</v>
      </c>
      <c r="O121">
        <f t="shared" si="10"/>
        <v>0</v>
      </c>
    </row>
    <row r="122" spans="1:15">
      <c r="A122">
        <v>1128</v>
      </c>
      <c r="B122" t="s">
        <v>347</v>
      </c>
      <c r="C122" s="1">
        <v>46189</v>
      </c>
      <c r="D122" s="1">
        <v>46190</v>
      </c>
      <c r="E122" s="1">
        <v>46194</v>
      </c>
      <c r="F122" s="1">
        <v>46194</v>
      </c>
      <c r="G122" s="1">
        <v>46195</v>
      </c>
      <c r="H122">
        <f t="shared" si="6"/>
        <v>0</v>
      </c>
      <c r="I122" t="str">
        <f t="shared" si="7"/>
        <v>ParcelOne</v>
      </c>
      <c r="J122" t="str">
        <f>VLOOKUP(A122,Orders!$A$2:$D$1201,4,FALSE)</f>
        <v>Delivered</v>
      </c>
      <c r="K122" t="str">
        <f t="shared" si="8"/>
        <v>On time</v>
      </c>
      <c r="L122" t="str">
        <f t="shared" si="9"/>
        <v>Late</v>
      </c>
      <c r="O122">
        <f t="shared" si="10"/>
        <v>1</v>
      </c>
    </row>
    <row r="123" spans="1:15">
      <c r="A123">
        <v>1129</v>
      </c>
      <c r="B123" t="s">
        <v>346</v>
      </c>
      <c r="C123" s="1">
        <v>46045</v>
      </c>
      <c r="D123" s="1">
        <v>46045</v>
      </c>
      <c r="E123" s="1">
        <v>46050</v>
      </c>
      <c r="F123" s="1">
        <v>46050</v>
      </c>
      <c r="G123" s="1">
        <v>46050</v>
      </c>
      <c r="H123">
        <f t="shared" si="6"/>
        <v>0</v>
      </c>
      <c r="I123" t="str">
        <f t="shared" si="7"/>
        <v>SwiftShip</v>
      </c>
      <c r="J123" t="str">
        <f>VLOOKUP(A123,Orders!$A$2:$D$1201,4,FALSE)</f>
        <v>Delivered</v>
      </c>
      <c r="K123" t="str">
        <f t="shared" si="8"/>
        <v>On time</v>
      </c>
      <c r="L123" t="str">
        <f t="shared" si="9"/>
        <v>On time</v>
      </c>
      <c r="O123">
        <f t="shared" si="10"/>
        <v>0</v>
      </c>
    </row>
    <row r="124" spans="1:15">
      <c r="A124">
        <v>1130</v>
      </c>
      <c r="B124" t="s">
        <v>348</v>
      </c>
      <c r="C124" s="1">
        <v>46148</v>
      </c>
      <c r="D124" s="1">
        <v>46148</v>
      </c>
      <c r="E124" s="1">
        <v>46153</v>
      </c>
      <c r="F124" s="1">
        <v>46153</v>
      </c>
      <c r="G124" s="1">
        <v>46153</v>
      </c>
      <c r="H124">
        <f t="shared" si="6"/>
        <v>0</v>
      </c>
      <c r="I124" t="str">
        <f t="shared" si="7"/>
        <v>MetroLogistics</v>
      </c>
      <c r="J124" t="str">
        <f>VLOOKUP(A124,Orders!$A$2:$D$1201,4,FALSE)</f>
        <v>Delivered</v>
      </c>
      <c r="K124" t="str">
        <f t="shared" si="8"/>
        <v>On time</v>
      </c>
      <c r="L124" t="str">
        <f t="shared" si="9"/>
        <v>On time</v>
      </c>
      <c r="O124">
        <f t="shared" si="10"/>
        <v>0</v>
      </c>
    </row>
    <row r="125" spans="1:15">
      <c r="A125">
        <v>1131</v>
      </c>
      <c r="B125" t="s">
        <v>347</v>
      </c>
      <c r="C125" s="1">
        <v>46061</v>
      </c>
      <c r="D125" s="1">
        <v>46061</v>
      </c>
      <c r="E125" s="1">
        <v>46066</v>
      </c>
      <c r="F125" s="1">
        <v>46065</v>
      </c>
      <c r="G125" s="1">
        <v>46065</v>
      </c>
      <c r="H125">
        <f t="shared" si="6"/>
        <v>0</v>
      </c>
      <c r="I125" t="str">
        <f t="shared" si="7"/>
        <v>ParcelOne</v>
      </c>
      <c r="J125" t="str">
        <f>VLOOKUP(A125,Orders!$A$2:$D$1201,4,FALSE)</f>
        <v>Delivered</v>
      </c>
      <c r="K125" t="str">
        <f t="shared" si="8"/>
        <v>On time</v>
      </c>
      <c r="L125" t="str">
        <f t="shared" si="9"/>
        <v>On time</v>
      </c>
      <c r="O125">
        <f t="shared" si="10"/>
        <v>0</v>
      </c>
    </row>
    <row r="126" spans="1:15">
      <c r="A126">
        <v>1132</v>
      </c>
      <c r="B126" t="s">
        <v>346</v>
      </c>
      <c r="C126" s="1">
        <v>46049</v>
      </c>
      <c r="D126" s="1">
        <v>46049</v>
      </c>
      <c r="E126" s="1">
        <v>46054</v>
      </c>
      <c r="F126" s="1">
        <v>46054</v>
      </c>
      <c r="G126" s="1">
        <v>46054</v>
      </c>
      <c r="H126">
        <f t="shared" si="6"/>
        <v>0</v>
      </c>
      <c r="I126" t="str">
        <f t="shared" si="7"/>
        <v>SwiftShip</v>
      </c>
      <c r="J126" t="str">
        <f>VLOOKUP(A126,Orders!$A$2:$D$1201,4,FALSE)</f>
        <v>Delivered</v>
      </c>
      <c r="K126" t="str">
        <f t="shared" si="8"/>
        <v>On time</v>
      </c>
      <c r="L126" t="str">
        <f t="shared" si="9"/>
        <v>On time</v>
      </c>
      <c r="O126">
        <f t="shared" si="10"/>
        <v>0</v>
      </c>
    </row>
    <row r="127" spans="1:15">
      <c r="A127">
        <v>1133</v>
      </c>
      <c r="B127" t="s">
        <v>348</v>
      </c>
      <c r="C127" s="1">
        <v>46103</v>
      </c>
      <c r="D127" s="1">
        <v>46103</v>
      </c>
      <c r="E127" s="1">
        <v>46108</v>
      </c>
      <c r="F127" s="1">
        <v>46106</v>
      </c>
      <c r="G127" s="1">
        <v>46106</v>
      </c>
      <c r="H127">
        <f t="shared" si="6"/>
        <v>0</v>
      </c>
      <c r="I127" t="str">
        <f t="shared" si="7"/>
        <v>MetroLogistics</v>
      </c>
      <c r="J127" t="str">
        <f>VLOOKUP(A127,Orders!$A$2:$D$1201,4,FALSE)</f>
        <v>Delivered</v>
      </c>
      <c r="K127" t="str">
        <f t="shared" si="8"/>
        <v>On time</v>
      </c>
      <c r="L127" t="str">
        <f t="shared" si="9"/>
        <v>On time</v>
      </c>
      <c r="O127">
        <f t="shared" si="10"/>
        <v>0</v>
      </c>
    </row>
    <row r="128" spans="1:15">
      <c r="A128">
        <v>1134</v>
      </c>
      <c r="B128" t="s">
        <v>348</v>
      </c>
      <c r="C128" s="1">
        <v>46192</v>
      </c>
      <c r="D128" s="1">
        <v>46192</v>
      </c>
      <c r="E128" s="1">
        <v>46197</v>
      </c>
      <c r="F128" s="1">
        <v>46197</v>
      </c>
      <c r="G128" s="1">
        <v>46197</v>
      </c>
      <c r="H128">
        <f t="shared" si="6"/>
        <v>0</v>
      </c>
      <c r="I128" t="str">
        <f t="shared" si="7"/>
        <v>MetroLogistics</v>
      </c>
      <c r="J128" t="str">
        <f>VLOOKUP(A128,Orders!$A$2:$D$1201,4,FALSE)</f>
        <v>Delivered</v>
      </c>
      <c r="K128" t="str">
        <f t="shared" si="8"/>
        <v>On time</v>
      </c>
      <c r="L128" t="str">
        <f t="shared" si="9"/>
        <v>On time</v>
      </c>
      <c r="O128">
        <f t="shared" si="10"/>
        <v>0</v>
      </c>
    </row>
    <row r="129" spans="1:15">
      <c r="A129">
        <v>1135</v>
      </c>
      <c r="B129" t="s">
        <v>347</v>
      </c>
      <c r="C129" s="1">
        <v>46168</v>
      </c>
      <c r="D129" s="1">
        <v>46169</v>
      </c>
      <c r="E129" s="1">
        <v>46173</v>
      </c>
      <c r="F129" s="1">
        <v>46173</v>
      </c>
      <c r="G129" s="1">
        <v>46173</v>
      </c>
      <c r="H129">
        <f t="shared" si="6"/>
        <v>0</v>
      </c>
      <c r="I129" t="str">
        <f t="shared" si="7"/>
        <v>ParcelOne</v>
      </c>
      <c r="J129" t="str">
        <f>VLOOKUP(A129,Orders!$A$2:$D$1201,4,FALSE)</f>
        <v>Delivered</v>
      </c>
      <c r="K129" t="str">
        <f t="shared" si="8"/>
        <v>On time</v>
      </c>
      <c r="L129" t="str">
        <f t="shared" si="9"/>
        <v>Late</v>
      </c>
      <c r="O129">
        <f t="shared" si="10"/>
        <v>0</v>
      </c>
    </row>
    <row r="130" spans="1:15">
      <c r="A130">
        <v>1136</v>
      </c>
      <c r="B130" t="s">
        <v>348</v>
      </c>
      <c r="C130" s="1">
        <v>46049</v>
      </c>
      <c r="D130" s="1">
        <v>46049</v>
      </c>
      <c r="E130" s="1">
        <v>46054</v>
      </c>
      <c r="F130" s="1">
        <v>46055</v>
      </c>
      <c r="G130" s="1">
        <v>46056</v>
      </c>
      <c r="H130">
        <f t="shared" si="6"/>
        <v>0</v>
      </c>
      <c r="I130" t="str">
        <f t="shared" si="7"/>
        <v>MetroLogistics</v>
      </c>
      <c r="J130" t="str">
        <f>VLOOKUP(A130,Orders!$A$2:$D$1201,4,FALSE)</f>
        <v>Delivered</v>
      </c>
      <c r="K130" t="str">
        <f t="shared" si="8"/>
        <v>Late</v>
      </c>
      <c r="L130" t="str">
        <f t="shared" si="9"/>
        <v>On time</v>
      </c>
      <c r="O130">
        <f t="shared" si="10"/>
        <v>1</v>
      </c>
    </row>
    <row r="131" spans="1:15">
      <c r="A131">
        <v>1137</v>
      </c>
      <c r="B131" t="s">
        <v>346</v>
      </c>
      <c r="C131" s="1">
        <v>46141</v>
      </c>
      <c r="D131" s="1">
        <v>46141</v>
      </c>
      <c r="E131" s="1">
        <v>46146</v>
      </c>
      <c r="F131" s="1">
        <v>46150</v>
      </c>
      <c r="G131" s="1">
        <v>46150</v>
      </c>
      <c r="H131">
        <f t="shared" ref="H131:H194" si="11">LEN(B131)-LEN(TRIM(B131))</f>
        <v>0</v>
      </c>
      <c r="I131" t="str">
        <f t="shared" ref="I131:I194" si="12">TRIM(B131)</f>
        <v>SwiftShip</v>
      </c>
      <c r="J131" t="str">
        <f>VLOOKUP(A131,Orders!$A$2:$D$1201,4,FALSE)</f>
        <v>Delivered</v>
      </c>
      <c r="K131" t="str">
        <f t="shared" ref="K131:K194" si="13">IF(J131&lt;&gt;"Delivered","Not delivered",IF(OR(E131="",F131=""),"Unknown",IF(F131&lt;=E131,"On time","Late")))</f>
        <v>Late</v>
      </c>
      <c r="L131" t="str">
        <f t="shared" ref="L131:L194" si="14">IF(D131="","Not dispatched",IF(C131="","Unknown",IF(D131&lt;=C131,"On time","Late")))</f>
        <v>On time</v>
      </c>
      <c r="O131">
        <f t="shared" ref="O131:O194" si="15">IF(OR(F131="",G131=""),"",G131-F131)</f>
        <v>0</v>
      </c>
    </row>
    <row r="132" spans="1:15">
      <c r="A132">
        <v>1138</v>
      </c>
      <c r="B132" t="s">
        <v>346</v>
      </c>
      <c r="C132" s="1">
        <v>46176</v>
      </c>
      <c r="D132" s="1">
        <v>46176</v>
      </c>
      <c r="E132" s="1">
        <v>46181</v>
      </c>
      <c r="F132" s="1">
        <v>46180</v>
      </c>
      <c r="G132" s="1">
        <v>46180</v>
      </c>
      <c r="H132">
        <f t="shared" si="11"/>
        <v>0</v>
      </c>
      <c r="I132" t="str">
        <f t="shared" si="12"/>
        <v>SwiftShip</v>
      </c>
      <c r="J132" t="str">
        <f>VLOOKUP(A132,Orders!$A$2:$D$1201,4,FALSE)</f>
        <v>Delivered</v>
      </c>
      <c r="K132" t="str">
        <f t="shared" si="13"/>
        <v>On time</v>
      </c>
      <c r="L132" t="str">
        <f t="shared" si="14"/>
        <v>On time</v>
      </c>
      <c r="O132">
        <f t="shared" si="15"/>
        <v>0</v>
      </c>
    </row>
    <row r="133" spans="1:15">
      <c r="A133">
        <v>1139</v>
      </c>
      <c r="B133" t="s">
        <v>348</v>
      </c>
      <c r="C133" s="1">
        <v>46201</v>
      </c>
      <c r="D133" s="1">
        <v>46201</v>
      </c>
      <c r="E133" s="1">
        <v>46206</v>
      </c>
      <c r="F133" s="1">
        <v>46205</v>
      </c>
      <c r="G133" s="1">
        <v>46205</v>
      </c>
      <c r="H133">
        <f t="shared" si="11"/>
        <v>0</v>
      </c>
      <c r="I133" t="str">
        <f t="shared" si="12"/>
        <v>MetroLogistics</v>
      </c>
      <c r="J133" t="str">
        <f>VLOOKUP(A133,Orders!$A$2:$D$1201,4,FALSE)</f>
        <v>Delivered</v>
      </c>
      <c r="K133" t="str">
        <f t="shared" si="13"/>
        <v>On time</v>
      </c>
      <c r="L133" t="str">
        <f t="shared" si="14"/>
        <v>On time</v>
      </c>
      <c r="O133">
        <f t="shared" si="15"/>
        <v>0</v>
      </c>
    </row>
    <row r="134" spans="1:15">
      <c r="A134">
        <v>1140</v>
      </c>
      <c r="B134" t="s">
        <v>346</v>
      </c>
      <c r="C134" s="1">
        <v>46122</v>
      </c>
      <c r="D134" s="1">
        <v>46122</v>
      </c>
      <c r="E134" s="1">
        <v>46127</v>
      </c>
      <c r="F134" s="1">
        <v>46127</v>
      </c>
      <c r="G134" s="1">
        <v>46127</v>
      </c>
      <c r="H134">
        <f t="shared" si="11"/>
        <v>0</v>
      </c>
      <c r="I134" t="str">
        <f t="shared" si="12"/>
        <v>SwiftShip</v>
      </c>
      <c r="J134" t="str">
        <f>VLOOKUP(A134,Orders!$A$2:$D$1201,4,FALSE)</f>
        <v>Delivered</v>
      </c>
      <c r="K134" t="str">
        <f t="shared" si="13"/>
        <v>On time</v>
      </c>
      <c r="L134" t="str">
        <f t="shared" si="14"/>
        <v>On time</v>
      </c>
      <c r="O134">
        <f t="shared" si="15"/>
        <v>0</v>
      </c>
    </row>
    <row r="135" spans="1:15">
      <c r="A135">
        <v>1141</v>
      </c>
      <c r="B135" t="s">
        <v>348</v>
      </c>
      <c r="C135" s="1">
        <v>46201</v>
      </c>
      <c r="D135" s="1">
        <v>46201</v>
      </c>
      <c r="E135" s="1">
        <v>46206</v>
      </c>
      <c r="F135" s="1">
        <v>46206</v>
      </c>
      <c r="G135" s="1">
        <v>46206</v>
      </c>
      <c r="H135">
        <f t="shared" si="11"/>
        <v>0</v>
      </c>
      <c r="I135" t="str">
        <f t="shared" si="12"/>
        <v>MetroLogistics</v>
      </c>
      <c r="J135" t="str">
        <f>VLOOKUP(A135,Orders!$A$2:$D$1201,4,FALSE)</f>
        <v>Delivered</v>
      </c>
      <c r="K135" t="str">
        <f t="shared" si="13"/>
        <v>On time</v>
      </c>
      <c r="L135" t="str">
        <f t="shared" si="14"/>
        <v>On time</v>
      </c>
      <c r="O135">
        <f t="shared" si="15"/>
        <v>0</v>
      </c>
    </row>
    <row r="136" spans="1:15">
      <c r="A136">
        <v>1142</v>
      </c>
      <c r="B136" t="s">
        <v>348</v>
      </c>
      <c r="C136" s="1">
        <v>46112</v>
      </c>
      <c r="D136" s="1">
        <v>46114</v>
      </c>
      <c r="E136" s="1">
        <v>46117</v>
      </c>
      <c r="F136" s="1">
        <v>46121</v>
      </c>
      <c r="G136" s="1">
        <v>46121</v>
      </c>
      <c r="H136">
        <f t="shared" si="11"/>
        <v>0</v>
      </c>
      <c r="I136" t="str">
        <f t="shared" si="12"/>
        <v>MetroLogistics</v>
      </c>
      <c r="J136" t="str">
        <f>VLOOKUP(A136,Orders!$A$2:$D$1201,4,FALSE)</f>
        <v>Delivered</v>
      </c>
      <c r="K136" t="str">
        <f t="shared" si="13"/>
        <v>Late</v>
      </c>
      <c r="L136" t="str">
        <f t="shared" si="14"/>
        <v>Late</v>
      </c>
      <c r="O136">
        <f t="shared" si="15"/>
        <v>0</v>
      </c>
    </row>
    <row r="137" spans="1:15">
      <c r="A137">
        <v>1143</v>
      </c>
      <c r="B137" t="s">
        <v>346</v>
      </c>
      <c r="C137" s="1">
        <v>46078</v>
      </c>
      <c r="D137" s="1">
        <v>46078</v>
      </c>
      <c r="E137" s="1">
        <v>46083</v>
      </c>
      <c r="F137" s="1">
        <v>46084</v>
      </c>
      <c r="G137" s="1">
        <v>46084</v>
      </c>
      <c r="H137">
        <f t="shared" si="11"/>
        <v>0</v>
      </c>
      <c r="I137" t="str">
        <f t="shared" si="12"/>
        <v>SwiftShip</v>
      </c>
      <c r="J137" t="str">
        <f>VLOOKUP(A137,Orders!$A$2:$D$1201,4,FALSE)</f>
        <v>Delivered</v>
      </c>
      <c r="K137" t="str">
        <f t="shared" si="13"/>
        <v>Late</v>
      </c>
      <c r="L137" t="str">
        <f t="shared" si="14"/>
        <v>On time</v>
      </c>
      <c r="O137">
        <f t="shared" si="15"/>
        <v>0</v>
      </c>
    </row>
    <row r="138" spans="1:15">
      <c r="A138">
        <v>1144</v>
      </c>
      <c r="B138" t="s">
        <v>348</v>
      </c>
      <c r="C138" s="1">
        <v>46113</v>
      </c>
      <c r="D138" s="1">
        <v>46115</v>
      </c>
      <c r="E138" s="1">
        <v>46118</v>
      </c>
      <c r="H138">
        <f t="shared" si="11"/>
        <v>0</v>
      </c>
      <c r="I138" t="str">
        <f t="shared" si="12"/>
        <v>MetroLogistics</v>
      </c>
      <c r="J138" t="str">
        <f>VLOOKUP(A138,Orders!$A$2:$D$1201,4,FALSE)</f>
        <v>Shipped</v>
      </c>
      <c r="K138" t="str">
        <f t="shared" si="13"/>
        <v>Not delivered</v>
      </c>
      <c r="L138" t="str">
        <f t="shared" si="14"/>
        <v>Late</v>
      </c>
      <c r="O138" t="str">
        <f t="shared" si="15"/>
        <v/>
      </c>
    </row>
    <row r="139" spans="1:15">
      <c r="A139">
        <v>1145</v>
      </c>
      <c r="B139" t="s">
        <v>348</v>
      </c>
      <c r="C139" s="1">
        <v>46090</v>
      </c>
      <c r="D139" s="1">
        <v>46092</v>
      </c>
      <c r="E139" s="1">
        <v>46095</v>
      </c>
      <c r="F139" s="1">
        <v>46096</v>
      </c>
      <c r="G139" s="1">
        <v>46096</v>
      </c>
      <c r="H139">
        <f t="shared" si="11"/>
        <v>0</v>
      </c>
      <c r="I139" t="str">
        <f t="shared" si="12"/>
        <v>MetroLogistics</v>
      </c>
      <c r="J139" t="str">
        <f>VLOOKUP(A139,Orders!$A$2:$D$1201,4,FALSE)</f>
        <v>Delivered</v>
      </c>
      <c r="K139" t="str">
        <f t="shared" si="13"/>
        <v>Late</v>
      </c>
      <c r="L139" t="str">
        <f t="shared" si="14"/>
        <v>Late</v>
      </c>
      <c r="O139">
        <f t="shared" si="15"/>
        <v>0</v>
      </c>
    </row>
    <row r="140" spans="1:15">
      <c r="A140">
        <v>1146</v>
      </c>
      <c r="B140" t="s">
        <v>347</v>
      </c>
      <c r="C140" s="1">
        <v>46175</v>
      </c>
      <c r="D140" s="1">
        <v>46175</v>
      </c>
      <c r="E140" s="1">
        <v>46180</v>
      </c>
      <c r="F140" s="1">
        <v>46180</v>
      </c>
      <c r="G140" s="1">
        <v>46180</v>
      </c>
      <c r="H140">
        <f t="shared" si="11"/>
        <v>0</v>
      </c>
      <c r="I140" t="str">
        <f t="shared" si="12"/>
        <v>ParcelOne</v>
      </c>
      <c r="J140" t="str">
        <f>VLOOKUP(A140,Orders!$A$2:$D$1201,4,FALSE)</f>
        <v>Delivered</v>
      </c>
      <c r="K140" t="str">
        <f t="shared" si="13"/>
        <v>On time</v>
      </c>
      <c r="L140" t="str">
        <f t="shared" si="14"/>
        <v>On time</v>
      </c>
      <c r="O140">
        <f t="shared" si="15"/>
        <v>0</v>
      </c>
    </row>
    <row r="141" spans="1:15">
      <c r="A141">
        <v>1147</v>
      </c>
      <c r="B141" t="s">
        <v>346</v>
      </c>
      <c r="C141" s="1">
        <v>46026</v>
      </c>
      <c r="D141" s="1">
        <v>46026</v>
      </c>
      <c r="E141" s="1">
        <v>46031</v>
      </c>
      <c r="H141">
        <f t="shared" si="11"/>
        <v>0</v>
      </c>
      <c r="I141" t="str">
        <f t="shared" si="12"/>
        <v>SwiftShip</v>
      </c>
      <c r="J141" t="str">
        <f>VLOOKUP(A141,Orders!$A$2:$D$1201,4,FALSE)</f>
        <v>Shipped</v>
      </c>
      <c r="K141" t="str">
        <f t="shared" si="13"/>
        <v>Not delivered</v>
      </c>
      <c r="L141" t="str">
        <f t="shared" si="14"/>
        <v>On time</v>
      </c>
      <c r="O141" t="str">
        <f t="shared" si="15"/>
        <v/>
      </c>
    </row>
    <row r="142" spans="1:15">
      <c r="A142">
        <v>1148</v>
      </c>
      <c r="B142" t="s">
        <v>347</v>
      </c>
      <c r="C142" s="1">
        <v>46107</v>
      </c>
      <c r="D142" s="1">
        <v>46107</v>
      </c>
      <c r="E142" s="1">
        <v>46112</v>
      </c>
      <c r="F142" s="1">
        <v>46113</v>
      </c>
      <c r="G142" s="1">
        <v>46115</v>
      </c>
      <c r="H142">
        <f t="shared" si="11"/>
        <v>0</v>
      </c>
      <c r="I142" t="str">
        <f t="shared" si="12"/>
        <v>ParcelOne</v>
      </c>
      <c r="J142" t="str">
        <f>VLOOKUP(A142,Orders!$A$2:$D$1201,4,FALSE)</f>
        <v>Delivered</v>
      </c>
      <c r="K142" t="str">
        <f t="shared" si="13"/>
        <v>Late</v>
      </c>
      <c r="L142" t="str">
        <f t="shared" si="14"/>
        <v>On time</v>
      </c>
      <c r="O142">
        <f t="shared" si="15"/>
        <v>2</v>
      </c>
    </row>
    <row r="143" spans="1:15">
      <c r="A143">
        <v>1150</v>
      </c>
      <c r="B143" t="s">
        <v>347</v>
      </c>
      <c r="C143" s="1">
        <v>46072</v>
      </c>
      <c r="D143" s="1">
        <v>46072</v>
      </c>
      <c r="E143" s="1">
        <v>46077</v>
      </c>
      <c r="H143">
        <f t="shared" si="11"/>
        <v>0</v>
      </c>
      <c r="I143" t="str">
        <f t="shared" si="12"/>
        <v>ParcelOne</v>
      </c>
      <c r="J143" t="str">
        <f>VLOOKUP(A143,Orders!$A$2:$D$1201,4,FALSE)</f>
        <v>Shipped</v>
      </c>
      <c r="K143" t="str">
        <f t="shared" si="13"/>
        <v>Not delivered</v>
      </c>
      <c r="L143" t="str">
        <f t="shared" si="14"/>
        <v>On time</v>
      </c>
      <c r="O143" t="str">
        <f t="shared" si="15"/>
        <v/>
      </c>
    </row>
    <row r="144" spans="1:15">
      <c r="A144">
        <v>1151</v>
      </c>
      <c r="B144" t="s">
        <v>348</v>
      </c>
      <c r="C144" s="1">
        <v>46110</v>
      </c>
      <c r="D144" s="1">
        <v>46111</v>
      </c>
      <c r="E144" s="1">
        <v>46115</v>
      </c>
      <c r="F144" s="1">
        <v>46115</v>
      </c>
      <c r="G144" s="1">
        <v>46115</v>
      </c>
      <c r="H144">
        <f t="shared" si="11"/>
        <v>0</v>
      </c>
      <c r="I144" t="str">
        <f t="shared" si="12"/>
        <v>MetroLogistics</v>
      </c>
      <c r="J144" t="str">
        <f>VLOOKUP(A144,Orders!$A$2:$D$1201,4,FALSE)</f>
        <v>Delivered</v>
      </c>
      <c r="K144" t="str">
        <f t="shared" si="13"/>
        <v>On time</v>
      </c>
      <c r="L144" t="str">
        <f t="shared" si="14"/>
        <v>Late</v>
      </c>
      <c r="O144">
        <f t="shared" si="15"/>
        <v>0</v>
      </c>
    </row>
    <row r="145" spans="1:15">
      <c r="A145">
        <v>1152</v>
      </c>
      <c r="B145" t="s">
        <v>348</v>
      </c>
      <c r="C145" s="1">
        <v>46090</v>
      </c>
      <c r="D145" s="1">
        <v>46091</v>
      </c>
      <c r="E145" s="1">
        <v>46095</v>
      </c>
      <c r="F145" s="1">
        <v>46095</v>
      </c>
      <c r="G145" s="1">
        <v>46095</v>
      </c>
      <c r="H145">
        <f t="shared" si="11"/>
        <v>0</v>
      </c>
      <c r="I145" t="str">
        <f t="shared" si="12"/>
        <v>MetroLogistics</v>
      </c>
      <c r="J145" t="str">
        <f>VLOOKUP(A145,Orders!$A$2:$D$1201,4,FALSE)</f>
        <v>Delivered</v>
      </c>
      <c r="K145" t="str">
        <f t="shared" si="13"/>
        <v>On time</v>
      </c>
      <c r="L145" t="str">
        <f t="shared" si="14"/>
        <v>Late</v>
      </c>
      <c r="O145">
        <f t="shared" si="15"/>
        <v>0</v>
      </c>
    </row>
    <row r="146" spans="1:15">
      <c r="A146">
        <v>1153</v>
      </c>
      <c r="B146" t="s">
        <v>346</v>
      </c>
      <c r="C146" s="1">
        <v>46049</v>
      </c>
      <c r="D146" s="1">
        <v>46049</v>
      </c>
      <c r="E146" s="1">
        <v>46054</v>
      </c>
      <c r="F146" s="1">
        <v>46054</v>
      </c>
      <c r="G146" s="1">
        <v>46054</v>
      </c>
      <c r="H146">
        <f t="shared" si="11"/>
        <v>0</v>
      </c>
      <c r="I146" t="str">
        <f t="shared" si="12"/>
        <v>SwiftShip</v>
      </c>
      <c r="J146" t="str">
        <f>VLOOKUP(A146,Orders!$A$2:$D$1201,4,FALSE)</f>
        <v>Delivered</v>
      </c>
      <c r="K146" t="str">
        <f t="shared" si="13"/>
        <v>On time</v>
      </c>
      <c r="L146" t="str">
        <f t="shared" si="14"/>
        <v>On time</v>
      </c>
      <c r="O146">
        <f t="shared" si="15"/>
        <v>0</v>
      </c>
    </row>
    <row r="147" spans="1:15">
      <c r="A147">
        <v>1154</v>
      </c>
      <c r="B147" t="s">
        <v>346</v>
      </c>
      <c r="C147" s="1">
        <v>46102</v>
      </c>
      <c r="D147" s="1">
        <v>46102</v>
      </c>
      <c r="E147" s="1">
        <v>46107</v>
      </c>
      <c r="F147" s="1">
        <v>46105</v>
      </c>
      <c r="G147" s="1">
        <v>46105</v>
      </c>
      <c r="H147">
        <f t="shared" si="11"/>
        <v>0</v>
      </c>
      <c r="I147" t="str">
        <f t="shared" si="12"/>
        <v>SwiftShip</v>
      </c>
      <c r="J147" t="str">
        <f>VLOOKUP(A147,Orders!$A$2:$D$1201,4,FALSE)</f>
        <v>Delivered</v>
      </c>
      <c r="K147" t="str">
        <f t="shared" si="13"/>
        <v>On time</v>
      </c>
      <c r="L147" t="str">
        <f t="shared" si="14"/>
        <v>On time</v>
      </c>
      <c r="O147">
        <f t="shared" si="15"/>
        <v>0</v>
      </c>
    </row>
    <row r="148" spans="1:15">
      <c r="A148">
        <v>1155</v>
      </c>
      <c r="B148" t="s">
        <v>348</v>
      </c>
      <c r="C148" s="1">
        <v>46065</v>
      </c>
      <c r="D148" s="1">
        <v>46067</v>
      </c>
      <c r="E148" s="1">
        <v>46070</v>
      </c>
      <c r="F148" s="1">
        <v>46070</v>
      </c>
      <c r="G148" s="1">
        <v>46070</v>
      </c>
      <c r="H148">
        <f t="shared" si="11"/>
        <v>0</v>
      </c>
      <c r="I148" t="str">
        <f t="shared" si="12"/>
        <v>MetroLogistics</v>
      </c>
      <c r="J148" t="str">
        <f>VLOOKUP(A148,Orders!$A$2:$D$1201,4,FALSE)</f>
        <v>Delivered</v>
      </c>
      <c r="K148" t="str">
        <f t="shared" si="13"/>
        <v>On time</v>
      </c>
      <c r="L148" t="str">
        <f t="shared" si="14"/>
        <v>Late</v>
      </c>
      <c r="O148">
        <f t="shared" si="15"/>
        <v>0</v>
      </c>
    </row>
    <row r="149" spans="1:15">
      <c r="A149">
        <v>1156</v>
      </c>
      <c r="B149" t="s">
        <v>348</v>
      </c>
      <c r="C149" s="1">
        <v>46120</v>
      </c>
      <c r="D149" s="1">
        <v>46120</v>
      </c>
      <c r="E149" s="1">
        <v>46125</v>
      </c>
      <c r="F149" s="1">
        <v>46125</v>
      </c>
      <c r="G149" s="1">
        <v>46125</v>
      </c>
      <c r="H149">
        <f t="shared" si="11"/>
        <v>0</v>
      </c>
      <c r="I149" t="str">
        <f t="shared" si="12"/>
        <v>MetroLogistics</v>
      </c>
      <c r="J149" t="str">
        <f>VLOOKUP(A149,Orders!$A$2:$D$1201,4,FALSE)</f>
        <v>Delivered</v>
      </c>
      <c r="K149" t="str">
        <f t="shared" si="13"/>
        <v>On time</v>
      </c>
      <c r="L149" t="str">
        <f t="shared" si="14"/>
        <v>On time</v>
      </c>
      <c r="O149">
        <f t="shared" si="15"/>
        <v>0</v>
      </c>
    </row>
    <row r="150" spans="1:15">
      <c r="A150">
        <v>1157</v>
      </c>
      <c r="B150" t="s">
        <v>348</v>
      </c>
      <c r="C150" s="1">
        <v>46139</v>
      </c>
      <c r="D150" s="1">
        <v>46139</v>
      </c>
      <c r="E150" s="1">
        <v>46144</v>
      </c>
      <c r="F150" s="1">
        <v>46144</v>
      </c>
      <c r="G150" s="1">
        <v>46144</v>
      </c>
      <c r="H150">
        <f t="shared" si="11"/>
        <v>0</v>
      </c>
      <c r="I150" t="str">
        <f t="shared" si="12"/>
        <v>MetroLogistics</v>
      </c>
      <c r="J150" t="str">
        <f>VLOOKUP(A150,Orders!$A$2:$D$1201,4,FALSE)</f>
        <v>Delivered</v>
      </c>
      <c r="K150" t="str">
        <f t="shared" si="13"/>
        <v>On time</v>
      </c>
      <c r="L150" t="str">
        <f t="shared" si="14"/>
        <v>On time</v>
      </c>
      <c r="O150">
        <f t="shared" si="15"/>
        <v>0</v>
      </c>
    </row>
    <row r="151" spans="1:15">
      <c r="A151">
        <v>1158</v>
      </c>
      <c r="B151" t="s">
        <v>346</v>
      </c>
      <c r="C151" s="1">
        <v>46162</v>
      </c>
      <c r="D151" s="1">
        <v>46163</v>
      </c>
      <c r="E151" s="1">
        <v>46167</v>
      </c>
      <c r="F151" s="1">
        <v>46167</v>
      </c>
      <c r="G151" s="1">
        <v>46167</v>
      </c>
      <c r="H151">
        <f t="shared" si="11"/>
        <v>0</v>
      </c>
      <c r="I151" t="str">
        <f t="shared" si="12"/>
        <v>SwiftShip</v>
      </c>
      <c r="J151" t="str">
        <f>VLOOKUP(A151,Orders!$A$2:$D$1201,4,FALSE)</f>
        <v>Delivered</v>
      </c>
      <c r="K151" t="str">
        <f t="shared" si="13"/>
        <v>On time</v>
      </c>
      <c r="L151" t="str">
        <f t="shared" si="14"/>
        <v>Late</v>
      </c>
      <c r="O151">
        <f t="shared" si="15"/>
        <v>0</v>
      </c>
    </row>
    <row r="152" spans="1:15">
      <c r="A152">
        <v>1159</v>
      </c>
      <c r="B152" t="s">
        <v>347</v>
      </c>
      <c r="C152" s="1">
        <v>46169</v>
      </c>
      <c r="D152" s="1">
        <v>46169</v>
      </c>
      <c r="E152" s="1">
        <v>46174</v>
      </c>
      <c r="F152" s="1">
        <v>46172</v>
      </c>
      <c r="G152" s="1">
        <v>46172</v>
      </c>
      <c r="H152">
        <f t="shared" si="11"/>
        <v>0</v>
      </c>
      <c r="I152" t="str">
        <f t="shared" si="12"/>
        <v>ParcelOne</v>
      </c>
      <c r="J152" t="str">
        <f>VLOOKUP(A152,Orders!$A$2:$D$1201,4,FALSE)</f>
        <v>Delivered</v>
      </c>
      <c r="K152" t="str">
        <f t="shared" si="13"/>
        <v>On time</v>
      </c>
      <c r="L152" t="str">
        <f t="shared" si="14"/>
        <v>On time</v>
      </c>
      <c r="O152">
        <f t="shared" si="15"/>
        <v>0</v>
      </c>
    </row>
    <row r="153" spans="1:15">
      <c r="A153">
        <v>1160</v>
      </c>
      <c r="B153" t="s">
        <v>347</v>
      </c>
      <c r="C153" s="1">
        <v>46163</v>
      </c>
      <c r="E153" s="1">
        <v>46168</v>
      </c>
      <c r="H153">
        <f t="shared" si="11"/>
        <v>0</v>
      </c>
      <c r="I153" t="str">
        <f t="shared" si="12"/>
        <v>ParcelOne</v>
      </c>
      <c r="J153" t="str">
        <f>VLOOKUP(A153,Orders!$A$2:$D$1201,4,FALSE)</f>
        <v>Pending</v>
      </c>
      <c r="K153" t="str">
        <f t="shared" si="13"/>
        <v>Not delivered</v>
      </c>
      <c r="L153" t="str">
        <f t="shared" si="14"/>
        <v>Not dispatched</v>
      </c>
      <c r="O153" t="str">
        <f t="shared" si="15"/>
        <v/>
      </c>
    </row>
    <row r="154" spans="1:15">
      <c r="A154">
        <v>1161</v>
      </c>
      <c r="B154" t="s">
        <v>347</v>
      </c>
      <c r="C154" s="1">
        <v>46189</v>
      </c>
      <c r="E154" s="1">
        <v>46194</v>
      </c>
      <c r="H154">
        <f t="shared" si="11"/>
        <v>0</v>
      </c>
      <c r="I154" t="str">
        <f t="shared" si="12"/>
        <v>ParcelOne</v>
      </c>
      <c r="J154" t="str">
        <f>VLOOKUP(A154,Orders!$A$2:$D$1201,4,FALSE)</f>
        <v>Pending</v>
      </c>
      <c r="K154" t="str">
        <f t="shared" si="13"/>
        <v>Not delivered</v>
      </c>
      <c r="L154" t="str">
        <f t="shared" si="14"/>
        <v>Not dispatched</v>
      </c>
      <c r="O154" t="str">
        <f t="shared" si="15"/>
        <v/>
      </c>
    </row>
    <row r="155" spans="1:15">
      <c r="A155">
        <v>1162</v>
      </c>
      <c r="B155" t="s">
        <v>348</v>
      </c>
      <c r="C155" s="1">
        <v>46199</v>
      </c>
      <c r="D155" s="1">
        <v>46199</v>
      </c>
      <c r="E155" s="1">
        <v>46204</v>
      </c>
      <c r="H155">
        <f t="shared" si="11"/>
        <v>0</v>
      </c>
      <c r="I155" t="str">
        <f t="shared" si="12"/>
        <v>MetroLogistics</v>
      </c>
      <c r="J155" t="str">
        <f>VLOOKUP(A155,Orders!$A$2:$D$1201,4,FALSE)</f>
        <v>Shipped</v>
      </c>
      <c r="K155" t="str">
        <f t="shared" si="13"/>
        <v>Not delivered</v>
      </c>
      <c r="L155" t="str">
        <f t="shared" si="14"/>
        <v>On time</v>
      </c>
      <c r="O155" t="str">
        <f t="shared" si="15"/>
        <v/>
      </c>
    </row>
    <row r="156" spans="1:15">
      <c r="A156">
        <v>1163</v>
      </c>
      <c r="B156" t="s">
        <v>346</v>
      </c>
      <c r="C156" s="1">
        <v>46125</v>
      </c>
      <c r="D156" s="1">
        <v>46125</v>
      </c>
      <c r="E156" s="1">
        <v>46130</v>
      </c>
      <c r="F156" s="1">
        <v>46131</v>
      </c>
      <c r="G156" s="1">
        <v>46131</v>
      </c>
      <c r="H156">
        <f t="shared" si="11"/>
        <v>0</v>
      </c>
      <c r="I156" t="str">
        <f t="shared" si="12"/>
        <v>SwiftShip</v>
      </c>
      <c r="J156" t="str">
        <f>VLOOKUP(A156,Orders!$A$2:$D$1201,4,FALSE)</f>
        <v>Delivered</v>
      </c>
      <c r="K156" t="str">
        <f t="shared" si="13"/>
        <v>Late</v>
      </c>
      <c r="L156" t="str">
        <f t="shared" si="14"/>
        <v>On time</v>
      </c>
      <c r="O156">
        <f t="shared" si="15"/>
        <v>0</v>
      </c>
    </row>
    <row r="157" spans="1:15">
      <c r="A157">
        <v>1164</v>
      </c>
      <c r="B157" t="s">
        <v>348</v>
      </c>
      <c r="C157" s="1">
        <v>46083</v>
      </c>
      <c r="D157" s="1">
        <v>46085</v>
      </c>
      <c r="E157" s="1">
        <v>46088</v>
      </c>
      <c r="F157" s="1">
        <v>46089</v>
      </c>
      <c r="G157" s="1">
        <v>46089</v>
      </c>
      <c r="H157">
        <f t="shared" si="11"/>
        <v>0</v>
      </c>
      <c r="I157" t="str">
        <f t="shared" si="12"/>
        <v>MetroLogistics</v>
      </c>
      <c r="J157" t="str">
        <f>VLOOKUP(A157,Orders!$A$2:$D$1201,4,FALSE)</f>
        <v>Delivered</v>
      </c>
      <c r="K157" t="str">
        <f t="shared" si="13"/>
        <v>Late</v>
      </c>
      <c r="L157" t="str">
        <f t="shared" si="14"/>
        <v>Late</v>
      </c>
      <c r="O157">
        <f t="shared" si="15"/>
        <v>0</v>
      </c>
    </row>
    <row r="158" spans="1:15">
      <c r="A158">
        <v>1165</v>
      </c>
      <c r="B158" t="s">
        <v>348</v>
      </c>
      <c r="C158" s="1">
        <v>46132</v>
      </c>
      <c r="D158" s="1">
        <v>46132</v>
      </c>
      <c r="E158" s="1">
        <v>46137</v>
      </c>
      <c r="F158" s="1">
        <v>46135</v>
      </c>
      <c r="G158" s="1">
        <v>46135</v>
      </c>
      <c r="H158">
        <f t="shared" si="11"/>
        <v>0</v>
      </c>
      <c r="I158" t="str">
        <f t="shared" si="12"/>
        <v>MetroLogistics</v>
      </c>
      <c r="J158" t="str">
        <f>VLOOKUP(A158,Orders!$A$2:$D$1201,4,FALSE)</f>
        <v>Delivered</v>
      </c>
      <c r="K158" t="str">
        <f t="shared" si="13"/>
        <v>On time</v>
      </c>
      <c r="L158" t="str">
        <f t="shared" si="14"/>
        <v>On time</v>
      </c>
      <c r="O158">
        <f t="shared" si="15"/>
        <v>0</v>
      </c>
    </row>
    <row r="159" spans="1:15">
      <c r="A159">
        <v>1166</v>
      </c>
      <c r="B159" t="s">
        <v>348</v>
      </c>
      <c r="C159" s="1">
        <v>46037</v>
      </c>
      <c r="D159" s="1">
        <v>46037</v>
      </c>
      <c r="E159" s="1">
        <v>46042</v>
      </c>
      <c r="F159" s="1">
        <v>46046</v>
      </c>
      <c r="G159" s="1">
        <v>46046</v>
      </c>
      <c r="H159">
        <f t="shared" si="11"/>
        <v>0</v>
      </c>
      <c r="I159" t="str">
        <f t="shared" si="12"/>
        <v>MetroLogistics</v>
      </c>
      <c r="J159" t="str">
        <f>VLOOKUP(A159,Orders!$A$2:$D$1201,4,FALSE)</f>
        <v>Delivered</v>
      </c>
      <c r="K159" t="str">
        <f t="shared" si="13"/>
        <v>Late</v>
      </c>
      <c r="L159" t="str">
        <f t="shared" si="14"/>
        <v>On time</v>
      </c>
      <c r="O159">
        <f t="shared" si="15"/>
        <v>0</v>
      </c>
    </row>
    <row r="160" spans="1:15">
      <c r="A160">
        <v>1167</v>
      </c>
      <c r="B160" t="s">
        <v>346</v>
      </c>
      <c r="C160" s="1">
        <v>46172</v>
      </c>
      <c r="D160" s="1">
        <v>46174</v>
      </c>
      <c r="E160" s="1">
        <v>46177</v>
      </c>
      <c r="F160" s="1">
        <v>46177</v>
      </c>
      <c r="G160" s="1">
        <v>46177</v>
      </c>
      <c r="H160">
        <f t="shared" si="11"/>
        <v>0</v>
      </c>
      <c r="I160" t="str">
        <f t="shared" si="12"/>
        <v>SwiftShip</v>
      </c>
      <c r="J160" t="str">
        <f>VLOOKUP(A160,Orders!$A$2:$D$1201,4,FALSE)</f>
        <v>Delivered</v>
      </c>
      <c r="K160" t="str">
        <f t="shared" si="13"/>
        <v>On time</v>
      </c>
      <c r="L160" t="str">
        <f t="shared" si="14"/>
        <v>Late</v>
      </c>
      <c r="O160">
        <f t="shared" si="15"/>
        <v>0</v>
      </c>
    </row>
    <row r="161" spans="1:15">
      <c r="A161">
        <v>1168</v>
      </c>
      <c r="B161" t="s">
        <v>346</v>
      </c>
      <c r="C161" s="1">
        <v>46040</v>
      </c>
      <c r="D161" s="1">
        <v>46042</v>
      </c>
      <c r="E161" s="1">
        <v>46045</v>
      </c>
      <c r="F161" s="1">
        <v>46046</v>
      </c>
      <c r="G161" s="1">
        <v>46046</v>
      </c>
      <c r="H161">
        <f t="shared" si="11"/>
        <v>0</v>
      </c>
      <c r="I161" t="str">
        <f t="shared" si="12"/>
        <v>SwiftShip</v>
      </c>
      <c r="J161" t="str">
        <f>VLOOKUP(A161,Orders!$A$2:$D$1201,4,FALSE)</f>
        <v>Delivered</v>
      </c>
      <c r="K161" t="str">
        <f t="shared" si="13"/>
        <v>Late</v>
      </c>
      <c r="L161" t="str">
        <f t="shared" si="14"/>
        <v>Late</v>
      </c>
      <c r="O161">
        <f t="shared" si="15"/>
        <v>0</v>
      </c>
    </row>
    <row r="162" spans="1:15">
      <c r="A162">
        <v>1169</v>
      </c>
      <c r="B162" t="s">
        <v>346</v>
      </c>
      <c r="C162" s="1">
        <v>46203</v>
      </c>
      <c r="D162" s="1">
        <v>46204</v>
      </c>
      <c r="E162" s="1">
        <v>46208</v>
      </c>
      <c r="F162" s="1">
        <v>46208</v>
      </c>
      <c r="G162" s="1">
        <v>46208</v>
      </c>
      <c r="H162">
        <f t="shared" si="11"/>
        <v>0</v>
      </c>
      <c r="I162" t="str">
        <f t="shared" si="12"/>
        <v>SwiftShip</v>
      </c>
      <c r="J162" t="str">
        <f>VLOOKUP(A162,Orders!$A$2:$D$1201,4,FALSE)</f>
        <v>Delivered</v>
      </c>
      <c r="K162" t="str">
        <f t="shared" si="13"/>
        <v>On time</v>
      </c>
      <c r="L162" t="str">
        <f t="shared" si="14"/>
        <v>Late</v>
      </c>
      <c r="O162">
        <f t="shared" si="15"/>
        <v>0</v>
      </c>
    </row>
    <row r="163" spans="1:15">
      <c r="A163">
        <v>1170</v>
      </c>
      <c r="B163" t="s">
        <v>346</v>
      </c>
      <c r="C163" s="1">
        <v>46039</v>
      </c>
      <c r="D163" s="1">
        <v>46039</v>
      </c>
      <c r="E163" s="1">
        <v>46044</v>
      </c>
      <c r="F163" s="1">
        <v>46042</v>
      </c>
      <c r="G163" s="1">
        <v>46042</v>
      </c>
      <c r="H163">
        <f t="shared" si="11"/>
        <v>0</v>
      </c>
      <c r="I163" t="str">
        <f t="shared" si="12"/>
        <v>SwiftShip</v>
      </c>
      <c r="J163" t="str">
        <f>VLOOKUP(A163,Orders!$A$2:$D$1201,4,FALSE)</f>
        <v>Delivered</v>
      </c>
      <c r="K163" t="str">
        <f t="shared" si="13"/>
        <v>On time</v>
      </c>
      <c r="L163" t="str">
        <f t="shared" si="14"/>
        <v>On time</v>
      </c>
      <c r="O163">
        <f t="shared" si="15"/>
        <v>0</v>
      </c>
    </row>
    <row r="164" spans="1:15">
      <c r="A164">
        <v>1171</v>
      </c>
      <c r="B164" t="s">
        <v>347</v>
      </c>
      <c r="C164" s="1">
        <v>46048</v>
      </c>
      <c r="D164" s="1">
        <v>46048</v>
      </c>
      <c r="E164" s="1">
        <v>46053</v>
      </c>
      <c r="F164" s="1">
        <v>46053</v>
      </c>
      <c r="G164" s="1">
        <v>46054</v>
      </c>
      <c r="H164">
        <f t="shared" si="11"/>
        <v>0</v>
      </c>
      <c r="I164" t="str">
        <f t="shared" si="12"/>
        <v>ParcelOne</v>
      </c>
      <c r="J164" t="str">
        <f>VLOOKUP(A164,Orders!$A$2:$D$1201,4,FALSE)</f>
        <v>Delivered</v>
      </c>
      <c r="K164" t="str">
        <f t="shared" si="13"/>
        <v>On time</v>
      </c>
      <c r="L164" t="str">
        <f t="shared" si="14"/>
        <v>On time</v>
      </c>
      <c r="O164">
        <f t="shared" si="15"/>
        <v>1</v>
      </c>
    </row>
    <row r="165" spans="1:15">
      <c r="A165">
        <v>1172</v>
      </c>
      <c r="B165" t="s">
        <v>347</v>
      </c>
      <c r="C165" s="1">
        <v>46175</v>
      </c>
      <c r="D165" s="1">
        <v>46176</v>
      </c>
      <c r="E165" s="1">
        <v>46180</v>
      </c>
      <c r="F165" s="1">
        <v>46180</v>
      </c>
      <c r="G165" s="1">
        <v>46182</v>
      </c>
      <c r="H165">
        <f t="shared" si="11"/>
        <v>0</v>
      </c>
      <c r="I165" t="str">
        <f t="shared" si="12"/>
        <v>ParcelOne</v>
      </c>
      <c r="J165" t="str">
        <f>VLOOKUP(A165,Orders!$A$2:$D$1201,4,FALSE)</f>
        <v>Delivered</v>
      </c>
      <c r="K165" t="str">
        <f t="shared" si="13"/>
        <v>On time</v>
      </c>
      <c r="L165" t="str">
        <f t="shared" si="14"/>
        <v>Late</v>
      </c>
      <c r="O165">
        <f t="shared" si="15"/>
        <v>2</v>
      </c>
    </row>
    <row r="166" spans="1:15">
      <c r="A166">
        <v>1173</v>
      </c>
      <c r="B166" t="s">
        <v>346</v>
      </c>
      <c r="C166" s="1">
        <v>46079</v>
      </c>
      <c r="D166" s="1">
        <v>46079</v>
      </c>
      <c r="E166" s="1">
        <v>46084</v>
      </c>
      <c r="H166">
        <f t="shared" si="11"/>
        <v>0</v>
      </c>
      <c r="I166" t="str">
        <f t="shared" si="12"/>
        <v>SwiftShip</v>
      </c>
      <c r="J166" t="str">
        <f>VLOOKUP(A166,Orders!$A$2:$D$1201,4,FALSE)</f>
        <v>Shipped</v>
      </c>
      <c r="K166" t="str">
        <f t="shared" si="13"/>
        <v>Not delivered</v>
      </c>
      <c r="L166" t="str">
        <f t="shared" si="14"/>
        <v>On time</v>
      </c>
      <c r="O166" t="str">
        <f t="shared" si="15"/>
        <v/>
      </c>
    </row>
    <row r="167" spans="1:15">
      <c r="A167">
        <v>1174</v>
      </c>
      <c r="B167" t="s">
        <v>346</v>
      </c>
      <c r="C167" s="1">
        <v>46122</v>
      </c>
      <c r="D167" s="1">
        <v>46122</v>
      </c>
      <c r="E167" s="1">
        <v>46127</v>
      </c>
      <c r="F167" s="1">
        <v>46131</v>
      </c>
      <c r="G167" s="1">
        <v>46131</v>
      </c>
      <c r="H167">
        <f t="shared" si="11"/>
        <v>0</v>
      </c>
      <c r="I167" t="str">
        <f t="shared" si="12"/>
        <v>SwiftShip</v>
      </c>
      <c r="J167" t="str">
        <f>VLOOKUP(A167,Orders!$A$2:$D$1201,4,FALSE)</f>
        <v>Delivered</v>
      </c>
      <c r="K167" t="str">
        <f t="shared" si="13"/>
        <v>Late</v>
      </c>
      <c r="L167" t="str">
        <f t="shared" si="14"/>
        <v>On time</v>
      </c>
      <c r="O167">
        <f t="shared" si="15"/>
        <v>0</v>
      </c>
    </row>
    <row r="168" spans="1:15">
      <c r="A168">
        <v>1175</v>
      </c>
      <c r="B168" t="s">
        <v>348</v>
      </c>
      <c r="C168" s="1">
        <v>46077</v>
      </c>
      <c r="D168" s="1">
        <v>46077</v>
      </c>
      <c r="E168" s="1">
        <v>46082</v>
      </c>
      <c r="F168" s="1">
        <v>46080</v>
      </c>
      <c r="G168" s="1">
        <v>46080</v>
      </c>
      <c r="H168">
        <f t="shared" si="11"/>
        <v>0</v>
      </c>
      <c r="I168" t="str">
        <f t="shared" si="12"/>
        <v>MetroLogistics</v>
      </c>
      <c r="J168" t="str">
        <f>VLOOKUP(A168,Orders!$A$2:$D$1201,4,FALSE)</f>
        <v>Delivered</v>
      </c>
      <c r="K168" t="str">
        <f t="shared" si="13"/>
        <v>On time</v>
      </c>
      <c r="L168" t="str">
        <f t="shared" si="14"/>
        <v>On time</v>
      </c>
      <c r="O168">
        <f t="shared" si="15"/>
        <v>0</v>
      </c>
    </row>
    <row r="169" spans="1:15">
      <c r="A169">
        <v>1176</v>
      </c>
      <c r="B169" t="s">
        <v>348</v>
      </c>
      <c r="C169" s="1">
        <v>46173</v>
      </c>
      <c r="D169" s="1">
        <v>46173</v>
      </c>
      <c r="E169" s="1">
        <v>46178</v>
      </c>
      <c r="F169" s="1">
        <v>46178</v>
      </c>
      <c r="G169" s="1">
        <v>46178</v>
      </c>
      <c r="H169">
        <f t="shared" si="11"/>
        <v>0</v>
      </c>
      <c r="I169" t="str">
        <f t="shared" si="12"/>
        <v>MetroLogistics</v>
      </c>
      <c r="J169" t="str">
        <f>VLOOKUP(A169,Orders!$A$2:$D$1201,4,FALSE)</f>
        <v>Delivered</v>
      </c>
      <c r="K169" t="str">
        <f t="shared" si="13"/>
        <v>On time</v>
      </c>
      <c r="L169" t="str">
        <f t="shared" si="14"/>
        <v>On time</v>
      </c>
      <c r="O169">
        <f t="shared" si="15"/>
        <v>0</v>
      </c>
    </row>
    <row r="170" spans="1:15">
      <c r="A170">
        <v>1177</v>
      </c>
      <c r="B170" t="s">
        <v>346</v>
      </c>
      <c r="C170" s="1">
        <v>46192</v>
      </c>
      <c r="D170" s="1">
        <v>46192</v>
      </c>
      <c r="E170" s="1">
        <v>46197</v>
      </c>
      <c r="H170">
        <f t="shared" si="11"/>
        <v>0</v>
      </c>
      <c r="I170" t="str">
        <f t="shared" si="12"/>
        <v>SwiftShip</v>
      </c>
      <c r="J170" t="str">
        <f>VLOOKUP(A170,Orders!$A$2:$D$1201,4,FALSE)</f>
        <v>Shipped</v>
      </c>
      <c r="K170" t="str">
        <f t="shared" si="13"/>
        <v>Not delivered</v>
      </c>
      <c r="L170" t="str">
        <f t="shared" si="14"/>
        <v>On time</v>
      </c>
      <c r="O170" t="str">
        <f t="shared" si="15"/>
        <v/>
      </c>
    </row>
    <row r="171" spans="1:15">
      <c r="A171">
        <v>1178</v>
      </c>
      <c r="B171" t="s">
        <v>347</v>
      </c>
      <c r="C171" s="1">
        <v>46068</v>
      </c>
      <c r="D171" s="1">
        <v>46069</v>
      </c>
      <c r="E171" s="1">
        <v>46073</v>
      </c>
      <c r="F171" s="1">
        <v>46071</v>
      </c>
      <c r="G171" s="1">
        <v>46072</v>
      </c>
      <c r="H171">
        <f t="shared" si="11"/>
        <v>0</v>
      </c>
      <c r="I171" t="str">
        <f t="shared" si="12"/>
        <v>ParcelOne</v>
      </c>
      <c r="J171" t="str">
        <f>VLOOKUP(A171,Orders!$A$2:$D$1201,4,FALSE)</f>
        <v>Delivered</v>
      </c>
      <c r="K171" t="str">
        <f t="shared" si="13"/>
        <v>On time</v>
      </c>
      <c r="L171" t="str">
        <f t="shared" si="14"/>
        <v>Late</v>
      </c>
      <c r="O171">
        <f t="shared" si="15"/>
        <v>1</v>
      </c>
    </row>
    <row r="172" spans="1:15">
      <c r="A172">
        <v>1179</v>
      </c>
      <c r="B172" t="s">
        <v>348</v>
      </c>
      <c r="C172" s="1">
        <v>46026</v>
      </c>
      <c r="D172" s="1">
        <v>46026</v>
      </c>
      <c r="E172" s="1">
        <v>46031</v>
      </c>
      <c r="F172" s="1">
        <v>46031</v>
      </c>
      <c r="G172" s="1">
        <v>46031</v>
      </c>
      <c r="H172">
        <f t="shared" si="11"/>
        <v>0</v>
      </c>
      <c r="I172" t="str">
        <f t="shared" si="12"/>
        <v>MetroLogistics</v>
      </c>
      <c r="J172" t="str">
        <f>VLOOKUP(A172,Orders!$A$2:$D$1201,4,FALSE)</f>
        <v>Delivered</v>
      </c>
      <c r="K172" t="str">
        <f t="shared" si="13"/>
        <v>On time</v>
      </c>
      <c r="L172" t="str">
        <f t="shared" si="14"/>
        <v>On time</v>
      </c>
      <c r="O172">
        <f t="shared" si="15"/>
        <v>0</v>
      </c>
    </row>
    <row r="173" spans="1:15">
      <c r="A173">
        <v>1180</v>
      </c>
      <c r="B173" t="s">
        <v>347</v>
      </c>
      <c r="C173" s="1">
        <v>46188</v>
      </c>
      <c r="D173" s="1">
        <v>46188</v>
      </c>
      <c r="E173" s="1">
        <v>46193</v>
      </c>
      <c r="F173" s="1">
        <v>46193</v>
      </c>
      <c r="G173" s="1">
        <v>46195</v>
      </c>
      <c r="H173">
        <f t="shared" si="11"/>
        <v>0</v>
      </c>
      <c r="I173" t="str">
        <f t="shared" si="12"/>
        <v>ParcelOne</v>
      </c>
      <c r="J173" t="str">
        <f>VLOOKUP(A173,Orders!$A$2:$D$1201,4,FALSE)</f>
        <v>Delivered</v>
      </c>
      <c r="K173" t="str">
        <f t="shared" si="13"/>
        <v>On time</v>
      </c>
      <c r="L173" t="str">
        <f t="shared" si="14"/>
        <v>On time</v>
      </c>
      <c r="O173">
        <f t="shared" si="15"/>
        <v>2</v>
      </c>
    </row>
    <row r="174" spans="1:15">
      <c r="A174">
        <v>1181</v>
      </c>
      <c r="B174" t="s">
        <v>346</v>
      </c>
      <c r="C174" s="1">
        <v>46153</v>
      </c>
      <c r="D174" s="1">
        <v>46153</v>
      </c>
      <c r="E174" s="1">
        <v>46158</v>
      </c>
      <c r="F174" s="1">
        <v>46157</v>
      </c>
      <c r="G174" s="1">
        <v>46157</v>
      </c>
      <c r="H174">
        <f t="shared" si="11"/>
        <v>0</v>
      </c>
      <c r="I174" t="str">
        <f t="shared" si="12"/>
        <v>SwiftShip</v>
      </c>
      <c r="J174" t="str">
        <f>VLOOKUP(A174,Orders!$A$2:$D$1201,4,FALSE)</f>
        <v>Delivered</v>
      </c>
      <c r="K174" t="str">
        <f t="shared" si="13"/>
        <v>On time</v>
      </c>
      <c r="L174" t="str">
        <f t="shared" si="14"/>
        <v>On time</v>
      </c>
      <c r="O174">
        <f t="shared" si="15"/>
        <v>0</v>
      </c>
    </row>
    <row r="175" spans="1:15">
      <c r="A175">
        <v>1182</v>
      </c>
      <c r="B175" t="s">
        <v>346</v>
      </c>
      <c r="C175" s="1">
        <v>46115</v>
      </c>
      <c r="D175" s="1">
        <v>46115</v>
      </c>
      <c r="E175" s="1">
        <v>46120</v>
      </c>
      <c r="F175" s="1">
        <v>46119</v>
      </c>
      <c r="G175" s="1">
        <v>46119</v>
      </c>
      <c r="H175">
        <f t="shared" si="11"/>
        <v>0</v>
      </c>
      <c r="I175" t="str">
        <f t="shared" si="12"/>
        <v>SwiftShip</v>
      </c>
      <c r="J175" t="str">
        <f>VLOOKUP(A175,Orders!$A$2:$D$1201,4,FALSE)</f>
        <v>Delivered</v>
      </c>
      <c r="K175" t="str">
        <f t="shared" si="13"/>
        <v>On time</v>
      </c>
      <c r="L175" t="str">
        <f t="shared" si="14"/>
        <v>On time</v>
      </c>
      <c r="O175">
        <f t="shared" si="15"/>
        <v>0</v>
      </c>
    </row>
    <row r="176" spans="1:15">
      <c r="A176">
        <v>1183</v>
      </c>
      <c r="B176" t="s">
        <v>347</v>
      </c>
      <c r="C176" s="1">
        <v>46200</v>
      </c>
      <c r="D176" s="1">
        <v>46200</v>
      </c>
      <c r="E176" s="1">
        <v>46205</v>
      </c>
      <c r="F176" s="1">
        <v>46203</v>
      </c>
      <c r="G176" s="1">
        <v>46203</v>
      </c>
      <c r="H176">
        <f t="shared" si="11"/>
        <v>0</v>
      </c>
      <c r="I176" t="str">
        <f t="shared" si="12"/>
        <v>ParcelOne</v>
      </c>
      <c r="J176" t="str">
        <f>VLOOKUP(A176,Orders!$A$2:$D$1201,4,FALSE)</f>
        <v>Delivered</v>
      </c>
      <c r="K176" t="str">
        <f t="shared" si="13"/>
        <v>On time</v>
      </c>
      <c r="L176" t="str">
        <f t="shared" si="14"/>
        <v>On time</v>
      </c>
      <c r="O176">
        <f t="shared" si="15"/>
        <v>0</v>
      </c>
    </row>
    <row r="177" spans="1:15">
      <c r="A177">
        <v>1184</v>
      </c>
      <c r="B177" t="s">
        <v>346</v>
      </c>
      <c r="C177" s="1">
        <v>46046</v>
      </c>
      <c r="D177" s="1">
        <v>46048</v>
      </c>
      <c r="E177" s="1">
        <v>46051</v>
      </c>
      <c r="F177" s="1">
        <v>46052</v>
      </c>
      <c r="G177" s="1">
        <v>46052</v>
      </c>
      <c r="H177">
        <f t="shared" si="11"/>
        <v>0</v>
      </c>
      <c r="I177" t="str">
        <f t="shared" si="12"/>
        <v>SwiftShip</v>
      </c>
      <c r="J177" t="str">
        <f>VLOOKUP(A177,Orders!$A$2:$D$1201,4,FALSE)</f>
        <v>Delivered</v>
      </c>
      <c r="K177" t="str">
        <f t="shared" si="13"/>
        <v>Late</v>
      </c>
      <c r="L177" t="str">
        <f t="shared" si="14"/>
        <v>Late</v>
      </c>
      <c r="O177">
        <f t="shared" si="15"/>
        <v>0</v>
      </c>
    </row>
    <row r="178" spans="1:15">
      <c r="A178">
        <v>1185</v>
      </c>
      <c r="B178" t="s">
        <v>348</v>
      </c>
      <c r="C178" s="1">
        <v>46036</v>
      </c>
      <c r="D178" s="1">
        <v>46038</v>
      </c>
      <c r="E178" s="1">
        <v>46041</v>
      </c>
      <c r="H178">
        <f t="shared" si="11"/>
        <v>0</v>
      </c>
      <c r="I178" t="str">
        <f t="shared" si="12"/>
        <v>MetroLogistics</v>
      </c>
      <c r="J178" t="str">
        <f>VLOOKUP(A178,Orders!$A$2:$D$1201,4,FALSE)</f>
        <v>Shipped</v>
      </c>
      <c r="K178" t="str">
        <f t="shared" si="13"/>
        <v>Not delivered</v>
      </c>
      <c r="L178" t="str">
        <f t="shared" si="14"/>
        <v>Late</v>
      </c>
      <c r="O178" t="str">
        <f t="shared" si="15"/>
        <v/>
      </c>
    </row>
    <row r="179" spans="1:15">
      <c r="A179">
        <v>1186</v>
      </c>
      <c r="B179" t="s">
        <v>348</v>
      </c>
      <c r="C179" s="1">
        <v>46061</v>
      </c>
      <c r="D179" s="1">
        <v>46061</v>
      </c>
      <c r="E179" s="1">
        <v>46066</v>
      </c>
      <c r="F179" s="1">
        <v>46066</v>
      </c>
      <c r="G179" s="1">
        <v>46067</v>
      </c>
      <c r="H179">
        <f t="shared" si="11"/>
        <v>0</v>
      </c>
      <c r="I179" t="str">
        <f t="shared" si="12"/>
        <v>MetroLogistics</v>
      </c>
      <c r="J179" t="str">
        <f>VLOOKUP(A179,Orders!$A$2:$D$1201,4,FALSE)</f>
        <v>Delivered</v>
      </c>
      <c r="K179" t="str">
        <f t="shared" si="13"/>
        <v>On time</v>
      </c>
      <c r="L179" t="str">
        <f t="shared" si="14"/>
        <v>On time</v>
      </c>
      <c r="O179">
        <f t="shared" si="15"/>
        <v>1</v>
      </c>
    </row>
    <row r="180" spans="1:15">
      <c r="A180">
        <v>1187</v>
      </c>
      <c r="B180" t="s">
        <v>348</v>
      </c>
      <c r="C180" s="1">
        <v>46163</v>
      </c>
      <c r="D180" s="1">
        <v>46163</v>
      </c>
      <c r="E180" s="1">
        <v>46168</v>
      </c>
      <c r="F180" s="1">
        <v>46170</v>
      </c>
      <c r="G180" s="1">
        <v>46170</v>
      </c>
      <c r="H180">
        <f t="shared" si="11"/>
        <v>0</v>
      </c>
      <c r="I180" t="str">
        <f t="shared" si="12"/>
        <v>MetroLogistics</v>
      </c>
      <c r="J180" t="str">
        <f>VLOOKUP(A180,Orders!$A$2:$D$1201,4,FALSE)</f>
        <v>Delivered</v>
      </c>
      <c r="K180" t="str">
        <f t="shared" si="13"/>
        <v>Late</v>
      </c>
      <c r="L180" t="str">
        <f t="shared" si="14"/>
        <v>On time</v>
      </c>
      <c r="O180">
        <f t="shared" si="15"/>
        <v>0</v>
      </c>
    </row>
    <row r="181" spans="1:15">
      <c r="A181">
        <v>1188</v>
      </c>
      <c r="B181" t="s">
        <v>348</v>
      </c>
      <c r="C181" s="1">
        <v>46177</v>
      </c>
      <c r="D181" s="1">
        <v>46177</v>
      </c>
      <c r="E181" s="1">
        <v>46182</v>
      </c>
      <c r="F181" s="1">
        <v>46182</v>
      </c>
      <c r="G181" s="1">
        <v>46182</v>
      </c>
      <c r="H181">
        <f t="shared" si="11"/>
        <v>0</v>
      </c>
      <c r="I181" t="str">
        <f t="shared" si="12"/>
        <v>MetroLogistics</v>
      </c>
      <c r="J181" t="str">
        <f>VLOOKUP(A181,Orders!$A$2:$D$1201,4,FALSE)</f>
        <v>Delivered</v>
      </c>
      <c r="K181" t="str">
        <f t="shared" si="13"/>
        <v>On time</v>
      </c>
      <c r="L181" t="str">
        <f t="shared" si="14"/>
        <v>On time</v>
      </c>
      <c r="O181">
        <f t="shared" si="15"/>
        <v>0</v>
      </c>
    </row>
    <row r="182" spans="1:15">
      <c r="A182">
        <v>1189</v>
      </c>
      <c r="B182" t="s">
        <v>348</v>
      </c>
      <c r="C182" s="1">
        <v>46121</v>
      </c>
      <c r="D182" s="1">
        <v>46121</v>
      </c>
      <c r="E182" s="1">
        <v>46126</v>
      </c>
      <c r="F182" s="1">
        <v>46125</v>
      </c>
      <c r="G182" s="1">
        <v>46125</v>
      </c>
      <c r="H182">
        <f t="shared" si="11"/>
        <v>0</v>
      </c>
      <c r="I182" t="str">
        <f t="shared" si="12"/>
        <v>MetroLogistics</v>
      </c>
      <c r="J182" t="str">
        <f>VLOOKUP(A182,Orders!$A$2:$D$1201,4,FALSE)</f>
        <v>Delivered</v>
      </c>
      <c r="K182" t="str">
        <f t="shared" si="13"/>
        <v>On time</v>
      </c>
      <c r="L182" t="str">
        <f t="shared" si="14"/>
        <v>On time</v>
      </c>
      <c r="O182">
        <f t="shared" si="15"/>
        <v>0</v>
      </c>
    </row>
    <row r="183" spans="1:15">
      <c r="A183">
        <v>1190</v>
      </c>
      <c r="B183" t="s">
        <v>347</v>
      </c>
      <c r="C183" s="1">
        <v>46064</v>
      </c>
      <c r="D183" s="1">
        <v>46064</v>
      </c>
      <c r="E183" s="1">
        <v>46069</v>
      </c>
      <c r="F183" s="1">
        <v>46070</v>
      </c>
      <c r="G183" s="1">
        <v>46070</v>
      </c>
      <c r="H183">
        <f t="shared" si="11"/>
        <v>0</v>
      </c>
      <c r="I183" t="str">
        <f t="shared" si="12"/>
        <v>ParcelOne</v>
      </c>
      <c r="J183" t="str">
        <f>VLOOKUP(A183,Orders!$A$2:$D$1201,4,FALSE)</f>
        <v>Delivered</v>
      </c>
      <c r="K183" t="str">
        <f t="shared" si="13"/>
        <v>Late</v>
      </c>
      <c r="L183" t="str">
        <f t="shared" si="14"/>
        <v>On time</v>
      </c>
      <c r="O183">
        <f t="shared" si="15"/>
        <v>0</v>
      </c>
    </row>
    <row r="184" spans="1:15">
      <c r="A184">
        <v>1191</v>
      </c>
      <c r="B184" t="s">
        <v>346</v>
      </c>
      <c r="C184" s="1">
        <v>46072</v>
      </c>
      <c r="D184" s="1">
        <v>46072</v>
      </c>
      <c r="E184" s="1">
        <v>46077</v>
      </c>
      <c r="F184" s="1">
        <v>46077</v>
      </c>
      <c r="G184" s="1">
        <v>46077</v>
      </c>
      <c r="H184">
        <f t="shared" si="11"/>
        <v>0</v>
      </c>
      <c r="I184" t="str">
        <f t="shared" si="12"/>
        <v>SwiftShip</v>
      </c>
      <c r="J184" t="str">
        <f>VLOOKUP(A184,Orders!$A$2:$D$1201,4,FALSE)</f>
        <v>Delivered</v>
      </c>
      <c r="K184" t="str">
        <f t="shared" si="13"/>
        <v>On time</v>
      </c>
      <c r="L184" t="str">
        <f t="shared" si="14"/>
        <v>On time</v>
      </c>
      <c r="O184">
        <f t="shared" si="15"/>
        <v>0</v>
      </c>
    </row>
    <row r="185" spans="1:15">
      <c r="A185">
        <v>1192</v>
      </c>
      <c r="B185" t="s">
        <v>347</v>
      </c>
      <c r="C185" s="1">
        <v>46028</v>
      </c>
      <c r="D185" s="1">
        <v>46028</v>
      </c>
      <c r="E185" s="1">
        <v>46033</v>
      </c>
      <c r="F185" s="1">
        <v>46032</v>
      </c>
      <c r="G185" s="1">
        <v>46032</v>
      </c>
      <c r="H185">
        <f t="shared" si="11"/>
        <v>0</v>
      </c>
      <c r="I185" t="str">
        <f t="shared" si="12"/>
        <v>ParcelOne</v>
      </c>
      <c r="J185" t="str">
        <f>VLOOKUP(A185,Orders!$A$2:$D$1201,4,FALSE)</f>
        <v>Delivered</v>
      </c>
      <c r="K185" t="str">
        <f t="shared" si="13"/>
        <v>On time</v>
      </c>
      <c r="L185" t="str">
        <f t="shared" si="14"/>
        <v>On time</v>
      </c>
      <c r="O185">
        <f t="shared" si="15"/>
        <v>0</v>
      </c>
    </row>
    <row r="186" spans="1:15">
      <c r="A186">
        <v>1193</v>
      </c>
      <c r="B186" t="s">
        <v>347</v>
      </c>
      <c r="C186" s="1">
        <v>46093</v>
      </c>
      <c r="D186" s="1">
        <v>46093</v>
      </c>
      <c r="E186" s="1">
        <v>46098</v>
      </c>
      <c r="F186" s="1">
        <v>46098</v>
      </c>
      <c r="G186" s="1">
        <v>46098</v>
      </c>
      <c r="H186">
        <f t="shared" si="11"/>
        <v>0</v>
      </c>
      <c r="I186" t="str">
        <f t="shared" si="12"/>
        <v>ParcelOne</v>
      </c>
      <c r="J186" t="str">
        <f>VLOOKUP(A186,Orders!$A$2:$D$1201,4,FALSE)</f>
        <v>Delivered</v>
      </c>
      <c r="K186" t="str">
        <f t="shared" si="13"/>
        <v>On time</v>
      </c>
      <c r="L186" t="str">
        <f t="shared" si="14"/>
        <v>On time</v>
      </c>
      <c r="O186">
        <f t="shared" si="15"/>
        <v>0</v>
      </c>
    </row>
    <row r="187" spans="1:15">
      <c r="A187">
        <v>1194</v>
      </c>
      <c r="B187" t="s">
        <v>348</v>
      </c>
      <c r="C187" s="1">
        <v>46117</v>
      </c>
      <c r="D187" s="1">
        <v>46117</v>
      </c>
      <c r="E187" s="1">
        <v>46122</v>
      </c>
      <c r="F187" s="1">
        <v>46120</v>
      </c>
      <c r="G187" s="1">
        <v>46120</v>
      </c>
      <c r="H187">
        <f t="shared" si="11"/>
        <v>0</v>
      </c>
      <c r="I187" t="str">
        <f t="shared" si="12"/>
        <v>MetroLogistics</v>
      </c>
      <c r="J187" t="str">
        <f>VLOOKUP(A187,Orders!$A$2:$D$1201,4,FALSE)</f>
        <v>Delivered</v>
      </c>
      <c r="K187" t="str">
        <f t="shared" si="13"/>
        <v>On time</v>
      </c>
      <c r="L187" t="str">
        <f t="shared" si="14"/>
        <v>On time</v>
      </c>
      <c r="O187">
        <f t="shared" si="15"/>
        <v>0</v>
      </c>
    </row>
    <row r="188" spans="1:15">
      <c r="A188">
        <v>1195</v>
      </c>
      <c r="B188" t="s">
        <v>346</v>
      </c>
      <c r="C188" s="1">
        <v>46122</v>
      </c>
      <c r="D188" s="1">
        <v>46122</v>
      </c>
      <c r="E188" s="1">
        <v>46127</v>
      </c>
      <c r="F188" s="1">
        <v>46131</v>
      </c>
      <c r="G188" s="1">
        <v>46131</v>
      </c>
      <c r="H188">
        <f t="shared" si="11"/>
        <v>0</v>
      </c>
      <c r="I188" t="str">
        <f t="shared" si="12"/>
        <v>SwiftShip</v>
      </c>
      <c r="J188" t="str">
        <f>VLOOKUP(A188,Orders!$A$2:$D$1201,4,FALSE)</f>
        <v>Delivered</v>
      </c>
      <c r="K188" t="str">
        <f t="shared" si="13"/>
        <v>Late</v>
      </c>
      <c r="L188" t="str">
        <f t="shared" si="14"/>
        <v>On time</v>
      </c>
      <c r="O188">
        <f t="shared" si="15"/>
        <v>0</v>
      </c>
    </row>
    <row r="189" spans="1:15">
      <c r="A189">
        <v>1196</v>
      </c>
      <c r="B189" t="s">
        <v>346</v>
      </c>
      <c r="C189" s="1">
        <v>46070</v>
      </c>
      <c r="D189" s="1">
        <v>46070</v>
      </c>
      <c r="E189" s="1">
        <v>46075</v>
      </c>
      <c r="H189">
        <f t="shared" si="11"/>
        <v>0</v>
      </c>
      <c r="I189" t="str">
        <f t="shared" si="12"/>
        <v>SwiftShip</v>
      </c>
      <c r="J189" t="str">
        <f>VLOOKUP(A189,Orders!$A$2:$D$1201,4,FALSE)</f>
        <v>Shipped</v>
      </c>
      <c r="K189" t="str">
        <f t="shared" si="13"/>
        <v>Not delivered</v>
      </c>
      <c r="L189" t="str">
        <f t="shared" si="14"/>
        <v>On time</v>
      </c>
      <c r="O189" t="str">
        <f t="shared" si="15"/>
        <v/>
      </c>
    </row>
    <row r="190" spans="1:15">
      <c r="A190">
        <v>1197</v>
      </c>
      <c r="B190" t="s">
        <v>346</v>
      </c>
      <c r="C190" s="1">
        <v>46125</v>
      </c>
      <c r="D190" s="1">
        <v>46125</v>
      </c>
      <c r="E190" s="1">
        <v>46130</v>
      </c>
      <c r="F190" s="1">
        <v>46130</v>
      </c>
      <c r="G190" s="1">
        <v>46132</v>
      </c>
      <c r="H190">
        <f t="shared" si="11"/>
        <v>0</v>
      </c>
      <c r="I190" t="str">
        <f t="shared" si="12"/>
        <v>SwiftShip</v>
      </c>
      <c r="J190" t="str">
        <f>VLOOKUP(A190,Orders!$A$2:$D$1201,4,FALSE)</f>
        <v>Delivered</v>
      </c>
      <c r="K190" t="str">
        <f t="shared" si="13"/>
        <v>On time</v>
      </c>
      <c r="L190" t="str">
        <f t="shared" si="14"/>
        <v>On time</v>
      </c>
      <c r="O190">
        <f t="shared" si="15"/>
        <v>2</v>
      </c>
    </row>
    <row r="191" spans="1:15">
      <c r="A191">
        <v>1198</v>
      </c>
      <c r="B191" t="s">
        <v>346</v>
      </c>
      <c r="C191" s="1">
        <v>46078</v>
      </c>
      <c r="D191" s="1">
        <v>46078</v>
      </c>
      <c r="E191" s="1">
        <v>46083</v>
      </c>
      <c r="F191" s="1">
        <v>46082</v>
      </c>
      <c r="G191" s="1">
        <v>46082</v>
      </c>
      <c r="H191">
        <f t="shared" si="11"/>
        <v>0</v>
      </c>
      <c r="I191" t="str">
        <f t="shared" si="12"/>
        <v>SwiftShip</v>
      </c>
      <c r="J191" t="str">
        <f>VLOOKUP(A191,Orders!$A$2:$D$1201,4,FALSE)</f>
        <v>Delivered</v>
      </c>
      <c r="K191" t="str">
        <f t="shared" si="13"/>
        <v>On time</v>
      </c>
      <c r="L191" t="str">
        <f t="shared" si="14"/>
        <v>On time</v>
      </c>
      <c r="O191">
        <f t="shared" si="15"/>
        <v>0</v>
      </c>
    </row>
    <row r="192" spans="1:15">
      <c r="A192">
        <v>1199</v>
      </c>
      <c r="B192" t="s">
        <v>347</v>
      </c>
      <c r="C192" s="1">
        <v>46043</v>
      </c>
      <c r="D192" s="1">
        <v>46043</v>
      </c>
      <c r="E192" s="1">
        <v>46048</v>
      </c>
      <c r="F192" s="1">
        <v>46049</v>
      </c>
      <c r="G192" s="1">
        <v>46049</v>
      </c>
      <c r="H192">
        <f t="shared" si="11"/>
        <v>0</v>
      </c>
      <c r="I192" t="str">
        <f t="shared" si="12"/>
        <v>ParcelOne</v>
      </c>
      <c r="J192" t="str">
        <f>VLOOKUP(A192,Orders!$A$2:$D$1201,4,FALSE)</f>
        <v>Delivered</v>
      </c>
      <c r="K192" t="str">
        <f t="shared" si="13"/>
        <v>Late</v>
      </c>
      <c r="L192" t="str">
        <f t="shared" si="14"/>
        <v>On time</v>
      </c>
      <c r="O192">
        <f t="shared" si="15"/>
        <v>0</v>
      </c>
    </row>
    <row r="193" spans="1:15">
      <c r="A193">
        <v>1200</v>
      </c>
      <c r="B193" t="s">
        <v>346</v>
      </c>
      <c r="C193" s="1">
        <v>46052</v>
      </c>
      <c r="D193" s="1">
        <v>46052</v>
      </c>
      <c r="E193" s="1">
        <v>46057</v>
      </c>
      <c r="F193" s="1">
        <v>46057</v>
      </c>
      <c r="G193" s="1">
        <v>46057</v>
      </c>
      <c r="H193">
        <f t="shared" si="11"/>
        <v>0</v>
      </c>
      <c r="I193" t="str">
        <f t="shared" si="12"/>
        <v>SwiftShip</v>
      </c>
      <c r="J193" t="str">
        <f>VLOOKUP(A193,Orders!$A$2:$D$1201,4,FALSE)</f>
        <v>Delivered</v>
      </c>
      <c r="K193" t="str">
        <f t="shared" si="13"/>
        <v>On time</v>
      </c>
      <c r="L193" t="str">
        <f t="shared" si="14"/>
        <v>On time</v>
      </c>
      <c r="O193">
        <f t="shared" si="15"/>
        <v>0</v>
      </c>
    </row>
    <row r="194" spans="1:15">
      <c r="A194">
        <v>1201</v>
      </c>
      <c r="B194" t="s">
        <v>348</v>
      </c>
      <c r="C194" s="1">
        <v>46135</v>
      </c>
      <c r="D194" s="1">
        <v>46135</v>
      </c>
      <c r="E194" s="1">
        <v>46140</v>
      </c>
      <c r="F194" s="1">
        <v>46140</v>
      </c>
      <c r="G194" s="1">
        <v>46140</v>
      </c>
      <c r="H194">
        <f t="shared" si="11"/>
        <v>0</v>
      </c>
      <c r="I194" t="str">
        <f t="shared" si="12"/>
        <v>MetroLogistics</v>
      </c>
      <c r="J194" t="str">
        <f>VLOOKUP(A194,Orders!$A$2:$D$1201,4,FALSE)</f>
        <v>Delivered</v>
      </c>
      <c r="K194" t="str">
        <f t="shared" si="13"/>
        <v>On time</v>
      </c>
      <c r="L194" t="str">
        <f t="shared" si="14"/>
        <v>On time</v>
      </c>
      <c r="O194">
        <f t="shared" si="15"/>
        <v>0</v>
      </c>
    </row>
    <row r="195" spans="1:15">
      <c r="A195">
        <v>1202</v>
      </c>
      <c r="B195" t="s">
        <v>346</v>
      </c>
      <c r="C195" s="1">
        <v>46153</v>
      </c>
      <c r="D195" s="1">
        <v>46153</v>
      </c>
      <c r="E195" s="1">
        <v>46158</v>
      </c>
      <c r="F195" s="1">
        <v>46162</v>
      </c>
      <c r="G195" s="1">
        <v>46162</v>
      </c>
      <c r="H195">
        <f t="shared" ref="H195:H258" si="16">LEN(B195)-LEN(TRIM(B195))</f>
        <v>0</v>
      </c>
      <c r="I195" t="str">
        <f t="shared" ref="I195:I258" si="17">TRIM(B195)</f>
        <v>SwiftShip</v>
      </c>
      <c r="J195" t="str">
        <f>VLOOKUP(A195,Orders!$A$2:$D$1201,4,FALSE)</f>
        <v>Delivered</v>
      </c>
      <c r="K195" t="str">
        <f t="shared" ref="K195:K258" si="18">IF(J195&lt;&gt;"Delivered","Not delivered",IF(OR(E195="",F195=""),"Unknown",IF(F195&lt;=E195,"On time","Late")))</f>
        <v>Late</v>
      </c>
      <c r="L195" t="str">
        <f t="shared" ref="L195:L258" si="19">IF(D195="","Not dispatched",IF(C195="","Unknown",IF(D195&lt;=C195,"On time","Late")))</f>
        <v>On time</v>
      </c>
      <c r="O195">
        <f t="shared" ref="O195:O258" si="20">IF(OR(F195="",G195=""),"",G195-F195)</f>
        <v>0</v>
      </c>
    </row>
    <row r="196" spans="1:15">
      <c r="A196">
        <v>1203</v>
      </c>
      <c r="B196" t="s">
        <v>347</v>
      </c>
      <c r="C196" s="1">
        <v>46112</v>
      </c>
      <c r="D196" s="1">
        <v>46112</v>
      </c>
      <c r="E196" s="1">
        <v>46117</v>
      </c>
      <c r="F196" s="1">
        <v>46117</v>
      </c>
      <c r="G196" s="1">
        <v>46118</v>
      </c>
      <c r="H196">
        <f t="shared" si="16"/>
        <v>0</v>
      </c>
      <c r="I196" t="str">
        <f t="shared" si="17"/>
        <v>ParcelOne</v>
      </c>
      <c r="J196" t="str">
        <f>VLOOKUP(A196,Orders!$A$2:$D$1201,4,FALSE)</f>
        <v>Delivered</v>
      </c>
      <c r="K196" t="str">
        <f t="shared" si="18"/>
        <v>On time</v>
      </c>
      <c r="L196" t="str">
        <f t="shared" si="19"/>
        <v>On time</v>
      </c>
      <c r="O196">
        <f t="shared" si="20"/>
        <v>1</v>
      </c>
    </row>
    <row r="197" spans="1:15">
      <c r="A197">
        <v>1204</v>
      </c>
      <c r="B197" t="s">
        <v>346</v>
      </c>
      <c r="C197" s="1">
        <v>46030</v>
      </c>
      <c r="D197" s="1">
        <v>46030</v>
      </c>
      <c r="E197" s="1">
        <v>46035</v>
      </c>
      <c r="F197" s="1">
        <v>46039</v>
      </c>
      <c r="G197" s="1">
        <v>46039</v>
      </c>
      <c r="H197">
        <f t="shared" si="16"/>
        <v>0</v>
      </c>
      <c r="I197" t="str">
        <f t="shared" si="17"/>
        <v>SwiftShip</v>
      </c>
      <c r="J197" t="str">
        <f>VLOOKUP(A197,Orders!$A$2:$D$1201,4,FALSE)</f>
        <v>Delivered</v>
      </c>
      <c r="K197" t="str">
        <f t="shared" si="18"/>
        <v>Late</v>
      </c>
      <c r="L197" t="str">
        <f t="shared" si="19"/>
        <v>On time</v>
      </c>
      <c r="O197">
        <f t="shared" si="20"/>
        <v>0</v>
      </c>
    </row>
    <row r="198" spans="1:15">
      <c r="A198">
        <v>1205</v>
      </c>
      <c r="B198" t="s">
        <v>347</v>
      </c>
      <c r="C198" s="1">
        <v>46186</v>
      </c>
      <c r="D198" s="1">
        <v>46186</v>
      </c>
      <c r="E198" s="1">
        <v>46191</v>
      </c>
      <c r="F198" s="1">
        <v>46191</v>
      </c>
      <c r="G198" s="1">
        <v>46191</v>
      </c>
      <c r="H198">
        <f t="shared" si="16"/>
        <v>0</v>
      </c>
      <c r="I198" t="str">
        <f t="shared" si="17"/>
        <v>ParcelOne</v>
      </c>
      <c r="J198" t="str">
        <f>VLOOKUP(A198,Orders!$A$2:$D$1201,4,FALSE)</f>
        <v>Delivered</v>
      </c>
      <c r="K198" t="str">
        <f t="shared" si="18"/>
        <v>On time</v>
      </c>
      <c r="L198" t="str">
        <f t="shared" si="19"/>
        <v>On time</v>
      </c>
      <c r="O198">
        <f t="shared" si="20"/>
        <v>0</v>
      </c>
    </row>
    <row r="199" spans="1:15">
      <c r="A199">
        <v>1206</v>
      </c>
      <c r="B199" t="s">
        <v>348</v>
      </c>
      <c r="C199" s="1">
        <v>46096</v>
      </c>
      <c r="D199" s="1">
        <v>46096</v>
      </c>
      <c r="E199" s="1">
        <v>46101</v>
      </c>
      <c r="F199" s="1">
        <v>46101</v>
      </c>
      <c r="G199" s="1">
        <v>46102</v>
      </c>
      <c r="H199">
        <f t="shared" si="16"/>
        <v>0</v>
      </c>
      <c r="I199" t="str">
        <f t="shared" si="17"/>
        <v>MetroLogistics</v>
      </c>
      <c r="J199" t="str">
        <f>VLOOKUP(A199,Orders!$A$2:$D$1201,4,FALSE)</f>
        <v>Delivered</v>
      </c>
      <c r="K199" t="str">
        <f t="shared" si="18"/>
        <v>On time</v>
      </c>
      <c r="L199" t="str">
        <f t="shared" si="19"/>
        <v>On time</v>
      </c>
      <c r="O199">
        <f t="shared" si="20"/>
        <v>1</v>
      </c>
    </row>
    <row r="200" spans="1:15">
      <c r="A200">
        <v>1207</v>
      </c>
      <c r="B200" t="s">
        <v>346</v>
      </c>
      <c r="C200" s="1">
        <v>46188</v>
      </c>
      <c r="D200" s="1">
        <v>46188</v>
      </c>
      <c r="E200" s="1">
        <v>46193</v>
      </c>
      <c r="F200" s="1">
        <v>46194</v>
      </c>
      <c r="G200" s="1">
        <v>46194</v>
      </c>
      <c r="H200">
        <f t="shared" si="16"/>
        <v>0</v>
      </c>
      <c r="I200" t="str">
        <f t="shared" si="17"/>
        <v>SwiftShip</v>
      </c>
      <c r="J200" t="str">
        <f>VLOOKUP(A200,Orders!$A$2:$D$1201,4,FALSE)</f>
        <v>Delivered</v>
      </c>
      <c r="K200" t="str">
        <f t="shared" si="18"/>
        <v>Late</v>
      </c>
      <c r="L200" t="str">
        <f t="shared" si="19"/>
        <v>On time</v>
      </c>
      <c r="O200">
        <f t="shared" si="20"/>
        <v>0</v>
      </c>
    </row>
    <row r="201" spans="1:15">
      <c r="A201">
        <v>1208</v>
      </c>
      <c r="B201" t="s">
        <v>346</v>
      </c>
      <c r="C201" s="1">
        <v>46182</v>
      </c>
      <c r="D201" s="1">
        <v>46182</v>
      </c>
      <c r="E201" s="1">
        <v>46187</v>
      </c>
      <c r="F201" s="1">
        <v>46188</v>
      </c>
      <c r="G201" s="1">
        <v>46188</v>
      </c>
      <c r="H201">
        <f t="shared" si="16"/>
        <v>0</v>
      </c>
      <c r="I201" t="str">
        <f t="shared" si="17"/>
        <v>SwiftShip</v>
      </c>
      <c r="J201" t="str">
        <f>VLOOKUP(A201,Orders!$A$2:$D$1201,4,FALSE)</f>
        <v>Delivered</v>
      </c>
      <c r="K201" t="str">
        <f t="shared" si="18"/>
        <v>Late</v>
      </c>
      <c r="L201" t="str">
        <f t="shared" si="19"/>
        <v>On time</v>
      </c>
      <c r="O201">
        <f t="shared" si="20"/>
        <v>0</v>
      </c>
    </row>
    <row r="202" spans="1:15">
      <c r="A202">
        <v>1209</v>
      </c>
      <c r="B202" t="s">
        <v>346</v>
      </c>
      <c r="C202" s="1">
        <v>46177</v>
      </c>
      <c r="D202" s="1">
        <v>46177</v>
      </c>
      <c r="E202" s="1">
        <v>46182</v>
      </c>
      <c r="F202" s="1">
        <v>46181</v>
      </c>
      <c r="G202" s="1">
        <v>46181</v>
      </c>
      <c r="H202">
        <f t="shared" si="16"/>
        <v>0</v>
      </c>
      <c r="I202" t="str">
        <f t="shared" si="17"/>
        <v>SwiftShip</v>
      </c>
      <c r="J202" t="str">
        <f>VLOOKUP(A202,Orders!$A$2:$D$1201,4,FALSE)</f>
        <v>Delivered</v>
      </c>
      <c r="K202" t="str">
        <f t="shared" si="18"/>
        <v>On time</v>
      </c>
      <c r="L202" t="str">
        <f t="shared" si="19"/>
        <v>On time</v>
      </c>
      <c r="O202">
        <f t="shared" si="20"/>
        <v>0</v>
      </c>
    </row>
    <row r="203" spans="1:15">
      <c r="A203">
        <v>1210</v>
      </c>
      <c r="B203" t="s">
        <v>348</v>
      </c>
      <c r="C203" s="1">
        <v>46183</v>
      </c>
      <c r="D203" s="1">
        <v>46183</v>
      </c>
      <c r="E203" s="1">
        <v>46188</v>
      </c>
      <c r="F203" s="1">
        <v>46188</v>
      </c>
      <c r="G203" s="1">
        <v>46188</v>
      </c>
      <c r="H203">
        <f t="shared" si="16"/>
        <v>0</v>
      </c>
      <c r="I203" t="str">
        <f t="shared" si="17"/>
        <v>MetroLogistics</v>
      </c>
      <c r="J203" t="str">
        <f>VLOOKUP(A203,Orders!$A$2:$D$1201,4,FALSE)</f>
        <v>Delivered</v>
      </c>
      <c r="K203" t="str">
        <f t="shared" si="18"/>
        <v>On time</v>
      </c>
      <c r="L203" t="str">
        <f t="shared" si="19"/>
        <v>On time</v>
      </c>
      <c r="O203">
        <f t="shared" si="20"/>
        <v>0</v>
      </c>
    </row>
    <row r="204" spans="1:15">
      <c r="A204">
        <v>1211</v>
      </c>
      <c r="B204" t="s">
        <v>346</v>
      </c>
      <c r="C204" s="1">
        <v>46151</v>
      </c>
      <c r="D204" s="1">
        <v>46151</v>
      </c>
      <c r="E204" s="1">
        <v>46156</v>
      </c>
      <c r="F204" s="1">
        <v>46154</v>
      </c>
      <c r="G204" s="1">
        <v>46154</v>
      </c>
      <c r="H204">
        <f t="shared" si="16"/>
        <v>0</v>
      </c>
      <c r="I204" t="str">
        <f t="shared" si="17"/>
        <v>SwiftShip</v>
      </c>
      <c r="J204" t="str">
        <f>VLOOKUP(A204,Orders!$A$2:$D$1201,4,FALSE)</f>
        <v>Delivered</v>
      </c>
      <c r="K204" t="str">
        <f t="shared" si="18"/>
        <v>On time</v>
      </c>
      <c r="L204" t="str">
        <f t="shared" si="19"/>
        <v>On time</v>
      </c>
      <c r="O204">
        <f t="shared" si="20"/>
        <v>0</v>
      </c>
    </row>
    <row r="205" spans="1:15">
      <c r="A205">
        <v>1212</v>
      </c>
      <c r="B205" t="s">
        <v>346</v>
      </c>
      <c r="C205" s="1">
        <v>46033</v>
      </c>
      <c r="D205" s="1">
        <v>46033</v>
      </c>
      <c r="E205" s="1">
        <v>46038</v>
      </c>
      <c r="F205" s="1">
        <v>46038</v>
      </c>
      <c r="G205" s="1">
        <v>46038</v>
      </c>
      <c r="H205">
        <f t="shared" si="16"/>
        <v>0</v>
      </c>
      <c r="I205" t="str">
        <f t="shared" si="17"/>
        <v>SwiftShip</v>
      </c>
      <c r="J205" t="str">
        <f>VLOOKUP(A205,Orders!$A$2:$D$1201,4,FALSE)</f>
        <v>Delivered</v>
      </c>
      <c r="K205" t="str">
        <f t="shared" si="18"/>
        <v>On time</v>
      </c>
      <c r="L205" t="str">
        <f t="shared" si="19"/>
        <v>On time</v>
      </c>
      <c r="O205">
        <f t="shared" si="20"/>
        <v>0</v>
      </c>
    </row>
    <row r="206" spans="1:15">
      <c r="A206">
        <v>1213</v>
      </c>
      <c r="B206" t="s">
        <v>346</v>
      </c>
      <c r="C206" s="1">
        <v>46163</v>
      </c>
      <c r="D206" s="1">
        <v>46163</v>
      </c>
      <c r="E206" s="1">
        <v>46168</v>
      </c>
      <c r="F206" s="1">
        <v>46172</v>
      </c>
      <c r="G206" s="1">
        <v>46172</v>
      </c>
      <c r="H206">
        <f t="shared" si="16"/>
        <v>0</v>
      </c>
      <c r="I206" t="str">
        <f t="shared" si="17"/>
        <v>SwiftShip</v>
      </c>
      <c r="J206" t="str">
        <f>VLOOKUP(A206,Orders!$A$2:$D$1201,4,FALSE)</f>
        <v>Delivered</v>
      </c>
      <c r="K206" t="str">
        <f t="shared" si="18"/>
        <v>Late</v>
      </c>
      <c r="L206" t="str">
        <f t="shared" si="19"/>
        <v>On time</v>
      </c>
      <c r="O206">
        <f t="shared" si="20"/>
        <v>0</v>
      </c>
    </row>
    <row r="207" spans="1:15">
      <c r="A207">
        <v>1214</v>
      </c>
      <c r="B207" t="s">
        <v>348</v>
      </c>
      <c r="C207" s="1">
        <v>46047</v>
      </c>
      <c r="D207" s="1">
        <v>46048</v>
      </c>
      <c r="E207" s="1">
        <v>46052</v>
      </c>
      <c r="F207" s="1">
        <v>46052</v>
      </c>
      <c r="G207" s="1">
        <v>46052</v>
      </c>
      <c r="H207">
        <f t="shared" si="16"/>
        <v>0</v>
      </c>
      <c r="I207" t="str">
        <f t="shared" si="17"/>
        <v>MetroLogistics</v>
      </c>
      <c r="J207" t="str">
        <f>VLOOKUP(A207,Orders!$A$2:$D$1201,4,FALSE)</f>
        <v>Delivered</v>
      </c>
      <c r="K207" t="str">
        <f t="shared" si="18"/>
        <v>On time</v>
      </c>
      <c r="L207" t="str">
        <f t="shared" si="19"/>
        <v>Late</v>
      </c>
      <c r="O207">
        <f t="shared" si="20"/>
        <v>0</v>
      </c>
    </row>
    <row r="208" spans="1:15">
      <c r="A208">
        <v>1215</v>
      </c>
      <c r="B208" t="s">
        <v>348</v>
      </c>
      <c r="C208" s="1">
        <v>46060</v>
      </c>
      <c r="D208" s="1">
        <v>46060</v>
      </c>
      <c r="E208" s="1">
        <v>46065</v>
      </c>
      <c r="F208" s="1">
        <v>46065</v>
      </c>
      <c r="G208" s="1">
        <v>46065</v>
      </c>
      <c r="H208">
        <f t="shared" si="16"/>
        <v>0</v>
      </c>
      <c r="I208" t="str">
        <f t="shared" si="17"/>
        <v>MetroLogistics</v>
      </c>
      <c r="J208" t="str">
        <f>VLOOKUP(A208,Orders!$A$2:$D$1201,4,FALSE)</f>
        <v>Delivered</v>
      </c>
      <c r="K208" t="str">
        <f t="shared" si="18"/>
        <v>On time</v>
      </c>
      <c r="L208" t="str">
        <f t="shared" si="19"/>
        <v>On time</v>
      </c>
      <c r="O208">
        <f t="shared" si="20"/>
        <v>0</v>
      </c>
    </row>
    <row r="209" spans="1:15">
      <c r="A209">
        <v>1216</v>
      </c>
      <c r="B209" t="s">
        <v>347</v>
      </c>
      <c r="C209" s="1">
        <v>46099</v>
      </c>
      <c r="D209" s="1">
        <v>46100</v>
      </c>
      <c r="E209" s="1">
        <v>46104</v>
      </c>
      <c r="F209" s="1">
        <v>46103</v>
      </c>
      <c r="G209" s="1">
        <v>46104</v>
      </c>
      <c r="H209">
        <f t="shared" si="16"/>
        <v>0</v>
      </c>
      <c r="I209" t="str">
        <f t="shared" si="17"/>
        <v>ParcelOne</v>
      </c>
      <c r="J209" t="str">
        <f>VLOOKUP(A209,Orders!$A$2:$D$1201,4,FALSE)</f>
        <v>Delivered</v>
      </c>
      <c r="K209" t="str">
        <f t="shared" si="18"/>
        <v>On time</v>
      </c>
      <c r="L209" t="str">
        <f t="shared" si="19"/>
        <v>Late</v>
      </c>
      <c r="O209">
        <f t="shared" si="20"/>
        <v>1</v>
      </c>
    </row>
    <row r="210" spans="1:15">
      <c r="A210">
        <v>1217</v>
      </c>
      <c r="B210" t="s">
        <v>347</v>
      </c>
      <c r="C210" s="1">
        <v>46062</v>
      </c>
      <c r="D210" s="1">
        <v>46062</v>
      </c>
      <c r="E210" s="1">
        <v>46067</v>
      </c>
      <c r="F210" s="1">
        <v>46067</v>
      </c>
      <c r="G210" s="1">
        <v>46068</v>
      </c>
      <c r="H210">
        <f t="shared" si="16"/>
        <v>0</v>
      </c>
      <c r="I210" t="str">
        <f t="shared" si="17"/>
        <v>ParcelOne</v>
      </c>
      <c r="J210" t="str">
        <f>VLOOKUP(A210,Orders!$A$2:$D$1201,4,FALSE)</f>
        <v>Delivered</v>
      </c>
      <c r="K210" t="str">
        <f t="shared" si="18"/>
        <v>On time</v>
      </c>
      <c r="L210" t="str">
        <f t="shared" si="19"/>
        <v>On time</v>
      </c>
      <c r="O210">
        <f t="shared" si="20"/>
        <v>1</v>
      </c>
    </row>
    <row r="211" spans="1:15">
      <c r="A211">
        <v>1218</v>
      </c>
      <c r="B211" t="s">
        <v>346</v>
      </c>
      <c r="C211" s="1">
        <v>46128</v>
      </c>
      <c r="D211" s="1">
        <v>46128</v>
      </c>
      <c r="E211" s="1">
        <v>46133</v>
      </c>
      <c r="F211" s="1">
        <v>46133</v>
      </c>
      <c r="G211" s="1">
        <v>46133</v>
      </c>
      <c r="H211">
        <f t="shared" si="16"/>
        <v>0</v>
      </c>
      <c r="I211" t="str">
        <f t="shared" si="17"/>
        <v>SwiftShip</v>
      </c>
      <c r="J211" t="str">
        <f>VLOOKUP(A211,Orders!$A$2:$D$1201,4,FALSE)</f>
        <v>Delivered</v>
      </c>
      <c r="K211" t="str">
        <f t="shared" si="18"/>
        <v>On time</v>
      </c>
      <c r="L211" t="str">
        <f t="shared" si="19"/>
        <v>On time</v>
      </c>
      <c r="O211">
        <f t="shared" si="20"/>
        <v>0</v>
      </c>
    </row>
    <row r="212" spans="1:15">
      <c r="A212">
        <v>1219</v>
      </c>
      <c r="B212" t="s">
        <v>348</v>
      </c>
      <c r="C212" s="1">
        <v>46041</v>
      </c>
      <c r="D212" s="1">
        <v>46041</v>
      </c>
      <c r="E212" s="1">
        <v>46046</v>
      </c>
      <c r="F212" s="1">
        <v>46046</v>
      </c>
      <c r="G212" s="1">
        <v>46046</v>
      </c>
      <c r="H212">
        <f t="shared" si="16"/>
        <v>0</v>
      </c>
      <c r="I212" t="str">
        <f t="shared" si="17"/>
        <v>MetroLogistics</v>
      </c>
      <c r="J212" t="str">
        <f>VLOOKUP(A212,Orders!$A$2:$D$1201,4,FALSE)</f>
        <v>Delivered</v>
      </c>
      <c r="K212" t="str">
        <f t="shared" si="18"/>
        <v>On time</v>
      </c>
      <c r="L212" t="str">
        <f t="shared" si="19"/>
        <v>On time</v>
      </c>
      <c r="O212">
        <f t="shared" si="20"/>
        <v>0</v>
      </c>
    </row>
    <row r="213" spans="1:15">
      <c r="A213">
        <v>1220</v>
      </c>
      <c r="B213" t="s">
        <v>347</v>
      </c>
      <c r="C213" s="1">
        <v>46172</v>
      </c>
      <c r="D213" s="1">
        <v>46172</v>
      </c>
      <c r="E213" s="1">
        <v>46177</v>
      </c>
      <c r="F213" s="1">
        <v>46179</v>
      </c>
      <c r="G213" s="1">
        <v>46179</v>
      </c>
      <c r="H213">
        <f t="shared" si="16"/>
        <v>0</v>
      </c>
      <c r="I213" t="str">
        <f t="shared" si="17"/>
        <v>ParcelOne</v>
      </c>
      <c r="J213" t="str">
        <f>VLOOKUP(A213,Orders!$A$2:$D$1201,4,FALSE)</f>
        <v>Delivered</v>
      </c>
      <c r="K213" t="str">
        <f t="shared" si="18"/>
        <v>Late</v>
      </c>
      <c r="L213" t="str">
        <f t="shared" si="19"/>
        <v>On time</v>
      </c>
      <c r="O213">
        <f t="shared" si="20"/>
        <v>0</v>
      </c>
    </row>
    <row r="214" spans="1:15">
      <c r="A214">
        <v>1221</v>
      </c>
      <c r="B214" t="s">
        <v>346</v>
      </c>
      <c r="C214" s="1">
        <v>46137</v>
      </c>
      <c r="D214" s="1">
        <v>46138</v>
      </c>
      <c r="E214" s="1">
        <v>46142</v>
      </c>
      <c r="F214" s="1">
        <v>46142</v>
      </c>
      <c r="G214" s="1">
        <v>46143</v>
      </c>
      <c r="H214">
        <f t="shared" si="16"/>
        <v>0</v>
      </c>
      <c r="I214" t="str">
        <f t="shared" si="17"/>
        <v>SwiftShip</v>
      </c>
      <c r="J214" t="str">
        <f>VLOOKUP(A214,Orders!$A$2:$D$1201,4,FALSE)</f>
        <v>Delivered</v>
      </c>
      <c r="K214" t="str">
        <f t="shared" si="18"/>
        <v>On time</v>
      </c>
      <c r="L214" t="str">
        <f t="shared" si="19"/>
        <v>Late</v>
      </c>
      <c r="O214">
        <f t="shared" si="20"/>
        <v>1</v>
      </c>
    </row>
    <row r="215" spans="1:15">
      <c r="A215">
        <v>1222</v>
      </c>
      <c r="B215" t="s">
        <v>347</v>
      </c>
      <c r="C215" s="1">
        <v>46048</v>
      </c>
      <c r="D215" s="1">
        <v>46048</v>
      </c>
      <c r="E215" s="1">
        <v>46053</v>
      </c>
      <c r="F215" s="1">
        <v>46053</v>
      </c>
      <c r="G215" s="1">
        <v>46053</v>
      </c>
      <c r="H215">
        <f t="shared" si="16"/>
        <v>0</v>
      </c>
      <c r="I215" t="str">
        <f t="shared" si="17"/>
        <v>ParcelOne</v>
      </c>
      <c r="J215" t="str">
        <f>VLOOKUP(A215,Orders!$A$2:$D$1201,4,FALSE)</f>
        <v>Delivered</v>
      </c>
      <c r="K215" t="str">
        <f t="shared" si="18"/>
        <v>On time</v>
      </c>
      <c r="L215" t="str">
        <f t="shared" si="19"/>
        <v>On time</v>
      </c>
      <c r="O215">
        <f t="shared" si="20"/>
        <v>0</v>
      </c>
    </row>
    <row r="216" spans="1:15">
      <c r="A216">
        <v>1223</v>
      </c>
      <c r="B216" t="s">
        <v>346</v>
      </c>
      <c r="C216" s="1">
        <v>46134</v>
      </c>
      <c r="D216" s="1">
        <v>46134</v>
      </c>
      <c r="E216" s="1">
        <v>46139</v>
      </c>
      <c r="F216" s="1">
        <v>46139</v>
      </c>
      <c r="G216" s="1">
        <v>46139</v>
      </c>
      <c r="H216">
        <f t="shared" si="16"/>
        <v>0</v>
      </c>
      <c r="I216" t="str">
        <f t="shared" si="17"/>
        <v>SwiftShip</v>
      </c>
      <c r="J216" t="str">
        <f>VLOOKUP(A216,Orders!$A$2:$D$1201,4,FALSE)</f>
        <v>Delivered</v>
      </c>
      <c r="K216" t="str">
        <f t="shared" si="18"/>
        <v>On time</v>
      </c>
      <c r="L216" t="str">
        <f t="shared" si="19"/>
        <v>On time</v>
      </c>
      <c r="O216">
        <f t="shared" si="20"/>
        <v>0</v>
      </c>
    </row>
    <row r="217" spans="1:15">
      <c r="A217">
        <v>1224</v>
      </c>
      <c r="B217" t="s">
        <v>347</v>
      </c>
      <c r="C217" s="1">
        <v>46027</v>
      </c>
      <c r="D217" s="1">
        <v>46027</v>
      </c>
      <c r="E217" s="1">
        <v>46032</v>
      </c>
      <c r="F217" s="1">
        <v>46031</v>
      </c>
      <c r="G217" s="1">
        <v>46031</v>
      </c>
      <c r="H217">
        <f t="shared" si="16"/>
        <v>0</v>
      </c>
      <c r="I217" t="str">
        <f t="shared" si="17"/>
        <v>ParcelOne</v>
      </c>
      <c r="J217" t="str">
        <f>VLOOKUP(A217,Orders!$A$2:$D$1201,4,FALSE)</f>
        <v>Delivered</v>
      </c>
      <c r="K217" t="str">
        <f t="shared" si="18"/>
        <v>On time</v>
      </c>
      <c r="L217" t="str">
        <f t="shared" si="19"/>
        <v>On time</v>
      </c>
      <c r="O217">
        <f t="shared" si="20"/>
        <v>0</v>
      </c>
    </row>
    <row r="218" spans="1:15">
      <c r="A218">
        <v>1225</v>
      </c>
      <c r="B218" t="s">
        <v>348</v>
      </c>
      <c r="C218" s="1">
        <v>46051</v>
      </c>
      <c r="D218" s="1">
        <v>46051</v>
      </c>
      <c r="E218" s="1">
        <v>46056</v>
      </c>
      <c r="F218" s="1">
        <v>46057</v>
      </c>
      <c r="G218" s="1">
        <v>46057</v>
      </c>
      <c r="H218">
        <f t="shared" si="16"/>
        <v>0</v>
      </c>
      <c r="I218" t="str">
        <f t="shared" si="17"/>
        <v>MetroLogistics</v>
      </c>
      <c r="J218" t="str">
        <f>VLOOKUP(A218,Orders!$A$2:$D$1201,4,FALSE)</f>
        <v>Delivered</v>
      </c>
      <c r="K218" t="str">
        <f t="shared" si="18"/>
        <v>Late</v>
      </c>
      <c r="L218" t="str">
        <f t="shared" si="19"/>
        <v>On time</v>
      </c>
      <c r="O218">
        <f t="shared" si="20"/>
        <v>0</v>
      </c>
    </row>
    <row r="219" spans="1:15">
      <c r="A219">
        <v>1226</v>
      </c>
      <c r="B219" t="s">
        <v>347</v>
      </c>
      <c r="C219" s="1">
        <v>46027</v>
      </c>
      <c r="D219" s="1">
        <v>46027</v>
      </c>
      <c r="E219" s="1">
        <v>46032</v>
      </c>
      <c r="F219" s="1">
        <v>46032</v>
      </c>
      <c r="G219" s="1">
        <v>46032</v>
      </c>
      <c r="H219">
        <f t="shared" si="16"/>
        <v>0</v>
      </c>
      <c r="I219" t="str">
        <f t="shared" si="17"/>
        <v>ParcelOne</v>
      </c>
      <c r="J219" t="str">
        <f>VLOOKUP(A219,Orders!$A$2:$D$1201,4,FALSE)</f>
        <v>Delivered</v>
      </c>
      <c r="K219" t="str">
        <f t="shared" si="18"/>
        <v>On time</v>
      </c>
      <c r="L219" t="str">
        <f t="shared" si="19"/>
        <v>On time</v>
      </c>
      <c r="O219">
        <f t="shared" si="20"/>
        <v>0</v>
      </c>
    </row>
    <row r="220" spans="1:15">
      <c r="A220">
        <v>1227</v>
      </c>
      <c r="B220" t="s">
        <v>348</v>
      </c>
      <c r="C220" s="1">
        <v>46060</v>
      </c>
      <c r="D220" s="1">
        <v>46060</v>
      </c>
      <c r="E220" s="1">
        <v>46065</v>
      </c>
      <c r="F220" s="1">
        <v>46064</v>
      </c>
      <c r="G220" s="1">
        <v>46064</v>
      </c>
      <c r="H220">
        <f t="shared" si="16"/>
        <v>0</v>
      </c>
      <c r="I220" t="str">
        <f t="shared" si="17"/>
        <v>MetroLogistics</v>
      </c>
      <c r="J220" t="str">
        <f>VLOOKUP(A220,Orders!$A$2:$D$1201,4,FALSE)</f>
        <v>Delivered</v>
      </c>
      <c r="K220" t="str">
        <f t="shared" si="18"/>
        <v>On time</v>
      </c>
      <c r="L220" t="str">
        <f t="shared" si="19"/>
        <v>On time</v>
      </c>
      <c r="O220">
        <f t="shared" si="20"/>
        <v>0</v>
      </c>
    </row>
    <row r="221" spans="1:15">
      <c r="A221">
        <v>1228</v>
      </c>
      <c r="B221" t="s">
        <v>347</v>
      </c>
      <c r="C221" s="1">
        <v>46180</v>
      </c>
      <c r="D221" s="1">
        <v>46180</v>
      </c>
      <c r="E221" s="1">
        <v>46185</v>
      </c>
      <c r="F221" s="1">
        <v>46186</v>
      </c>
      <c r="G221" s="1">
        <v>46186</v>
      </c>
      <c r="H221">
        <f t="shared" si="16"/>
        <v>0</v>
      </c>
      <c r="I221" t="str">
        <f t="shared" si="17"/>
        <v>ParcelOne</v>
      </c>
      <c r="J221" t="str">
        <f>VLOOKUP(A221,Orders!$A$2:$D$1201,4,FALSE)</f>
        <v>Delivered</v>
      </c>
      <c r="K221" t="str">
        <f t="shared" si="18"/>
        <v>Late</v>
      </c>
      <c r="L221" t="str">
        <f t="shared" si="19"/>
        <v>On time</v>
      </c>
      <c r="O221">
        <f t="shared" si="20"/>
        <v>0</v>
      </c>
    </row>
    <row r="222" spans="1:15">
      <c r="A222">
        <v>1229</v>
      </c>
      <c r="B222" t="s">
        <v>348</v>
      </c>
      <c r="C222" s="1">
        <v>46151</v>
      </c>
      <c r="D222" s="1">
        <v>46153</v>
      </c>
      <c r="E222" s="1">
        <v>46156</v>
      </c>
      <c r="F222" s="1">
        <v>46160</v>
      </c>
      <c r="G222" s="1">
        <v>46160</v>
      </c>
      <c r="H222">
        <f t="shared" si="16"/>
        <v>0</v>
      </c>
      <c r="I222" t="str">
        <f t="shared" si="17"/>
        <v>MetroLogistics</v>
      </c>
      <c r="J222" t="str">
        <f>VLOOKUP(A222,Orders!$A$2:$D$1201,4,FALSE)</f>
        <v>Delivered</v>
      </c>
      <c r="K222" t="str">
        <f t="shared" si="18"/>
        <v>Late</v>
      </c>
      <c r="L222" t="str">
        <f t="shared" si="19"/>
        <v>Late</v>
      </c>
      <c r="O222">
        <f t="shared" si="20"/>
        <v>0</v>
      </c>
    </row>
    <row r="223" spans="1:15">
      <c r="A223">
        <v>1230</v>
      </c>
      <c r="B223" t="s">
        <v>346</v>
      </c>
      <c r="C223" s="1">
        <v>46132</v>
      </c>
      <c r="D223" s="1">
        <v>46132</v>
      </c>
      <c r="E223" s="1">
        <v>46137</v>
      </c>
      <c r="F223" s="1">
        <v>46135</v>
      </c>
      <c r="G223" s="1">
        <v>46135</v>
      </c>
      <c r="H223">
        <f t="shared" si="16"/>
        <v>0</v>
      </c>
      <c r="I223" t="str">
        <f t="shared" si="17"/>
        <v>SwiftShip</v>
      </c>
      <c r="J223" t="str">
        <f>VLOOKUP(A223,Orders!$A$2:$D$1201,4,FALSE)</f>
        <v>Delivered</v>
      </c>
      <c r="K223" t="str">
        <f t="shared" si="18"/>
        <v>On time</v>
      </c>
      <c r="L223" t="str">
        <f t="shared" si="19"/>
        <v>On time</v>
      </c>
      <c r="O223">
        <f t="shared" si="20"/>
        <v>0</v>
      </c>
    </row>
    <row r="224" spans="1:15">
      <c r="A224">
        <v>1231</v>
      </c>
      <c r="B224" t="s">
        <v>347</v>
      </c>
      <c r="C224" s="1">
        <v>46154</v>
      </c>
      <c r="D224" s="1">
        <v>46154</v>
      </c>
      <c r="E224" s="1">
        <v>46159</v>
      </c>
      <c r="F224" s="1">
        <v>46159</v>
      </c>
      <c r="G224" s="1">
        <v>46159</v>
      </c>
      <c r="H224">
        <f t="shared" si="16"/>
        <v>0</v>
      </c>
      <c r="I224" t="str">
        <f t="shared" si="17"/>
        <v>ParcelOne</v>
      </c>
      <c r="J224" t="str">
        <f>VLOOKUP(A224,Orders!$A$2:$D$1201,4,FALSE)</f>
        <v>Delivered</v>
      </c>
      <c r="K224" t="str">
        <f t="shared" si="18"/>
        <v>On time</v>
      </c>
      <c r="L224" t="str">
        <f t="shared" si="19"/>
        <v>On time</v>
      </c>
      <c r="O224">
        <f t="shared" si="20"/>
        <v>0</v>
      </c>
    </row>
    <row r="225" spans="1:15">
      <c r="A225">
        <v>1232</v>
      </c>
      <c r="B225" t="s">
        <v>346</v>
      </c>
      <c r="C225" s="1">
        <v>46064</v>
      </c>
      <c r="D225" s="1">
        <v>46064</v>
      </c>
      <c r="E225" s="1">
        <v>46069</v>
      </c>
      <c r="F225" s="1">
        <v>46068</v>
      </c>
      <c r="G225" s="1">
        <v>46068</v>
      </c>
      <c r="H225">
        <f t="shared" si="16"/>
        <v>0</v>
      </c>
      <c r="I225" t="str">
        <f t="shared" si="17"/>
        <v>SwiftShip</v>
      </c>
      <c r="J225" t="str">
        <f>VLOOKUP(A225,Orders!$A$2:$D$1201,4,FALSE)</f>
        <v>Delivered</v>
      </c>
      <c r="K225" t="str">
        <f t="shared" si="18"/>
        <v>On time</v>
      </c>
      <c r="L225" t="str">
        <f t="shared" si="19"/>
        <v>On time</v>
      </c>
      <c r="O225">
        <f t="shared" si="20"/>
        <v>0</v>
      </c>
    </row>
    <row r="226" spans="1:15">
      <c r="A226">
        <v>1233</v>
      </c>
      <c r="B226" t="s">
        <v>348</v>
      </c>
      <c r="C226" s="1">
        <v>46181</v>
      </c>
      <c r="D226" s="1">
        <v>46181</v>
      </c>
      <c r="E226" s="1">
        <v>46186</v>
      </c>
      <c r="F226" s="1">
        <v>46185</v>
      </c>
      <c r="G226" s="1">
        <v>46187</v>
      </c>
      <c r="H226">
        <f t="shared" si="16"/>
        <v>0</v>
      </c>
      <c r="I226" t="str">
        <f t="shared" si="17"/>
        <v>MetroLogistics</v>
      </c>
      <c r="J226" t="str">
        <f>VLOOKUP(A226,Orders!$A$2:$D$1201,4,FALSE)</f>
        <v>Delivered</v>
      </c>
      <c r="K226" t="str">
        <f t="shared" si="18"/>
        <v>On time</v>
      </c>
      <c r="L226" t="str">
        <f t="shared" si="19"/>
        <v>On time</v>
      </c>
      <c r="O226">
        <f t="shared" si="20"/>
        <v>2</v>
      </c>
    </row>
    <row r="227" spans="1:15">
      <c r="A227">
        <v>1234</v>
      </c>
      <c r="B227" t="s">
        <v>347</v>
      </c>
      <c r="C227" s="1">
        <v>46157</v>
      </c>
      <c r="D227" s="1">
        <v>46157</v>
      </c>
      <c r="E227" s="1">
        <v>46162</v>
      </c>
      <c r="F227" s="1">
        <v>46164</v>
      </c>
      <c r="G227" s="1">
        <v>46164</v>
      </c>
      <c r="H227">
        <f t="shared" si="16"/>
        <v>0</v>
      </c>
      <c r="I227" t="str">
        <f t="shared" si="17"/>
        <v>ParcelOne</v>
      </c>
      <c r="J227" t="str">
        <f>VLOOKUP(A227,Orders!$A$2:$D$1201,4,FALSE)</f>
        <v>Delivered</v>
      </c>
      <c r="K227" t="str">
        <f t="shared" si="18"/>
        <v>Late</v>
      </c>
      <c r="L227" t="str">
        <f t="shared" si="19"/>
        <v>On time</v>
      </c>
      <c r="O227">
        <f t="shared" si="20"/>
        <v>0</v>
      </c>
    </row>
    <row r="228" spans="1:15">
      <c r="A228">
        <v>1235</v>
      </c>
      <c r="B228" t="s">
        <v>348</v>
      </c>
      <c r="C228" s="1">
        <v>46032</v>
      </c>
      <c r="D228" s="1">
        <v>46032</v>
      </c>
      <c r="E228" s="1">
        <v>46037</v>
      </c>
      <c r="F228" s="1">
        <v>46037</v>
      </c>
      <c r="G228" s="1">
        <v>46037</v>
      </c>
      <c r="H228">
        <f t="shared" si="16"/>
        <v>0</v>
      </c>
      <c r="I228" t="str">
        <f t="shared" si="17"/>
        <v>MetroLogistics</v>
      </c>
      <c r="J228" t="str">
        <f>VLOOKUP(A228,Orders!$A$2:$D$1201,4,FALSE)</f>
        <v>Delivered</v>
      </c>
      <c r="K228" t="str">
        <f t="shared" si="18"/>
        <v>On time</v>
      </c>
      <c r="L228" t="str">
        <f t="shared" si="19"/>
        <v>On time</v>
      </c>
      <c r="O228">
        <f t="shared" si="20"/>
        <v>0</v>
      </c>
    </row>
    <row r="229" spans="1:15">
      <c r="A229">
        <v>1236</v>
      </c>
      <c r="B229" t="s">
        <v>347</v>
      </c>
      <c r="C229" s="1">
        <v>46067</v>
      </c>
      <c r="D229" s="1">
        <v>46067</v>
      </c>
      <c r="E229" s="1">
        <v>46072</v>
      </c>
      <c r="F229" s="1">
        <v>46072</v>
      </c>
      <c r="G229" s="1">
        <v>46072</v>
      </c>
      <c r="H229">
        <f t="shared" si="16"/>
        <v>0</v>
      </c>
      <c r="I229" t="str">
        <f t="shared" si="17"/>
        <v>ParcelOne</v>
      </c>
      <c r="J229" t="str">
        <f>VLOOKUP(A229,Orders!$A$2:$D$1201,4,FALSE)</f>
        <v>Delivered</v>
      </c>
      <c r="K229" t="str">
        <f t="shared" si="18"/>
        <v>On time</v>
      </c>
      <c r="L229" t="str">
        <f t="shared" si="19"/>
        <v>On time</v>
      </c>
      <c r="O229">
        <f t="shared" si="20"/>
        <v>0</v>
      </c>
    </row>
    <row r="230" spans="1:15">
      <c r="A230">
        <v>1237</v>
      </c>
      <c r="B230" t="s">
        <v>346</v>
      </c>
      <c r="C230" s="1">
        <v>46087</v>
      </c>
      <c r="D230" s="1">
        <v>46087</v>
      </c>
      <c r="E230" s="1">
        <v>46092</v>
      </c>
      <c r="F230" s="1">
        <v>46091</v>
      </c>
      <c r="G230" s="1">
        <v>46093</v>
      </c>
      <c r="H230">
        <f t="shared" si="16"/>
        <v>0</v>
      </c>
      <c r="I230" t="str">
        <f t="shared" si="17"/>
        <v>SwiftShip</v>
      </c>
      <c r="J230" t="str">
        <f>VLOOKUP(A230,Orders!$A$2:$D$1201,4,FALSE)</f>
        <v>Delivered</v>
      </c>
      <c r="K230" t="str">
        <f t="shared" si="18"/>
        <v>On time</v>
      </c>
      <c r="L230" t="str">
        <f t="shared" si="19"/>
        <v>On time</v>
      </c>
      <c r="O230">
        <f t="shared" si="20"/>
        <v>2</v>
      </c>
    </row>
    <row r="231" spans="1:15">
      <c r="A231">
        <v>1238</v>
      </c>
      <c r="B231" t="s">
        <v>346</v>
      </c>
      <c r="C231" s="1">
        <v>46094</v>
      </c>
      <c r="D231" s="1">
        <v>46094</v>
      </c>
      <c r="E231" s="1">
        <v>46099</v>
      </c>
      <c r="F231" s="1">
        <v>46099</v>
      </c>
      <c r="G231" s="1">
        <v>46099</v>
      </c>
      <c r="H231">
        <f t="shared" si="16"/>
        <v>0</v>
      </c>
      <c r="I231" t="str">
        <f t="shared" si="17"/>
        <v>SwiftShip</v>
      </c>
      <c r="J231" t="str">
        <f>VLOOKUP(A231,Orders!$A$2:$D$1201,4,FALSE)</f>
        <v>Delivered</v>
      </c>
      <c r="K231" t="str">
        <f t="shared" si="18"/>
        <v>On time</v>
      </c>
      <c r="L231" t="str">
        <f t="shared" si="19"/>
        <v>On time</v>
      </c>
      <c r="O231">
        <f t="shared" si="20"/>
        <v>0</v>
      </c>
    </row>
    <row r="232" spans="1:15">
      <c r="A232">
        <v>1240</v>
      </c>
      <c r="B232" t="s">
        <v>347</v>
      </c>
      <c r="C232" s="1">
        <v>46119</v>
      </c>
      <c r="D232" s="1">
        <v>46119</v>
      </c>
      <c r="E232" s="1">
        <v>46124</v>
      </c>
      <c r="F232" s="1">
        <v>46128</v>
      </c>
      <c r="G232" s="1">
        <v>46130</v>
      </c>
      <c r="H232">
        <f t="shared" si="16"/>
        <v>0</v>
      </c>
      <c r="I232" t="str">
        <f t="shared" si="17"/>
        <v>ParcelOne</v>
      </c>
      <c r="J232" t="str">
        <f>VLOOKUP(A232,Orders!$A$2:$D$1201,4,FALSE)</f>
        <v>Delivered</v>
      </c>
      <c r="K232" t="str">
        <f t="shared" si="18"/>
        <v>Late</v>
      </c>
      <c r="L232" t="str">
        <f t="shared" si="19"/>
        <v>On time</v>
      </c>
      <c r="O232">
        <f t="shared" si="20"/>
        <v>2</v>
      </c>
    </row>
    <row r="233" spans="1:15">
      <c r="A233">
        <v>1241</v>
      </c>
      <c r="B233" t="s">
        <v>348</v>
      </c>
      <c r="C233" s="1">
        <v>46164</v>
      </c>
      <c r="D233" s="1">
        <v>46164</v>
      </c>
      <c r="E233" s="1">
        <v>46169</v>
      </c>
      <c r="F233" s="1">
        <v>46169</v>
      </c>
      <c r="G233" s="1">
        <v>46169</v>
      </c>
      <c r="H233">
        <f t="shared" si="16"/>
        <v>0</v>
      </c>
      <c r="I233" t="str">
        <f t="shared" si="17"/>
        <v>MetroLogistics</v>
      </c>
      <c r="J233" t="str">
        <f>VLOOKUP(A233,Orders!$A$2:$D$1201,4,FALSE)</f>
        <v>Delivered</v>
      </c>
      <c r="K233" t="str">
        <f t="shared" si="18"/>
        <v>On time</v>
      </c>
      <c r="L233" t="str">
        <f t="shared" si="19"/>
        <v>On time</v>
      </c>
      <c r="O233">
        <f t="shared" si="20"/>
        <v>0</v>
      </c>
    </row>
    <row r="234" spans="1:15">
      <c r="A234">
        <v>1242</v>
      </c>
      <c r="B234" t="s">
        <v>347</v>
      </c>
      <c r="C234" s="1">
        <v>46027</v>
      </c>
      <c r="D234" s="1">
        <v>46027</v>
      </c>
      <c r="E234" s="1">
        <v>46032</v>
      </c>
      <c r="H234">
        <f t="shared" si="16"/>
        <v>0</v>
      </c>
      <c r="I234" t="str">
        <f t="shared" si="17"/>
        <v>ParcelOne</v>
      </c>
      <c r="J234" t="str">
        <f>VLOOKUP(A234,Orders!$A$2:$D$1201,4,FALSE)</f>
        <v>Shipped</v>
      </c>
      <c r="K234" t="str">
        <f t="shared" si="18"/>
        <v>Not delivered</v>
      </c>
      <c r="L234" t="str">
        <f t="shared" si="19"/>
        <v>On time</v>
      </c>
      <c r="O234" t="str">
        <f t="shared" si="20"/>
        <v/>
      </c>
    </row>
    <row r="235" spans="1:15">
      <c r="A235">
        <v>1243</v>
      </c>
      <c r="B235" t="s">
        <v>347</v>
      </c>
      <c r="C235" s="1">
        <v>46061</v>
      </c>
      <c r="D235" s="1">
        <v>46061</v>
      </c>
      <c r="E235" s="1">
        <v>46066</v>
      </c>
      <c r="F235" s="1">
        <v>46066</v>
      </c>
      <c r="G235" s="1">
        <v>46068</v>
      </c>
      <c r="H235">
        <f t="shared" si="16"/>
        <v>0</v>
      </c>
      <c r="I235" t="str">
        <f t="shared" si="17"/>
        <v>ParcelOne</v>
      </c>
      <c r="J235" t="str">
        <f>VLOOKUP(A235,Orders!$A$2:$D$1201,4,FALSE)</f>
        <v>Delivered</v>
      </c>
      <c r="K235" t="str">
        <f t="shared" si="18"/>
        <v>On time</v>
      </c>
      <c r="L235" t="str">
        <f t="shared" si="19"/>
        <v>On time</v>
      </c>
      <c r="O235">
        <f t="shared" si="20"/>
        <v>2</v>
      </c>
    </row>
    <row r="236" spans="1:15">
      <c r="A236">
        <v>1244</v>
      </c>
      <c r="B236" t="s">
        <v>346</v>
      </c>
      <c r="C236" s="1">
        <v>46173</v>
      </c>
      <c r="D236" s="1">
        <v>46173</v>
      </c>
      <c r="E236" s="1">
        <v>46178</v>
      </c>
      <c r="F236" s="1">
        <v>46178</v>
      </c>
      <c r="G236" s="1">
        <v>46178</v>
      </c>
      <c r="H236">
        <f t="shared" si="16"/>
        <v>0</v>
      </c>
      <c r="I236" t="str">
        <f t="shared" si="17"/>
        <v>SwiftShip</v>
      </c>
      <c r="J236" t="str">
        <f>VLOOKUP(A236,Orders!$A$2:$D$1201,4,FALSE)</f>
        <v>Delivered</v>
      </c>
      <c r="K236" t="str">
        <f t="shared" si="18"/>
        <v>On time</v>
      </c>
      <c r="L236" t="str">
        <f t="shared" si="19"/>
        <v>On time</v>
      </c>
      <c r="O236">
        <f t="shared" si="20"/>
        <v>0</v>
      </c>
    </row>
    <row r="237" spans="1:15">
      <c r="A237">
        <v>1245</v>
      </c>
      <c r="B237" t="s">
        <v>347</v>
      </c>
      <c r="C237" s="1">
        <v>46204</v>
      </c>
      <c r="D237" s="1">
        <v>46206</v>
      </c>
      <c r="E237" s="1">
        <v>46209</v>
      </c>
      <c r="F237" s="1">
        <v>46208</v>
      </c>
      <c r="G237" s="1">
        <v>46208</v>
      </c>
      <c r="H237">
        <f t="shared" si="16"/>
        <v>0</v>
      </c>
      <c r="I237" t="str">
        <f t="shared" si="17"/>
        <v>ParcelOne</v>
      </c>
      <c r="J237" t="str">
        <f>VLOOKUP(A237,Orders!$A$2:$D$1201,4,FALSE)</f>
        <v>Delivered</v>
      </c>
      <c r="K237" t="str">
        <f t="shared" si="18"/>
        <v>On time</v>
      </c>
      <c r="L237" t="str">
        <f t="shared" si="19"/>
        <v>Late</v>
      </c>
      <c r="O237">
        <f t="shared" si="20"/>
        <v>0</v>
      </c>
    </row>
    <row r="238" spans="1:15">
      <c r="A238">
        <v>1246</v>
      </c>
      <c r="B238" t="s">
        <v>346</v>
      </c>
      <c r="C238" s="1">
        <v>46064</v>
      </c>
      <c r="D238" s="1">
        <v>46066</v>
      </c>
      <c r="E238" s="1">
        <v>46069</v>
      </c>
      <c r="F238" s="1">
        <v>46068</v>
      </c>
      <c r="G238" s="1">
        <v>46068</v>
      </c>
      <c r="H238">
        <f t="shared" si="16"/>
        <v>0</v>
      </c>
      <c r="I238" t="str">
        <f t="shared" si="17"/>
        <v>SwiftShip</v>
      </c>
      <c r="J238" t="str">
        <f>VLOOKUP(A238,Orders!$A$2:$D$1201,4,FALSE)</f>
        <v>Delivered</v>
      </c>
      <c r="K238" t="str">
        <f t="shared" si="18"/>
        <v>On time</v>
      </c>
      <c r="L238" t="str">
        <f t="shared" si="19"/>
        <v>Late</v>
      </c>
      <c r="O238">
        <f t="shared" si="20"/>
        <v>0</v>
      </c>
    </row>
    <row r="239" spans="1:15">
      <c r="A239">
        <v>1247</v>
      </c>
      <c r="B239" t="s">
        <v>348</v>
      </c>
      <c r="C239" s="1">
        <v>46055</v>
      </c>
      <c r="D239" s="1">
        <v>46055</v>
      </c>
      <c r="E239" s="1">
        <v>46060</v>
      </c>
      <c r="F239" s="1">
        <v>46059</v>
      </c>
      <c r="G239" s="1">
        <v>46059</v>
      </c>
      <c r="H239">
        <f t="shared" si="16"/>
        <v>0</v>
      </c>
      <c r="I239" t="str">
        <f t="shared" si="17"/>
        <v>MetroLogistics</v>
      </c>
      <c r="J239" t="str">
        <f>VLOOKUP(A239,Orders!$A$2:$D$1201,4,FALSE)</f>
        <v>Delivered</v>
      </c>
      <c r="K239" t="str">
        <f t="shared" si="18"/>
        <v>On time</v>
      </c>
      <c r="L239" t="str">
        <f t="shared" si="19"/>
        <v>On time</v>
      </c>
      <c r="O239">
        <f t="shared" si="20"/>
        <v>0</v>
      </c>
    </row>
    <row r="240" spans="1:15">
      <c r="A240">
        <v>1248</v>
      </c>
      <c r="B240" t="s">
        <v>347</v>
      </c>
      <c r="C240" s="1">
        <v>46037</v>
      </c>
      <c r="D240" s="1">
        <v>46038</v>
      </c>
      <c r="E240" s="1">
        <v>46042</v>
      </c>
      <c r="F240" s="1">
        <v>46042</v>
      </c>
      <c r="G240" s="1">
        <v>46042</v>
      </c>
      <c r="H240">
        <f t="shared" si="16"/>
        <v>0</v>
      </c>
      <c r="I240" t="str">
        <f t="shared" si="17"/>
        <v>ParcelOne</v>
      </c>
      <c r="J240" t="str">
        <f>VLOOKUP(A240,Orders!$A$2:$D$1201,4,FALSE)</f>
        <v>Delivered</v>
      </c>
      <c r="K240" t="str">
        <f t="shared" si="18"/>
        <v>On time</v>
      </c>
      <c r="L240" t="str">
        <f t="shared" si="19"/>
        <v>Late</v>
      </c>
      <c r="O240">
        <f t="shared" si="20"/>
        <v>0</v>
      </c>
    </row>
    <row r="241" spans="1:15">
      <c r="A241">
        <v>1249</v>
      </c>
      <c r="B241" t="s">
        <v>346</v>
      </c>
      <c r="C241" s="1">
        <v>46143</v>
      </c>
      <c r="D241" s="1">
        <v>46144</v>
      </c>
      <c r="E241" s="1">
        <v>46148</v>
      </c>
      <c r="F241" s="1">
        <v>46152</v>
      </c>
      <c r="G241" s="1">
        <v>46152</v>
      </c>
      <c r="H241">
        <f t="shared" si="16"/>
        <v>0</v>
      </c>
      <c r="I241" t="str">
        <f t="shared" si="17"/>
        <v>SwiftShip</v>
      </c>
      <c r="J241" t="str">
        <f>VLOOKUP(A241,Orders!$A$2:$D$1201,4,FALSE)</f>
        <v>Delivered</v>
      </c>
      <c r="K241" t="str">
        <f t="shared" si="18"/>
        <v>Late</v>
      </c>
      <c r="L241" t="str">
        <f t="shared" si="19"/>
        <v>Late</v>
      </c>
      <c r="O241">
        <f t="shared" si="20"/>
        <v>0</v>
      </c>
    </row>
    <row r="242" spans="1:15">
      <c r="A242">
        <v>1250</v>
      </c>
      <c r="B242" t="s">
        <v>346</v>
      </c>
      <c r="C242" s="1">
        <v>46120</v>
      </c>
      <c r="D242" s="1">
        <v>46122</v>
      </c>
      <c r="E242" s="1">
        <v>46125</v>
      </c>
      <c r="F242" s="1">
        <v>46125</v>
      </c>
      <c r="G242" s="1">
        <v>46125</v>
      </c>
      <c r="H242">
        <f t="shared" si="16"/>
        <v>0</v>
      </c>
      <c r="I242" t="str">
        <f t="shared" si="17"/>
        <v>SwiftShip</v>
      </c>
      <c r="J242" t="str">
        <f>VLOOKUP(A242,Orders!$A$2:$D$1201,4,FALSE)</f>
        <v>Delivered</v>
      </c>
      <c r="K242" t="str">
        <f t="shared" si="18"/>
        <v>On time</v>
      </c>
      <c r="L242" t="str">
        <f t="shared" si="19"/>
        <v>Late</v>
      </c>
      <c r="O242">
        <f t="shared" si="20"/>
        <v>0</v>
      </c>
    </row>
    <row r="243" spans="1:15">
      <c r="A243">
        <v>1251</v>
      </c>
      <c r="B243" t="s">
        <v>348</v>
      </c>
      <c r="C243" s="1">
        <v>46056</v>
      </c>
      <c r="D243" s="1">
        <v>46057</v>
      </c>
      <c r="E243" s="1">
        <v>46061</v>
      </c>
      <c r="F243" s="1">
        <v>46061</v>
      </c>
      <c r="G243" s="1">
        <v>46061</v>
      </c>
      <c r="H243">
        <f t="shared" si="16"/>
        <v>0</v>
      </c>
      <c r="I243" t="str">
        <f t="shared" si="17"/>
        <v>MetroLogistics</v>
      </c>
      <c r="J243" t="str">
        <f>VLOOKUP(A243,Orders!$A$2:$D$1201,4,FALSE)</f>
        <v>Delivered</v>
      </c>
      <c r="K243" t="str">
        <f t="shared" si="18"/>
        <v>On time</v>
      </c>
      <c r="L243" t="str">
        <f t="shared" si="19"/>
        <v>Late</v>
      </c>
      <c r="O243">
        <f t="shared" si="20"/>
        <v>0</v>
      </c>
    </row>
    <row r="244" spans="1:15">
      <c r="A244">
        <v>1252</v>
      </c>
      <c r="B244" t="s">
        <v>348</v>
      </c>
      <c r="C244" s="1">
        <v>46134</v>
      </c>
      <c r="D244" s="1">
        <v>46134</v>
      </c>
      <c r="E244" s="1">
        <v>46139</v>
      </c>
      <c r="F244" s="1">
        <v>46138</v>
      </c>
      <c r="G244" s="1">
        <v>46138</v>
      </c>
      <c r="H244">
        <f t="shared" si="16"/>
        <v>0</v>
      </c>
      <c r="I244" t="str">
        <f t="shared" si="17"/>
        <v>MetroLogistics</v>
      </c>
      <c r="J244" t="str">
        <f>VLOOKUP(A244,Orders!$A$2:$D$1201,4,FALSE)</f>
        <v>Delivered</v>
      </c>
      <c r="K244" t="str">
        <f t="shared" si="18"/>
        <v>On time</v>
      </c>
      <c r="L244" t="str">
        <f t="shared" si="19"/>
        <v>On time</v>
      </c>
      <c r="O244">
        <f t="shared" si="20"/>
        <v>0</v>
      </c>
    </row>
    <row r="245" spans="1:15">
      <c r="A245">
        <v>1253</v>
      </c>
      <c r="B245" t="s">
        <v>348</v>
      </c>
      <c r="C245" s="1">
        <v>46087</v>
      </c>
      <c r="D245" s="1">
        <v>46087</v>
      </c>
      <c r="E245" s="1">
        <v>46092</v>
      </c>
      <c r="F245" s="1">
        <v>46091</v>
      </c>
      <c r="G245" s="1">
        <v>46091</v>
      </c>
      <c r="H245">
        <f t="shared" si="16"/>
        <v>0</v>
      </c>
      <c r="I245" t="str">
        <f t="shared" si="17"/>
        <v>MetroLogistics</v>
      </c>
      <c r="J245" t="str">
        <f>VLOOKUP(A245,Orders!$A$2:$D$1201,4,FALSE)</f>
        <v>Delivered</v>
      </c>
      <c r="K245" t="str">
        <f t="shared" si="18"/>
        <v>On time</v>
      </c>
      <c r="L245" t="str">
        <f t="shared" si="19"/>
        <v>On time</v>
      </c>
      <c r="O245">
        <f t="shared" si="20"/>
        <v>0</v>
      </c>
    </row>
    <row r="246" spans="1:15">
      <c r="A246">
        <v>1254</v>
      </c>
      <c r="B246" t="s">
        <v>348</v>
      </c>
      <c r="C246" s="1">
        <v>46088</v>
      </c>
      <c r="D246" s="1">
        <v>46088</v>
      </c>
      <c r="E246" s="1">
        <v>46093</v>
      </c>
      <c r="F246" s="1">
        <v>46094</v>
      </c>
      <c r="G246" s="1">
        <v>46094</v>
      </c>
      <c r="H246">
        <f t="shared" si="16"/>
        <v>0</v>
      </c>
      <c r="I246" t="str">
        <f t="shared" si="17"/>
        <v>MetroLogistics</v>
      </c>
      <c r="J246" t="str">
        <f>VLOOKUP(A246,Orders!$A$2:$D$1201,4,FALSE)</f>
        <v>Delivered</v>
      </c>
      <c r="K246" t="str">
        <f t="shared" si="18"/>
        <v>Late</v>
      </c>
      <c r="L246" t="str">
        <f t="shared" si="19"/>
        <v>On time</v>
      </c>
      <c r="O246">
        <f t="shared" si="20"/>
        <v>0</v>
      </c>
    </row>
    <row r="247" spans="1:15">
      <c r="A247">
        <v>1255</v>
      </c>
      <c r="B247" t="s">
        <v>346</v>
      </c>
      <c r="C247" s="1">
        <v>46153</v>
      </c>
      <c r="D247" s="1">
        <v>46153</v>
      </c>
      <c r="E247" s="1">
        <v>46158</v>
      </c>
      <c r="F247" s="1">
        <v>46156</v>
      </c>
      <c r="G247" s="1">
        <v>46157</v>
      </c>
      <c r="H247">
        <f t="shared" si="16"/>
        <v>0</v>
      </c>
      <c r="I247" t="str">
        <f t="shared" si="17"/>
        <v>SwiftShip</v>
      </c>
      <c r="J247" t="str">
        <f>VLOOKUP(A247,Orders!$A$2:$D$1201,4,FALSE)</f>
        <v>Delivered</v>
      </c>
      <c r="K247" t="str">
        <f t="shared" si="18"/>
        <v>On time</v>
      </c>
      <c r="L247" t="str">
        <f t="shared" si="19"/>
        <v>On time</v>
      </c>
      <c r="O247">
        <f t="shared" si="20"/>
        <v>1</v>
      </c>
    </row>
    <row r="248" spans="1:15">
      <c r="A248">
        <v>1256</v>
      </c>
      <c r="B248" t="s">
        <v>348</v>
      </c>
      <c r="C248" s="1">
        <v>46039</v>
      </c>
      <c r="D248" s="1">
        <v>46039</v>
      </c>
      <c r="E248" s="1">
        <v>46044</v>
      </c>
      <c r="F248" s="1">
        <v>46044</v>
      </c>
      <c r="G248" s="1">
        <v>46045</v>
      </c>
      <c r="H248">
        <f t="shared" si="16"/>
        <v>0</v>
      </c>
      <c r="I248" t="str">
        <f t="shared" si="17"/>
        <v>MetroLogistics</v>
      </c>
      <c r="J248" t="str">
        <f>VLOOKUP(A248,Orders!$A$2:$D$1201,4,FALSE)</f>
        <v>Delivered</v>
      </c>
      <c r="K248" t="str">
        <f t="shared" si="18"/>
        <v>On time</v>
      </c>
      <c r="L248" t="str">
        <f t="shared" si="19"/>
        <v>On time</v>
      </c>
      <c r="O248">
        <f t="shared" si="20"/>
        <v>1</v>
      </c>
    </row>
    <row r="249" spans="1:15">
      <c r="A249">
        <v>1257</v>
      </c>
      <c r="B249" t="s">
        <v>347</v>
      </c>
      <c r="C249" s="1">
        <v>46039</v>
      </c>
      <c r="D249" s="1">
        <v>46040</v>
      </c>
      <c r="E249" s="1">
        <v>46044</v>
      </c>
      <c r="F249" s="1">
        <v>46045</v>
      </c>
      <c r="G249" s="1">
        <v>46047</v>
      </c>
      <c r="H249">
        <f t="shared" si="16"/>
        <v>0</v>
      </c>
      <c r="I249" t="str">
        <f t="shared" si="17"/>
        <v>ParcelOne</v>
      </c>
      <c r="J249" t="str">
        <f>VLOOKUP(A249,Orders!$A$2:$D$1201,4,FALSE)</f>
        <v>Delivered</v>
      </c>
      <c r="K249" t="str">
        <f t="shared" si="18"/>
        <v>Late</v>
      </c>
      <c r="L249" t="str">
        <f t="shared" si="19"/>
        <v>Late</v>
      </c>
      <c r="O249">
        <f t="shared" si="20"/>
        <v>2</v>
      </c>
    </row>
    <row r="250" spans="1:15">
      <c r="A250">
        <v>1258</v>
      </c>
      <c r="B250" t="s">
        <v>347</v>
      </c>
      <c r="C250" s="1">
        <v>46205</v>
      </c>
      <c r="D250" s="1">
        <v>46205</v>
      </c>
      <c r="E250" s="1">
        <v>46210</v>
      </c>
      <c r="F250" s="1">
        <v>46209</v>
      </c>
      <c r="G250" s="1">
        <v>46209</v>
      </c>
      <c r="H250">
        <f t="shared" si="16"/>
        <v>0</v>
      </c>
      <c r="I250" t="str">
        <f t="shared" si="17"/>
        <v>ParcelOne</v>
      </c>
      <c r="J250" t="str">
        <f>VLOOKUP(A250,Orders!$A$2:$D$1201,4,FALSE)</f>
        <v>Delivered</v>
      </c>
      <c r="K250" t="str">
        <f t="shared" si="18"/>
        <v>On time</v>
      </c>
      <c r="L250" t="str">
        <f t="shared" si="19"/>
        <v>On time</v>
      </c>
      <c r="O250">
        <f t="shared" si="20"/>
        <v>0</v>
      </c>
    </row>
    <row r="251" spans="1:15">
      <c r="A251">
        <v>1259</v>
      </c>
      <c r="B251" t="s">
        <v>346</v>
      </c>
      <c r="C251" s="1">
        <v>46030</v>
      </c>
      <c r="D251" s="1">
        <v>46030</v>
      </c>
      <c r="E251" s="1">
        <v>46035</v>
      </c>
      <c r="F251" s="1">
        <v>46039</v>
      </c>
      <c r="G251" s="1">
        <v>46040</v>
      </c>
      <c r="H251">
        <f t="shared" si="16"/>
        <v>0</v>
      </c>
      <c r="I251" t="str">
        <f t="shared" si="17"/>
        <v>SwiftShip</v>
      </c>
      <c r="J251" t="str">
        <f>VLOOKUP(A251,Orders!$A$2:$D$1201,4,FALSE)</f>
        <v>Delivered</v>
      </c>
      <c r="K251" t="str">
        <f t="shared" si="18"/>
        <v>Late</v>
      </c>
      <c r="L251" t="str">
        <f t="shared" si="19"/>
        <v>On time</v>
      </c>
      <c r="O251">
        <f t="shared" si="20"/>
        <v>1</v>
      </c>
    </row>
    <row r="252" spans="1:15">
      <c r="A252">
        <v>1260</v>
      </c>
      <c r="B252" t="s">
        <v>346</v>
      </c>
      <c r="C252" s="1">
        <v>46040</v>
      </c>
      <c r="D252" s="1">
        <v>46042</v>
      </c>
      <c r="E252" s="1">
        <v>46045</v>
      </c>
      <c r="F252" s="1">
        <v>46045</v>
      </c>
      <c r="G252" s="1">
        <v>46047</v>
      </c>
      <c r="H252">
        <f t="shared" si="16"/>
        <v>0</v>
      </c>
      <c r="I252" t="str">
        <f t="shared" si="17"/>
        <v>SwiftShip</v>
      </c>
      <c r="J252" t="str">
        <f>VLOOKUP(A252,Orders!$A$2:$D$1201,4,FALSE)</f>
        <v>Delivered</v>
      </c>
      <c r="K252" t="str">
        <f t="shared" si="18"/>
        <v>On time</v>
      </c>
      <c r="L252" t="str">
        <f t="shared" si="19"/>
        <v>Late</v>
      </c>
      <c r="O252">
        <f t="shared" si="20"/>
        <v>2</v>
      </c>
    </row>
    <row r="253" spans="1:15">
      <c r="A253">
        <v>1261</v>
      </c>
      <c r="B253" t="s">
        <v>348</v>
      </c>
      <c r="C253" s="1">
        <v>46175</v>
      </c>
      <c r="D253" s="1">
        <v>46175</v>
      </c>
      <c r="E253" s="1">
        <v>46180</v>
      </c>
      <c r="F253" s="1">
        <v>46179</v>
      </c>
      <c r="G253" s="1">
        <v>46181</v>
      </c>
      <c r="H253">
        <f t="shared" si="16"/>
        <v>0</v>
      </c>
      <c r="I253" t="str">
        <f t="shared" si="17"/>
        <v>MetroLogistics</v>
      </c>
      <c r="J253" t="str">
        <f>VLOOKUP(A253,Orders!$A$2:$D$1201,4,FALSE)</f>
        <v>Delivered</v>
      </c>
      <c r="K253" t="str">
        <f t="shared" si="18"/>
        <v>On time</v>
      </c>
      <c r="L253" t="str">
        <f t="shared" si="19"/>
        <v>On time</v>
      </c>
      <c r="O253">
        <f t="shared" si="20"/>
        <v>2</v>
      </c>
    </row>
    <row r="254" spans="1:15">
      <c r="A254">
        <v>1262</v>
      </c>
      <c r="B254" t="s">
        <v>348</v>
      </c>
      <c r="C254" s="1">
        <v>46182</v>
      </c>
      <c r="D254" s="1">
        <v>46182</v>
      </c>
      <c r="E254" s="1">
        <v>46187</v>
      </c>
      <c r="F254" s="1">
        <v>46185</v>
      </c>
      <c r="G254" s="1">
        <v>46185</v>
      </c>
      <c r="H254">
        <f t="shared" si="16"/>
        <v>0</v>
      </c>
      <c r="I254" t="str">
        <f t="shared" si="17"/>
        <v>MetroLogistics</v>
      </c>
      <c r="J254" t="str">
        <f>VLOOKUP(A254,Orders!$A$2:$D$1201,4,FALSE)</f>
        <v>Delivered</v>
      </c>
      <c r="K254" t="str">
        <f t="shared" si="18"/>
        <v>On time</v>
      </c>
      <c r="L254" t="str">
        <f t="shared" si="19"/>
        <v>On time</v>
      </c>
      <c r="O254">
        <f t="shared" si="20"/>
        <v>0</v>
      </c>
    </row>
    <row r="255" spans="1:15">
      <c r="A255">
        <v>1264</v>
      </c>
      <c r="B255" t="s">
        <v>346</v>
      </c>
      <c r="C255" s="1">
        <v>46181</v>
      </c>
      <c r="D255" s="1">
        <v>46181</v>
      </c>
      <c r="E255" s="1">
        <v>46186</v>
      </c>
      <c r="F255" s="1">
        <v>46184</v>
      </c>
      <c r="G255" s="1">
        <v>46184</v>
      </c>
      <c r="H255">
        <f t="shared" si="16"/>
        <v>0</v>
      </c>
      <c r="I255" t="str">
        <f t="shared" si="17"/>
        <v>SwiftShip</v>
      </c>
      <c r="J255" t="str">
        <f>VLOOKUP(A255,Orders!$A$2:$D$1201,4,FALSE)</f>
        <v>Delivered</v>
      </c>
      <c r="K255" t="str">
        <f t="shared" si="18"/>
        <v>On time</v>
      </c>
      <c r="L255" t="str">
        <f t="shared" si="19"/>
        <v>On time</v>
      </c>
      <c r="O255">
        <f t="shared" si="20"/>
        <v>0</v>
      </c>
    </row>
    <row r="256" spans="1:15">
      <c r="A256">
        <v>1265</v>
      </c>
      <c r="B256" t="s">
        <v>347</v>
      </c>
      <c r="C256" s="1">
        <v>46067</v>
      </c>
      <c r="D256" s="1">
        <v>46067</v>
      </c>
      <c r="E256" s="1">
        <v>46072</v>
      </c>
      <c r="F256" s="1">
        <v>46073</v>
      </c>
      <c r="G256" s="1">
        <v>46073</v>
      </c>
      <c r="H256">
        <f t="shared" si="16"/>
        <v>0</v>
      </c>
      <c r="I256" t="str">
        <f t="shared" si="17"/>
        <v>ParcelOne</v>
      </c>
      <c r="J256" t="str">
        <f>VLOOKUP(A256,Orders!$A$2:$D$1201,4,FALSE)</f>
        <v>Delivered</v>
      </c>
      <c r="K256" t="str">
        <f t="shared" si="18"/>
        <v>Late</v>
      </c>
      <c r="L256" t="str">
        <f t="shared" si="19"/>
        <v>On time</v>
      </c>
      <c r="O256">
        <f t="shared" si="20"/>
        <v>0</v>
      </c>
    </row>
    <row r="257" spans="1:15">
      <c r="A257">
        <v>1266</v>
      </c>
      <c r="B257" t="s">
        <v>348</v>
      </c>
      <c r="C257" s="1">
        <v>46025</v>
      </c>
      <c r="D257" s="1">
        <v>46025</v>
      </c>
      <c r="E257" s="1">
        <v>46030</v>
      </c>
      <c r="F257" s="1">
        <v>46029</v>
      </c>
      <c r="G257" s="1">
        <v>46029</v>
      </c>
      <c r="H257">
        <f t="shared" si="16"/>
        <v>0</v>
      </c>
      <c r="I257" t="str">
        <f t="shared" si="17"/>
        <v>MetroLogistics</v>
      </c>
      <c r="J257" t="str">
        <f>VLOOKUP(A257,Orders!$A$2:$D$1201,4,FALSE)</f>
        <v>Delivered</v>
      </c>
      <c r="K257" t="str">
        <f t="shared" si="18"/>
        <v>On time</v>
      </c>
      <c r="L257" t="str">
        <f t="shared" si="19"/>
        <v>On time</v>
      </c>
      <c r="O257">
        <f t="shared" si="20"/>
        <v>0</v>
      </c>
    </row>
    <row r="258" spans="1:15">
      <c r="A258">
        <v>1267</v>
      </c>
      <c r="B258" t="s">
        <v>346</v>
      </c>
      <c r="C258" s="1">
        <v>46191</v>
      </c>
      <c r="D258" s="1">
        <v>46191</v>
      </c>
      <c r="E258" s="1">
        <v>46196</v>
      </c>
      <c r="F258" s="1">
        <v>46194</v>
      </c>
      <c r="G258" s="1">
        <v>46194</v>
      </c>
      <c r="H258">
        <f t="shared" si="16"/>
        <v>0</v>
      </c>
      <c r="I258" t="str">
        <f t="shared" si="17"/>
        <v>SwiftShip</v>
      </c>
      <c r="J258" t="str">
        <f>VLOOKUP(A258,Orders!$A$2:$D$1201,4,FALSE)</f>
        <v>Delivered</v>
      </c>
      <c r="K258" t="str">
        <f t="shared" si="18"/>
        <v>On time</v>
      </c>
      <c r="L258" t="str">
        <f t="shared" si="19"/>
        <v>On time</v>
      </c>
      <c r="O258">
        <f t="shared" si="20"/>
        <v>0</v>
      </c>
    </row>
    <row r="259" spans="1:15">
      <c r="A259">
        <v>1268</v>
      </c>
      <c r="B259" t="s">
        <v>347</v>
      </c>
      <c r="C259" s="1">
        <v>46051</v>
      </c>
      <c r="D259" s="1">
        <v>46051</v>
      </c>
      <c r="E259" s="1">
        <v>46056</v>
      </c>
      <c r="F259" s="1">
        <v>46056</v>
      </c>
      <c r="G259" s="1">
        <v>46056</v>
      </c>
      <c r="H259">
        <f t="shared" ref="H259:H322" si="21">LEN(B259)-LEN(TRIM(B259))</f>
        <v>0</v>
      </c>
      <c r="I259" t="str">
        <f t="shared" ref="I259:I322" si="22">TRIM(B259)</f>
        <v>ParcelOne</v>
      </c>
      <c r="J259" t="str">
        <f>VLOOKUP(A259,Orders!$A$2:$D$1201,4,FALSE)</f>
        <v>Delivered</v>
      </c>
      <c r="K259" t="str">
        <f t="shared" ref="K259:K322" si="23">IF(J259&lt;&gt;"Delivered","Not delivered",IF(OR(E259="",F259=""),"Unknown",IF(F259&lt;=E259,"On time","Late")))</f>
        <v>On time</v>
      </c>
      <c r="L259" t="str">
        <f t="shared" ref="L259:L322" si="24">IF(D259="","Not dispatched",IF(C259="","Unknown",IF(D259&lt;=C259,"On time","Late")))</f>
        <v>On time</v>
      </c>
      <c r="O259">
        <f t="shared" ref="O259:O322" si="25">IF(OR(F259="",G259=""),"",G259-F259)</f>
        <v>0</v>
      </c>
    </row>
    <row r="260" spans="1:15">
      <c r="A260">
        <v>1269</v>
      </c>
      <c r="B260" t="s">
        <v>346</v>
      </c>
      <c r="C260" s="1">
        <v>46135</v>
      </c>
      <c r="D260" s="1">
        <v>46137</v>
      </c>
      <c r="E260" s="1">
        <v>46140</v>
      </c>
      <c r="H260">
        <f t="shared" si="21"/>
        <v>0</v>
      </c>
      <c r="I260" t="str">
        <f t="shared" si="22"/>
        <v>SwiftShip</v>
      </c>
      <c r="J260" t="str">
        <f>VLOOKUP(A260,Orders!$A$2:$D$1201,4,FALSE)</f>
        <v>Shipped</v>
      </c>
      <c r="K260" t="str">
        <f t="shared" si="23"/>
        <v>Not delivered</v>
      </c>
      <c r="L260" t="str">
        <f t="shared" si="24"/>
        <v>Late</v>
      </c>
      <c r="O260" t="str">
        <f t="shared" si="25"/>
        <v/>
      </c>
    </row>
    <row r="261" spans="1:15">
      <c r="A261">
        <v>1270</v>
      </c>
      <c r="B261" t="s">
        <v>346</v>
      </c>
      <c r="C261" s="1">
        <v>46203</v>
      </c>
      <c r="D261" s="1">
        <v>46203</v>
      </c>
      <c r="E261" s="1">
        <v>46208</v>
      </c>
      <c r="F261" s="1">
        <v>46208</v>
      </c>
      <c r="G261" s="1">
        <v>46208</v>
      </c>
      <c r="H261">
        <f t="shared" si="21"/>
        <v>0</v>
      </c>
      <c r="I261" t="str">
        <f t="shared" si="22"/>
        <v>SwiftShip</v>
      </c>
      <c r="J261" t="str">
        <f>VLOOKUP(A261,Orders!$A$2:$D$1201,4,FALSE)</f>
        <v>Delivered</v>
      </c>
      <c r="K261" t="str">
        <f t="shared" si="23"/>
        <v>On time</v>
      </c>
      <c r="L261" t="str">
        <f t="shared" si="24"/>
        <v>On time</v>
      </c>
      <c r="O261">
        <f t="shared" si="25"/>
        <v>0</v>
      </c>
    </row>
    <row r="262" spans="1:15">
      <c r="A262">
        <v>1271</v>
      </c>
      <c r="B262" t="s">
        <v>347</v>
      </c>
      <c r="C262" s="1">
        <v>46064</v>
      </c>
      <c r="D262" s="1">
        <v>46064</v>
      </c>
      <c r="E262" s="1">
        <v>46069</v>
      </c>
      <c r="F262" s="1">
        <v>46068</v>
      </c>
      <c r="G262" s="1">
        <v>46068</v>
      </c>
      <c r="H262">
        <f t="shared" si="21"/>
        <v>0</v>
      </c>
      <c r="I262" t="str">
        <f t="shared" si="22"/>
        <v>ParcelOne</v>
      </c>
      <c r="J262" t="str">
        <f>VLOOKUP(A262,Orders!$A$2:$D$1201,4,FALSE)</f>
        <v>Delivered</v>
      </c>
      <c r="K262" t="str">
        <f t="shared" si="23"/>
        <v>On time</v>
      </c>
      <c r="L262" t="str">
        <f t="shared" si="24"/>
        <v>On time</v>
      </c>
      <c r="O262">
        <f t="shared" si="25"/>
        <v>0</v>
      </c>
    </row>
    <row r="263" spans="1:15">
      <c r="A263">
        <v>1272</v>
      </c>
      <c r="B263" t="s">
        <v>346</v>
      </c>
      <c r="C263" s="1">
        <v>46146</v>
      </c>
      <c r="D263" s="1">
        <v>46146</v>
      </c>
      <c r="E263" s="1">
        <v>46151</v>
      </c>
      <c r="F263" s="1">
        <v>46151</v>
      </c>
      <c r="G263" s="1">
        <v>46151</v>
      </c>
      <c r="H263">
        <f t="shared" si="21"/>
        <v>0</v>
      </c>
      <c r="I263" t="str">
        <f t="shared" si="22"/>
        <v>SwiftShip</v>
      </c>
      <c r="J263" t="str">
        <f>VLOOKUP(A263,Orders!$A$2:$D$1201,4,FALSE)</f>
        <v>Delivered</v>
      </c>
      <c r="K263" t="str">
        <f t="shared" si="23"/>
        <v>On time</v>
      </c>
      <c r="L263" t="str">
        <f t="shared" si="24"/>
        <v>On time</v>
      </c>
      <c r="O263">
        <f t="shared" si="25"/>
        <v>0</v>
      </c>
    </row>
    <row r="264" spans="1:15">
      <c r="A264">
        <v>1273</v>
      </c>
      <c r="B264" t="s">
        <v>348</v>
      </c>
      <c r="C264" s="1">
        <v>46119</v>
      </c>
      <c r="D264" s="1">
        <v>46120</v>
      </c>
      <c r="E264" s="1">
        <v>46124</v>
      </c>
      <c r="F264" s="1">
        <v>46124</v>
      </c>
      <c r="G264" s="1">
        <v>46124</v>
      </c>
      <c r="H264">
        <f t="shared" si="21"/>
        <v>0</v>
      </c>
      <c r="I264" t="str">
        <f t="shared" si="22"/>
        <v>MetroLogistics</v>
      </c>
      <c r="J264" t="str">
        <f>VLOOKUP(A264,Orders!$A$2:$D$1201,4,FALSE)</f>
        <v>Delivered</v>
      </c>
      <c r="K264" t="str">
        <f t="shared" si="23"/>
        <v>On time</v>
      </c>
      <c r="L264" t="str">
        <f t="shared" si="24"/>
        <v>Late</v>
      </c>
      <c r="O264">
        <f t="shared" si="25"/>
        <v>0</v>
      </c>
    </row>
    <row r="265" spans="1:15">
      <c r="A265">
        <v>1274</v>
      </c>
      <c r="B265" t="s">
        <v>348</v>
      </c>
      <c r="C265" s="1">
        <v>46195</v>
      </c>
      <c r="D265" s="1">
        <v>46197</v>
      </c>
      <c r="E265" s="1">
        <v>46200</v>
      </c>
      <c r="F265" s="1">
        <v>46201</v>
      </c>
      <c r="G265" s="1">
        <v>46203</v>
      </c>
      <c r="H265">
        <f t="shared" si="21"/>
        <v>0</v>
      </c>
      <c r="I265" t="str">
        <f t="shared" si="22"/>
        <v>MetroLogistics</v>
      </c>
      <c r="J265" t="str">
        <f>VLOOKUP(A265,Orders!$A$2:$D$1201,4,FALSE)</f>
        <v>Delivered</v>
      </c>
      <c r="K265" t="str">
        <f t="shared" si="23"/>
        <v>Late</v>
      </c>
      <c r="L265" t="str">
        <f t="shared" si="24"/>
        <v>Late</v>
      </c>
      <c r="O265">
        <f t="shared" si="25"/>
        <v>2</v>
      </c>
    </row>
    <row r="266" spans="1:15">
      <c r="A266">
        <v>1275</v>
      </c>
      <c r="B266" t="s">
        <v>347</v>
      </c>
      <c r="C266" s="1">
        <v>46085</v>
      </c>
      <c r="D266" s="1">
        <v>46087</v>
      </c>
      <c r="E266" s="1">
        <v>46090</v>
      </c>
      <c r="F266" s="1">
        <v>46090</v>
      </c>
      <c r="G266" s="1">
        <v>46092</v>
      </c>
      <c r="H266">
        <f t="shared" si="21"/>
        <v>0</v>
      </c>
      <c r="I266" t="str">
        <f t="shared" si="22"/>
        <v>ParcelOne</v>
      </c>
      <c r="J266" t="str">
        <f>VLOOKUP(A266,Orders!$A$2:$D$1201,4,FALSE)</f>
        <v>Delivered</v>
      </c>
      <c r="K266" t="str">
        <f t="shared" si="23"/>
        <v>On time</v>
      </c>
      <c r="L266" t="str">
        <f t="shared" si="24"/>
        <v>Late</v>
      </c>
      <c r="O266">
        <f t="shared" si="25"/>
        <v>2</v>
      </c>
    </row>
    <row r="267" spans="1:15">
      <c r="A267">
        <v>1276</v>
      </c>
      <c r="B267" t="s">
        <v>348</v>
      </c>
      <c r="C267" s="1">
        <v>46079</v>
      </c>
      <c r="D267" s="1">
        <v>46081</v>
      </c>
      <c r="E267" s="1">
        <v>46084</v>
      </c>
      <c r="F267" s="1">
        <v>46084</v>
      </c>
      <c r="G267" s="1">
        <v>46086</v>
      </c>
      <c r="H267">
        <f t="shared" si="21"/>
        <v>0</v>
      </c>
      <c r="I267" t="str">
        <f t="shared" si="22"/>
        <v>MetroLogistics</v>
      </c>
      <c r="J267" t="str">
        <f>VLOOKUP(A267,Orders!$A$2:$D$1201,4,FALSE)</f>
        <v>Delivered</v>
      </c>
      <c r="K267" t="str">
        <f t="shared" si="23"/>
        <v>On time</v>
      </c>
      <c r="L267" t="str">
        <f t="shared" si="24"/>
        <v>Late</v>
      </c>
      <c r="O267">
        <f t="shared" si="25"/>
        <v>2</v>
      </c>
    </row>
    <row r="268" spans="1:15">
      <c r="A268">
        <v>1277</v>
      </c>
      <c r="B268" t="s">
        <v>348</v>
      </c>
      <c r="C268" s="1">
        <v>46062</v>
      </c>
      <c r="D268" s="1">
        <v>46062</v>
      </c>
      <c r="E268" s="1">
        <v>46067</v>
      </c>
      <c r="F268" s="1">
        <v>46067</v>
      </c>
      <c r="G268" s="1">
        <v>46068</v>
      </c>
      <c r="H268">
        <f t="shared" si="21"/>
        <v>0</v>
      </c>
      <c r="I268" t="str">
        <f t="shared" si="22"/>
        <v>MetroLogistics</v>
      </c>
      <c r="J268" t="str">
        <f>VLOOKUP(A268,Orders!$A$2:$D$1201,4,FALSE)</f>
        <v>Delivered</v>
      </c>
      <c r="K268" t="str">
        <f t="shared" si="23"/>
        <v>On time</v>
      </c>
      <c r="L268" t="str">
        <f t="shared" si="24"/>
        <v>On time</v>
      </c>
      <c r="O268">
        <f t="shared" si="25"/>
        <v>1</v>
      </c>
    </row>
    <row r="269" spans="1:15">
      <c r="A269">
        <v>1278</v>
      </c>
      <c r="B269" t="s">
        <v>348</v>
      </c>
      <c r="C269" s="1">
        <v>46142</v>
      </c>
      <c r="D269" s="1">
        <v>46142</v>
      </c>
      <c r="E269" s="1">
        <v>46147</v>
      </c>
      <c r="H269">
        <f t="shared" si="21"/>
        <v>0</v>
      </c>
      <c r="I269" t="str">
        <f t="shared" si="22"/>
        <v>MetroLogistics</v>
      </c>
      <c r="J269" t="str">
        <f>VLOOKUP(A269,Orders!$A$2:$D$1201,4,FALSE)</f>
        <v>Shipped</v>
      </c>
      <c r="K269" t="str">
        <f t="shared" si="23"/>
        <v>Not delivered</v>
      </c>
      <c r="L269" t="str">
        <f t="shared" si="24"/>
        <v>On time</v>
      </c>
      <c r="O269" t="str">
        <f t="shared" si="25"/>
        <v/>
      </c>
    </row>
    <row r="270" spans="1:15">
      <c r="A270">
        <v>1279</v>
      </c>
      <c r="B270" t="s">
        <v>346</v>
      </c>
      <c r="C270" s="1">
        <v>46175</v>
      </c>
      <c r="D270" s="1">
        <v>46175</v>
      </c>
      <c r="E270" s="1">
        <v>46180</v>
      </c>
      <c r="F270" s="1">
        <v>46182</v>
      </c>
      <c r="G270" s="1">
        <v>46183</v>
      </c>
      <c r="H270">
        <f t="shared" si="21"/>
        <v>0</v>
      </c>
      <c r="I270" t="str">
        <f t="shared" si="22"/>
        <v>SwiftShip</v>
      </c>
      <c r="J270" t="str">
        <f>VLOOKUP(A270,Orders!$A$2:$D$1201,4,FALSE)</f>
        <v>Delivered</v>
      </c>
      <c r="K270" t="str">
        <f t="shared" si="23"/>
        <v>Late</v>
      </c>
      <c r="L270" t="str">
        <f t="shared" si="24"/>
        <v>On time</v>
      </c>
      <c r="O270">
        <f t="shared" si="25"/>
        <v>1</v>
      </c>
    </row>
    <row r="271" spans="1:15">
      <c r="A271">
        <v>1280</v>
      </c>
      <c r="B271" t="s">
        <v>347</v>
      </c>
      <c r="C271" s="1">
        <v>46092</v>
      </c>
      <c r="D271" s="1">
        <v>46092</v>
      </c>
      <c r="E271" s="1">
        <v>46097</v>
      </c>
      <c r="F271" s="1">
        <v>46097</v>
      </c>
      <c r="G271" s="1">
        <v>46097</v>
      </c>
      <c r="H271">
        <f t="shared" si="21"/>
        <v>0</v>
      </c>
      <c r="I271" t="str">
        <f t="shared" si="22"/>
        <v>ParcelOne</v>
      </c>
      <c r="J271" t="str">
        <f>VLOOKUP(A271,Orders!$A$2:$D$1201,4,FALSE)</f>
        <v>Delivered</v>
      </c>
      <c r="K271" t="str">
        <f t="shared" si="23"/>
        <v>On time</v>
      </c>
      <c r="L271" t="str">
        <f t="shared" si="24"/>
        <v>On time</v>
      </c>
      <c r="O271">
        <f t="shared" si="25"/>
        <v>0</v>
      </c>
    </row>
    <row r="272" spans="1:15">
      <c r="A272">
        <v>1282</v>
      </c>
      <c r="B272" t="s">
        <v>346</v>
      </c>
      <c r="C272" s="1">
        <v>46111</v>
      </c>
      <c r="D272" s="1">
        <v>46111</v>
      </c>
      <c r="E272" s="1">
        <v>46116</v>
      </c>
      <c r="F272" s="1">
        <v>46120</v>
      </c>
      <c r="G272" s="1">
        <v>46120</v>
      </c>
      <c r="H272">
        <f t="shared" si="21"/>
        <v>0</v>
      </c>
      <c r="I272" t="str">
        <f t="shared" si="22"/>
        <v>SwiftShip</v>
      </c>
      <c r="J272" t="str">
        <f>VLOOKUP(A272,Orders!$A$2:$D$1201,4,FALSE)</f>
        <v>Delivered</v>
      </c>
      <c r="K272" t="str">
        <f t="shared" si="23"/>
        <v>Late</v>
      </c>
      <c r="L272" t="str">
        <f t="shared" si="24"/>
        <v>On time</v>
      </c>
      <c r="O272">
        <f t="shared" si="25"/>
        <v>0</v>
      </c>
    </row>
    <row r="273" spans="1:15">
      <c r="A273">
        <v>1283</v>
      </c>
      <c r="B273" t="s">
        <v>348</v>
      </c>
      <c r="C273" s="1">
        <v>46093</v>
      </c>
      <c r="D273" s="1">
        <v>46095</v>
      </c>
      <c r="E273" s="1">
        <v>46098</v>
      </c>
      <c r="F273" s="1">
        <v>46098</v>
      </c>
      <c r="G273" s="1">
        <v>46098</v>
      </c>
      <c r="H273">
        <f t="shared" si="21"/>
        <v>0</v>
      </c>
      <c r="I273" t="str">
        <f t="shared" si="22"/>
        <v>MetroLogistics</v>
      </c>
      <c r="J273" t="str">
        <f>VLOOKUP(A273,Orders!$A$2:$D$1201,4,FALSE)</f>
        <v>Delivered</v>
      </c>
      <c r="K273" t="str">
        <f t="shared" si="23"/>
        <v>On time</v>
      </c>
      <c r="L273" t="str">
        <f t="shared" si="24"/>
        <v>Late</v>
      </c>
      <c r="O273">
        <f t="shared" si="25"/>
        <v>0</v>
      </c>
    </row>
    <row r="274" spans="1:15">
      <c r="A274">
        <v>1284</v>
      </c>
      <c r="B274" t="s">
        <v>348</v>
      </c>
      <c r="C274" s="1">
        <v>46120</v>
      </c>
      <c r="D274" s="1">
        <v>46120</v>
      </c>
      <c r="E274" s="1">
        <v>46125</v>
      </c>
      <c r="F274" s="1">
        <v>46125</v>
      </c>
      <c r="G274" s="1">
        <v>46125</v>
      </c>
      <c r="H274">
        <f t="shared" si="21"/>
        <v>0</v>
      </c>
      <c r="I274" t="str">
        <f t="shared" si="22"/>
        <v>MetroLogistics</v>
      </c>
      <c r="J274" t="str">
        <f>VLOOKUP(A274,Orders!$A$2:$D$1201,4,FALSE)</f>
        <v>Delivered</v>
      </c>
      <c r="K274" t="str">
        <f t="shared" si="23"/>
        <v>On time</v>
      </c>
      <c r="L274" t="str">
        <f t="shared" si="24"/>
        <v>On time</v>
      </c>
      <c r="O274">
        <f t="shared" si="25"/>
        <v>0</v>
      </c>
    </row>
    <row r="275" spans="1:15">
      <c r="A275">
        <v>1285</v>
      </c>
      <c r="B275" t="s">
        <v>347</v>
      </c>
      <c r="C275" s="1">
        <v>46170</v>
      </c>
      <c r="D275" s="1">
        <v>46170</v>
      </c>
      <c r="E275" s="1">
        <v>46175</v>
      </c>
      <c r="F275" s="1">
        <v>46173</v>
      </c>
      <c r="G275" s="1">
        <v>46173</v>
      </c>
      <c r="H275">
        <f t="shared" si="21"/>
        <v>0</v>
      </c>
      <c r="I275" t="str">
        <f t="shared" si="22"/>
        <v>ParcelOne</v>
      </c>
      <c r="J275" t="str">
        <f>VLOOKUP(A275,Orders!$A$2:$D$1201,4,FALSE)</f>
        <v>Delivered</v>
      </c>
      <c r="K275" t="str">
        <f t="shared" si="23"/>
        <v>On time</v>
      </c>
      <c r="L275" t="str">
        <f t="shared" si="24"/>
        <v>On time</v>
      </c>
      <c r="O275">
        <f t="shared" si="25"/>
        <v>0</v>
      </c>
    </row>
    <row r="276" spans="1:15">
      <c r="A276">
        <v>1286</v>
      </c>
      <c r="B276" t="s">
        <v>346</v>
      </c>
      <c r="C276" s="1">
        <v>46095</v>
      </c>
      <c r="D276" s="1">
        <v>46095</v>
      </c>
      <c r="E276" s="1">
        <v>46100</v>
      </c>
      <c r="F276" s="1">
        <v>46100</v>
      </c>
      <c r="G276" s="1">
        <v>46102</v>
      </c>
      <c r="H276">
        <f t="shared" si="21"/>
        <v>0</v>
      </c>
      <c r="I276" t="str">
        <f t="shared" si="22"/>
        <v>SwiftShip</v>
      </c>
      <c r="J276" t="str">
        <f>VLOOKUP(A276,Orders!$A$2:$D$1201,4,FALSE)</f>
        <v>Delivered</v>
      </c>
      <c r="K276" t="str">
        <f t="shared" si="23"/>
        <v>On time</v>
      </c>
      <c r="L276" t="str">
        <f t="shared" si="24"/>
        <v>On time</v>
      </c>
      <c r="O276">
        <f t="shared" si="25"/>
        <v>2</v>
      </c>
    </row>
    <row r="277" spans="1:15">
      <c r="A277">
        <v>1287</v>
      </c>
      <c r="B277" t="s">
        <v>348</v>
      </c>
      <c r="C277" s="1">
        <v>46175</v>
      </c>
      <c r="D277" s="1">
        <v>46175</v>
      </c>
      <c r="E277" s="1">
        <v>46180</v>
      </c>
      <c r="F277" s="1">
        <v>46180</v>
      </c>
      <c r="G277" s="1">
        <v>46180</v>
      </c>
      <c r="H277">
        <f t="shared" si="21"/>
        <v>0</v>
      </c>
      <c r="I277" t="str">
        <f t="shared" si="22"/>
        <v>MetroLogistics</v>
      </c>
      <c r="J277" t="str">
        <f>VLOOKUP(A277,Orders!$A$2:$D$1201,4,FALSE)</f>
        <v>Delivered</v>
      </c>
      <c r="K277" t="str">
        <f t="shared" si="23"/>
        <v>On time</v>
      </c>
      <c r="L277" t="str">
        <f t="shared" si="24"/>
        <v>On time</v>
      </c>
      <c r="O277">
        <f t="shared" si="25"/>
        <v>0</v>
      </c>
    </row>
    <row r="278" spans="1:15">
      <c r="A278">
        <v>1289</v>
      </c>
      <c r="B278" t="s">
        <v>346</v>
      </c>
      <c r="C278" s="1">
        <v>46058</v>
      </c>
      <c r="D278" s="1">
        <v>46058</v>
      </c>
      <c r="E278" s="1">
        <v>46063</v>
      </c>
      <c r="F278" s="1">
        <v>46064</v>
      </c>
      <c r="G278" s="1">
        <v>46064</v>
      </c>
      <c r="H278">
        <f t="shared" si="21"/>
        <v>0</v>
      </c>
      <c r="I278" t="str">
        <f t="shared" si="22"/>
        <v>SwiftShip</v>
      </c>
      <c r="J278" t="str">
        <f>VLOOKUP(A278,Orders!$A$2:$D$1201,4,FALSE)</f>
        <v>Delivered</v>
      </c>
      <c r="K278" t="str">
        <f t="shared" si="23"/>
        <v>Late</v>
      </c>
      <c r="L278" t="str">
        <f t="shared" si="24"/>
        <v>On time</v>
      </c>
      <c r="O278">
        <f t="shared" si="25"/>
        <v>0</v>
      </c>
    </row>
    <row r="279" spans="1:15">
      <c r="A279">
        <v>1290</v>
      </c>
      <c r="B279" t="s">
        <v>346</v>
      </c>
      <c r="C279" s="1">
        <v>46114</v>
      </c>
      <c r="D279" s="1">
        <v>46114</v>
      </c>
      <c r="E279" s="1">
        <v>46119</v>
      </c>
      <c r="F279" s="1">
        <v>46123</v>
      </c>
      <c r="G279" s="1">
        <v>46125</v>
      </c>
      <c r="H279">
        <f t="shared" si="21"/>
        <v>0</v>
      </c>
      <c r="I279" t="str">
        <f t="shared" si="22"/>
        <v>SwiftShip</v>
      </c>
      <c r="J279" t="str">
        <f>VLOOKUP(A279,Orders!$A$2:$D$1201,4,FALSE)</f>
        <v>Delivered</v>
      </c>
      <c r="K279" t="str">
        <f t="shared" si="23"/>
        <v>Late</v>
      </c>
      <c r="L279" t="str">
        <f t="shared" si="24"/>
        <v>On time</v>
      </c>
      <c r="O279">
        <f t="shared" si="25"/>
        <v>2</v>
      </c>
    </row>
    <row r="280" spans="1:15">
      <c r="A280">
        <v>1291</v>
      </c>
      <c r="B280" t="s">
        <v>346</v>
      </c>
      <c r="C280" s="1">
        <v>46168</v>
      </c>
      <c r="D280" s="1">
        <v>46168</v>
      </c>
      <c r="E280" s="1">
        <v>46173</v>
      </c>
      <c r="F280" s="1">
        <v>46173</v>
      </c>
      <c r="G280" s="1">
        <v>46173</v>
      </c>
      <c r="H280">
        <f t="shared" si="21"/>
        <v>0</v>
      </c>
      <c r="I280" t="str">
        <f t="shared" si="22"/>
        <v>SwiftShip</v>
      </c>
      <c r="J280" t="str">
        <f>VLOOKUP(A280,Orders!$A$2:$D$1201,4,FALSE)</f>
        <v>Delivered</v>
      </c>
      <c r="K280" t="str">
        <f t="shared" si="23"/>
        <v>On time</v>
      </c>
      <c r="L280" t="str">
        <f t="shared" si="24"/>
        <v>On time</v>
      </c>
      <c r="O280">
        <f t="shared" si="25"/>
        <v>0</v>
      </c>
    </row>
    <row r="281" spans="1:15">
      <c r="A281">
        <v>1292</v>
      </c>
      <c r="B281" t="s">
        <v>348</v>
      </c>
      <c r="C281" s="1">
        <v>46091</v>
      </c>
      <c r="D281" s="1">
        <v>46092</v>
      </c>
      <c r="E281" s="1">
        <v>46096</v>
      </c>
      <c r="F281" s="1">
        <v>46097</v>
      </c>
      <c r="G281" s="1">
        <v>46098</v>
      </c>
      <c r="H281">
        <f t="shared" si="21"/>
        <v>0</v>
      </c>
      <c r="I281" t="str">
        <f t="shared" si="22"/>
        <v>MetroLogistics</v>
      </c>
      <c r="J281" t="str">
        <f>VLOOKUP(A281,Orders!$A$2:$D$1201,4,FALSE)</f>
        <v>Delivered</v>
      </c>
      <c r="K281" t="str">
        <f t="shared" si="23"/>
        <v>Late</v>
      </c>
      <c r="L281" t="str">
        <f t="shared" si="24"/>
        <v>Late</v>
      </c>
      <c r="O281">
        <f t="shared" si="25"/>
        <v>1</v>
      </c>
    </row>
    <row r="282" spans="1:15">
      <c r="A282">
        <v>1293</v>
      </c>
      <c r="B282" t="s">
        <v>348</v>
      </c>
      <c r="C282" s="1">
        <v>46128</v>
      </c>
      <c r="D282" s="1">
        <v>46128</v>
      </c>
      <c r="E282" s="1">
        <v>46133</v>
      </c>
      <c r="F282" s="1">
        <v>46134</v>
      </c>
      <c r="G282" s="1">
        <v>46134</v>
      </c>
      <c r="H282">
        <f t="shared" si="21"/>
        <v>0</v>
      </c>
      <c r="I282" t="str">
        <f t="shared" si="22"/>
        <v>MetroLogistics</v>
      </c>
      <c r="J282" t="str">
        <f>VLOOKUP(A282,Orders!$A$2:$D$1201,4,FALSE)</f>
        <v>Delivered</v>
      </c>
      <c r="K282" t="str">
        <f t="shared" si="23"/>
        <v>Late</v>
      </c>
      <c r="L282" t="str">
        <f t="shared" si="24"/>
        <v>On time</v>
      </c>
      <c r="O282">
        <f t="shared" si="25"/>
        <v>0</v>
      </c>
    </row>
    <row r="283" spans="1:15">
      <c r="A283">
        <v>1294</v>
      </c>
      <c r="B283" t="s">
        <v>347</v>
      </c>
      <c r="C283" s="1">
        <v>46073</v>
      </c>
      <c r="D283" s="1">
        <v>46074</v>
      </c>
      <c r="E283" s="1">
        <v>46078</v>
      </c>
      <c r="F283" s="1">
        <v>46080</v>
      </c>
      <c r="G283" s="1">
        <v>46080</v>
      </c>
      <c r="H283">
        <f t="shared" si="21"/>
        <v>0</v>
      </c>
      <c r="I283" t="str">
        <f t="shared" si="22"/>
        <v>ParcelOne</v>
      </c>
      <c r="J283" t="str">
        <f>VLOOKUP(A283,Orders!$A$2:$D$1201,4,FALSE)</f>
        <v>Delivered</v>
      </c>
      <c r="K283" t="str">
        <f t="shared" si="23"/>
        <v>Late</v>
      </c>
      <c r="L283" t="str">
        <f t="shared" si="24"/>
        <v>Late</v>
      </c>
      <c r="O283">
        <f t="shared" si="25"/>
        <v>0</v>
      </c>
    </row>
    <row r="284" spans="1:15">
      <c r="A284">
        <v>1295</v>
      </c>
      <c r="B284" t="s">
        <v>346</v>
      </c>
      <c r="C284" s="1">
        <v>46145</v>
      </c>
      <c r="D284" s="1">
        <v>46145</v>
      </c>
      <c r="E284" s="1">
        <v>46150</v>
      </c>
      <c r="F284" s="1">
        <v>46152</v>
      </c>
      <c r="G284" s="1">
        <v>46152</v>
      </c>
      <c r="H284">
        <f t="shared" si="21"/>
        <v>0</v>
      </c>
      <c r="I284" t="str">
        <f t="shared" si="22"/>
        <v>SwiftShip</v>
      </c>
      <c r="J284" t="str">
        <f>VLOOKUP(A284,Orders!$A$2:$D$1201,4,FALSE)</f>
        <v>Delivered</v>
      </c>
      <c r="K284" t="str">
        <f t="shared" si="23"/>
        <v>Late</v>
      </c>
      <c r="L284" t="str">
        <f t="shared" si="24"/>
        <v>On time</v>
      </c>
      <c r="O284">
        <f t="shared" si="25"/>
        <v>0</v>
      </c>
    </row>
    <row r="285" spans="1:15">
      <c r="A285">
        <v>1296</v>
      </c>
      <c r="B285" t="s">
        <v>348</v>
      </c>
      <c r="C285" s="1">
        <v>46120</v>
      </c>
      <c r="D285" s="1">
        <v>46120</v>
      </c>
      <c r="E285" s="1">
        <v>46125</v>
      </c>
      <c r="F285" s="1">
        <v>46124</v>
      </c>
      <c r="G285" s="1">
        <v>46124</v>
      </c>
      <c r="H285">
        <f t="shared" si="21"/>
        <v>0</v>
      </c>
      <c r="I285" t="str">
        <f t="shared" si="22"/>
        <v>MetroLogistics</v>
      </c>
      <c r="J285" t="str">
        <f>VLOOKUP(A285,Orders!$A$2:$D$1201,4,FALSE)</f>
        <v>Delivered</v>
      </c>
      <c r="K285" t="str">
        <f t="shared" si="23"/>
        <v>On time</v>
      </c>
      <c r="L285" t="str">
        <f t="shared" si="24"/>
        <v>On time</v>
      </c>
      <c r="O285">
        <f t="shared" si="25"/>
        <v>0</v>
      </c>
    </row>
    <row r="286" spans="1:15">
      <c r="A286">
        <v>1297</v>
      </c>
      <c r="B286" t="s">
        <v>346</v>
      </c>
      <c r="C286" s="1">
        <v>46122</v>
      </c>
      <c r="D286" s="1">
        <v>46124</v>
      </c>
      <c r="E286" s="1">
        <v>46127</v>
      </c>
      <c r="F286" s="1">
        <v>46127</v>
      </c>
      <c r="G286" s="1">
        <v>46129</v>
      </c>
      <c r="H286">
        <f t="shared" si="21"/>
        <v>0</v>
      </c>
      <c r="I286" t="str">
        <f t="shared" si="22"/>
        <v>SwiftShip</v>
      </c>
      <c r="J286" t="str">
        <f>VLOOKUP(A286,Orders!$A$2:$D$1201,4,FALSE)</f>
        <v>Delivered</v>
      </c>
      <c r="K286" t="str">
        <f t="shared" si="23"/>
        <v>On time</v>
      </c>
      <c r="L286" t="str">
        <f t="shared" si="24"/>
        <v>Late</v>
      </c>
      <c r="O286">
        <f t="shared" si="25"/>
        <v>2</v>
      </c>
    </row>
    <row r="287" spans="1:15">
      <c r="A287">
        <v>1298</v>
      </c>
      <c r="B287" t="s">
        <v>347</v>
      </c>
      <c r="C287" s="1">
        <v>46061</v>
      </c>
      <c r="D287" s="1">
        <v>46061</v>
      </c>
      <c r="E287" s="1">
        <v>46066</v>
      </c>
      <c r="F287" s="1">
        <v>46065</v>
      </c>
      <c r="G287" s="1">
        <v>46065</v>
      </c>
      <c r="H287">
        <f t="shared" si="21"/>
        <v>0</v>
      </c>
      <c r="I287" t="str">
        <f t="shared" si="22"/>
        <v>ParcelOne</v>
      </c>
      <c r="J287" t="str">
        <f>VLOOKUP(A287,Orders!$A$2:$D$1201,4,FALSE)</f>
        <v>Delivered</v>
      </c>
      <c r="K287" t="str">
        <f t="shared" si="23"/>
        <v>On time</v>
      </c>
      <c r="L287" t="str">
        <f t="shared" si="24"/>
        <v>On time</v>
      </c>
      <c r="O287">
        <f t="shared" si="25"/>
        <v>0</v>
      </c>
    </row>
    <row r="288" spans="1:15">
      <c r="A288">
        <v>1299</v>
      </c>
      <c r="B288" t="s">
        <v>347</v>
      </c>
      <c r="C288" s="1">
        <v>46140</v>
      </c>
      <c r="D288" s="1">
        <v>46140</v>
      </c>
      <c r="E288" s="1">
        <v>46145</v>
      </c>
      <c r="F288" s="1">
        <v>46149</v>
      </c>
      <c r="G288" s="1">
        <v>46149</v>
      </c>
      <c r="H288">
        <f t="shared" si="21"/>
        <v>0</v>
      </c>
      <c r="I288" t="str">
        <f t="shared" si="22"/>
        <v>ParcelOne</v>
      </c>
      <c r="J288" t="str">
        <f>VLOOKUP(A288,Orders!$A$2:$D$1201,4,FALSE)</f>
        <v>Delivered</v>
      </c>
      <c r="K288" t="str">
        <f t="shared" si="23"/>
        <v>Late</v>
      </c>
      <c r="L288" t="str">
        <f t="shared" si="24"/>
        <v>On time</v>
      </c>
      <c r="O288">
        <f t="shared" si="25"/>
        <v>0</v>
      </c>
    </row>
    <row r="289" spans="1:15">
      <c r="A289">
        <v>1300</v>
      </c>
      <c r="B289" t="s">
        <v>347</v>
      </c>
      <c r="C289" s="1">
        <v>46161</v>
      </c>
      <c r="D289" s="1">
        <v>46161</v>
      </c>
      <c r="E289" s="1">
        <v>46166</v>
      </c>
      <c r="F289" s="1">
        <v>46164</v>
      </c>
      <c r="G289" s="1">
        <v>46164</v>
      </c>
      <c r="H289">
        <f t="shared" si="21"/>
        <v>0</v>
      </c>
      <c r="I289" t="str">
        <f t="shared" si="22"/>
        <v>ParcelOne</v>
      </c>
      <c r="J289" t="str">
        <f>VLOOKUP(A289,Orders!$A$2:$D$1201,4,FALSE)</f>
        <v>Delivered</v>
      </c>
      <c r="K289" t="str">
        <f t="shared" si="23"/>
        <v>On time</v>
      </c>
      <c r="L289" t="str">
        <f t="shared" si="24"/>
        <v>On time</v>
      </c>
      <c r="O289">
        <f t="shared" si="25"/>
        <v>0</v>
      </c>
    </row>
    <row r="290" spans="1:15">
      <c r="A290">
        <v>1302</v>
      </c>
      <c r="B290" t="s">
        <v>348</v>
      </c>
      <c r="C290" s="1">
        <v>46153</v>
      </c>
      <c r="D290" s="1">
        <v>46155</v>
      </c>
      <c r="E290" s="1">
        <v>46158</v>
      </c>
      <c r="F290" s="1">
        <v>46158</v>
      </c>
      <c r="G290" s="1">
        <v>46158</v>
      </c>
      <c r="H290">
        <f t="shared" si="21"/>
        <v>0</v>
      </c>
      <c r="I290" t="str">
        <f t="shared" si="22"/>
        <v>MetroLogistics</v>
      </c>
      <c r="J290" t="str">
        <f>VLOOKUP(A290,Orders!$A$2:$D$1201,4,FALSE)</f>
        <v>Delivered</v>
      </c>
      <c r="K290" t="str">
        <f t="shared" si="23"/>
        <v>On time</v>
      </c>
      <c r="L290" t="str">
        <f t="shared" si="24"/>
        <v>Late</v>
      </c>
      <c r="O290">
        <f t="shared" si="25"/>
        <v>0</v>
      </c>
    </row>
    <row r="291" spans="1:15">
      <c r="A291">
        <v>1303</v>
      </c>
      <c r="B291" t="s">
        <v>347</v>
      </c>
      <c r="C291" s="1">
        <v>46111</v>
      </c>
      <c r="D291" s="1">
        <v>46113</v>
      </c>
      <c r="E291" s="1">
        <v>46116</v>
      </c>
      <c r="F291" s="1">
        <v>46120</v>
      </c>
      <c r="G291" s="1">
        <v>46120</v>
      </c>
      <c r="H291">
        <f t="shared" si="21"/>
        <v>0</v>
      </c>
      <c r="I291" t="str">
        <f t="shared" si="22"/>
        <v>ParcelOne</v>
      </c>
      <c r="J291" t="str">
        <f>VLOOKUP(A291,Orders!$A$2:$D$1201,4,FALSE)</f>
        <v>Delivered</v>
      </c>
      <c r="K291" t="str">
        <f t="shared" si="23"/>
        <v>Late</v>
      </c>
      <c r="L291" t="str">
        <f t="shared" si="24"/>
        <v>Late</v>
      </c>
      <c r="O291">
        <f t="shared" si="25"/>
        <v>0</v>
      </c>
    </row>
    <row r="292" spans="1:15">
      <c r="A292">
        <v>1304</v>
      </c>
      <c r="B292" t="s">
        <v>348</v>
      </c>
      <c r="C292" s="1">
        <v>46082</v>
      </c>
      <c r="D292" s="1">
        <v>46082</v>
      </c>
      <c r="E292" s="1">
        <v>46087</v>
      </c>
      <c r="F292" s="1">
        <v>46086</v>
      </c>
      <c r="G292" s="1">
        <v>46086</v>
      </c>
      <c r="H292">
        <f t="shared" si="21"/>
        <v>0</v>
      </c>
      <c r="I292" t="str">
        <f t="shared" si="22"/>
        <v>MetroLogistics</v>
      </c>
      <c r="J292" t="str">
        <f>VLOOKUP(A292,Orders!$A$2:$D$1201,4,FALSE)</f>
        <v>Delivered</v>
      </c>
      <c r="K292" t="str">
        <f t="shared" si="23"/>
        <v>On time</v>
      </c>
      <c r="L292" t="str">
        <f t="shared" si="24"/>
        <v>On time</v>
      </c>
      <c r="O292">
        <f t="shared" si="25"/>
        <v>0</v>
      </c>
    </row>
    <row r="293" spans="1:15">
      <c r="A293">
        <v>1305</v>
      </c>
      <c r="B293" t="s">
        <v>347</v>
      </c>
      <c r="C293" s="1">
        <v>46034</v>
      </c>
      <c r="D293" s="1">
        <v>46034</v>
      </c>
      <c r="E293" s="1">
        <v>46039</v>
      </c>
      <c r="F293" s="1">
        <v>46038</v>
      </c>
      <c r="G293" s="1">
        <v>46038</v>
      </c>
      <c r="H293">
        <f t="shared" si="21"/>
        <v>0</v>
      </c>
      <c r="I293" t="str">
        <f t="shared" si="22"/>
        <v>ParcelOne</v>
      </c>
      <c r="J293" t="str">
        <f>VLOOKUP(A293,Orders!$A$2:$D$1201,4,FALSE)</f>
        <v>Delivered</v>
      </c>
      <c r="K293" t="str">
        <f t="shared" si="23"/>
        <v>On time</v>
      </c>
      <c r="L293" t="str">
        <f t="shared" si="24"/>
        <v>On time</v>
      </c>
      <c r="O293">
        <f t="shared" si="25"/>
        <v>0</v>
      </c>
    </row>
    <row r="294" spans="1:15">
      <c r="A294">
        <v>1306</v>
      </c>
      <c r="B294" t="s">
        <v>346</v>
      </c>
      <c r="C294" s="1">
        <v>46165</v>
      </c>
      <c r="D294" s="1">
        <v>46165</v>
      </c>
      <c r="E294" s="1">
        <v>46170</v>
      </c>
      <c r="F294" s="1">
        <v>46170</v>
      </c>
      <c r="G294" s="1">
        <v>46170</v>
      </c>
      <c r="H294">
        <f t="shared" si="21"/>
        <v>0</v>
      </c>
      <c r="I294" t="str">
        <f t="shared" si="22"/>
        <v>SwiftShip</v>
      </c>
      <c r="J294" t="str">
        <f>VLOOKUP(A294,Orders!$A$2:$D$1201,4,FALSE)</f>
        <v>Delivered</v>
      </c>
      <c r="K294" t="str">
        <f t="shared" si="23"/>
        <v>On time</v>
      </c>
      <c r="L294" t="str">
        <f t="shared" si="24"/>
        <v>On time</v>
      </c>
      <c r="O294">
        <f t="shared" si="25"/>
        <v>0</v>
      </c>
    </row>
    <row r="295" spans="1:15">
      <c r="A295">
        <v>1307</v>
      </c>
      <c r="B295" t="s">
        <v>347</v>
      </c>
      <c r="C295" s="1">
        <v>46184</v>
      </c>
      <c r="D295" s="1">
        <v>46184</v>
      </c>
      <c r="E295" s="1">
        <v>46189</v>
      </c>
      <c r="F295" s="1">
        <v>46188</v>
      </c>
      <c r="G295" s="1">
        <v>46188</v>
      </c>
      <c r="H295">
        <f t="shared" si="21"/>
        <v>0</v>
      </c>
      <c r="I295" t="str">
        <f t="shared" si="22"/>
        <v>ParcelOne</v>
      </c>
      <c r="J295" t="str">
        <f>VLOOKUP(A295,Orders!$A$2:$D$1201,4,FALSE)</f>
        <v>Delivered</v>
      </c>
      <c r="K295" t="str">
        <f t="shared" si="23"/>
        <v>On time</v>
      </c>
      <c r="L295" t="str">
        <f t="shared" si="24"/>
        <v>On time</v>
      </c>
      <c r="O295">
        <f t="shared" si="25"/>
        <v>0</v>
      </c>
    </row>
    <row r="296" spans="1:15">
      <c r="A296">
        <v>1308</v>
      </c>
      <c r="B296" t="s">
        <v>346</v>
      </c>
      <c r="C296" s="1">
        <v>46092</v>
      </c>
      <c r="D296" s="1">
        <v>46092</v>
      </c>
      <c r="E296" s="1">
        <v>46097</v>
      </c>
      <c r="F296" s="1">
        <v>46097</v>
      </c>
      <c r="G296" s="1">
        <v>46097</v>
      </c>
      <c r="H296">
        <f t="shared" si="21"/>
        <v>0</v>
      </c>
      <c r="I296" t="str">
        <f t="shared" si="22"/>
        <v>SwiftShip</v>
      </c>
      <c r="J296" t="str">
        <f>VLOOKUP(A296,Orders!$A$2:$D$1201,4,FALSE)</f>
        <v>Delivered</v>
      </c>
      <c r="K296" t="str">
        <f t="shared" si="23"/>
        <v>On time</v>
      </c>
      <c r="L296" t="str">
        <f t="shared" si="24"/>
        <v>On time</v>
      </c>
      <c r="O296">
        <f t="shared" si="25"/>
        <v>0</v>
      </c>
    </row>
    <row r="297" spans="1:15">
      <c r="A297">
        <v>1309</v>
      </c>
      <c r="B297" t="s">
        <v>346</v>
      </c>
      <c r="C297" s="1">
        <v>46109</v>
      </c>
      <c r="D297" s="1">
        <v>46109</v>
      </c>
      <c r="E297" s="1">
        <v>46114</v>
      </c>
      <c r="F297" s="1">
        <v>46112</v>
      </c>
      <c r="G297" s="1">
        <v>46112</v>
      </c>
      <c r="H297">
        <f t="shared" si="21"/>
        <v>0</v>
      </c>
      <c r="I297" t="str">
        <f t="shared" si="22"/>
        <v>SwiftShip</v>
      </c>
      <c r="J297" t="str">
        <f>VLOOKUP(A297,Orders!$A$2:$D$1201,4,FALSE)</f>
        <v>Delivered</v>
      </c>
      <c r="K297" t="str">
        <f t="shared" si="23"/>
        <v>On time</v>
      </c>
      <c r="L297" t="str">
        <f t="shared" si="24"/>
        <v>On time</v>
      </c>
      <c r="O297">
        <f t="shared" si="25"/>
        <v>0</v>
      </c>
    </row>
    <row r="298" spans="1:15">
      <c r="A298">
        <v>1310</v>
      </c>
      <c r="B298" t="s">
        <v>348</v>
      </c>
      <c r="C298" s="1">
        <v>46189</v>
      </c>
      <c r="D298" s="1">
        <v>46190</v>
      </c>
      <c r="E298" s="1">
        <v>46194</v>
      </c>
      <c r="F298" s="1">
        <v>46196</v>
      </c>
      <c r="G298" s="1">
        <v>46196</v>
      </c>
      <c r="H298">
        <f t="shared" si="21"/>
        <v>0</v>
      </c>
      <c r="I298" t="str">
        <f t="shared" si="22"/>
        <v>MetroLogistics</v>
      </c>
      <c r="J298" t="str">
        <f>VLOOKUP(A298,Orders!$A$2:$D$1201,4,FALSE)</f>
        <v>Delivered</v>
      </c>
      <c r="K298" t="str">
        <f t="shared" si="23"/>
        <v>Late</v>
      </c>
      <c r="L298" t="str">
        <f t="shared" si="24"/>
        <v>Late</v>
      </c>
      <c r="O298">
        <f t="shared" si="25"/>
        <v>0</v>
      </c>
    </row>
    <row r="299" spans="1:15">
      <c r="A299">
        <v>1311</v>
      </c>
      <c r="B299" t="s">
        <v>346</v>
      </c>
      <c r="C299" s="1">
        <v>46105</v>
      </c>
      <c r="D299" s="1">
        <v>46106</v>
      </c>
      <c r="E299" s="1">
        <v>46110</v>
      </c>
      <c r="F299" s="1">
        <v>46110</v>
      </c>
      <c r="G299" s="1">
        <v>46110</v>
      </c>
      <c r="H299">
        <f t="shared" si="21"/>
        <v>0</v>
      </c>
      <c r="I299" t="str">
        <f t="shared" si="22"/>
        <v>SwiftShip</v>
      </c>
      <c r="J299" t="str">
        <f>VLOOKUP(A299,Orders!$A$2:$D$1201,4,FALSE)</f>
        <v>Delivered</v>
      </c>
      <c r="K299" t="str">
        <f t="shared" si="23"/>
        <v>On time</v>
      </c>
      <c r="L299" t="str">
        <f t="shared" si="24"/>
        <v>Late</v>
      </c>
      <c r="O299">
        <f t="shared" si="25"/>
        <v>0</v>
      </c>
    </row>
    <row r="300" spans="1:15">
      <c r="A300">
        <v>1312</v>
      </c>
      <c r="B300" t="s">
        <v>346</v>
      </c>
      <c r="C300" s="1">
        <v>46137</v>
      </c>
      <c r="D300" s="1">
        <v>46137</v>
      </c>
      <c r="E300" s="1">
        <v>46142</v>
      </c>
      <c r="H300">
        <f t="shared" si="21"/>
        <v>0</v>
      </c>
      <c r="I300" t="str">
        <f t="shared" si="22"/>
        <v>SwiftShip</v>
      </c>
      <c r="J300" t="str">
        <f>VLOOKUP(A300,Orders!$A$2:$D$1201,4,FALSE)</f>
        <v>Shipped</v>
      </c>
      <c r="K300" t="str">
        <f t="shared" si="23"/>
        <v>Not delivered</v>
      </c>
      <c r="L300" t="str">
        <f t="shared" si="24"/>
        <v>On time</v>
      </c>
      <c r="O300" t="str">
        <f t="shared" si="25"/>
        <v/>
      </c>
    </row>
    <row r="301" spans="1:15">
      <c r="A301">
        <v>1313</v>
      </c>
      <c r="B301" t="s">
        <v>347</v>
      </c>
      <c r="C301" s="1">
        <v>46094</v>
      </c>
      <c r="D301" s="1">
        <v>46094</v>
      </c>
      <c r="E301" s="1">
        <v>46099</v>
      </c>
      <c r="F301" s="1">
        <v>46097</v>
      </c>
      <c r="G301" s="1">
        <v>46099</v>
      </c>
      <c r="H301">
        <f t="shared" si="21"/>
        <v>0</v>
      </c>
      <c r="I301" t="str">
        <f t="shared" si="22"/>
        <v>ParcelOne</v>
      </c>
      <c r="J301" t="str">
        <f>VLOOKUP(A301,Orders!$A$2:$D$1201,4,FALSE)</f>
        <v>Delivered</v>
      </c>
      <c r="K301" t="str">
        <f t="shared" si="23"/>
        <v>On time</v>
      </c>
      <c r="L301" t="str">
        <f t="shared" si="24"/>
        <v>On time</v>
      </c>
      <c r="O301">
        <f t="shared" si="25"/>
        <v>2</v>
      </c>
    </row>
    <row r="302" spans="1:15">
      <c r="A302">
        <v>1314</v>
      </c>
      <c r="B302" t="s">
        <v>347</v>
      </c>
      <c r="C302" s="1">
        <v>46051</v>
      </c>
      <c r="D302" s="1">
        <v>46052</v>
      </c>
      <c r="E302" s="1">
        <v>46056</v>
      </c>
      <c r="F302" s="1">
        <v>46058</v>
      </c>
      <c r="G302" s="1">
        <v>46058</v>
      </c>
      <c r="H302">
        <f t="shared" si="21"/>
        <v>0</v>
      </c>
      <c r="I302" t="str">
        <f t="shared" si="22"/>
        <v>ParcelOne</v>
      </c>
      <c r="J302" t="str">
        <f>VLOOKUP(A302,Orders!$A$2:$D$1201,4,FALSE)</f>
        <v>Delivered</v>
      </c>
      <c r="K302" t="str">
        <f t="shared" si="23"/>
        <v>Late</v>
      </c>
      <c r="L302" t="str">
        <f t="shared" si="24"/>
        <v>Late</v>
      </c>
      <c r="O302">
        <f t="shared" si="25"/>
        <v>0</v>
      </c>
    </row>
    <row r="303" spans="1:15">
      <c r="A303">
        <v>1315</v>
      </c>
      <c r="B303" t="s">
        <v>347</v>
      </c>
      <c r="C303" s="1">
        <v>46148</v>
      </c>
      <c r="D303" s="1">
        <v>46148</v>
      </c>
      <c r="E303" s="1">
        <v>46153</v>
      </c>
      <c r="H303">
        <f t="shared" si="21"/>
        <v>0</v>
      </c>
      <c r="I303" t="str">
        <f t="shared" si="22"/>
        <v>ParcelOne</v>
      </c>
      <c r="J303" t="str">
        <f>VLOOKUP(A303,Orders!$A$2:$D$1201,4,FALSE)</f>
        <v>Shipped</v>
      </c>
      <c r="K303" t="str">
        <f t="shared" si="23"/>
        <v>Not delivered</v>
      </c>
      <c r="L303" t="str">
        <f t="shared" si="24"/>
        <v>On time</v>
      </c>
      <c r="O303" t="str">
        <f t="shared" si="25"/>
        <v/>
      </c>
    </row>
    <row r="304" spans="1:15">
      <c r="A304">
        <v>1317</v>
      </c>
      <c r="B304" t="s">
        <v>347</v>
      </c>
      <c r="C304" s="1">
        <v>46194</v>
      </c>
      <c r="D304" s="1">
        <v>46195</v>
      </c>
      <c r="E304" s="1">
        <v>46199</v>
      </c>
      <c r="F304" s="1">
        <v>46199</v>
      </c>
      <c r="G304" s="1">
        <v>46201</v>
      </c>
      <c r="H304">
        <f t="shared" si="21"/>
        <v>0</v>
      </c>
      <c r="I304" t="str">
        <f t="shared" si="22"/>
        <v>ParcelOne</v>
      </c>
      <c r="J304" t="str">
        <f>VLOOKUP(A304,Orders!$A$2:$D$1201,4,FALSE)</f>
        <v>Delivered</v>
      </c>
      <c r="K304" t="str">
        <f t="shared" si="23"/>
        <v>On time</v>
      </c>
      <c r="L304" t="str">
        <f t="shared" si="24"/>
        <v>Late</v>
      </c>
      <c r="O304">
        <f t="shared" si="25"/>
        <v>2</v>
      </c>
    </row>
    <row r="305" spans="1:15">
      <c r="A305">
        <v>1318</v>
      </c>
      <c r="B305" t="s">
        <v>347</v>
      </c>
      <c r="C305" s="1">
        <v>46027</v>
      </c>
      <c r="D305" s="1">
        <v>46027</v>
      </c>
      <c r="E305" s="1">
        <v>46032</v>
      </c>
      <c r="F305" s="1">
        <v>46036</v>
      </c>
      <c r="G305" s="1">
        <v>46036</v>
      </c>
      <c r="H305">
        <f t="shared" si="21"/>
        <v>0</v>
      </c>
      <c r="I305" t="str">
        <f t="shared" si="22"/>
        <v>ParcelOne</v>
      </c>
      <c r="J305" t="str">
        <f>VLOOKUP(A305,Orders!$A$2:$D$1201,4,FALSE)</f>
        <v>Delivered</v>
      </c>
      <c r="K305" t="str">
        <f t="shared" si="23"/>
        <v>Late</v>
      </c>
      <c r="L305" t="str">
        <f t="shared" si="24"/>
        <v>On time</v>
      </c>
      <c r="O305">
        <f t="shared" si="25"/>
        <v>0</v>
      </c>
    </row>
    <row r="306" spans="1:15">
      <c r="A306">
        <v>1319</v>
      </c>
      <c r="B306" t="s">
        <v>346</v>
      </c>
      <c r="C306" s="1">
        <v>46165</v>
      </c>
      <c r="D306" s="1">
        <v>46165</v>
      </c>
      <c r="E306" s="1">
        <v>46170</v>
      </c>
      <c r="F306" s="1">
        <v>46170</v>
      </c>
      <c r="G306" s="1">
        <v>46170</v>
      </c>
      <c r="H306">
        <f t="shared" si="21"/>
        <v>0</v>
      </c>
      <c r="I306" t="str">
        <f t="shared" si="22"/>
        <v>SwiftShip</v>
      </c>
      <c r="J306" t="str">
        <f>VLOOKUP(A306,Orders!$A$2:$D$1201,4,FALSE)</f>
        <v>Delivered</v>
      </c>
      <c r="K306" t="str">
        <f t="shared" si="23"/>
        <v>On time</v>
      </c>
      <c r="L306" t="str">
        <f t="shared" si="24"/>
        <v>On time</v>
      </c>
      <c r="O306">
        <f t="shared" si="25"/>
        <v>0</v>
      </c>
    </row>
    <row r="307" spans="1:15">
      <c r="A307">
        <v>1320</v>
      </c>
      <c r="B307" t="s">
        <v>348</v>
      </c>
      <c r="C307" s="1">
        <v>46139</v>
      </c>
      <c r="D307" s="1">
        <v>46139</v>
      </c>
      <c r="E307" s="1">
        <v>46144</v>
      </c>
      <c r="F307" s="1">
        <v>46142</v>
      </c>
      <c r="G307" s="1">
        <v>46142</v>
      </c>
      <c r="H307">
        <f t="shared" si="21"/>
        <v>0</v>
      </c>
      <c r="I307" t="str">
        <f t="shared" si="22"/>
        <v>MetroLogistics</v>
      </c>
      <c r="J307" t="str">
        <f>VLOOKUP(A307,Orders!$A$2:$D$1201,4,FALSE)</f>
        <v>Delivered</v>
      </c>
      <c r="K307" t="str">
        <f t="shared" si="23"/>
        <v>On time</v>
      </c>
      <c r="L307" t="str">
        <f t="shared" si="24"/>
        <v>On time</v>
      </c>
      <c r="O307">
        <f t="shared" si="25"/>
        <v>0</v>
      </c>
    </row>
    <row r="308" spans="1:15">
      <c r="A308">
        <v>1321</v>
      </c>
      <c r="B308" t="s">
        <v>348</v>
      </c>
      <c r="C308" s="1">
        <v>46183</v>
      </c>
      <c r="D308" s="1">
        <v>46184</v>
      </c>
      <c r="E308" s="1">
        <v>46188</v>
      </c>
      <c r="F308" s="1">
        <v>46190</v>
      </c>
      <c r="G308" s="1">
        <v>46190</v>
      </c>
      <c r="H308">
        <f t="shared" si="21"/>
        <v>0</v>
      </c>
      <c r="I308" t="str">
        <f t="shared" si="22"/>
        <v>MetroLogistics</v>
      </c>
      <c r="J308" t="str">
        <f>VLOOKUP(A308,Orders!$A$2:$D$1201,4,FALSE)</f>
        <v>Delivered</v>
      </c>
      <c r="K308" t="str">
        <f t="shared" si="23"/>
        <v>Late</v>
      </c>
      <c r="L308" t="str">
        <f t="shared" si="24"/>
        <v>Late</v>
      </c>
      <c r="O308">
        <f t="shared" si="25"/>
        <v>0</v>
      </c>
    </row>
    <row r="309" spans="1:15">
      <c r="A309">
        <v>1322</v>
      </c>
      <c r="B309" t="s">
        <v>348</v>
      </c>
      <c r="C309" s="1">
        <v>46178</v>
      </c>
      <c r="D309" s="1">
        <v>46178</v>
      </c>
      <c r="E309" s="1">
        <v>46183</v>
      </c>
      <c r="F309" s="1">
        <v>46183</v>
      </c>
      <c r="G309" s="1">
        <v>46183</v>
      </c>
      <c r="H309">
        <f t="shared" si="21"/>
        <v>0</v>
      </c>
      <c r="I309" t="str">
        <f t="shared" si="22"/>
        <v>MetroLogistics</v>
      </c>
      <c r="J309" t="str">
        <f>VLOOKUP(A309,Orders!$A$2:$D$1201,4,FALSE)</f>
        <v>Delivered</v>
      </c>
      <c r="K309" t="str">
        <f t="shared" si="23"/>
        <v>On time</v>
      </c>
      <c r="L309" t="str">
        <f t="shared" si="24"/>
        <v>On time</v>
      </c>
      <c r="O309">
        <f t="shared" si="25"/>
        <v>0</v>
      </c>
    </row>
    <row r="310" spans="1:15">
      <c r="A310">
        <v>1323</v>
      </c>
      <c r="B310" t="s">
        <v>347</v>
      </c>
      <c r="C310" s="1">
        <v>46158</v>
      </c>
      <c r="D310" s="1">
        <v>46158</v>
      </c>
      <c r="E310" s="1">
        <v>46163</v>
      </c>
      <c r="F310" s="1">
        <v>46164</v>
      </c>
      <c r="G310" s="1">
        <v>46164</v>
      </c>
      <c r="H310">
        <f t="shared" si="21"/>
        <v>0</v>
      </c>
      <c r="I310" t="str">
        <f t="shared" si="22"/>
        <v>ParcelOne</v>
      </c>
      <c r="J310" t="str">
        <f>VLOOKUP(A310,Orders!$A$2:$D$1201,4,FALSE)</f>
        <v>Delivered</v>
      </c>
      <c r="K310" t="str">
        <f t="shared" si="23"/>
        <v>Late</v>
      </c>
      <c r="L310" t="str">
        <f t="shared" si="24"/>
        <v>On time</v>
      </c>
      <c r="O310">
        <f t="shared" si="25"/>
        <v>0</v>
      </c>
    </row>
    <row r="311" spans="1:15">
      <c r="A311">
        <v>1324</v>
      </c>
      <c r="B311" t="s">
        <v>347</v>
      </c>
      <c r="C311" s="1">
        <v>46090</v>
      </c>
      <c r="D311" s="1">
        <v>46090</v>
      </c>
      <c r="E311" s="1">
        <v>46095</v>
      </c>
      <c r="F311" s="1">
        <v>46096</v>
      </c>
      <c r="G311" s="1">
        <v>46096</v>
      </c>
      <c r="H311">
        <f t="shared" si="21"/>
        <v>0</v>
      </c>
      <c r="I311" t="str">
        <f t="shared" si="22"/>
        <v>ParcelOne</v>
      </c>
      <c r="J311" t="str">
        <f>VLOOKUP(A311,Orders!$A$2:$D$1201,4,FALSE)</f>
        <v>Delivered</v>
      </c>
      <c r="K311" t="str">
        <f t="shared" si="23"/>
        <v>Late</v>
      </c>
      <c r="L311" t="str">
        <f t="shared" si="24"/>
        <v>On time</v>
      </c>
      <c r="O311">
        <f t="shared" si="25"/>
        <v>0</v>
      </c>
    </row>
    <row r="312" spans="1:15">
      <c r="A312">
        <v>1325</v>
      </c>
      <c r="B312" t="s">
        <v>346</v>
      </c>
      <c r="C312" s="1">
        <v>46131</v>
      </c>
      <c r="D312" s="1">
        <v>46131</v>
      </c>
      <c r="E312" s="1">
        <v>46136</v>
      </c>
      <c r="F312" s="1">
        <v>46137</v>
      </c>
      <c r="G312" s="1">
        <v>46137</v>
      </c>
      <c r="H312">
        <f t="shared" si="21"/>
        <v>0</v>
      </c>
      <c r="I312" t="str">
        <f t="shared" si="22"/>
        <v>SwiftShip</v>
      </c>
      <c r="J312" t="str">
        <f>VLOOKUP(A312,Orders!$A$2:$D$1201,4,FALSE)</f>
        <v>Delivered</v>
      </c>
      <c r="K312" t="str">
        <f t="shared" si="23"/>
        <v>Late</v>
      </c>
      <c r="L312" t="str">
        <f t="shared" si="24"/>
        <v>On time</v>
      </c>
      <c r="O312">
        <f t="shared" si="25"/>
        <v>0</v>
      </c>
    </row>
    <row r="313" spans="1:15">
      <c r="A313">
        <v>1326</v>
      </c>
      <c r="B313" t="s">
        <v>348</v>
      </c>
      <c r="C313" s="1">
        <v>46174</v>
      </c>
      <c r="D313" s="1">
        <v>46174</v>
      </c>
      <c r="E313" s="1">
        <v>46179</v>
      </c>
      <c r="F313" s="1">
        <v>46178</v>
      </c>
      <c r="G313" s="1">
        <v>46178</v>
      </c>
      <c r="H313">
        <f t="shared" si="21"/>
        <v>0</v>
      </c>
      <c r="I313" t="str">
        <f t="shared" si="22"/>
        <v>MetroLogistics</v>
      </c>
      <c r="J313" t="str">
        <f>VLOOKUP(A313,Orders!$A$2:$D$1201,4,FALSE)</f>
        <v>Delivered</v>
      </c>
      <c r="K313" t="str">
        <f t="shared" si="23"/>
        <v>On time</v>
      </c>
      <c r="L313" t="str">
        <f t="shared" si="24"/>
        <v>On time</v>
      </c>
      <c r="O313">
        <f t="shared" si="25"/>
        <v>0</v>
      </c>
    </row>
    <row r="314" spans="1:15">
      <c r="A314">
        <v>1328</v>
      </c>
      <c r="B314" t="s">
        <v>348</v>
      </c>
      <c r="C314" s="1">
        <v>46126</v>
      </c>
      <c r="D314" s="1">
        <v>46127</v>
      </c>
      <c r="E314" s="1">
        <v>46131</v>
      </c>
      <c r="H314">
        <f t="shared" si="21"/>
        <v>0</v>
      </c>
      <c r="I314" t="str">
        <f t="shared" si="22"/>
        <v>MetroLogistics</v>
      </c>
      <c r="J314" t="str">
        <f>VLOOKUP(A314,Orders!$A$2:$D$1201,4,FALSE)</f>
        <v>Shipped</v>
      </c>
      <c r="K314" t="str">
        <f t="shared" si="23"/>
        <v>Not delivered</v>
      </c>
      <c r="L314" t="str">
        <f t="shared" si="24"/>
        <v>Late</v>
      </c>
      <c r="O314" t="str">
        <f t="shared" si="25"/>
        <v/>
      </c>
    </row>
    <row r="315" spans="1:15">
      <c r="A315">
        <v>1329</v>
      </c>
      <c r="B315" t="s">
        <v>348</v>
      </c>
      <c r="C315" s="1">
        <v>46105</v>
      </c>
      <c r="D315" s="1">
        <v>46107</v>
      </c>
      <c r="E315" s="1">
        <v>46110</v>
      </c>
      <c r="F315" s="1">
        <v>46110</v>
      </c>
      <c r="G315" s="1">
        <v>46112</v>
      </c>
      <c r="H315">
        <f t="shared" si="21"/>
        <v>0</v>
      </c>
      <c r="I315" t="str">
        <f t="shared" si="22"/>
        <v>MetroLogistics</v>
      </c>
      <c r="J315" t="str">
        <f>VLOOKUP(A315,Orders!$A$2:$D$1201,4,FALSE)</f>
        <v>Delivered</v>
      </c>
      <c r="K315" t="str">
        <f t="shared" si="23"/>
        <v>On time</v>
      </c>
      <c r="L315" t="str">
        <f t="shared" si="24"/>
        <v>Late</v>
      </c>
      <c r="O315">
        <f t="shared" si="25"/>
        <v>2</v>
      </c>
    </row>
    <row r="316" spans="1:15">
      <c r="A316">
        <v>1330</v>
      </c>
      <c r="B316" t="s">
        <v>347</v>
      </c>
      <c r="C316" s="1">
        <v>46163</v>
      </c>
      <c r="D316" s="1">
        <v>46164</v>
      </c>
      <c r="E316" s="1">
        <v>46168</v>
      </c>
      <c r="F316" s="1">
        <v>46168</v>
      </c>
      <c r="G316" s="1">
        <v>46168</v>
      </c>
      <c r="H316">
        <f t="shared" si="21"/>
        <v>0</v>
      </c>
      <c r="I316" t="str">
        <f t="shared" si="22"/>
        <v>ParcelOne</v>
      </c>
      <c r="J316" t="str">
        <f>VLOOKUP(A316,Orders!$A$2:$D$1201,4,FALSE)</f>
        <v>Delivered</v>
      </c>
      <c r="K316" t="str">
        <f t="shared" si="23"/>
        <v>On time</v>
      </c>
      <c r="L316" t="str">
        <f t="shared" si="24"/>
        <v>Late</v>
      </c>
      <c r="O316">
        <f t="shared" si="25"/>
        <v>0</v>
      </c>
    </row>
    <row r="317" spans="1:15">
      <c r="A317">
        <v>1331</v>
      </c>
      <c r="B317" t="s">
        <v>347</v>
      </c>
      <c r="C317" s="1">
        <v>46031</v>
      </c>
      <c r="D317" s="1">
        <v>46031</v>
      </c>
      <c r="E317" s="1">
        <v>46036</v>
      </c>
      <c r="F317" s="1">
        <v>46034</v>
      </c>
      <c r="G317" s="1">
        <v>46034</v>
      </c>
      <c r="H317">
        <f t="shared" si="21"/>
        <v>0</v>
      </c>
      <c r="I317" t="str">
        <f t="shared" si="22"/>
        <v>ParcelOne</v>
      </c>
      <c r="J317" t="str">
        <f>VLOOKUP(A317,Orders!$A$2:$D$1201,4,FALSE)</f>
        <v>Delivered</v>
      </c>
      <c r="K317" t="str">
        <f t="shared" si="23"/>
        <v>On time</v>
      </c>
      <c r="L317" t="str">
        <f t="shared" si="24"/>
        <v>On time</v>
      </c>
      <c r="O317">
        <f t="shared" si="25"/>
        <v>0</v>
      </c>
    </row>
    <row r="318" spans="1:15">
      <c r="A318">
        <v>1332</v>
      </c>
      <c r="B318" t="s">
        <v>348</v>
      </c>
      <c r="C318" s="1">
        <v>46163</v>
      </c>
      <c r="D318" s="1">
        <v>46163</v>
      </c>
      <c r="E318" s="1">
        <v>46168</v>
      </c>
      <c r="F318" s="1">
        <v>46168</v>
      </c>
      <c r="G318" s="1">
        <v>46168</v>
      </c>
      <c r="H318">
        <f t="shared" si="21"/>
        <v>0</v>
      </c>
      <c r="I318" t="str">
        <f t="shared" si="22"/>
        <v>MetroLogistics</v>
      </c>
      <c r="J318" t="str">
        <f>VLOOKUP(A318,Orders!$A$2:$D$1201,4,FALSE)</f>
        <v>Delivered</v>
      </c>
      <c r="K318" t="str">
        <f t="shared" si="23"/>
        <v>On time</v>
      </c>
      <c r="L318" t="str">
        <f t="shared" si="24"/>
        <v>On time</v>
      </c>
      <c r="O318">
        <f t="shared" si="25"/>
        <v>0</v>
      </c>
    </row>
    <row r="319" spans="1:15">
      <c r="A319">
        <v>1333</v>
      </c>
      <c r="B319" t="s">
        <v>346</v>
      </c>
      <c r="C319" s="1">
        <v>46098</v>
      </c>
      <c r="D319" s="1">
        <v>46098</v>
      </c>
      <c r="E319" s="1">
        <v>46103</v>
      </c>
      <c r="F319" s="1">
        <v>46103</v>
      </c>
      <c r="G319" s="1">
        <v>46103</v>
      </c>
      <c r="H319">
        <f t="shared" si="21"/>
        <v>0</v>
      </c>
      <c r="I319" t="str">
        <f t="shared" si="22"/>
        <v>SwiftShip</v>
      </c>
      <c r="J319" t="str">
        <f>VLOOKUP(A319,Orders!$A$2:$D$1201,4,FALSE)</f>
        <v>Delivered</v>
      </c>
      <c r="K319" t="str">
        <f t="shared" si="23"/>
        <v>On time</v>
      </c>
      <c r="L319" t="str">
        <f t="shared" si="24"/>
        <v>On time</v>
      </c>
      <c r="O319">
        <f t="shared" si="25"/>
        <v>0</v>
      </c>
    </row>
    <row r="320" spans="1:15">
      <c r="A320">
        <v>1334</v>
      </c>
      <c r="B320" t="s">
        <v>348</v>
      </c>
      <c r="C320" s="1">
        <v>46082</v>
      </c>
      <c r="D320" s="1">
        <v>46082</v>
      </c>
      <c r="E320" s="1">
        <v>46087</v>
      </c>
      <c r="H320">
        <f t="shared" si="21"/>
        <v>0</v>
      </c>
      <c r="I320" t="str">
        <f t="shared" si="22"/>
        <v>MetroLogistics</v>
      </c>
      <c r="J320" t="str">
        <f>VLOOKUP(A320,Orders!$A$2:$D$1201,4,FALSE)</f>
        <v>Shipped</v>
      </c>
      <c r="K320" t="str">
        <f t="shared" si="23"/>
        <v>Not delivered</v>
      </c>
      <c r="L320" t="str">
        <f t="shared" si="24"/>
        <v>On time</v>
      </c>
      <c r="O320" t="str">
        <f t="shared" si="25"/>
        <v/>
      </c>
    </row>
    <row r="321" spans="1:15">
      <c r="A321">
        <v>1335</v>
      </c>
      <c r="B321" t="s">
        <v>346</v>
      </c>
      <c r="C321" s="1">
        <v>46044</v>
      </c>
      <c r="D321" s="1">
        <v>46044</v>
      </c>
      <c r="E321" s="1">
        <v>46049</v>
      </c>
      <c r="F321" s="1">
        <v>46048</v>
      </c>
      <c r="G321" s="1">
        <v>46048</v>
      </c>
      <c r="H321">
        <f t="shared" si="21"/>
        <v>0</v>
      </c>
      <c r="I321" t="str">
        <f t="shared" si="22"/>
        <v>SwiftShip</v>
      </c>
      <c r="J321" t="str">
        <f>VLOOKUP(A321,Orders!$A$2:$D$1201,4,FALSE)</f>
        <v>Delivered</v>
      </c>
      <c r="K321" t="str">
        <f t="shared" si="23"/>
        <v>On time</v>
      </c>
      <c r="L321" t="str">
        <f t="shared" si="24"/>
        <v>On time</v>
      </c>
      <c r="O321">
        <f t="shared" si="25"/>
        <v>0</v>
      </c>
    </row>
    <row r="322" spans="1:15">
      <c r="A322">
        <v>1336</v>
      </c>
      <c r="B322" t="s">
        <v>348</v>
      </c>
      <c r="C322" s="1">
        <v>46026</v>
      </c>
      <c r="D322" s="1">
        <v>46026</v>
      </c>
      <c r="E322" s="1">
        <v>46031</v>
      </c>
      <c r="F322" s="1">
        <v>46032</v>
      </c>
      <c r="G322" s="1">
        <v>46032</v>
      </c>
      <c r="H322">
        <f t="shared" si="21"/>
        <v>0</v>
      </c>
      <c r="I322" t="str">
        <f t="shared" si="22"/>
        <v>MetroLogistics</v>
      </c>
      <c r="J322" t="str">
        <f>VLOOKUP(A322,Orders!$A$2:$D$1201,4,FALSE)</f>
        <v>Delivered</v>
      </c>
      <c r="K322" t="str">
        <f t="shared" si="23"/>
        <v>Late</v>
      </c>
      <c r="L322" t="str">
        <f t="shared" si="24"/>
        <v>On time</v>
      </c>
      <c r="O322">
        <f t="shared" si="25"/>
        <v>0</v>
      </c>
    </row>
    <row r="323" spans="1:15">
      <c r="A323">
        <v>1337</v>
      </c>
      <c r="B323" t="s">
        <v>346</v>
      </c>
      <c r="C323" s="1">
        <v>46102</v>
      </c>
      <c r="D323" s="1">
        <v>46102</v>
      </c>
      <c r="E323" s="1">
        <v>46107</v>
      </c>
      <c r="F323" s="1">
        <v>46106</v>
      </c>
      <c r="G323" s="1">
        <v>46106</v>
      </c>
      <c r="H323">
        <f t="shared" ref="H323:H386" si="26">LEN(B323)-LEN(TRIM(B323))</f>
        <v>0</v>
      </c>
      <c r="I323" t="str">
        <f t="shared" ref="I323:I386" si="27">TRIM(B323)</f>
        <v>SwiftShip</v>
      </c>
      <c r="J323" t="str">
        <f>VLOOKUP(A323,Orders!$A$2:$D$1201,4,FALSE)</f>
        <v>Delivered</v>
      </c>
      <c r="K323" t="str">
        <f t="shared" ref="K323:K386" si="28">IF(J323&lt;&gt;"Delivered","Not delivered",IF(OR(E323="",F323=""),"Unknown",IF(F323&lt;=E323,"On time","Late")))</f>
        <v>On time</v>
      </c>
      <c r="L323" t="str">
        <f t="shared" ref="L323:L386" si="29">IF(D323="","Not dispatched",IF(C323="","Unknown",IF(D323&lt;=C323,"On time","Late")))</f>
        <v>On time</v>
      </c>
      <c r="O323">
        <f t="shared" ref="O323:O386" si="30">IF(OR(F323="",G323=""),"",G323-F323)</f>
        <v>0</v>
      </c>
    </row>
    <row r="324" spans="1:15">
      <c r="A324">
        <v>1338</v>
      </c>
      <c r="B324" t="s">
        <v>347</v>
      </c>
      <c r="C324" s="1">
        <v>46048</v>
      </c>
      <c r="D324" s="1">
        <v>46050</v>
      </c>
      <c r="E324" s="1">
        <v>46053</v>
      </c>
      <c r="F324" s="1">
        <v>46054</v>
      </c>
      <c r="G324" s="1">
        <v>46056</v>
      </c>
      <c r="H324">
        <f t="shared" si="26"/>
        <v>0</v>
      </c>
      <c r="I324" t="str">
        <f t="shared" si="27"/>
        <v>ParcelOne</v>
      </c>
      <c r="J324" t="str">
        <f>VLOOKUP(A324,Orders!$A$2:$D$1201,4,FALSE)</f>
        <v>Delivered</v>
      </c>
      <c r="K324" t="str">
        <f t="shared" si="28"/>
        <v>Late</v>
      </c>
      <c r="L324" t="str">
        <f t="shared" si="29"/>
        <v>Late</v>
      </c>
      <c r="O324">
        <f t="shared" si="30"/>
        <v>2</v>
      </c>
    </row>
    <row r="325" spans="1:15">
      <c r="A325">
        <v>1339</v>
      </c>
      <c r="B325" t="s">
        <v>347</v>
      </c>
      <c r="C325" s="1">
        <v>46054</v>
      </c>
      <c r="D325" s="1">
        <v>46056</v>
      </c>
      <c r="E325" s="1">
        <v>46059</v>
      </c>
      <c r="F325" s="1">
        <v>46060</v>
      </c>
      <c r="G325" s="1">
        <v>46060</v>
      </c>
      <c r="H325">
        <f t="shared" si="26"/>
        <v>0</v>
      </c>
      <c r="I325" t="str">
        <f t="shared" si="27"/>
        <v>ParcelOne</v>
      </c>
      <c r="J325" t="str">
        <f>VLOOKUP(A325,Orders!$A$2:$D$1201,4,FALSE)</f>
        <v>Delivered</v>
      </c>
      <c r="K325" t="str">
        <f t="shared" si="28"/>
        <v>Late</v>
      </c>
      <c r="L325" t="str">
        <f t="shared" si="29"/>
        <v>Late</v>
      </c>
      <c r="O325">
        <f t="shared" si="30"/>
        <v>0</v>
      </c>
    </row>
    <row r="326" spans="1:15">
      <c r="A326">
        <v>1340</v>
      </c>
      <c r="B326" t="s">
        <v>346</v>
      </c>
      <c r="C326" s="1">
        <v>46123</v>
      </c>
      <c r="D326" s="1">
        <v>46123</v>
      </c>
      <c r="E326" s="1">
        <v>46128</v>
      </c>
      <c r="F326" s="1">
        <v>46128</v>
      </c>
      <c r="G326" s="1">
        <v>46128</v>
      </c>
      <c r="H326">
        <f t="shared" si="26"/>
        <v>0</v>
      </c>
      <c r="I326" t="str">
        <f t="shared" si="27"/>
        <v>SwiftShip</v>
      </c>
      <c r="J326" t="str">
        <f>VLOOKUP(A326,Orders!$A$2:$D$1201,4,FALSE)</f>
        <v>Delivered</v>
      </c>
      <c r="K326" t="str">
        <f t="shared" si="28"/>
        <v>On time</v>
      </c>
      <c r="L326" t="str">
        <f t="shared" si="29"/>
        <v>On time</v>
      </c>
      <c r="O326">
        <f t="shared" si="30"/>
        <v>0</v>
      </c>
    </row>
    <row r="327" spans="1:15">
      <c r="A327">
        <v>1341</v>
      </c>
      <c r="B327" t="s">
        <v>348</v>
      </c>
      <c r="C327" s="1">
        <v>46191</v>
      </c>
      <c r="D327" s="1">
        <v>46193</v>
      </c>
      <c r="E327" s="1">
        <v>46196</v>
      </c>
      <c r="F327" s="1">
        <v>46197</v>
      </c>
      <c r="G327" s="1">
        <v>46197</v>
      </c>
      <c r="H327">
        <f t="shared" si="26"/>
        <v>0</v>
      </c>
      <c r="I327" t="str">
        <f t="shared" si="27"/>
        <v>MetroLogistics</v>
      </c>
      <c r="J327" t="str">
        <f>VLOOKUP(A327,Orders!$A$2:$D$1201,4,FALSE)</f>
        <v>Delivered</v>
      </c>
      <c r="K327" t="str">
        <f t="shared" si="28"/>
        <v>Late</v>
      </c>
      <c r="L327" t="str">
        <f t="shared" si="29"/>
        <v>Late</v>
      </c>
      <c r="O327">
        <f t="shared" si="30"/>
        <v>0</v>
      </c>
    </row>
    <row r="328" spans="1:15">
      <c r="A328">
        <v>1342</v>
      </c>
      <c r="B328" t="s">
        <v>347</v>
      </c>
      <c r="C328" s="1">
        <v>46041</v>
      </c>
      <c r="D328" s="1">
        <v>46041</v>
      </c>
      <c r="E328" s="1">
        <v>46046</v>
      </c>
      <c r="F328" s="1">
        <v>46047</v>
      </c>
      <c r="G328" s="1">
        <v>46047</v>
      </c>
      <c r="H328">
        <f t="shared" si="26"/>
        <v>0</v>
      </c>
      <c r="I328" t="str">
        <f t="shared" si="27"/>
        <v>ParcelOne</v>
      </c>
      <c r="J328" t="str">
        <f>VLOOKUP(A328,Orders!$A$2:$D$1201,4,FALSE)</f>
        <v>Delivered</v>
      </c>
      <c r="K328" t="str">
        <f t="shared" si="28"/>
        <v>Late</v>
      </c>
      <c r="L328" t="str">
        <f t="shared" si="29"/>
        <v>On time</v>
      </c>
      <c r="O328">
        <f t="shared" si="30"/>
        <v>0</v>
      </c>
    </row>
    <row r="329" spans="1:15">
      <c r="A329">
        <v>1343</v>
      </c>
      <c r="B329" t="s">
        <v>346</v>
      </c>
      <c r="C329" s="1">
        <v>46038</v>
      </c>
      <c r="D329" s="1">
        <v>46038</v>
      </c>
      <c r="E329" s="1">
        <v>46043</v>
      </c>
      <c r="F329" s="1">
        <v>46043</v>
      </c>
      <c r="G329" s="1">
        <v>46043</v>
      </c>
      <c r="H329">
        <f t="shared" si="26"/>
        <v>0</v>
      </c>
      <c r="I329" t="str">
        <f t="shared" si="27"/>
        <v>SwiftShip</v>
      </c>
      <c r="J329" t="str">
        <f>VLOOKUP(A329,Orders!$A$2:$D$1201,4,FALSE)</f>
        <v>Delivered</v>
      </c>
      <c r="K329" t="str">
        <f t="shared" si="28"/>
        <v>On time</v>
      </c>
      <c r="L329" t="str">
        <f t="shared" si="29"/>
        <v>On time</v>
      </c>
      <c r="O329">
        <f t="shared" si="30"/>
        <v>0</v>
      </c>
    </row>
    <row r="330" spans="1:15">
      <c r="A330">
        <v>1344</v>
      </c>
      <c r="B330" t="s">
        <v>346</v>
      </c>
      <c r="C330" s="1">
        <v>46197</v>
      </c>
      <c r="D330" s="1">
        <v>46199</v>
      </c>
      <c r="E330" s="1">
        <v>46202</v>
      </c>
      <c r="F330" s="1">
        <v>46201</v>
      </c>
      <c r="G330" s="1">
        <v>46201</v>
      </c>
      <c r="H330">
        <f t="shared" si="26"/>
        <v>0</v>
      </c>
      <c r="I330" t="str">
        <f t="shared" si="27"/>
        <v>SwiftShip</v>
      </c>
      <c r="J330" t="str">
        <f>VLOOKUP(A330,Orders!$A$2:$D$1201,4,FALSE)</f>
        <v>Delivered</v>
      </c>
      <c r="K330" t="str">
        <f t="shared" si="28"/>
        <v>On time</v>
      </c>
      <c r="L330" t="str">
        <f t="shared" si="29"/>
        <v>Late</v>
      </c>
      <c r="O330">
        <f t="shared" si="30"/>
        <v>0</v>
      </c>
    </row>
    <row r="331" spans="1:15">
      <c r="A331">
        <v>1345</v>
      </c>
      <c r="B331" t="s">
        <v>348</v>
      </c>
      <c r="C331" s="1">
        <v>46180</v>
      </c>
      <c r="D331" s="1">
        <v>46180</v>
      </c>
      <c r="E331" s="1">
        <v>46185</v>
      </c>
      <c r="F331" s="1">
        <v>46184</v>
      </c>
      <c r="G331" s="1">
        <v>46184</v>
      </c>
      <c r="H331">
        <f t="shared" si="26"/>
        <v>0</v>
      </c>
      <c r="I331" t="str">
        <f t="shared" si="27"/>
        <v>MetroLogistics</v>
      </c>
      <c r="J331" t="str">
        <f>VLOOKUP(A331,Orders!$A$2:$D$1201,4,FALSE)</f>
        <v>Delivered</v>
      </c>
      <c r="K331" t="str">
        <f t="shared" si="28"/>
        <v>On time</v>
      </c>
      <c r="L331" t="str">
        <f t="shared" si="29"/>
        <v>On time</v>
      </c>
      <c r="O331">
        <f t="shared" si="30"/>
        <v>0</v>
      </c>
    </row>
    <row r="332" spans="1:15">
      <c r="A332">
        <v>1346</v>
      </c>
      <c r="B332" t="s">
        <v>348</v>
      </c>
      <c r="C332" s="1">
        <v>46100</v>
      </c>
      <c r="D332" s="1">
        <v>46100</v>
      </c>
      <c r="E332" s="1">
        <v>46105</v>
      </c>
      <c r="H332">
        <f t="shared" si="26"/>
        <v>0</v>
      </c>
      <c r="I332" t="str">
        <f t="shared" si="27"/>
        <v>MetroLogistics</v>
      </c>
      <c r="J332" t="str">
        <f>VLOOKUP(A332,Orders!$A$2:$D$1201,4,FALSE)</f>
        <v>Shipped</v>
      </c>
      <c r="K332" t="str">
        <f t="shared" si="28"/>
        <v>Not delivered</v>
      </c>
      <c r="L332" t="str">
        <f t="shared" si="29"/>
        <v>On time</v>
      </c>
      <c r="O332" t="str">
        <f t="shared" si="30"/>
        <v/>
      </c>
    </row>
    <row r="333" spans="1:15">
      <c r="A333">
        <v>1347</v>
      </c>
      <c r="B333" t="s">
        <v>346</v>
      </c>
      <c r="C333" s="1">
        <v>46061</v>
      </c>
      <c r="D333" s="1">
        <v>46061</v>
      </c>
      <c r="E333" s="1">
        <v>46066</v>
      </c>
      <c r="F333" s="1">
        <v>46068</v>
      </c>
      <c r="G333" s="1">
        <v>46068</v>
      </c>
      <c r="H333">
        <f t="shared" si="26"/>
        <v>0</v>
      </c>
      <c r="I333" t="str">
        <f t="shared" si="27"/>
        <v>SwiftShip</v>
      </c>
      <c r="J333" t="str">
        <f>VLOOKUP(A333,Orders!$A$2:$D$1201,4,FALSE)</f>
        <v>Delivered</v>
      </c>
      <c r="K333" t="str">
        <f t="shared" si="28"/>
        <v>Late</v>
      </c>
      <c r="L333" t="str">
        <f t="shared" si="29"/>
        <v>On time</v>
      </c>
      <c r="O333">
        <f t="shared" si="30"/>
        <v>0</v>
      </c>
    </row>
    <row r="334" spans="1:15">
      <c r="A334">
        <v>1349</v>
      </c>
      <c r="B334" t="s">
        <v>346</v>
      </c>
      <c r="C334" s="1">
        <v>46182</v>
      </c>
      <c r="D334" s="1">
        <v>46183</v>
      </c>
      <c r="E334" s="1">
        <v>46187</v>
      </c>
      <c r="F334" s="1">
        <v>46191</v>
      </c>
      <c r="G334" s="1">
        <v>46193</v>
      </c>
      <c r="H334">
        <f t="shared" si="26"/>
        <v>0</v>
      </c>
      <c r="I334" t="str">
        <f t="shared" si="27"/>
        <v>SwiftShip</v>
      </c>
      <c r="J334" t="str">
        <f>VLOOKUP(A334,Orders!$A$2:$D$1201,4,FALSE)</f>
        <v>Delivered</v>
      </c>
      <c r="K334" t="str">
        <f t="shared" si="28"/>
        <v>Late</v>
      </c>
      <c r="L334" t="str">
        <f t="shared" si="29"/>
        <v>Late</v>
      </c>
      <c r="O334">
        <f t="shared" si="30"/>
        <v>2</v>
      </c>
    </row>
    <row r="335" spans="1:15">
      <c r="A335">
        <v>1350</v>
      </c>
      <c r="B335" t="s">
        <v>346</v>
      </c>
      <c r="C335" s="1">
        <v>46190</v>
      </c>
      <c r="D335" s="1">
        <v>46190</v>
      </c>
      <c r="E335" s="1">
        <v>46195</v>
      </c>
      <c r="F335" s="1">
        <v>46196</v>
      </c>
      <c r="G335" s="1">
        <v>46196</v>
      </c>
      <c r="H335">
        <f t="shared" si="26"/>
        <v>0</v>
      </c>
      <c r="I335" t="str">
        <f t="shared" si="27"/>
        <v>SwiftShip</v>
      </c>
      <c r="J335" t="str">
        <f>VLOOKUP(A335,Orders!$A$2:$D$1201,4,FALSE)</f>
        <v>Delivered</v>
      </c>
      <c r="K335" t="str">
        <f t="shared" si="28"/>
        <v>Late</v>
      </c>
      <c r="L335" t="str">
        <f t="shared" si="29"/>
        <v>On time</v>
      </c>
      <c r="O335">
        <f t="shared" si="30"/>
        <v>0</v>
      </c>
    </row>
    <row r="336" spans="1:15">
      <c r="A336">
        <v>1351</v>
      </c>
      <c r="B336" t="s">
        <v>346</v>
      </c>
      <c r="C336" s="1">
        <v>46183</v>
      </c>
      <c r="D336" s="1">
        <v>46183</v>
      </c>
      <c r="E336" s="1">
        <v>46188</v>
      </c>
      <c r="F336" s="1">
        <v>46187</v>
      </c>
      <c r="G336" s="1">
        <v>46187</v>
      </c>
      <c r="H336">
        <f t="shared" si="26"/>
        <v>0</v>
      </c>
      <c r="I336" t="str">
        <f t="shared" si="27"/>
        <v>SwiftShip</v>
      </c>
      <c r="J336" t="str">
        <f>VLOOKUP(A336,Orders!$A$2:$D$1201,4,FALSE)</f>
        <v>Delivered</v>
      </c>
      <c r="K336" t="str">
        <f t="shared" si="28"/>
        <v>On time</v>
      </c>
      <c r="L336" t="str">
        <f t="shared" si="29"/>
        <v>On time</v>
      </c>
      <c r="O336">
        <f t="shared" si="30"/>
        <v>0</v>
      </c>
    </row>
    <row r="337" spans="1:15">
      <c r="A337">
        <v>1352</v>
      </c>
      <c r="B337" t="s">
        <v>346</v>
      </c>
      <c r="C337" s="1">
        <v>46134</v>
      </c>
      <c r="D337" s="1">
        <v>46134</v>
      </c>
      <c r="E337" s="1">
        <v>46139</v>
      </c>
      <c r="F337" s="1">
        <v>46139</v>
      </c>
      <c r="G337" s="1">
        <v>46139</v>
      </c>
      <c r="H337">
        <f t="shared" si="26"/>
        <v>0</v>
      </c>
      <c r="I337" t="str">
        <f t="shared" si="27"/>
        <v>SwiftShip</v>
      </c>
      <c r="J337" t="str">
        <f>VLOOKUP(A337,Orders!$A$2:$D$1201,4,FALSE)</f>
        <v>Delivered</v>
      </c>
      <c r="K337" t="str">
        <f t="shared" si="28"/>
        <v>On time</v>
      </c>
      <c r="L337" t="str">
        <f t="shared" si="29"/>
        <v>On time</v>
      </c>
      <c r="O337">
        <f t="shared" si="30"/>
        <v>0</v>
      </c>
    </row>
    <row r="338" spans="1:15">
      <c r="A338">
        <v>1353</v>
      </c>
      <c r="B338" t="s">
        <v>347</v>
      </c>
      <c r="C338" s="1">
        <v>46147</v>
      </c>
      <c r="D338" s="1">
        <v>46147</v>
      </c>
      <c r="E338" s="1">
        <v>46152</v>
      </c>
      <c r="F338" s="1">
        <v>46150</v>
      </c>
      <c r="G338" s="1">
        <v>46150</v>
      </c>
      <c r="H338">
        <f t="shared" si="26"/>
        <v>0</v>
      </c>
      <c r="I338" t="str">
        <f t="shared" si="27"/>
        <v>ParcelOne</v>
      </c>
      <c r="J338" t="str">
        <f>VLOOKUP(A338,Orders!$A$2:$D$1201,4,FALSE)</f>
        <v>Delivered</v>
      </c>
      <c r="K338" t="str">
        <f t="shared" si="28"/>
        <v>On time</v>
      </c>
      <c r="L338" t="str">
        <f t="shared" si="29"/>
        <v>On time</v>
      </c>
      <c r="O338">
        <f t="shared" si="30"/>
        <v>0</v>
      </c>
    </row>
    <row r="339" spans="1:15">
      <c r="A339">
        <v>1354</v>
      </c>
      <c r="B339" t="s">
        <v>348</v>
      </c>
      <c r="C339" s="1">
        <v>46162</v>
      </c>
      <c r="D339" s="1">
        <v>46164</v>
      </c>
      <c r="E339" s="1">
        <v>46167</v>
      </c>
      <c r="F339" s="1">
        <v>46167</v>
      </c>
      <c r="G339" s="1">
        <v>46167</v>
      </c>
      <c r="H339">
        <f t="shared" si="26"/>
        <v>0</v>
      </c>
      <c r="I339" t="str">
        <f t="shared" si="27"/>
        <v>MetroLogistics</v>
      </c>
      <c r="J339" t="str">
        <f>VLOOKUP(A339,Orders!$A$2:$D$1201,4,FALSE)</f>
        <v>Delivered</v>
      </c>
      <c r="K339" t="str">
        <f t="shared" si="28"/>
        <v>On time</v>
      </c>
      <c r="L339" t="str">
        <f t="shared" si="29"/>
        <v>Late</v>
      </c>
      <c r="O339">
        <f t="shared" si="30"/>
        <v>0</v>
      </c>
    </row>
    <row r="340" spans="1:15">
      <c r="A340">
        <v>1355</v>
      </c>
      <c r="B340" t="s">
        <v>348</v>
      </c>
      <c r="C340" s="1">
        <v>46145</v>
      </c>
      <c r="D340" s="1">
        <v>46145</v>
      </c>
      <c r="E340" s="1">
        <v>46150</v>
      </c>
      <c r="F340" s="1">
        <v>46150</v>
      </c>
      <c r="G340" s="1">
        <v>46150</v>
      </c>
      <c r="H340">
        <f t="shared" si="26"/>
        <v>0</v>
      </c>
      <c r="I340" t="str">
        <f t="shared" si="27"/>
        <v>MetroLogistics</v>
      </c>
      <c r="J340" t="str">
        <f>VLOOKUP(A340,Orders!$A$2:$D$1201,4,FALSE)</f>
        <v>Delivered</v>
      </c>
      <c r="K340" t="str">
        <f t="shared" si="28"/>
        <v>On time</v>
      </c>
      <c r="L340" t="str">
        <f t="shared" si="29"/>
        <v>On time</v>
      </c>
      <c r="O340">
        <f t="shared" si="30"/>
        <v>0</v>
      </c>
    </row>
    <row r="341" spans="1:15">
      <c r="A341">
        <v>1356</v>
      </c>
      <c r="B341" t="s">
        <v>347</v>
      </c>
      <c r="C341" s="1">
        <v>46027</v>
      </c>
      <c r="D341" s="1">
        <v>46029</v>
      </c>
      <c r="E341" s="1">
        <v>46032</v>
      </c>
      <c r="F341" s="1">
        <v>46030</v>
      </c>
      <c r="G341" s="1">
        <v>46030</v>
      </c>
      <c r="H341">
        <f t="shared" si="26"/>
        <v>0</v>
      </c>
      <c r="I341" t="str">
        <f t="shared" si="27"/>
        <v>ParcelOne</v>
      </c>
      <c r="J341" t="str">
        <f>VLOOKUP(A341,Orders!$A$2:$D$1201,4,FALSE)</f>
        <v>Delivered</v>
      </c>
      <c r="K341" t="str">
        <f t="shared" si="28"/>
        <v>On time</v>
      </c>
      <c r="L341" t="str">
        <f t="shared" si="29"/>
        <v>Late</v>
      </c>
      <c r="O341">
        <f t="shared" si="30"/>
        <v>0</v>
      </c>
    </row>
    <row r="342" spans="1:15">
      <c r="A342">
        <v>1357</v>
      </c>
      <c r="B342" t="s">
        <v>346</v>
      </c>
      <c r="C342" s="1">
        <v>46041</v>
      </c>
      <c r="D342" s="1">
        <v>46041</v>
      </c>
      <c r="E342" s="1">
        <v>46046</v>
      </c>
      <c r="F342" s="1">
        <v>46047</v>
      </c>
      <c r="G342" s="1">
        <v>46047</v>
      </c>
      <c r="H342">
        <f t="shared" si="26"/>
        <v>0</v>
      </c>
      <c r="I342" t="str">
        <f t="shared" si="27"/>
        <v>SwiftShip</v>
      </c>
      <c r="J342" t="str">
        <f>VLOOKUP(A342,Orders!$A$2:$D$1201,4,FALSE)</f>
        <v>Delivered</v>
      </c>
      <c r="K342" t="str">
        <f t="shared" si="28"/>
        <v>Late</v>
      </c>
      <c r="L342" t="str">
        <f t="shared" si="29"/>
        <v>On time</v>
      </c>
      <c r="O342">
        <f t="shared" si="30"/>
        <v>0</v>
      </c>
    </row>
    <row r="343" spans="1:15">
      <c r="A343">
        <v>1358</v>
      </c>
      <c r="B343" t="s">
        <v>347</v>
      </c>
      <c r="C343" s="1">
        <v>46036</v>
      </c>
      <c r="D343" s="1">
        <v>46037</v>
      </c>
      <c r="E343" s="1">
        <v>46041</v>
      </c>
      <c r="F343" s="1">
        <v>46041</v>
      </c>
      <c r="G343" s="1">
        <v>46041</v>
      </c>
      <c r="H343">
        <f t="shared" si="26"/>
        <v>0</v>
      </c>
      <c r="I343" t="str">
        <f t="shared" si="27"/>
        <v>ParcelOne</v>
      </c>
      <c r="J343" t="str">
        <f>VLOOKUP(A343,Orders!$A$2:$D$1201,4,FALSE)</f>
        <v>Delivered</v>
      </c>
      <c r="K343" t="str">
        <f t="shared" si="28"/>
        <v>On time</v>
      </c>
      <c r="L343" t="str">
        <f t="shared" si="29"/>
        <v>Late</v>
      </c>
      <c r="O343">
        <f t="shared" si="30"/>
        <v>0</v>
      </c>
    </row>
    <row r="344" spans="1:15">
      <c r="A344">
        <v>1359</v>
      </c>
      <c r="B344" t="s">
        <v>346</v>
      </c>
      <c r="C344" s="1">
        <v>46121</v>
      </c>
      <c r="D344" s="1">
        <v>46121</v>
      </c>
      <c r="E344" s="1">
        <v>46126</v>
      </c>
      <c r="F344" s="1">
        <v>46126</v>
      </c>
      <c r="G344" s="1">
        <v>46127</v>
      </c>
      <c r="H344">
        <f t="shared" si="26"/>
        <v>0</v>
      </c>
      <c r="I344" t="str">
        <f t="shared" si="27"/>
        <v>SwiftShip</v>
      </c>
      <c r="J344" t="str">
        <f>VLOOKUP(A344,Orders!$A$2:$D$1201,4,FALSE)</f>
        <v>Delivered</v>
      </c>
      <c r="K344" t="str">
        <f t="shared" si="28"/>
        <v>On time</v>
      </c>
      <c r="L344" t="str">
        <f t="shared" si="29"/>
        <v>On time</v>
      </c>
      <c r="O344">
        <f t="shared" si="30"/>
        <v>1</v>
      </c>
    </row>
    <row r="345" spans="1:15">
      <c r="A345">
        <v>1361</v>
      </c>
      <c r="B345" t="s">
        <v>346</v>
      </c>
      <c r="C345" s="1">
        <v>46079</v>
      </c>
      <c r="D345" s="1">
        <v>46080</v>
      </c>
      <c r="E345" s="1">
        <v>46084</v>
      </c>
      <c r="F345" s="1">
        <v>46085</v>
      </c>
      <c r="G345" s="1">
        <v>46085</v>
      </c>
      <c r="H345">
        <f t="shared" si="26"/>
        <v>0</v>
      </c>
      <c r="I345" t="str">
        <f t="shared" si="27"/>
        <v>SwiftShip</v>
      </c>
      <c r="J345" t="str">
        <f>VLOOKUP(A345,Orders!$A$2:$D$1201,4,FALSE)</f>
        <v>Delivered</v>
      </c>
      <c r="K345" t="str">
        <f t="shared" si="28"/>
        <v>Late</v>
      </c>
      <c r="L345" t="str">
        <f t="shared" si="29"/>
        <v>Late</v>
      </c>
      <c r="O345">
        <f t="shared" si="30"/>
        <v>0</v>
      </c>
    </row>
    <row r="346" spans="1:15">
      <c r="A346">
        <v>1362</v>
      </c>
      <c r="B346" t="s">
        <v>347</v>
      </c>
      <c r="C346" s="1">
        <v>46147</v>
      </c>
      <c r="D346" s="1">
        <v>46147</v>
      </c>
      <c r="E346" s="1">
        <v>46152</v>
      </c>
      <c r="F346" s="1">
        <v>46152</v>
      </c>
      <c r="G346" s="1">
        <v>46153</v>
      </c>
      <c r="H346">
        <f t="shared" si="26"/>
        <v>0</v>
      </c>
      <c r="I346" t="str">
        <f t="shared" si="27"/>
        <v>ParcelOne</v>
      </c>
      <c r="J346" t="str">
        <f>VLOOKUP(A346,Orders!$A$2:$D$1201,4,FALSE)</f>
        <v>Delivered</v>
      </c>
      <c r="K346" t="str">
        <f t="shared" si="28"/>
        <v>On time</v>
      </c>
      <c r="L346" t="str">
        <f t="shared" si="29"/>
        <v>On time</v>
      </c>
      <c r="O346">
        <f t="shared" si="30"/>
        <v>1</v>
      </c>
    </row>
    <row r="347" spans="1:15">
      <c r="A347">
        <v>1363</v>
      </c>
      <c r="B347" t="s">
        <v>346</v>
      </c>
      <c r="C347" s="1">
        <v>46039</v>
      </c>
      <c r="D347" s="1">
        <v>46039</v>
      </c>
      <c r="E347" s="1">
        <v>46044</v>
      </c>
      <c r="F347" s="1">
        <v>46044</v>
      </c>
      <c r="G347" s="1">
        <v>46044</v>
      </c>
      <c r="H347">
        <f t="shared" si="26"/>
        <v>0</v>
      </c>
      <c r="I347" t="str">
        <f t="shared" si="27"/>
        <v>SwiftShip</v>
      </c>
      <c r="J347" t="str">
        <f>VLOOKUP(A347,Orders!$A$2:$D$1201,4,FALSE)</f>
        <v>Delivered</v>
      </c>
      <c r="K347" t="str">
        <f t="shared" si="28"/>
        <v>On time</v>
      </c>
      <c r="L347" t="str">
        <f t="shared" si="29"/>
        <v>On time</v>
      </c>
      <c r="O347">
        <f t="shared" si="30"/>
        <v>0</v>
      </c>
    </row>
    <row r="348" spans="1:15">
      <c r="A348">
        <v>1364</v>
      </c>
      <c r="B348" t="s">
        <v>346</v>
      </c>
      <c r="C348" s="1">
        <v>46068</v>
      </c>
      <c r="D348" s="1">
        <v>46070</v>
      </c>
      <c r="E348" s="1">
        <v>46073</v>
      </c>
      <c r="F348" s="1">
        <v>46073</v>
      </c>
      <c r="G348" s="1">
        <v>46073</v>
      </c>
      <c r="H348">
        <f t="shared" si="26"/>
        <v>0</v>
      </c>
      <c r="I348" t="str">
        <f t="shared" si="27"/>
        <v>SwiftShip</v>
      </c>
      <c r="J348" t="str">
        <f>VLOOKUP(A348,Orders!$A$2:$D$1201,4,FALSE)</f>
        <v>Delivered</v>
      </c>
      <c r="K348" t="str">
        <f t="shared" si="28"/>
        <v>On time</v>
      </c>
      <c r="L348" t="str">
        <f t="shared" si="29"/>
        <v>Late</v>
      </c>
      <c r="O348">
        <f t="shared" si="30"/>
        <v>0</v>
      </c>
    </row>
    <row r="349" spans="1:15">
      <c r="A349">
        <v>1365</v>
      </c>
      <c r="B349" t="s">
        <v>348</v>
      </c>
      <c r="C349" s="1">
        <v>46123</v>
      </c>
      <c r="D349" s="1">
        <v>46124</v>
      </c>
      <c r="E349" s="1">
        <v>46128</v>
      </c>
      <c r="F349" s="1">
        <v>46128</v>
      </c>
      <c r="G349" s="1">
        <v>46128</v>
      </c>
      <c r="H349">
        <f t="shared" si="26"/>
        <v>0</v>
      </c>
      <c r="I349" t="str">
        <f t="shared" si="27"/>
        <v>MetroLogistics</v>
      </c>
      <c r="J349" t="str">
        <f>VLOOKUP(A349,Orders!$A$2:$D$1201,4,FALSE)</f>
        <v>Delivered</v>
      </c>
      <c r="K349" t="str">
        <f t="shared" si="28"/>
        <v>On time</v>
      </c>
      <c r="L349" t="str">
        <f t="shared" si="29"/>
        <v>Late</v>
      </c>
      <c r="O349">
        <f t="shared" si="30"/>
        <v>0</v>
      </c>
    </row>
    <row r="350" spans="1:15">
      <c r="A350">
        <v>1366</v>
      </c>
      <c r="B350" t="s">
        <v>348</v>
      </c>
      <c r="C350" s="1">
        <v>46178</v>
      </c>
      <c r="D350" s="1">
        <v>46178</v>
      </c>
      <c r="E350" s="1">
        <v>46183</v>
      </c>
      <c r="F350" s="1">
        <v>46183</v>
      </c>
      <c r="G350" s="1">
        <v>46183</v>
      </c>
      <c r="H350">
        <f t="shared" si="26"/>
        <v>0</v>
      </c>
      <c r="I350" t="str">
        <f t="shared" si="27"/>
        <v>MetroLogistics</v>
      </c>
      <c r="J350" t="str">
        <f>VLOOKUP(A350,Orders!$A$2:$D$1201,4,FALSE)</f>
        <v>Delivered</v>
      </c>
      <c r="K350" t="str">
        <f t="shared" si="28"/>
        <v>On time</v>
      </c>
      <c r="L350" t="str">
        <f t="shared" si="29"/>
        <v>On time</v>
      </c>
      <c r="O350">
        <f t="shared" si="30"/>
        <v>0</v>
      </c>
    </row>
    <row r="351" spans="1:15">
      <c r="A351">
        <v>1367</v>
      </c>
      <c r="B351" t="s">
        <v>347</v>
      </c>
      <c r="C351" s="1">
        <v>46134</v>
      </c>
      <c r="D351" s="1">
        <v>46134</v>
      </c>
      <c r="E351" s="1">
        <v>46139</v>
      </c>
      <c r="F351" s="1">
        <v>46139</v>
      </c>
      <c r="G351" s="1">
        <v>46139</v>
      </c>
      <c r="H351">
        <f t="shared" si="26"/>
        <v>0</v>
      </c>
      <c r="I351" t="str">
        <f t="shared" si="27"/>
        <v>ParcelOne</v>
      </c>
      <c r="J351" t="str">
        <f>VLOOKUP(A351,Orders!$A$2:$D$1201,4,FALSE)</f>
        <v>Delivered</v>
      </c>
      <c r="K351" t="str">
        <f t="shared" si="28"/>
        <v>On time</v>
      </c>
      <c r="L351" t="str">
        <f t="shared" si="29"/>
        <v>On time</v>
      </c>
      <c r="O351">
        <f t="shared" si="30"/>
        <v>0</v>
      </c>
    </row>
    <row r="352" spans="1:15">
      <c r="A352">
        <v>1368</v>
      </c>
      <c r="B352" t="s">
        <v>348</v>
      </c>
      <c r="C352" s="1">
        <v>46097</v>
      </c>
      <c r="D352" s="1">
        <v>46097</v>
      </c>
      <c r="E352" s="1">
        <v>46102</v>
      </c>
      <c r="F352" s="1">
        <v>46101</v>
      </c>
      <c r="G352" s="1">
        <v>46101</v>
      </c>
      <c r="H352">
        <f t="shared" si="26"/>
        <v>0</v>
      </c>
      <c r="I352" t="str">
        <f t="shared" si="27"/>
        <v>MetroLogistics</v>
      </c>
      <c r="J352" t="str">
        <f>VLOOKUP(A352,Orders!$A$2:$D$1201,4,FALSE)</f>
        <v>Delivered</v>
      </c>
      <c r="K352" t="str">
        <f t="shared" si="28"/>
        <v>On time</v>
      </c>
      <c r="L352" t="str">
        <f t="shared" si="29"/>
        <v>On time</v>
      </c>
      <c r="O352">
        <f t="shared" si="30"/>
        <v>0</v>
      </c>
    </row>
    <row r="353" spans="1:15">
      <c r="A353">
        <v>1369</v>
      </c>
      <c r="B353" t="s">
        <v>346</v>
      </c>
      <c r="C353" s="1">
        <v>46077</v>
      </c>
      <c r="D353" s="1">
        <v>46077</v>
      </c>
      <c r="E353" s="1">
        <v>46082</v>
      </c>
      <c r="F353" s="1">
        <v>46082</v>
      </c>
      <c r="G353" s="1">
        <v>46083</v>
      </c>
      <c r="H353">
        <f t="shared" si="26"/>
        <v>0</v>
      </c>
      <c r="I353" t="str">
        <f t="shared" si="27"/>
        <v>SwiftShip</v>
      </c>
      <c r="J353" t="str">
        <f>VLOOKUP(A353,Orders!$A$2:$D$1201,4,FALSE)</f>
        <v>Delivered</v>
      </c>
      <c r="K353" t="str">
        <f t="shared" si="28"/>
        <v>On time</v>
      </c>
      <c r="L353" t="str">
        <f t="shared" si="29"/>
        <v>On time</v>
      </c>
      <c r="O353">
        <f t="shared" si="30"/>
        <v>1</v>
      </c>
    </row>
    <row r="354" spans="1:15">
      <c r="A354">
        <v>1370</v>
      </c>
      <c r="B354" t="s">
        <v>348</v>
      </c>
      <c r="C354" s="1">
        <v>46169</v>
      </c>
      <c r="D354" s="1">
        <v>46169</v>
      </c>
      <c r="E354" s="1">
        <v>46174</v>
      </c>
      <c r="F354" s="1">
        <v>46174</v>
      </c>
      <c r="G354" s="1">
        <v>46176</v>
      </c>
      <c r="H354">
        <f t="shared" si="26"/>
        <v>0</v>
      </c>
      <c r="I354" t="str">
        <f t="shared" si="27"/>
        <v>MetroLogistics</v>
      </c>
      <c r="J354" t="str">
        <f>VLOOKUP(A354,Orders!$A$2:$D$1201,4,FALSE)</f>
        <v>Delivered</v>
      </c>
      <c r="K354" t="str">
        <f t="shared" si="28"/>
        <v>On time</v>
      </c>
      <c r="L354" t="str">
        <f t="shared" si="29"/>
        <v>On time</v>
      </c>
      <c r="O354">
        <f t="shared" si="30"/>
        <v>2</v>
      </c>
    </row>
    <row r="355" spans="1:15">
      <c r="A355">
        <v>1371</v>
      </c>
      <c r="B355" t="s">
        <v>348</v>
      </c>
      <c r="C355" s="1">
        <v>46113</v>
      </c>
      <c r="D355" s="1">
        <v>46113</v>
      </c>
      <c r="E355" s="1">
        <v>46118</v>
      </c>
      <c r="F355" s="1">
        <v>46118</v>
      </c>
      <c r="G355" s="1">
        <v>46118</v>
      </c>
      <c r="H355">
        <f t="shared" si="26"/>
        <v>0</v>
      </c>
      <c r="I355" t="str">
        <f t="shared" si="27"/>
        <v>MetroLogistics</v>
      </c>
      <c r="J355" t="str">
        <f>VLOOKUP(A355,Orders!$A$2:$D$1201,4,FALSE)</f>
        <v>Delivered</v>
      </c>
      <c r="K355" t="str">
        <f t="shared" si="28"/>
        <v>On time</v>
      </c>
      <c r="L355" t="str">
        <f t="shared" si="29"/>
        <v>On time</v>
      </c>
      <c r="O355">
        <f t="shared" si="30"/>
        <v>0</v>
      </c>
    </row>
    <row r="356" spans="1:15">
      <c r="A356">
        <v>1372</v>
      </c>
      <c r="B356" t="s">
        <v>348</v>
      </c>
      <c r="C356" s="1">
        <v>46182</v>
      </c>
      <c r="D356" s="1">
        <v>46183</v>
      </c>
      <c r="E356" s="1">
        <v>46187</v>
      </c>
      <c r="F356" s="1">
        <v>46188</v>
      </c>
      <c r="G356" s="1">
        <v>46188</v>
      </c>
      <c r="H356">
        <f t="shared" si="26"/>
        <v>0</v>
      </c>
      <c r="I356" t="str">
        <f t="shared" si="27"/>
        <v>MetroLogistics</v>
      </c>
      <c r="J356" t="str">
        <f>VLOOKUP(A356,Orders!$A$2:$D$1201,4,FALSE)</f>
        <v>Delivered</v>
      </c>
      <c r="K356" t="str">
        <f t="shared" si="28"/>
        <v>Late</v>
      </c>
      <c r="L356" t="str">
        <f t="shared" si="29"/>
        <v>Late</v>
      </c>
      <c r="O356">
        <f t="shared" si="30"/>
        <v>0</v>
      </c>
    </row>
    <row r="357" spans="1:15">
      <c r="A357">
        <v>1373</v>
      </c>
      <c r="B357" t="s">
        <v>346</v>
      </c>
      <c r="C357" s="1">
        <v>46136</v>
      </c>
      <c r="D357" s="1">
        <v>46136</v>
      </c>
      <c r="E357" s="1">
        <v>46141</v>
      </c>
      <c r="F357" s="1">
        <v>46142</v>
      </c>
      <c r="G357" s="1">
        <v>46144</v>
      </c>
      <c r="H357">
        <f t="shared" si="26"/>
        <v>0</v>
      </c>
      <c r="I357" t="str">
        <f t="shared" si="27"/>
        <v>SwiftShip</v>
      </c>
      <c r="J357" t="str">
        <f>VLOOKUP(A357,Orders!$A$2:$D$1201,4,FALSE)</f>
        <v>Delivered</v>
      </c>
      <c r="K357" t="str">
        <f t="shared" si="28"/>
        <v>Late</v>
      </c>
      <c r="L357" t="str">
        <f t="shared" si="29"/>
        <v>On time</v>
      </c>
      <c r="O357">
        <f t="shared" si="30"/>
        <v>2</v>
      </c>
    </row>
    <row r="358" spans="1:15">
      <c r="A358">
        <v>1374</v>
      </c>
      <c r="B358" t="s">
        <v>346</v>
      </c>
      <c r="C358" s="1">
        <v>46182</v>
      </c>
      <c r="D358" s="1">
        <v>46182</v>
      </c>
      <c r="E358" s="1">
        <v>46187</v>
      </c>
      <c r="F358" s="1">
        <v>46187</v>
      </c>
      <c r="G358" s="1">
        <v>46188</v>
      </c>
      <c r="H358">
        <f t="shared" si="26"/>
        <v>0</v>
      </c>
      <c r="I358" t="str">
        <f t="shared" si="27"/>
        <v>SwiftShip</v>
      </c>
      <c r="J358" t="str">
        <f>VLOOKUP(A358,Orders!$A$2:$D$1201,4,FALSE)</f>
        <v>Delivered</v>
      </c>
      <c r="K358" t="str">
        <f t="shared" si="28"/>
        <v>On time</v>
      </c>
      <c r="L358" t="str">
        <f t="shared" si="29"/>
        <v>On time</v>
      </c>
      <c r="O358">
        <f t="shared" si="30"/>
        <v>1</v>
      </c>
    </row>
    <row r="359" spans="1:15">
      <c r="A359">
        <v>1375</v>
      </c>
      <c r="B359" t="s">
        <v>346</v>
      </c>
      <c r="C359" s="1">
        <v>46074</v>
      </c>
      <c r="D359" s="1">
        <v>46074</v>
      </c>
      <c r="E359" s="1">
        <v>46079</v>
      </c>
      <c r="F359" s="1">
        <v>46077</v>
      </c>
      <c r="G359" s="1">
        <v>46077</v>
      </c>
      <c r="H359">
        <f t="shared" si="26"/>
        <v>0</v>
      </c>
      <c r="I359" t="str">
        <f t="shared" si="27"/>
        <v>SwiftShip</v>
      </c>
      <c r="J359" t="str">
        <f>VLOOKUP(A359,Orders!$A$2:$D$1201,4,FALSE)</f>
        <v>Delivered</v>
      </c>
      <c r="K359" t="str">
        <f t="shared" si="28"/>
        <v>On time</v>
      </c>
      <c r="L359" t="str">
        <f t="shared" si="29"/>
        <v>On time</v>
      </c>
      <c r="O359">
        <f t="shared" si="30"/>
        <v>0</v>
      </c>
    </row>
    <row r="360" spans="1:15">
      <c r="A360">
        <v>1376</v>
      </c>
      <c r="B360" t="s">
        <v>348</v>
      </c>
      <c r="C360" s="1">
        <v>46127</v>
      </c>
      <c r="D360" s="1">
        <v>46129</v>
      </c>
      <c r="E360" s="1">
        <v>46132</v>
      </c>
      <c r="F360" s="1">
        <v>46132</v>
      </c>
      <c r="G360" s="1">
        <v>46132</v>
      </c>
      <c r="H360">
        <f t="shared" si="26"/>
        <v>0</v>
      </c>
      <c r="I360" t="str">
        <f t="shared" si="27"/>
        <v>MetroLogistics</v>
      </c>
      <c r="J360" t="str">
        <f>VLOOKUP(A360,Orders!$A$2:$D$1201,4,FALSE)</f>
        <v>Delivered</v>
      </c>
      <c r="K360" t="str">
        <f t="shared" si="28"/>
        <v>On time</v>
      </c>
      <c r="L360" t="str">
        <f t="shared" si="29"/>
        <v>Late</v>
      </c>
      <c r="O360">
        <f t="shared" si="30"/>
        <v>0</v>
      </c>
    </row>
    <row r="361" spans="1:15">
      <c r="A361">
        <v>1377</v>
      </c>
      <c r="B361" t="s">
        <v>347</v>
      </c>
      <c r="C361" s="1">
        <v>46174</v>
      </c>
      <c r="D361" s="1">
        <v>46174</v>
      </c>
      <c r="E361" s="1">
        <v>46179</v>
      </c>
      <c r="F361" s="1">
        <v>46179</v>
      </c>
      <c r="G361" s="1">
        <v>46179</v>
      </c>
      <c r="H361">
        <f t="shared" si="26"/>
        <v>0</v>
      </c>
      <c r="I361" t="str">
        <f t="shared" si="27"/>
        <v>ParcelOne</v>
      </c>
      <c r="J361" t="str">
        <f>VLOOKUP(A361,Orders!$A$2:$D$1201,4,FALSE)</f>
        <v>Delivered</v>
      </c>
      <c r="K361" t="str">
        <f t="shared" si="28"/>
        <v>On time</v>
      </c>
      <c r="L361" t="str">
        <f t="shared" si="29"/>
        <v>On time</v>
      </c>
      <c r="O361">
        <f t="shared" si="30"/>
        <v>0</v>
      </c>
    </row>
    <row r="362" spans="1:15">
      <c r="A362">
        <v>1378</v>
      </c>
      <c r="B362" t="s">
        <v>346</v>
      </c>
      <c r="C362" s="1">
        <v>46129</v>
      </c>
      <c r="D362" s="1">
        <v>46129</v>
      </c>
      <c r="E362" s="1">
        <v>46134</v>
      </c>
      <c r="F362" s="1">
        <v>46133</v>
      </c>
      <c r="G362" s="1">
        <v>46133</v>
      </c>
      <c r="H362">
        <f t="shared" si="26"/>
        <v>0</v>
      </c>
      <c r="I362" t="str">
        <f t="shared" si="27"/>
        <v>SwiftShip</v>
      </c>
      <c r="J362" t="str">
        <f>VLOOKUP(A362,Orders!$A$2:$D$1201,4,FALSE)</f>
        <v>Delivered</v>
      </c>
      <c r="K362" t="str">
        <f t="shared" si="28"/>
        <v>On time</v>
      </c>
      <c r="L362" t="str">
        <f t="shared" si="29"/>
        <v>On time</v>
      </c>
      <c r="O362">
        <f t="shared" si="30"/>
        <v>0</v>
      </c>
    </row>
    <row r="363" spans="1:15">
      <c r="A363">
        <v>1379</v>
      </c>
      <c r="B363" t="s">
        <v>346</v>
      </c>
      <c r="C363" s="1">
        <v>46162</v>
      </c>
      <c r="D363" s="1">
        <v>46162</v>
      </c>
      <c r="E363" s="1">
        <v>46167</v>
      </c>
      <c r="F363" s="1">
        <v>46168</v>
      </c>
      <c r="G363" s="1">
        <v>46170</v>
      </c>
      <c r="H363">
        <f t="shared" si="26"/>
        <v>0</v>
      </c>
      <c r="I363" t="str">
        <f t="shared" si="27"/>
        <v>SwiftShip</v>
      </c>
      <c r="J363" t="str">
        <f>VLOOKUP(A363,Orders!$A$2:$D$1201,4,FALSE)</f>
        <v>Delivered</v>
      </c>
      <c r="K363" t="str">
        <f t="shared" si="28"/>
        <v>Late</v>
      </c>
      <c r="L363" t="str">
        <f t="shared" si="29"/>
        <v>On time</v>
      </c>
      <c r="O363">
        <f t="shared" si="30"/>
        <v>2</v>
      </c>
    </row>
    <row r="364" spans="1:15">
      <c r="A364">
        <v>1380</v>
      </c>
      <c r="B364" t="s">
        <v>347</v>
      </c>
      <c r="C364" s="1">
        <v>46199</v>
      </c>
      <c r="D364" s="1">
        <v>46199</v>
      </c>
      <c r="E364" s="1">
        <v>46204</v>
      </c>
      <c r="F364" s="1">
        <v>46208</v>
      </c>
      <c r="G364" s="1">
        <v>46208</v>
      </c>
      <c r="H364">
        <f t="shared" si="26"/>
        <v>0</v>
      </c>
      <c r="I364" t="str">
        <f t="shared" si="27"/>
        <v>ParcelOne</v>
      </c>
      <c r="J364" t="str">
        <f>VLOOKUP(A364,Orders!$A$2:$D$1201,4,FALSE)</f>
        <v>Delivered</v>
      </c>
      <c r="K364" t="str">
        <f t="shared" si="28"/>
        <v>Late</v>
      </c>
      <c r="L364" t="str">
        <f t="shared" si="29"/>
        <v>On time</v>
      </c>
      <c r="O364">
        <f t="shared" si="30"/>
        <v>0</v>
      </c>
    </row>
    <row r="365" spans="1:15">
      <c r="A365">
        <v>1381</v>
      </c>
      <c r="B365" t="s">
        <v>348</v>
      </c>
      <c r="C365" s="1">
        <v>46105</v>
      </c>
      <c r="D365" s="1">
        <v>46105</v>
      </c>
      <c r="E365" s="1">
        <v>46110</v>
      </c>
      <c r="F365" s="1">
        <v>46111</v>
      </c>
      <c r="G365" s="1">
        <v>46111</v>
      </c>
      <c r="H365">
        <f t="shared" si="26"/>
        <v>0</v>
      </c>
      <c r="I365" t="str">
        <f t="shared" si="27"/>
        <v>MetroLogistics</v>
      </c>
      <c r="J365" t="str">
        <f>VLOOKUP(A365,Orders!$A$2:$D$1201,4,FALSE)</f>
        <v>Delivered</v>
      </c>
      <c r="K365" t="str">
        <f t="shared" si="28"/>
        <v>Late</v>
      </c>
      <c r="L365" t="str">
        <f t="shared" si="29"/>
        <v>On time</v>
      </c>
      <c r="O365">
        <f t="shared" si="30"/>
        <v>0</v>
      </c>
    </row>
    <row r="366" spans="1:15">
      <c r="A366">
        <v>1382</v>
      </c>
      <c r="B366" t="s">
        <v>347</v>
      </c>
      <c r="C366" s="1">
        <v>46070</v>
      </c>
      <c r="D366" s="1">
        <v>46070</v>
      </c>
      <c r="E366" s="1">
        <v>46075</v>
      </c>
      <c r="F366" s="1">
        <v>46076</v>
      </c>
      <c r="G366" s="1">
        <v>46078</v>
      </c>
      <c r="H366">
        <f t="shared" si="26"/>
        <v>0</v>
      </c>
      <c r="I366" t="str">
        <f t="shared" si="27"/>
        <v>ParcelOne</v>
      </c>
      <c r="J366" t="str">
        <f>VLOOKUP(A366,Orders!$A$2:$D$1201,4,FALSE)</f>
        <v>Delivered</v>
      </c>
      <c r="K366" t="str">
        <f t="shared" si="28"/>
        <v>Late</v>
      </c>
      <c r="L366" t="str">
        <f t="shared" si="29"/>
        <v>On time</v>
      </c>
      <c r="O366">
        <f t="shared" si="30"/>
        <v>2</v>
      </c>
    </row>
    <row r="367" spans="1:15">
      <c r="A367">
        <v>1383</v>
      </c>
      <c r="B367" t="s">
        <v>347</v>
      </c>
      <c r="C367" s="1">
        <v>46152</v>
      </c>
      <c r="D367" s="1">
        <v>46153</v>
      </c>
      <c r="E367" s="1">
        <v>46157</v>
      </c>
      <c r="F367" s="1">
        <v>46157</v>
      </c>
      <c r="G367" s="1">
        <v>46157</v>
      </c>
      <c r="H367">
        <f t="shared" si="26"/>
        <v>0</v>
      </c>
      <c r="I367" t="str">
        <f t="shared" si="27"/>
        <v>ParcelOne</v>
      </c>
      <c r="J367" t="str">
        <f>VLOOKUP(A367,Orders!$A$2:$D$1201,4,FALSE)</f>
        <v>Delivered</v>
      </c>
      <c r="K367" t="str">
        <f t="shared" si="28"/>
        <v>On time</v>
      </c>
      <c r="L367" t="str">
        <f t="shared" si="29"/>
        <v>Late</v>
      </c>
      <c r="O367">
        <f t="shared" si="30"/>
        <v>0</v>
      </c>
    </row>
    <row r="368" spans="1:15">
      <c r="A368">
        <v>1384</v>
      </c>
      <c r="B368" t="s">
        <v>346</v>
      </c>
      <c r="C368" s="1">
        <v>46045</v>
      </c>
      <c r="D368" s="1">
        <v>46045</v>
      </c>
      <c r="E368" s="1">
        <v>46050</v>
      </c>
      <c r="F368" s="1">
        <v>46054</v>
      </c>
      <c r="G368" s="1">
        <v>46055</v>
      </c>
      <c r="H368">
        <f t="shared" si="26"/>
        <v>0</v>
      </c>
      <c r="I368" t="str">
        <f t="shared" si="27"/>
        <v>SwiftShip</v>
      </c>
      <c r="J368" t="str">
        <f>VLOOKUP(A368,Orders!$A$2:$D$1201,4,FALSE)</f>
        <v>Delivered</v>
      </c>
      <c r="K368" t="str">
        <f t="shared" si="28"/>
        <v>Late</v>
      </c>
      <c r="L368" t="str">
        <f t="shared" si="29"/>
        <v>On time</v>
      </c>
      <c r="O368">
        <f t="shared" si="30"/>
        <v>1</v>
      </c>
    </row>
    <row r="369" spans="1:15">
      <c r="A369">
        <v>1385</v>
      </c>
      <c r="B369" t="s">
        <v>347</v>
      </c>
      <c r="C369" s="1">
        <v>46150</v>
      </c>
      <c r="D369" s="1">
        <v>46150</v>
      </c>
      <c r="E369" s="1">
        <v>46155</v>
      </c>
      <c r="F369" s="1">
        <v>46155</v>
      </c>
      <c r="G369" s="1">
        <v>46157</v>
      </c>
      <c r="H369">
        <f t="shared" si="26"/>
        <v>0</v>
      </c>
      <c r="I369" t="str">
        <f t="shared" si="27"/>
        <v>ParcelOne</v>
      </c>
      <c r="J369" t="str">
        <f>VLOOKUP(A369,Orders!$A$2:$D$1201,4,FALSE)</f>
        <v>Delivered</v>
      </c>
      <c r="K369" t="str">
        <f t="shared" si="28"/>
        <v>On time</v>
      </c>
      <c r="L369" t="str">
        <f t="shared" si="29"/>
        <v>On time</v>
      </c>
      <c r="O369">
        <f t="shared" si="30"/>
        <v>2</v>
      </c>
    </row>
    <row r="370" spans="1:15">
      <c r="A370">
        <v>1386</v>
      </c>
      <c r="B370" t="s">
        <v>348</v>
      </c>
      <c r="C370" s="1">
        <v>46153</v>
      </c>
      <c r="D370" s="1">
        <v>46153</v>
      </c>
      <c r="E370" s="1">
        <v>46158</v>
      </c>
      <c r="F370" s="1">
        <v>46156</v>
      </c>
      <c r="G370" s="1">
        <v>46156</v>
      </c>
      <c r="H370">
        <f t="shared" si="26"/>
        <v>0</v>
      </c>
      <c r="I370" t="str">
        <f t="shared" si="27"/>
        <v>MetroLogistics</v>
      </c>
      <c r="J370" t="str">
        <f>VLOOKUP(A370,Orders!$A$2:$D$1201,4,FALSE)</f>
        <v>Delivered</v>
      </c>
      <c r="K370" t="str">
        <f t="shared" si="28"/>
        <v>On time</v>
      </c>
      <c r="L370" t="str">
        <f t="shared" si="29"/>
        <v>On time</v>
      </c>
      <c r="O370">
        <f t="shared" si="30"/>
        <v>0</v>
      </c>
    </row>
    <row r="371" spans="1:15">
      <c r="A371">
        <v>1387</v>
      </c>
      <c r="B371" t="s">
        <v>346</v>
      </c>
      <c r="C371" s="1">
        <v>46050</v>
      </c>
      <c r="D371" s="1">
        <v>46050</v>
      </c>
      <c r="E371" s="1">
        <v>46055</v>
      </c>
      <c r="F371" s="1">
        <v>46055</v>
      </c>
      <c r="G371" s="1">
        <v>46055</v>
      </c>
      <c r="H371">
        <f t="shared" si="26"/>
        <v>0</v>
      </c>
      <c r="I371" t="str">
        <f t="shared" si="27"/>
        <v>SwiftShip</v>
      </c>
      <c r="J371" t="str">
        <f>VLOOKUP(A371,Orders!$A$2:$D$1201,4,FALSE)</f>
        <v>Delivered</v>
      </c>
      <c r="K371" t="str">
        <f t="shared" si="28"/>
        <v>On time</v>
      </c>
      <c r="L371" t="str">
        <f t="shared" si="29"/>
        <v>On time</v>
      </c>
      <c r="O371">
        <f t="shared" si="30"/>
        <v>0</v>
      </c>
    </row>
    <row r="372" spans="1:15">
      <c r="A372">
        <v>1388</v>
      </c>
      <c r="B372" t="s">
        <v>348</v>
      </c>
      <c r="C372" s="1">
        <v>46072</v>
      </c>
      <c r="D372" s="1">
        <v>46072</v>
      </c>
      <c r="E372" s="1">
        <v>46077</v>
      </c>
      <c r="F372" s="1">
        <v>46076</v>
      </c>
      <c r="G372" s="1">
        <v>46076</v>
      </c>
      <c r="H372">
        <f t="shared" si="26"/>
        <v>0</v>
      </c>
      <c r="I372" t="str">
        <f t="shared" si="27"/>
        <v>MetroLogistics</v>
      </c>
      <c r="J372" t="str">
        <f>VLOOKUP(A372,Orders!$A$2:$D$1201,4,FALSE)</f>
        <v>Delivered</v>
      </c>
      <c r="K372" t="str">
        <f t="shared" si="28"/>
        <v>On time</v>
      </c>
      <c r="L372" t="str">
        <f t="shared" si="29"/>
        <v>On time</v>
      </c>
      <c r="O372">
        <f t="shared" si="30"/>
        <v>0</v>
      </c>
    </row>
    <row r="373" spans="1:15">
      <c r="A373">
        <v>1389</v>
      </c>
      <c r="B373" t="s">
        <v>347</v>
      </c>
      <c r="C373" s="1">
        <v>46200</v>
      </c>
      <c r="D373" s="1">
        <v>46200</v>
      </c>
      <c r="E373" s="1">
        <v>46205</v>
      </c>
      <c r="F373" s="1">
        <v>46209</v>
      </c>
      <c r="G373" s="1">
        <v>46209</v>
      </c>
      <c r="H373">
        <f t="shared" si="26"/>
        <v>0</v>
      </c>
      <c r="I373" t="str">
        <f t="shared" si="27"/>
        <v>ParcelOne</v>
      </c>
      <c r="J373" t="str">
        <f>VLOOKUP(A373,Orders!$A$2:$D$1201,4,FALSE)</f>
        <v>Delivered</v>
      </c>
      <c r="K373" t="str">
        <f t="shared" si="28"/>
        <v>Late</v>
      </c>
      <c r="L373" t="str">
        <f t="shared" si="29"/>
        <v>On time</v>
      </c>
      <c r="O373">
        <f t="shared" si="30"/>
        <v>0</v>
      </c>
    </row>
    <row r="374" spans="1:15">
      <c r="A374">
        <v>1390</v>
      </c>
      <c r="B374" t="s">
        <v>348</v>
      </c>
      <c r="C374" s="1">
        <v>46070</v>
      </c>
      <c r="D374" s="1">
        <v>46070</v>
      </c>
      <c r="E374" s="1">
        <v>46075</v>
      </c>
      <c r="F374" s="1">
        <v>46075</v>
      </c>
      <c r="G374" s="1">
        <v>46075</v>
      </c>
      <c r="H374">
        <f t="shared" si="26"/>
        <v>0</v>
      </c>
      <c r="I374" t="str">
        <f t="shared" si="27"/>
        <v>MetroLogistics</v>
      </c>
      <c r="J374" t="str">
        <f>VLOOKUP(A374,Orders!$A$2:$D$1201,4,FALSE)</f>
        <v>Delivered</v>
      </c>
      <c r="K374" t="str">
        <f t="shared" si="28"/>
        <v>On time</v>
      </c>
      <c r="L374" t="str">
        <f t="shared" si="29"/>
        <v>On time</v>
      </c>
      <c r="O374">
        <f t="shared" si="30"/>
        <v>0</v>
      </c>
    </row>
    <row r="375" spans="1:15">
      <c r="A375">
        <v>1391</v>
      </c>
      <c r="B375" t="s">
        <v>346</v>
      </c>
      <c r="C375" s="1">
        <v>46066</v>
      </c>
      <c r="D375" s="1">
        <v>46066</v>
      </c>
      <c r="E375" s="1">
        <v>46071</v>
      </c>
      <c r="F375" s="1">
        <v>46071</v>
      </c>
      <c r="G375" s="1">
        <v>46071</v>
      </c>
      <c r="H375">
        <f t="shared" si="26"/>
        <v>0</v>
      </c>
      <c r="I375" t="str">
        <f t="shared" si="27"/>
        <v>SwiftShip</v>
      </c>
      <c r="J375" t="str">
        <f>VLOOKUP(A375,Orders!$A$2:$D$1201,4,FALSE)</f>
        <v>Delivered</v>
      </c>
      <c r="K375" t="str">
        <f t="shared" si="28"/>
        <v>On time</v>
      </c>
      <c r="L375" t="str">
        <f t="shared" si="29"/>
        <v>On time</v>
      </c>
      <c r="O375">
        <f t="shared" si="30"/>
        <v>0</v>
      </c>
    </row>
    <row r="376" spans="1:15">
      <c r="A376">
        <v>1392</v>
      </c>
      <c r="B376" t="s">
        <v>348</v>
      </c>
      <c r="C376" s="1">
        <v>46113</v>
      </c>
      <c r="D376" s="1">
        <v>46115</v>
      </c>
      <c r="E376" s="1">
        <v>46118</v>
      </c>
      <c r="F376" s="1">
        <v>46118</v>
      </c>
      <c r="G376" s="1">
        <v>46118</v>
      </c>
      <c r="H376">
        <f t="shared" si="26"/>
        <v>0</v>
      </c>
      <c r="I376" t="str">
        <f t="shared" si="27"/>
        <v>MetroLogistics</v>
      </c>
      <c r="J376" t="str">
        <f>VLOOKUP(A376,Orders!$A$2:$D$1201,4,FALSE)</f>
        <v>Delivered</v>
      </c>
      <c r="K376" t="str">
        <f t="shared" si="28"/>
        <v>On time</v>
      </c>
      <c r="L376" t="str">
        <f t="shared" si="29"/>
        <v>Late</v>
      </c>
      <c r="O376">
        <f t="shared" si="30"/>
        <v>0</v>
      </c>
    </row>
    <row r="377" spans="1:15">
      <c r="A377">
        <v>1393</v>
      </c>
      <c r="B377" t="s">
        <v>348</v>
      </c>
      <c r="C377" s="1">
        <v>46149</v>
      </c>
      <c r="D377" s="1">
        <v>46149</v>
      </c>
      <c r="E377" s="1">
        <v>46154</v>
      </c>
      <c r="F377" s="1">
        <v>46158</v>
      </c>
      <c r="G377" s="1">
        <v>46159</v>
      </c>
      <c r="H377">
        <f t="shared" si="26"/>
        <v>0</v>
      </c>
      <c r="I377" t="str">
        <f t="shared" si="27"/>
        <v>MetroLogistics</v>
      </c>
      <c r="J377" t="str">
        <f>VLOOKUP(A377,Orders!$A$2:$D$1201,4,FALSE)</f>
        <v>Delivered</v>
      </c>
      <c r="K377" t="str">
        <f t="shared" si="28"/>
        <v>Late</v>
      </c>
      <c r="L377" t="str">
        <f t="shared" si="29"/>
        <v>On time</v>
      </c>
      <c r="O377">
        <f t="shared" si="30"/>
        <v>1</v>
      </c>
    </row>
    <row r="378" spans="1:15">
      <c r="A378">
        <v>1394</v>
      </c>
      <c r="B378" t="s">
        <v>346</v>
      </c>
      <c r="C378" s="1">
        <v>46111</v>
      </c>
      <c r="D378" s="1">
        <v>46111</v>
      </c>
      <c r="E378" s="1">
        <v>46116</v>
      </c>
      <c r="F378" s="1">
        <v>46116</v>
      </c>
      <c r="G378" s="1">
        <v>46116</v>
      </c>
      <c r="H378">
        <f t="shared" si="26"/>
        <v>0</v>
      </c>
      <c r="I378" t="str">
        <f t="shared" si="27"/>
        <v>SwiftShip</v>
      </c>
      <c r="J378" t="str">
        <f>VLOOKUP(A378,Orders!$A$2:$D$1201,4,FALSE)</f>
        <v>Delivered</v>
      </c>
      <c r="K378" t="str">
        <f t="shared" si="28"/>
        <v>On time</v>
      </c>
      <c r="L378" t="str">
        <f t="shared" si="29"/>
        <v>On time</v>
      </c>
      <c r="O378">
        <f t="shared" si="30"/>
        <v>0</v>
      </c>
    </row>
    <row r="379" spans="1:15">
      <c r="A379">
        <v>1395</v>
      </c>
      <c r="B379" t="s">
        <v>347</v>
      </c>
      <c r="C379" s="1">
        <v>46179</v>
      </c>
      <c r="D379" s="1">
        <v>46179</v>
      </c>
      <c r="E379" s="1">
        <v>46184</v>
      </c>
      <c r="F379" s="1">
        <v>46186</v>
      </c>
      <c r="G379" s="1">
        <v>46186</v>
      </c>
      <c r="H379">
        <f t="shared" si="26"/>
        <v>0</v>
      </c>
      <c r="I379" t="str">
        <f t="shared" si="27"/>
        <v>ParcelOne</v>
      </c>
      <c r="J379" t="str">
        <f>VLOOKUP(A379,Orders!$A$2:$D$1201,4,FALSE)</f>
        <v>Delivered</v>
      </c>
      <c r="K379" t="str">
        <f t="shared" si="28"/>
        <v>Late</v>
      </c>
      <c r="L379" t="str">
        <f t="shared" si="29"/>
        <v>On time</v>
      </c>
      <c r="O379">
        <f t="shared" si="30"/>
        <v>0</v>
      </c>
    </row>
    <row r="380" spans="1:15">
      <c r="A380">
        <v>1396</v>
      </c>
      <c r="B380" t="s">
        <v>348</v>
      </c>
      <c r="C380" s="1">
        <v>46194</v>
      </c>
      <c r="D380" s="1">
        <v>46194</v>
      </c>
      <c r="E380" s="1">
        <v>46199</v>
      </c>
      <c r="F380" s="1">
        <v>46197</v>
      </c>
      <c r="G380" s="1">
        <v>46198</v>
      </c>
      <c r="H380">
        <f t="shared" si="26"/>
        <v>0</v>
      </c>
      <c r="I380" t="str">
        <f t="shared" si="27"/>
        <v>MetroLogistics</v>
      </c>
      <c r="J380" t="str">
        <f>VLOOKUP(A380,Orders!$A$2:$D$1201,4,FALSE)</f>
        <v>Delivered</v>
      </c>
      <c r="K380" t="str">
        <f t="shared" si="28"/>
        <v>On time</v>
      </c>
      <c r="L380" t="str">
        <f t="shared" si="29"/>
        <v>On time</v>
      </c>
      <c r="O380">
        <f t="shared" si="30"/>
        <v>1</v>
      </c>
    </row>
    <row r="381" spans="1:15">
      <c r="A381">
        <v>1397</v>
      </c>
      <c r="B381" t="s">
        <v>348</v>
      </c>
      <c r="C381" s="1">
        <v>46038</v>
      </c>
      <c r="D381" s="1">
        <v>46038</v>
      </c>
      <c r="E381" s="1">
        <v>46043</v>
      </c>
      <c r="F381" s="1">
        <v>46042</v>
      </c>
      <c r="G381" s="1">
        <v>46042</v>
      </c>
      <c r="H381">
        <f t="shared" si="26"/>
        <v>0</v>
      </c>
      <c r="I381" t="str">
        <f t="shared" si="27"/>
        <v>MetroLogistics</v>
      </c>
      <c r="J381" t="str">
        <f>VLOOKUP(A381,Orders!$A$2:$D$1201,4,FALSE)</f>
        <v>Delivered</v>
      </c>
      <c r="K381" t="str">
        <f t="shared" si="28"/>
        <v>On time</v>
      </c>
      <c r="L381" t="str">
        <f t="shared" si="29"/>
        <v>On time</v>
      </c>
      <c r="O381">
        <f t="shared" si="30"/>
        <v>0</v>
      </c>
    </row>
    <row r="382" spans="1:15">
      <c r="A382">
        <v>1398</v>
      </c>
      <c r="B382" t="s">
        <v>348</v>
      </c>
      <c r="C382" s="1">
        <v>46057</v>
      </c>
      <c r="D382" s="1">
        <v>46058</v>
      </c>
      <c r="E382" s="1">
        <v>46062</v>
      </c>
      <c r="F382" s="1">
        <v>46062</v>
      </c>
      <c r="G382" s="1">
        <v>46062</v>
      </c>
      <c r="H382">
        <f t="shared" si="26"/>
        <v>0</v>
      </c>
      <c r="I382" t="str">
        <f t="shared" si="27"/>
        <v>MetroLogistics</v>
      </c>
      <c r="J382" t="str">
        <f>VLOOKUP(A382,Orders!$A$2:$D$1201,4,FALSE)</f>
        <v>Delivered</v>
      </c>
      <c r="K382" t="str">
        <f t="shared" si="28"/>
        <v>On time</v>
      </c>
      <c r="L382" t="str">
        <f t="shared" si="29"/>
        <v>Late</v>
      </c>
      <c r="O382">
        <f t="shared" si="30"/>
        <v>0</v>
      </c>
    </row>
    <row r="383" spans="1:15">
      <c r="A383">
        <v>1399</v>
      </c>
      <c r="B383" t="s">
        <v>347</v>
      </c>
      <c r="C383" s="1">
        <v>46094</v>
      </c>
      <c r="D383" s="1">
        <v>46096</v>
      </c>
      <c r="E383" s="1">
        <v>46099</v>
      </c>
      <c r="F383" s="1">
        <v>46099</v>
      </c>
      <c r="G383" s="1">
        <v>46099</v>
      </c>
      <c r="H383">
        <f t="shared" si="26"/>
        <v>0</v>
      </c>
      <c r="I383" t="str">
        <f t="shared" si="27"/>
        <v>ParcelOne</v>
      </c>
      <c r="J383" t="str">
        <f>VLOOKUP(A383,Orders!$A$2:$D$1201,4,FALSE)</f>
        <v>Delivered</v>
      </c>
      <c r="K383" t="str">
        <f t="shared" si="28"/>
        <v>On time</v>
      </c>
      <c r="L383" t="str">
        <f t="shared" si="29"/>
        <v>Late</v>
      </c>
      <c r="O383">
        <f t="shared" si="30"/>
        <v>0</v>
      </c>
    </row>
    <row r="384" spans="1:15">
      <c r="A384">
        <v>1400</v>
      </c>
      <c r="B384" t="s">
        <v>346</v>
      </c>
      <c r="C384" s="1">
        <v>46138</v>
      </c>
      <c r="D384" s="1">
        <v>46138</v>
      </c>
      <c r="E384" s="1">
        <v>46143</v>
      </c>
      <c r="F384" s="1">
        <v>46144</v>
      </c>
      <c r="G384" s="1">
        <v>46144</v>
      </c>
      <c r="H384">
        <f t="shared" si="26"/>
        <v>0</v>
      </c>
      <c r="I384" t="str">
        <f t="shared" si="27"/>
        <v>SwiftShip</v>
      </c>
      <c r="J384" t="str">
        <f>VLOOKUP(A384,Orders!$A$2:$D$1201,4,FALSE)</f>
        <v>Delivered</v>
      </c>
      <c r="K384" t="str">
        <f t="shared" si="28"/>
        <v>Late</v>
      </c>
      <c r="L384" t="str">
        <f t="shared" si="29"/>
        <v>On time</v>
      </c>
      <c r="O384">
        <f t="shared" si="30"/>
        <v>0</v>
      </c>
    </row>
    <row r="385" spans="1:15">
      <c r="A385">
        <v>1401</v>
      </c>
      <c r="B385" t="s">
        <v>347</v>
      </c>
      <c r="C385" s="1">
        <v>46145</v>
      </c>
      <c r="D385" s="1">
        <v>46145</v>
      </c>
      <c r="E385" s="1">
        <v>46150</v>
      </c>
      <c r="F385" s="1">
        <v>46151</v>
      </c>
      <c r="G385" s="1">
        <v>46151</v>
      </c>
      <c r="H385">
        <f t="shared" si="26"/>
        <v>0</v>
      </c>
      <c r="I385" t="str">
        <f t="shared" si="27"/>
        <v>ParcelOne</v>
      </c>
      <c r="J385" t="str">
        <f>VLOOKUP(A385,Orders!$A$2:$D$1201,4,FALSE)</f>
        <v>Delivered</v>
      </c>
      <c r="K385" t="str">
        <f t="shared" si="28"/>
        <v>Late</v>
      </c>
      <c r="L385" t="str">
        <f t="shared" si="29"/>
        <v>On time</v>
      </c>
      <c r="O385">
        <f t="shared" si="30"/>
        <v>0</v>
      </c>
    </row>
    <row r="386" spans="1:15">
      <c r="A386">
        <v>1403</v>
      </c>
      <c r="B386" t="s">
        <v>346</v>
      </c>
      <c r="C386" s="1">
        <v>46081</v>
      </c>
      <c r="D386" s="1">
        <v>46081</v>
      </c>
      <c r="E386" s="1">
        <v>46086</v>
      </c>
      <c r="F386" s="1">
        <v>46088</v>
      </c>
      <c r="G386" s="1">
        <v>46088</v>
      </c>
      <c r="H386">
        <f t="shared" si="26"/>
        <v>0</v>
      </c>
      <c r="I386" t="str">
        <f t="shared" si="27"/>
        <v>SwiftShip</v>
      </c>
      <c r="J386" t="str">
        <f>VLOOKUP(A386,Orders!$A$2:$D$1201,4,FALSE)</f>
        <v>Delivered</v>
      </c>
      <c r="K386" t="str">
        <f t="shared" si="28"/>
        <v>Late</v>
      </c>
      <c r="L386" t="str">
        <f t="shared" si="29"/>
        <v>On time</v>
      </c>
      <c r="O386">
        <f t="shared" si="30"/>
        <v>0</v>
      </c>
    </row>
    <row r="387" spans="1:15">
      <c r="A387">
        <v>1404</v>
      </c>
      <c r="B387" t="s">
        <v>347</v>
      </c>
      <c r="C387" s="1">
        <v>46053</v>
      </c>
      <c r="D387" s="1">
        <v>46053</v>
      </c>
      <c r="E387" s="1">
        <v>46058</v>
      </c>
      <c r="F387" s="1">
        <v>46057</v>
      </c>
      <c r="G387" s="1">
        <v>46059</v>
      </c>
      <c r="H387">
        <f t="shared" ref="H387:H450" si="31">LEN(B387)-LEN(TRIM(B387))</f>
        <v>0</v>
      </c>
      <c r="I387" t="str">
        <f t="shared" ref="I387:I450" si="32">TRIM(B387)</f>
        <v>ParcelOne</v>
      </c>
      <c r="J387" t="str">
        <f>VLOOKUP(A387,Orders!$A$2:$D$1201,4,FALSE)</f>
        <v>Delivered</v>
      </c>
      <c r="K387" t="str">
        <f t="shared" ref="K387:K450" si="33">IF(J387&lt;&gt;"Delivered","Not delivered",IF(OR(E387="",F387=""),"Unknown",IF(F387&lt;=E387,"On time","Late")))</f>
        <v>On time</v>
      </c>
      <c r="L387" t="str">
        <f t="shared" ref="L387:L450" si="34">IF(D387="","Not dispatched",IF(C387="","Unknown",IF(D387&lt;=C387,"On time","Late")))</f>
        <v>On time</v>
      </c>
      <c r="O387">
        <f t="shared" ref="O387:O450" si="35">IF(OR(F387="",G387=""),"",G387-F387)</f>
        <v>2</v>
      </c>
    </row>
    <row r="388" spans="1:15">
      <c r="A388">
        <v>1405</v>
      </c>
      <c r="B388" t="s">
        <v>347</v>
      </c>
      <c r="C388" s="1">
        <v>46072</v>
      </c>
      <c r="E388" s="1">
        <v>46077</v>
      </c>
      <c r="H388">
        <f t="shared" si="31"/>
        <v>0</v>
      </c>
      <c r="I388" t="str">
        <f t="shared" si="32"/>
        <v>ParcelOne</v>
      </c>
      <c r="J388" t="str">
        <f>VLOOKUP(A388,Orders!$A$2:$D$1201,4,FALSE)</f>
        <v>Pending</v>
      </c>
      <c r="K388" t="str">
        <f t="shared" si="33"/>
        <v>Not delivered</v>
      </c>
      <c r="L388" t="str">
        <f t="shared" si="34"/>
        <v>Not dispatched</v>
      </c>
      <c r="O388" t="str">
        <f t="shared" si="35"/>
        <v/>
      </c>
    </row>
    <row r="389" spans="1:15">
      <c r="A389">
        <v>1406</v>
      </c>
      <c r="B389" t="s">
        <v>347</v>
      </c>
      <c r="C389" s="1">
        <v>46063</v>
      </c>
      <c r="D389" s="1">
        <v>46063</v>
      </c>
      <c r="E389" s="1">
        <v>46068</v>
      </c>
      <c r="F389" s="1">
        <v>46069</v>
      </c>
      <c r="G389" s="1">
        <v>46069</v>
      </c>
      <c r="H389">
        <f t="shared" si="31"/>
        <v>0</v>
      </c>
      <c r="I389" t="str">
        <f t="shared" si="32"/>
        <v>ParcelOne</v>
      </c>
      <c r="J389" t="str">
        <f>VLOOKUP(A389,Orders!$A$2:$D$1201,4,FALSE)</f>
        <v>Delivered</v>
      </c>
      <c r="K389" t="str">
        <f t="shared" si="33"/>
        <v>Late</v>
      </c>
      <c r="L389" t="str">
        <f t="shared" si="34"/>
        <v>On time</v>
      </c>
      <c r="O389">
        <f t="shared" si="35"/>
        <v>0</v>
      </c>
    </row>
    <row r="390" spans="1:15">
      <c r="A390">
        <v>1407</v>
      </c>
      <c r="B390" t="s">
        <v>346</v>
      </c>
      <c r="C390" s="1">
        <v>46039</v>
      </c>
      <c r="D390" s="1">
        <v>46039</v>
      </c>
      <c r="E390" s="1">
        <v>46044</v>
      </c>
      <c r="F390" s="1">
        <v>46046</v>
      </c>
      <c r="G390" s="1">
        <v>46046</v>
      </c>
      <c r="H390">
        <f t="shared" si="31"/>
        <v>0</v>
      </c>
      <c r="I390" t="str">
        <f t="shared" si="32"/>
        <v>SwiftShip</v>
      </c>
      <c r="J390" t="str">
        <f>VLOOKUP(A390,Orders!$A$2:$D$1201,4,FALSE)</f>
        <v>Delivered</v>
      </c>
      <c r="K390" t="str">
        <f t="shared" si="33"/>
        <v>Late</v>
      </c>
      <c r="L390" t="str">
        <f t="shared" si="34"/>
        <v>On time</v>
      </c>
      <c r="O390">
        <f t="shared" si="35"/>
        <v>0</v>
      </c>
    </row>
    <row r="391" spans="1:15">
      <c r="A391">
        <v>1408</v>
      </c>
      <c r="B391" t="s">
        <v>347</v>
      </c>
      <c r="C391" s="1">
        <v>46028</v>
      </c>
      <c r="D391" s="1">
        <v>46028</v>
      </c>
      <c r="E391" s="1">
        <v>46033</v>
      </c>
      <c r="F391" s="1">
        <v>46034</v>
      </c>
      <c r="G391" s="1">
        <v>46034</v>
      </c>
      <c r="H391">
        <f t="shared" si="31"/>
        <v>0</v>
      </c>
      <c r="I391" t="str">
        <f t="shared" si="32"/>
        <v>ParcelOne</v>
      </c>
      <c r="J391" t="str">
        <f>VLOOKUP(A391,Orders!$A$2:$D$1201,4,FALSE)</f>
        <v>Delivered</v>
      </c>
      <c r="K391" t="str">
        <f t="shared" si="33"/>
        <v>Late</v>
      </c>
      <c r="L391" t="str">
        <f t="shared" si="34"/>
        <v>On time</v>
      </c>
      <c r="O391">
        <f t="shared" si="35"/>
        <v>0</v>
      </c>
    </row>
    <row r="392" spans="1:15">
      <c r="A392">
        <v>1409</v>
      </c>
      <c r="B392" t="s">
        <v>347</v>
      </c>
      <c r="C392" s="1">
        <v>46146</v>
      </c>
      <c r="D392" s="1">
        <v>46146</v>
      </c>
      <c r="E392" s="1">
        <v>46151</v>
      </c>
      <c r="F392" s="1">
        <v>46151</v>
      </c>
      <c r="G392" s="1">
        <v>46151</v>
      </c>
      <c r="H392">
        <f t="shared" si="31"/>
        <v>0</v>
      </c>
      <c r="I392" t="str">
        <f t="shared" si="32"/>
        <v>ParcelOne</v>
      </c>
      <c r="J392" t="str">
        <f>VLOOKUP(A392,Orders!$A$2:$D$1201,4,FALSE)</f>
        <v>Delivered</v>
      </c>
      <c r="K392" t="str">
        <f t="shared" si="33"/>
        <v>On time</v>
      </c>
      <c r="L392" t="str">
        <f t="shared" si="34"/>
        <v>On time</v>
      </c>
      <c r="O392">
        <f t="shared" si="35"/>
        <v>0</v>
      </c>
    </row>
    <row r="393" spans="1:15">
      <c r="A393">
        <v>1410</v>
      </c>
      <c r="B393" t="s">
        <v>347</v>
      </c>
      <c r="C393" s="1">
        <v>46195</v>
      </c>
      <c r="D393" s="1">
        <v>46195</v>
      </c>
      <c r="E393" s="1">
        <v>46200</v>
      </c>
      <c r="F393" s="1">
        <v>46199</v>
      </c>
      <c r="G393" s="1">
        <v>46199</v>
      </c>
      <c r="H393">
        <f t="shared" si="31"/>
        <v>0</v>
      </c>
      <c r="I393" t="str">
        <f t="shared" si="32"/>
        <v>ParcelOne</v>
      </c>
      <c r="J393" t="str">
        <f>VLOOKUP(A393,Orders!$A$2:$D$1201,4,FALSE)</f>
        <v>Delivered</v>
      </c>
      <c r="K393" t="str">
        <f t="shared" si="33"/>
        <v>On time</v>
      </c>
      <c r="L393" t="str">
        <f t="shared" si="34"/>
        <v>On time</v>
      </c>
      <c r="O393">
        <f t="shared" si="35"/>
        <v>0</v>
      </c>
    </row>
    <row r="394" spans="1:15">
      <c r="A394">
        <v>1411</v>
      </c>
      <c r="B394" t="s">
        <v>347</v>
      </c>
      <c r="C394" s="1">
        <v>46126</v>
      </c>
      <c r="D394" s="1">
        <v>46126</v>
      </c>
      <c r="E394" s="1">
        <v>46131</v>
      </c>
      <c r="F394" s="1">
        <v>46130</v>
      </c>
      <c r="G394" s="1">
        <v>46130</v>
      </c>
      <c r="H394">
        <f t="shared" si="31"/>
        <v>0</v>
      </c>
      <c r="I394" t="str">
        <f t="shared" si="32"/>
        <v>ParcelOne</v>
      </c>
      <c r="J394" t="str">
        <f>VLOOKUP(A394,Orders!$A$2:$D$1201,4,FALSE)</f>
        <v>Delivered</v>
      </c>
      <c r="K394" t="str">
        <f t="shared" si="33"/>
        <v>On time</v>
      </c>
      <c r="L394" t="str">
        <f t="shared" si="34"/>
        <v>On time</v>
      </c>
      <c r="O394">
        <f t="shared" si="35"/>
        <v>0</v>
      </c>
    </row>
    <row r="395" spans="1:15">
      <c r="A395">
        <v>1412</v>
      </c>
      <c r="B395" t="s">
        <v>348</v>
      </c>
      <c r="C395" s="1">
        <v>46065</v>
      </c>
      <c r="D395" s="1">
        <v>46065</v>
      </c>
      <c r="E395" s="1">
        <v>46070</v>
      </c>
      <c r="F395" s="1">
        <v>46070</v>
      </c>
      <c r="G395" s="1">
        <v>46070</v>
      </c>
      <c r="H395">
        <f t="shared" si="31"/>
        <v>0</v>
      </c>
      <c r="I395" t="str">
        <f t="shared" si="32"/>
        <v>MetroLogistics</v>
      </c>
      <c r="J395" t="str">
        <f>VLOOKUP(A395,Orders!$A$2:$D$1201,4,FALSE)</f>
        <v>Delivered</v>
      </c>
      <c r="K395" t="str">
        <f t="shared" si="33"/>
        <v>On time</v>
      </c>
      <c r="L395" t="str">
        <f t="shared" si="34"/>
        <v>On time</v>
      </c>
      <c r="O395">
        <f t="shared" si="35"/>
        <v>0</v>
      </c>
    </row>
    <row r="396" spans="1:15">
      <c r="A396">
        <v>1413</v>
      </c>
      <c r="B396" t="s">
        <v>346</v>
      </c>
      <c r="C396" s="1">
        <v>46113</v>
      </c>
      <c r="D396" s="1">
        <v>46114</v>
      </c>
      <c r="E396" s="1">
        <v>46118</v>
      </c>
      <c r="F396" s="1">
        <v>46118</v>
      </c>
      <c r="G396" s="1">
        <v>46118</v>
      </c>
      <c r="H396">
        <f t="shared" si="31"/>
        <v>0</v>
      </c>
      <c r="I396" t="str">
        <f t="shared" si="32"/>
        <v>SwiftShip</v>
      </c>
      <c r="J396" t="str">
        <f>VLOOKUP(A396,Orders!$A$2:$D$1201,4,FALSE)</f>
        <v>Delivered</v>
      </c>
      <c r="K396" t="str">
        <f t="shared" si="33"/>
        <v>On time</v>
      </c>
      <c r="L396" t="str">
        <f t="shared" si="34"/>
        <v>Late</v>
      </c>
      <c r="O396">
        <f t="shared" si="35"/>
        <v>0</v>
      </c>
    </row>
    <row r="397" spans="1:15">
      <c r="A397">
        <v>1414</v>
      </c>
      <c r="B397" t="s">
        <v>347</v>
      </c>
      <c r="C397" s="1">
        <v>46163</v>
      </c>
      <c r="D397" s="1">
        <v>46164</v>
      </c>
      <c r="E397" s="1">
        <v>46168</v>
      </c>
      <c r="F397" s="1">
        <v>46168</v>
      </c>
      <c r="G397" s="1">
        <v>46169</v>
      </c>
      <c r="H397">
        <f t="shared" si="31"/>
        <v>0</v>
      </c>
      <c r="I397" t="str">
        <f t="shared" si="32"/>
        <v>ParcelOne</v>
      </c>
      <c r="J397" t="str">
        <f>VLOOKUP(A397,Orders!$A$2:$D$1201,4,FALSE)</f>
        <v>Delivered</v>
      </c>
      <c r="K397" t="str">
        <f t="shared" si="33"/>
        <v>On time</v>
      </c>
      <c r="L397" t="str">
        <f t="shared" si="34"/>
        <v>Late</v>
      </c>
      <c r="O397">
        <f t="shared" si="35"/>
        <v>1</v>
      </c>
    </row>
    <row r="398" spans="1:15">
      <c r="A398">
        <v>1415</v>
      </c>
      <c r="B398" t="s">
        <v>347</v>
      </c>
      <c r="C398" s="1">
        <v>46042</v>
      </c>
      <c r="D398" s="1">
        <v>46042</v>
      </c>
      <c r="E398" s="1">
        <v>46047</v>
      </c>
      <c r="F398" s="1">
        <v>46047</v>
      </c>
      <c r="G398" s="1">
        <v>46047</v>
      </c>
      <c r="H398">
        <f t="shared" si="31"/>
        <v>0</v>
      </c>
      <c r="I398" t="str">
        <f t="shared" si="32"/>
        <v>ParcelOne</v>
      </c>
      <c r="J398" t="str">
        <f>VLOOKUP(A398,Orders!$A$2:$D$1201,4,FALSE)</f>
        <v>Delivered</v>
      </c>
      <c r="K398" t="str">
        <f t="shared" si="33"/>
        <v>On time</v>
      </c>
      <c r="L398" t="str">
        <f t="shared" si="34"/>
        <v>On time</v>
      </c>
      <c r="O398">
        <f t="shared" si="35"/>
        <v>0</v>
      </c>
    </row>
    <row r="399" spans="1:15">
      <c r="A399">
        <v>1416</v>
      </c>
      <c r="B399" t="s">
        <v>346</v>
      </c>
      <c r="C399" s="1">
        <v>46029</v>
      </c>
      <c r="D399" s="1">
        <v>46029</v>
      </c>
      <c r="E399" s="1">
        <v>46034</v>
      </c>
      <c r="F399" s="1">
        <v>46033</v>
      </c>
      <c r="G399" s="1">
        <v>46033</v>
      </c>
      <c r="H399">
        <f t="shared" si="31"/>
        <v>0</v>
      </c>
      <c r="I399" t="str">
        <f t="shared" si="32"/>
        <v>SwiftShip</v>
      </c>
      <c r="J399" t="str">
        <f>VLOOKUP(A399,Orders!$A$2:$D$1201,4,FALSE)</f>
        <v>Delivered</v>
      </c>
      <c r="K399" t="str">
        <f t="shared" si="33"/>
        <v>On time</v>
      </c>
      <c r="L399" t="str">
        <f t="shared" si="34"/>
        <v>On time</v>
      </c>
      <c r="O399">
        <f t="shared" si="35"/>
        <v>0</v>
      </c>
    </row>
    <row r="400" spans="1:15">
      <c r="A400">
        <v>1417</v>
      </c>
      <c r="B400" t="s">
        <v>348</v>
      </c>
      <c r="C400" s="1">
        <v>46189</v>
      </c>
      <c r="D400" s="1">
        <v>46189</v>
      </c>
      <c r="E400" s="1">
        <v>46194</v>
      </c>
      <c r="F400" s="1">
        <v>46194</v>
      </c>
      <c r="G400" s="1">
        <v>46194</v>
      </c>
      <c r="H400">
        <f t="shared" si="31"/>
        <v>0</v>
      </c>
      <c r="I400" t="str">
        <f t="shared" si="32"/>
        <v>MetroLogistics</v>
      </c>
      <c r="J400" t="str">
        <f>VLOOKUP(A400,Orders!$A$2:$D$1201,4,FALSE)</f>
        <v>Delivered</v>
      </c>
      <c r="K400" t="str">
        <f t="shared" si="33"/>
        <v>On time</v>
      </c>
      <c r="L400" t="str">
        <f t="shared" si="34"/>
        <v>On time</v>
      </c>
      <c r="O400">
        <f t="shared" si="35"/>
        <v>0</v>
      </c>
    </row>
    <row r="401" spans="1:15">
      <c r="A401">
        <v>1418</v>
      </c>
      <c r="B401" t="s">
        <v>347</v>
      </c>
      <c r="C401" s="1">
        <v>46189</v>
      </c>
      <c r="D401" s="1">
        <v>46189</v>
      </c>
      <c r="E401" s="1">
        <v>46194</v>
      </c>
      <c r="F401" s="1">
        <v>46192</v>
      </c>
      <c r="G401" s="1">
        <v>46194</v>
      </c>
      <c r="H401">
        <f t="shared" si="31"/>
        <v>0</v>
      </c>
      <c r="I401" t="str">
        <f t="shared" si="32"/>
        <v>ParcelOne</v>
      </c>
      <c r="J401" t="str">
        <f>VLOOKUP(A401,Orders!$A$2:$D$1201,4,FALSE)</f>
        <v>Delivered</v>
      </c>
      <c r="K401" t="str">
        <f t="shared" si="33"/>
        <v>On time</v>
      </c>
      <c r="L401" t="str">
        <f t="shared" si="34"/>
        <v>On time</v>
      </c>
      <c r="O401">
        <f t="shared" si="35"/>
        <v>2</v>
      </c>
    </row>
    <row r="402" spans="1:15">
      <c r="A402">
        <v>1419</v>
      </c>
      <c r="B402" t="s">
        <v>348</v>
      </c>
      <c r="C402" s="1">
        <v>46192</v>
      </c>
      <c r="D402" s="1">
        <v>46193</v>
      </c>
      <c r="E402" s="1">
        <v>46197</v>
      </c>
      <c r="F402" s="1">
        <v>46198</v>
      </c>
      <c r="G402" s="1">
        <v>46198</v>
      </c>
      <c r="H402">
        <f t="shared" si="31"/>
        <v>0</v>
      </c>
      <c r="I402" t="str">
        <f t="shared" si="32"/>
        <v>MetroLogistics</v>
      </c>
      <c r="J402" t="str">
        <f>VLOOKUP(A402,Orders!$A$2:$D$1201,4,FALSE)</f>
        <v>Delivered</v>
      </c>
      <c r="K402" t="str">
        <f t="shared" si="33"/>
        <v>Late</v>
      </c>
      <c r="L402" t="str">
        <f t="shared" si="34"/>
        <v>Late</v>
      </c>
      <c r="O402">
        <f t="shared" si="35"/>
        <v>0</v>
      </c>
    </row>
    <row r="403" spans="1:15">
      <c r="A403">
        <v>1420</v>
      </c>
      <c r="B403" t="s">
        <v>348</v>
      </c>
      <c r="C403" s="1">
        <v>46093</v>
      </c>
      <c r="D403" s="1">
        <v>46093</v>
      </c>
      <c r="E403" s="1">
        <v>46098</v>
      </c>
      <c r="F403" s="1">
        <v>46098</v>
      </c>
      <c r="G403" s="1">
        <v>46098</v>
      </c>
      <c r="H403">
        <f t="shared" si="31"/>
        <v>0</v>
      </c>
      <c r="I403" t="str">
        <f t="shared" si="32"/>
        <v>MetroLogistics</v>
      </c>
      <c r="J403" t="str">
        <f>VLOOKUP(A403,Orders!$A$2:$D$1201,4,FALSE)</f>
        <v>Delivered</v>
      </c>
      <c r="K403" t="str">
        <f t="shared" si="33"/>
        <v>On time</v>
      </c>
      <c r="L403" t="str">
        <f t="shared" si="34"/>
        <v>On time</v>
      </c>
      <c r="O403">
        <f t="shared" si="35"/>
        <v>0</v>
      </c>
    </row>
    <row r="404" spans="1:15">
      <c r="A404">
        <v>1421</v>
      </c>
      <c r="B404" t="s">
        <v>347</v>
      </c>
      <c r="C404" s="1">
        <v>46193</v>
      </c>
      <c r="D404" s="1">
        <v>46193</v>
      </c>
      <c r="E404" s="1">
        <v>46198</v>
      </c>
      <c r="F404" s="1">
        <v>46198</v>
      </c>
      <c r="G404" s="1">
        <v>46198</v>
      </c>
      <c r="H404">
        <f t="shared" si="31"/>
        <v>0</v>
      </c>
      <c r="I404" t="str">
        <f t="shared" si="32"/>
        <v>ParcelOne</v>
      </c>
      <c r="J404" t="str">
        <f>VLOOKUP(A404,Orders!$A$2:$D$1201,4,FALSE)</f>
        <v>Delivered</v>
      </c>
      <c r="K404" t="str">
        <f t="shared" si="33"/>
        <v>On time</v>
      </c>
      <c r="L404" t="str">
        <f t="shared" si="34"/>
        <v>On time</v>
      </c>
      <c r="O404">
        <f t="shared" si="35"/>
        <v>0</v>
      </c>
    </row>
    <row r="405" spans="1:15">
      <c r="A405">
        <v>1422</v>
      </c>
      <c r="B405" t="s">
        <v>346</v>
      </c>
      <c r="C405" s="1">
        <v>46165</v>
      </c>
      <c r="D405" s="1">
        <v>46165</v>
      </c>
      <c r="E405" s="1">
        <v>46170</v>
      </c>
      <c r="F405" s="1">
        <v>46174</v>
      </c>
      <c r="G405" s="1">
        <v>46175</v>
      </c>
      <c r="H405">
        <f t="shared" si="31"/>
        <v>0</v>
      </c>
      <c r="I405" t="str">
        <f t="shared" si="32"/>
        <v>SwiftShip</v>
      </c>
      <c r="J405" t="str">
        <f>VLOOKUP(A405,Orders!$A$2:$D$1201,4,FALSE)</f>
        <v>Delivered</v>
      </c>
      <c r="K405" t="str">
        <f t="shared" si="33"/>
        <v>Late</v>
      </c>
      <c r="L405" t="str">
        <f t="shared" si="34"/>
        <v>On time</v>
      </c>
      <c r="O405">
        <f t="shared" si="35"/>
        <v>1</v>
      </c>
    </row>
    <row r="406" spans="1:15">
      <c r="A406">
        <v>1423</v>
      </c>
      <c r="B406" t="s">
        <v>347</v>
      </c>
      <c r="C406" s="1">
        <v>46187</v>
      </c>
      <c r="D406" s="1">
        <v>46187</v>
      </c>
      <c r="E406" s="1">
        <v>46192</v>
      </c>
      <c r="F406" s="1">
        <v>46192</v>
      </c>
      <c r="G406" s="1">
        <v>46194</v>
      </c>
      <c r="H406">
        <f t="shared" si="31"/>
        <v>0</v>
      </c>
      <c r="I406" t="str">
        <f t="shared" si="32"/>
        <v>ParcelOne</v>
      </c>
      <c r="J406" t="str">
        <f>VLOOKUP(A406,Orders!$A$2:$D$1201,4,FALSE)</f>
        <v>Delivered</v>
      </c>
      <c r="K406" t="str">
        <f t="shared" si="33"/>
        <v>On time</v>
      </c>
      <c r="L406" t="str">
        <f t="shared" si="34"/>
        <v>On time</v>
      </c>
      <c r="O406">
        <f t="shared" si="35"/>
        <v>2</v>
      </c>
    </row>
    <row r="407" spans="1:15">
      <c r="A407">
        <v>1424</v>
      </c>
      <c r="B407" t="s">
        <v>346</v>
      </c>
      <c r="C407" s="1">
        <v>46033</v>
      </c>
      <c r="E407" s="1">
        <v>46038</v>
      </c>
      <c r="H407">
        <f t="shared" si="31"/>
        <v>0</v>
      </c>
      <c r="I407" t="str">
        <f t="shared" si="32"/>
        <v>SwiftShip</v>
      </c>
      <c r="J407" t="str">
        <f>VLOOKUP(A407,Orders!$A$2:$D$1201,4,FALSE)</f>
        <v>Pending</v>
      </c>
      <c r="K407" t="str">
        <f t="shared" si="33"/>
        <v>Not delivered</v>
      </c>
      <c r="L407" t="str">
        <f t="shared" si="34"/>
        <v>Not dispatched</v>
      </c>
      <c r="O407" t="str">
        <f t="shared" si="35"/>
        <v/>
      </c>
    </row>
    <row r="408" spans="1:15">
      <c r="A408">
        <v>1425</v>
      </c>
      <c r="B408" t="s">
        <v>348</v>
      </c>
      <c r="C408" s="1">
        <v>46030</v>
      </c>
      <c r="D408" s="1">
        <v>46030</v>
      </c>
      <c r="E408" s="1">
        <v>46035</v>
      </c>
      <c r="F408" s="1">
        <v>46034</v>
      </c>
      <c r="G408" s="1">
        <v>46034</v>
      </c>
      <c r="H408">
        <f t="shared" si="31"/>
        <v>0</v>
      </c>
      <c r="I408" t="str">
        <f t="shared" si="32"/>
        <v>MetroLogistics</v>
      </c>
      <c r="J408" t="str">
        <f>VLOOKUP(A408,Orders!$A$2:$D$1201,4,FALSE)</f>
        <v>Delivered</v>
      </c>
      <c r="K408" t="str">
        <f t="shared" si="33"/>
        <v>On time</v>
      </c>
      <c r="L408" t="str">
        <f t="shared" si="34"/>
        <v>On time</v>
      </c>
      <c r="O408">
        <f t="shared" si="35"/>
        <v>0</v>
      </c>
    </row>
    <row r="409" spans="1:15">
      <c r="A409">
        <v>1426</v>
      </c>
      <c r="B409" t="s">
        <v>346</v>
      </c>
      <c r="C409" s="1">
        <v>46088</v>
      </c>
      <c r="D409" s="1">
        <v>46088</v>
      </c>
      <c r="E409" s="1">
        <v>46093</v>
      </c>
      <c r="F409" s="1">
        <v>46092</v>
      </c>
      <c r="G409" s="1">
        <v>46092</v>
      </c>
      <c r="H409">
        <f t="shared" si="31"/>
        <v>0</v>
      </c>
      <c r="I409" t="str">
        <f t="shared" si="32"/>
        <v>SwiftShip</v>
      </c>
      <c r="J409" t="str">
        <f>VLOOKUP(A409,Orders!$A$2:$D$1201,4,FALSE)</f>
        <v>Delivered</v>
      </c>
      <c r="K409" t="str">
        <f t="shared" si="33"/>
        <v>On time</v>
      </c>
      <c r="L409" t="str">
        <f t="shared" si="34"/>
        <v>On time</v>
      </c>
      <c r="O409">
        <f t="shared" si="35"/>
        <v>0</v>
      </c>
    </row>
    <row r="410" spans="1:15">
      <c r="A410">
        <v>1427</v>
      </c>
      <c r="B410" t="s">
        <v>347</v>
      </c>
      <c r="C410" s="1">
        <v>46148</v>
      </c>
      <c r="D410" s="1">
        <v>46148</v>
      </c>
      <c r="E410" s="1">
        <v>46153</v>
      </c>
      <c r="F410" s="1">
        <v>46154</v>
      </c>
      <c r="G410" s="1">
        <v>46154</v>
      </c>
      <c r="H410">
        <f t="shared" si="31"/>
        <v>0</v>
      </c>
      <c r="I410" t="str">
        <f t="shared" si="32"/>
        <v>ParcelOne</v>
      </c>
      <c r="J410" t="str">
        <f>VLOOKUP(A410,Orders!$A$2:$D$1201,4,FALSE)</f>
        <v>Delivered</v>
      </c>
      <c r="K410" t="str">
        <f t="shared" si="33"/>
        <v>Late</v>
      </c>
      <c r="L410" t="str">
        <f t="shared" si="34"/>
        <v>On time</v>
      </c>
      <c r="O410">
        <f t="shared" si="35"/>
        <v>0</v>
      </c>
    </row>
    <row r="411" spans="1:15">
      <c r="A411">
        <v>1428</v>
      </c>
      <c r="B411" t="s">
        <v>348</v>
      </c>
      <c r="C411" s="1">
        <v>46110</v>
      </c>
      <c r="D411" s="1">
        <v>46110</v>
      </c>
      <c r="E411" s="1">
        <v>46115</v>
      </c>
      <c r="F411" s="1">
        <v>46115</v>
      </c>
      <c r="G411" s="1">
        <v>46115</v>
      </c>
      <c r="H411">
        <f t="shared" si="31"/>
        <v>0</v>
      </c>
      <c r="I411" t="str">
        <f t="shared" si="32"/>
        <v>MetroLogistics</v>
      </c>
      <c r="J411" t="str">
        <f>VLOOKUP(A411,Orders!$A$2:$D$1201,4,FALSE)</f>
        <v>Delivered</v>
      </c>
      <c r="K411" t="str">
        <f t="shared" si="33"/>
        <v>On time</v>
      </c>
      <c r="L411" t="str">
        <f t="shared" si="34"/>
        <v>On time</v>
      </c>
      <c r="O411">
        <f t="shared" si="35"/>
        <v>0</v>
      </c>
    </row>
    <row r="412" spans="1:15">
      <c r="A412">
        <v>1429</v>
      </c>
      <c r="B412" t="s">
        <v>347</v>
      </c>
      <c r="C412" s="1">
        <v>46063</v>
      </c>
      <c r="D412" s="1">
        <v>46065</v>
      </c>
      <c r="E412" s="1">
        <v>46068</v>
      </c>
      <c r="F412" s="1">
        <v>46069</v>
      </c>
      <c r="G412" s="1">
        <v>46069</v>
      </c>
      <c r="H412">
        <f t="shared" si="31"/>
        <v>0</v>
      </c>
      <c r="I412" t="str">
        <f t="shared" si="32"/>
        <v>ParcelOne</v>
      </c>
      <c r="J412" t="str">
        <f>VLOOKUP(A412,Orders!$A$2:$D$1201,4,FALSE)</f>
        <v>Delivered</v>
      </c>
      <c r="K412" t="str">
        <f t="shared" si="33"/>
        <v>Late</v>
      </c>
      <c r="L412" t="str">
        <f t="shared" si="34"/>
        <v>Late</v>
      </c>
      <c r="O412">
        <f t="shared" si="35"/>
        <v>0</v>
      </c>
    </row>
    <row r="413" spans="1:15">
      <c r="A413">
        <v>1430</v>
      </c>
      <c r="B413" t="s">
        <v>346</v>
      </c>
      <c r="C413" s="1">
        <v>46081</v>
      </c>
      <c r="D413" s="1">
        <v>46081</v>
      </c>
      <c r="E413" s="1">
        <v>46086</v>
      </c>
      <c r="F413" s="1">
        <v>46086</v>
      </c>
      <c r="G413" s="1">
        <v>46086</v>
      </c>
      <c r="H413">
        <f t="shared" si="31"/>
        <v>0</v>
      </c>
      <c r="I413" t="str">
        <f t="shared" si="32"/>
        <v>SwiftShip</v>
      </c>
      <c r="J413" t="str">
        <f>VLOOKUP(A413,Orders!$A$2:$D$1201,4,FALSE)</f>
        <v>Delivered</v>
      </c>
      <c r="K413" t="str">
        <f t="shared" si="33"/>
        <v>On time</v>
      </c>
      <c r="L413" t="str">
        <f t="shared" si="34"/>
        <v>On time</v>
      </c>
      <c r="O413">
        <f t="shared" si="35"/>
        <v>0</v>
      </c>
    </row>
    <row r="414" spans="1:15">
      <c r="A414">
        <v>1431</v>
      </c>
      <c r="B414" t="s">
        <v>347</v>
      </c>
      <c r="C414" s="1">
        <v>46092</v>
      </c>
      <c r="D414" s="1">
        <v>46092</v>
      </c>
      <c r="E414" s="1">
        <v>46097</v>
      </c>
      <c r="F414" s="1">
        <v>46097</v>
      </c>
      <c r="G414" s="1">
        <v>46097</v>
      </c>
      <c r="H414">
        <f t="shared" si="31"/>
        <v>0</v>
      </c>
      <c r="I414" t="str">
        <f t="shared" si="32"/>
        <v>ParcelOne</v>
      </c>
      <c r="J414" t="str">
        <f>VLOOKUP(A414,Orders!$A$2:$D$1201,4,FALSE)</f>
        <v>Delivered</v>
      </c>
      <c r="K414" t="str">
        <f t="shared" si="33"/>
        <v>On time</v>
      </c>
      <c r="L414" t="str">
        <f t="shared" si="34"/>
        <v>On time</v>
      </c>
      <c r="O414">
        <f t="shared" si="35"/>
        <v>0</v>
      </c>
    </row>
    <row r="415" spans="1:15">
      <c r="A415">
        <v>1432</v>
      </c>
      <c r="B415" t="s">
        <v>348</v>
      </c>
      <c r="C415" s="1">
        <v>46168</v>
      </c>
      <c r="D415" s="1">
        <v>46168</v>
      </c>
      <c r="E415" s="1">
        <v>46173</v>
      </c>
      <c r="F415" s="1">
        <v>46173</v>
      </c>
      <c r="G415" s="1">
        <v>46173</v>
      </c>
      <c r="H415">
        <f t="shared" si="31"/>
        <v>0</v>
      </c>
      <c r="I415" t="str">
        <f t="shared" si="32"/>
        <v>MetroLogistics</v>
      </c>
      <c r="J415" t="str">
        <f>VLOOKUP(A415,Orders!$A$2:$D$1201,4,FALSE)</f>
        <v>Delivered</v>
      </c>
      <c r="K415" t="str">
        <f t="shared" si="33"/>
        <v>On time</v>
      </c>
      <c r="L415" t="str">
        <f t="shared" si="34"/>
        <v>On time</v>
      </c>
      <c r="O415">
        <f t="shared" si="35"/>
        <v>0</v>
      </c>
    </row>
    <row r="416" spans="1:15">
      <c r="A416">
        <v>1433</v>
      </c>
      <c r="B416" t="s">
        <v>347</v>
      </c>
      <c r="C416" s="1">
        <v>46047</v>
      </c>
      <c r="D416" s="1">
        <v>46047</v>
      </c>
      <c r="E416" s="1">
        <v>46052</v>
      </c>
      <c r="F416" s="1">
        <v>46052</v>
      </c>
      <c r="G416" s="1">
        <v>46052</v>
      </c>
      <c r="H416">
        <f t="shared" si="31"/>
        <v>0</v>
      </c>
      <c r="I416" t="str">
        <f t="shared" si="32"/>
        <v>ParcelOne</v>
      </c>
      <c r="J416" t="str">
        <f>VLOOKUP(A416,Orders!$A$2:$D$1201,4,FALSE)</f>
        <v>Delivered</v>
      </c>
      <c r="K416" t="str">
        <f t="shared" si="33"/>
        <v>On time</v>
      </c>
      <c r="L416" t="str">
        <f t="shared" si="34"/>
        <v>On time</v>
      </c>
      <c r="O416">
        <f t="shared" si="35"/>
        <v>0</v>
      </c>
    </row>
    <row r="417" spans="1:15">
      <c r="A417">
        <v>1434</v>
      </c>
      <c r="B417" t="s">
        <v>348</v>
      </c>
      <c r="C417" s="1">
        <v>46114</v>
      </c>
      <c r="D417" s="1">
        <v>46114</v>
      </c>
      <c r="E417" s="1">
        <v>46119</v>
      </c>
      <c r="F417" s="1">
        <v>46120</v>
      </c>
      <c r="G417" s="1">
        <v>46120</v>
      </c>
      <c r="H417">
        <f t="shared" si="31"/>
        <v>0</v>
      </c>
      <c r="I417" t="str">
        <f t="shared" si="32"/>
        <v>MetroLogistics</v>
      </c>
      <c r="J417" t="str">
        <f>VLOOKUP(A417,Orders!$A$2:$D$1201,4,FALSE)</f>
        <v>Delivered</v>
      </c>
      <c r="K417" t="str">
        <f t="shared" si="33"/>
        <v>Late</v>
      </c>
      <c r="L417" t="str">
        <f t="shared" si="34"/>
        <v>On time</v>
      </c>
      <c r="O417">
        <f t="shared" si="35"/>
        <v>0</v>
      </c>
    </row>
    <row r="418" spans="1:15">
      <c r="A418">
        <v>1435</v>
      </c>
      <c r="B418" t="s">
        <v>348</v>
      </c>
      <c r="C418" s="1">
        <v>46038</v>
      </c>
      <c r="D418" s="1">
        <v>46038</v>
      </c>
      <c r="E418" s="1">
        <v>46043</v>
      </c>
      <c r="F418" s="1">
        <v>46041</v>
      </c>
      <c r="G418" s="1">
        <v>46041</v>
      </c>
      <c r="H418">
        <f t="shared" si="31"/>
        <v>0</v>
      </c>
      <c r="I418" t="str">
        <f t="shared" si="32"/>
        <v>MetroLogistics</v>
      </c>
      <c r="J418" t="str">
        <f>VLOOKUP(A418,Orders!$A$2:$D$1201,4,FALSE)</f>
        <v>Delivered</v>
      </c>
      <c r="K418" t="str">
        <f t="shared" si="33"/>
        <v>On time</v>
      </c>
      <c r="L418" t="str">
        <f t="shared" si="34"/>
        <v>On time</v>
      </c>
      <c r="O418">
        <f t="shared" si="35"/>
        <v>0</v>
      </c>
    </row>
    <row r="419" spans="1:15">
      <c r="A419">
        <v>1436</v>
      </c>
      <c r="B419" t="s">
        <v>346</v>
      </c>
      <c r="C419" s="1">
        <v>46079</v>
      </c>
      <c r="D419" s="1">
        <v>46079</v>
      </c>
      <c r="E419" s="1">
        <v>46084</v>
      </c>
      <c r="F419" s="1">
        <v>46086</v>
      </c>
      <c r="G419" s="1">
        <v>46086</v>
      </c>
      <c r="H419">
        <f t="shared" si="31"/>
        <v>0</v>
      </c>
      <c r="I419" t="str">
        <f t="shared" si="32"/>
        <v>SwiftShip</v>
      </c>
      <c r="J419" t="str">
        <f>VLOOKUP(A419,Orders!$A$2:$D$1201,4,FALSE)</f>
        <v>Delivered</v>
      </c>
      <c r="K419" t="str">
        <f t="shared" si="33"/>
        <v>Late</v>
      </c>
      <c r="L419" t="str">
        <f t="shared" si="34"/>
        <v>On time</v>
      </c>
      <c r="O419">
        <f t="shared" si="35"/>
        <v>0</v>
      </c>
    </row>
    <row r="420" spans="1:15">
      <c r="A420">
        <v>1437</v>
      </c>
      <c r="B420" t="s">
        <v>348</v>
      </c>
      <c r="C420" s="1">
        <v>46068</v>
      </c>
      <c r="D420" s="1">
        <v>46068</v>
      </c>
      <c r="E420" s="1">
        <v>46073</v>
      </c>
      <c r="F420" s="1">
        <v>46073</v>
      </c>
      <c r="G420" s="1">
        <v>46074</v>
      </c>
      <c r="H420">
        <f t="shared" si="31"/>
        <v>0</v>
      </c>
      <c r="I420" t="str">
        <f t="shared" si="32"/>
        <v>MetroLogistics</v>
      </c>
      <c r="J420" t="str">
        <f>VLOOKUP(A420,Orders!$A$2:$D$1201,4,FALSE)</f>
        <v>Delivered</v>
      </c>
      <c r="K420" t="str">
        <f t="shared" si="33"/>
        <v>On time</v>
      </c>
      <c r="L420" t="str">
        <f t="shared" si="34"/>
        <v>On time</v>
      </c>
      <c r="O420">
        <f t="shared" si="35"/>
        <v>1</v>
      </c>
    </row>
    <row r="421" spans="1:15">
      <c r="A421">
        <v>1439</v>
      </c>
      <c r="B421" t="s">
        <v>347</v>
      </c>
      <c r="C421" s="1">
        <v>46155</v>
      </c>
      <c r="E421" s="1">
        <v>46160</v>
      </c>
      <c r="H421">
        <f t="shared" si="31"/>
        <v>0</v>
      </c>
      <c r="I421" t="str">
        <f t="shared" si="32"/>
        <v>ParcelOne</v>
      </c>
      <c r="J421" t="str">
        <f>VLOOKUP(A421,Orders!$A$2:$D$1201,4,FALSE)</f>
        <v>Pending</v>
      </c>
      <c r="K421" t="str">
        <f t="shared" si="33"/>
        <v>Not delivered</v>
      </c>
      <c r="L421" t="str">
        <f t="shared" si="34"/>
        <v>Not dispatched</v>
      </c>
      <c r="O421" t="str">
        <f t="shared" si="35"/>
        <v/>
      </c>
    </row>
    <row r="422" spans="1:15">
      <c r="A422">
        <v>1440</v>
      </c>
      <c r="B422" t="s">
        <v>347</v>
      </c>
      <c r="C422" s="1">
        <v>46153</v>
      </c>
      <c r="D422" s="1">
        <v>46153</v>
      </c>
      <c r="E422" s="1">
        <v>46158</v>
      </c>
      <c r="H422">
        <f t="shared" si="31"/>
        <v>0</v>
      </c>
      <c r="I422" t="str">
        <f t="shared" si="32"/>
        <v>ParcelOne</v>
      </c>
      <c r="J422" t="str">
        <f>VLOOKUP(A422,Orders!$A$2:$D$1201,4,FALSE)</f>
        <v>Shipped</v>
      </c>
      <c r="K422" t="str">
        <f t="shared" si="33"/>
        <v>Not delivered</v>
      </c>
      <c r="L422" t="str">
        <f t="shared" si="34"/>
        <v>On time</v>
      </c>
      <c r="O422" t="str">
        <f t="shared" si="35"/>
        <v/>
      </c>
    </row>
    <row r="423" spans="1:15">
      <c r="A423">
        <v>1441</v>
      </c>
      <c r="B423" t="s">
        <v>347</v>
      </c>
      <c r="C423" s="1">
        <v>46029</v>
      </c>
      <c r="D423" s="1">
        <v>46030</v>
      </c>
      <c r="E423" s="1">
        <v>46034</v>
      </c>
      <c r="F423" s="1">
        <v>46034</v>
      </c>
      <c r="G423" s="1">
        <v>46035</v>
      </c>
      <c r="H423">
        <f t="shared" si="31"/>
        <v>0</v>
      </c>
      <c r="I423" t="str">
        <f t="shared" si="32"/>
        <v>ParcelOne</v>
      </c>
      <c r="J423" t="str">
        <f>VLOOKUP(A423,Orders!$A$2:$D$1201,4,FALSE)</f>
        <v>Delivered</v>
      </c>
      <c r="K423" t="str">
        <f t="shared" si="33"/>
        <v>On time</v>
      </c>
      <c r="L423" t="str">
        <f t="shared" si="34"/>
        <v>Late</v>
      </c>
      <c r="O423">
        <f t="shared" si="35"/>
        <v>1</v>
      </c>
    </row>
    <row r="424" spans="1:15">
      <c r="A424">
        <v>1442</v>
      </c>
      <c r="B424" t="s">
        <v>347</v>
      </c>
      <c r="C424" s="1">
        <v>46167</v>
      </c>
      <c r="D424" s="1">
        <v>46167</v>
      </c>
      <c r="E424" s="1">
        <v>46172</v>
      </c>
      <c r="H424">
        <f t="shared" si="31"/>
        <v>0</v>
      </c>
      <c r="I424" t="str">
        <f t="shared" si="32"/>
        <v>ParcelOne</v>
      </c>
      <c r="J424" t="str">
        <f>VLOOKUP(A424,Orders!$A$2:$D$1201,4,FALSE)</f>
        <v>Shipped</v>
      </c>
      <c r="K424" t="str">
        <f t="shared" si="33"/>
        <v>Not delivered</v>
      </c>
      <c r="L424" t="str">
        <f t="shared" si="34"/>
        <v>On time</v>
      </c>
      <c r="O424" t="str">
        <f t="shared" si="35"/>
        <v/>
      </c>
    </row>
    <row r="425" spans="1:15">
      <c r="A425">
        <v>1443</v>
      </c>
      <c r="B425" t="s">
        <v>348</v>
      </c>
      <c r="C425" s="1">
        <v>46122</v>
      </c>
      <c r="D425" s="1">
        <v>46124</v>
      </c>
      <c r="E425" s="1">
        <v>46127</v>
      </c>
      <c r="F425" s="1">
        <v>46129</v>
      </c>
      <c r="G425" s="1">
        <v>46129</v>
      </c>
      <c r="H425">
        <f t="shared" si="31"/>
        <v>0</v>
      </c>
      <c r="I425" t="str">
        <f t="shared" si="32"/>
        <v>MetroLogistics</v>
      </c>
      <c r="J425" t="str">
        <f>VLOOKUP(A425,Orders!$A$2:$D$1201,4,FALSE)</f>
        <v>Delivered</v>
      </c>
      <c r="K425" t="str">
        <f t="shared" si="33"/>
        <v>Late</v>
      </c>
      <c r="L425" t="str">
        <f t="shared" si="34"/>
        <v>Late</v>
      </c>
      <c r="O425">
        <f t="shared" si="35"/>
        <v>0</v>
      </c>
    </row>
    <row r="426" spans="1:15">
      <c r="A426">
        <v>1444</v>
      </c>
      <c r="B426" t="s">
        <v>348</v>
      </c>
      <c r="C426" s="1">
        <v>46058</v>
      </c>
      <c r="D426" s="1">
        <v>46058</v>
      </c>
      <c r="E426" s="1">
        <v>46063</v>
      </c>
      <c r="F426" s="1">
        <v>46065</v>
      </c>
      <c r="G426" s="1">
        <v>46065</v>
      </c>
      <c r="H426">
        <f t="shared" si="31"/>
        <v>0</v>
      </c>
      <c r="I426" t="str">
        <f t="shared" si="32"/>
        <v>MetroLogistics</v>
      </c>
      <c r="J426" t="str">
        <f>VLOOKUP(A426,Orders!$A$2:$D$1201,4,FALSE)</f>
        <v>Delivered</v>
      </c>
      <c r="K426" t="str">
        <f t="shared" si="33"/>
        <v>Late</v>
      </c>
      <c r="L426" t="str">
        <f t="shared" si="34"/>
        <v>On time</v>
      </c>
      <c r="O426">
        <f t="shared" si="35"/>
        <v>0</v>
      </c>
    </row>
    <row r="427" spans="1:15">
      <c r="A427">
        <v>1445</v>
      </c>
      <c r="B427" t="s">
        <v>347</v>
      </c>
      <c r="C427" s="1">
        <v>46169</v>
      </c>
      <c r="D427" s="1">
        <v>46169</v>
      </c>
      <c r="E427" s="1">
        <v>46174</v>
      </c>
      <c r="H427">
        <f t="shared" si="31"/>
        <v>0</v>
      </c>
      <c r="I427" t="str">
        <f t="shared" si="32"/>
        <v>ParcelOne</v>
      </c>
      <c r="J427" t="str">
        <f>VLOOKUP(A427,Orders!$A$2:$D$1201,4,FALSE)</f>
        <v>Shipped</v>
      </c>
      <c r="K427" t="str">
        <f t="shared" si="33"/>
        <v>Not delivered</v>
      </c>
      <c r="L427" t="str">
        <f t="shared" si="34"/>
        <v>On time</v>
      </c>
      <c r="O427" t="str">
        <f t="shared" si="35"/>
        <v/>
      </c>
    </row>
    <row r="428" spans="1:15">
      <c r="A428">
        <v>1446</v>
      </c>
      <c r="B428" t="s">
        <v>348</v>
      </c>
      <c r="C428" s="1">
        <v>46032</v>
      </c>
      <c r="D428" s="1">
        <v>46032</v>
      </c>
      <c r="E428" s="1">
        <v>46037</v>
      </c>
      <c r="F428" s="1">
        <v>46036</v>
      </c>
      <c r="G428" s="1">
        <v>46036</v>
      </c>
      <c r="H428">
        <f t="shared" si="31"/>
        <v>0</v>
      </c>
      <c r="I428" t="str">
        <f t="shared" si="32"/>
        <v>MetroLogistics</v>
      </c>
      <c r="J428" t="str">
        <f>VLOOKUP(A428,Orders!$A$2:$D$1201,4,FALSE)</f>
        <v>Delivered</v>
      </c>
      <c r="K428" t="str">
        <f t="shared" si="33"/>
        <v>On time</v>
      </c>
      <c r="L428" t="str">
        <f t="shared" si="34"/>
        <v>On time</v>
      </c>
      <c r="O428">
        <f t="shared" si="35"/>
        <v>0</v>
      </c>
    </row>
    <row r="429" spans="1:15">
      <c r="A429">
        <v>1447</v>
      </c>
      <c r="B429" t="s">
        <v>348</v>
      </c>
      <c r="C429" s="1">
        <v>46182</v>
      </c>
      <c r="D429" s="1">
        <v>46182</v>
      </c>
      <c r="E429" s="1">
        <v>46187</v>
      </c>
      <c r="F429" s="1">
        <v>46188</v>
      </c>
      <c r="G429" s="1">
        <v>46188</v>
      </c>
      <c r="H429">
        <f t="shared" si="31"/>
        <v>0</v>
      </c>
      <c r="I429" t="str">
        <f t="shared" si="32"/>
        <v>MetroLogistics</v>
      </c>
      <c r="J429" t="str">
        <f>VLOOKUP(A429,Orders!$A$2:$D$1201,4,FALSE)</f>
        <v>Delivered</v>
      </c>
      <c r="K429" t="str">
        <f t="shared" si="33"/>
        <v>Late</v>
      </c>
      <c r="L429" t="str">
        <f t="shared" si="34"/>
        <v>On time</v>
      </c>
      <c r="O429">
        <f t="shared" si="35"/>
        <v>0</v>
      </c>
    </row>
    <row r="430" spans="1:15">
      <c r="A430">
        <v>1448</v>
      </c>
      <c r="B430" t="s">
        <v>346</v>
      </c>
      <c r="C430" s="1">
        <v>46145</v>
      </c>
      <c r="D430" s="1">
        <v>46145</v>
      </c>
      <c r="E430" s="1">
        <v>46150</v>
      </c>
      <c r="F430" s="1">
        <v>46149</v>
      </c>
      <c r="G430" s="1">
        <v>46149</v>
      </c>
      <c r="H430">
        <f t="shared" si="31"/>
        <v>0</v>
      </c>
      <c r="I430" t="str">
        <f t="shared" si="32"/>
        <v>SwiftShip</v>
      </c>
      <c r="J430" t="str">
        <f>VLOOKUP(A430,Orders!$A$2:$D$1201,4,FALSE)</f>
        <v>Delivered</v>
      </c>
      <c r="K430" t="str">
        <f t="shared" si="33"/>
        <v>On time</v>
      </c>
      <c r="L430" t="str">
        <f t="shared" si="34"/>
        <v>On time</v>
      </c>
      <c r="O430">
        <f t="shared" si="35"/>
        <v>0</v>
      </c>
    </row>
    <row r="431" spans="1:15">
      <c r="A431">
        <v>1449</v>
      </c>
      <c r="B431" t="s">
        <v>347</v>
      </c>
      <c r="C431" s="1">
        <v>46028</v>
      </c>
      <c r="D431" s="1">
        <v>46028</v>
      </c>
      <c r="E431" s="1">
        <v>46033</v>
      </c>
      <c r="H431">
        <f t="shared" si="31"/>
        <v>0</v>
      </c>
      <c r="I431" t="str">
        <f t="shared" si="32"/>
        <v>ParcelOne</v>
      </c>
      <c r="J431" t="str">
        <f>VLOOKUP(A431,Orders!$A$2:$D$1201,4,FALSE)</f>
        <v>Shipped</v>
      </c>
      <c r="K431" t="str">
        <f t="shared" si="33"/>
        <v>Not delivered</v>
      </c>
      <c r="L431" t="str">
        <f t="shared" si="34"/>
        <v>On time</v>
      </c>
      <c r="O431" t="str">
        <f t="shared" si="35"/>
        <v/>
      </c>
    </row>
    <row r="432" spans="1:15">
      <c r="A432">
        <v>1450</v>
      </c>
      <c r="B432" t="s">
        <v>348</v>
      </c>
      <c r="C432" s="1">
        <v>46070</v>
      </c>
      <c r="D432" s="1">
        <v>46070</v>
      </c>
      <c r="E432" s="1">
        <v>46075</v>
      </c>
      <c r="H432">
        <f t="shared" si="31"/>
        <v>0</v>
      </c>
      <c r="I432" t="str">
        <f t="shared" si="32"/>
        <v>MetroLogistics</v>
      </c>
      <c r="J432" t="str">
        <f>VLOOKUP(A432,Orders!$A$2:$D$1201,4,FALSE)</f>
        <v>Shipped</v>
      </c>
      <c r="K432" t="str">
        <f t="shared" si="33"/>
        <v>Not delivered</v>
      </c>
      <c r="L432" t="str">
        <f t="shared" si="34"/>
        <v>On time</v>
      </c>
      <c r="O432" t="str">
        <f t="shared" si="35"/>
        <v/>
      </c>
    </row>
    <row r="433" spans="1:15">
      <c r="A433">
        <v>1451</v>
      </c>
      <c r="B433" t="s">
        <v>347</v>
      </c>
      <c r="C433" s="1">
        <v>46122</v>
      </c>
      <c r="D433" s="1">
        <v>46122</v>
      </c>
      <c r="E433" s="1">
        <v>46127</v>
      </c>
      <c r="F433" s="1">
        <v>46129</v>
      </c>
      <c r="G433" s="1">
        <v>46130</v>
      </c>
      <c r="H433">
        <f t="shared" si="31"/>
        <v>0</v>
      </c>
      <c r="I433" t="str">
        <f t="shared" si="32"/>
        <v>ParcelOne</v>
      </c>
      <c r="J433" t="str">
        <f>VLOOKUP(A433,Orders!$A$2:$D$1201,4,FALSE)</f>
        <v>Delivered</v>
      </c>
      <c r="K433" t="str">
        <f t="shared" si="33"/>
        <v>Late</v>
      </c>
      <c r="L433" t="str">
        <f t="shared" si="34"/>
        <v>On time</v>
      </c>
      <c r="O433">
        <f t="shared" si="35"/>
        <v>1</v>
      </c>
    </row>
    <row r="434" spans="1:15">
      <c r="A434">
        <v>1452</v>
      </c>
      <c r="B434" t="s">
        <v>346</v>
      </c>
      <c r="C434" s="1">
        <v>46157</v>
      </c>
      <c r="D434" s="1">
        <v>46157</v>
      </c>
      <c r="E434" s="1">
        <v>46162</v>
      </c>
      <c r="F434" s="1">
        <v>46162</v>
      </c>
      <c r="G434" s="1">
        <v>46163</v>
      </c>
      <c r="H434">
        <f t="shared" si="31"/>
        <v>0</v>
      </c>
      <c r="I434" t="str">
        <f t="shared" si="32"/>
        <v>SwiftShip</v>
      </c>
      <c r="J434" t="str">
        <f>VLOOKUP(A434,Orders!$A$2:$D$1201,4,FALSE)</f>
        <v>Delivered</v>
      </c>
      <c r="K434" t="str">
        <f t="shared" si="33"/>
        <v>On time</v>
      </c>
      <c r="L434" t="str">
        <f t="shared" si="34"/>
        <v>On time</v>
      </c>
      <c r="O434">
        <f t="shared" si="35"/>
        <v>1</v>
      </c>
    </row>
    <row r="435" spans="1:15">
      <c r="A435">
        <v>1453</v>
      </c>
      <c r="B435" t="s">
        <v>348</v>
      </c>
      <c r="C435" s="1">
        <v>46067</v>
      </c>
      <c r="D435" s="1">
        <v>46067</v>
      </c>
      <c r="E435" s="1">
        <v>46072</v>
      </c>
      <c r="F435" s="1">
        <v>46072</v>
      </c>
      <c r="G435" s="1">
        <v>46073</v>
      </c>
      <c r="H435">
        <f t="shared" si="31"/>
        <v>0</v>
      </c>
      <c r="I435" t="str">
        <f t="shared" si="32"/>
        <v>MetroLogistics</v>
      </c>
      <c r="J435" t="str">
        <f>VLOOKUP(A435,Orders!$A$2:$D$1201,4,FALSE)</f>
        <v>Delivered</v>
      </c>
      <c r="K435" t="str">
        <f t="shared" si="33"/>
        <v>On time</v>
      </c>
      <c r="L435" t="str">
        <f t="shared" si="34"/>
        <v>On time</v>
      </c>
      <c r="O435">
        <f t="shared" si="35"/>
        <v>1</v>
      </c>
    </row>
    <row r="436" spans="1:15">
      <c r="A436">
        <v>1454</v>
      </c>
      <c r="B436" t="s">
        <v>348</v>
      </c>
      <c r="C436" s="1">
        <v>46059</v>
      </c>
      <c r="D436" s="1">
        <v>46060</v>
      </c>
      <c r="E436" s="1">
        <v>46064</v>
      </c>
      <c r="F436" s="1">
        <v>46063</v>
      </c>
      <c r="G436" s="1">
        <v>46063</v>
      </c>
      <c r="H436">
        <f t="shared" si="31"/>
        <v>0</v>
      </c>
      <c r="I436" t="str">
        <f t="shared" si="32"/>
        <v>MetroLogistics</v>
      </c>
      <c r="J436" t="str">
        <f>VLOOKUP(A436,Orders!$A$2:$D$1201,4,FALSE)</f>
        <v>Delivered</v>
      </c>
      <c r="K436" t="str">
        <f t="shared" si="33"/>
        <v>On time</v>
      </c>
      <c r="L436" t="str">
        <f t="shared" si="34"/>
        <v>Late</v>
      </c>
      <c r="O436">
        <f t="shared" si="35"/>
        <v>0</v>
      </c>
    </row>
    <row r="437" spans="1:15">
      <c r="A437">
        <v>1455</v>
      </c>
      <c r="B437" t="s">
        <v>348</v>
      </c>
      <c r="C437" s="1">
        <v>46066</v>
      </c>
      <c r="D437" s="1">
        <v>46066</v>
      </c>
      <c r="E437" s="1">
        <v>46071</v>
      </c>
      <c r="F437" s="1">
        <v>46070</v>
      </c>
      <c r="G437" s="1">
        <v>46070</v>
      </c>
      <c r="H437">
        <f t="shared" si="31"/>
        <v>0</v>
      </c>
      <c r="I437" t="str">
        <f t="shared" si="32"/>
        <v>MetroLogistics</v>
      </c>
      <c r="J437" t="str">
        <f>VLOOKUP(A437,Orders!$A$2:$D$1201,4,FALSE)</f>
        <v>Delivered</v>
      </c>
      <c r="K437" t="str">
        <f t="shared" si="33"/>
        <v>On time</v>
      </c>
      <c r="L437" t="str">
        <f t="shared" si="34"/>
        <v>On time</v>
      </c>
      <c r="O437">
        <f t="shared" si="35"/>
        <v>0</v>
      </c>
    </row>
    <row r="438" spans="1:15">
      <c r="A438">
        <v>1456</v>
      </c>
      <c r="B438" t="s">
        <v>347</v>
      </c>
      <c r="C438" s="1">
        <v>46155</v>
      </c>
      <c r="D438" s="1">
        <v>46157</v>
      </c>
      <c r="E438" s="1">
        <v>46160</v>
      </c>
      <c r="F438" s="1">
        <v>46160</v>
      </c>
      <c r="G438" s="1">
        <v>46160</v>
      </c>
      <c r="H438">
        <f t="shared" si="31"/>
        <v>0</v>
      </c>
      <c r="I438" t="str">
        <f t="shared" si="32"/>
        <v>ParcelOne</v>
      </c>
      <c r="J438" t="str">
        <f>VLOOKUP(A438,Orders!$A$2:$D$1201,4,FALSE)</f>
        <v>Delivered</v>
      </c>
      <c r="K438" t="str">
        <f t="shared" si="33"/>
        <v>On time</v>
      </c>
      <c r="L438" t="str">
        <f t="shared" si="34"/>
        <v>Late</v>
      </c>
      <c r="O438">
        <f t="shared" si="35"/>
        <v>0</v>
      </c>
    </row>
    <row r="439" spans="1:15">
      <c r="A439">
        <v>1458</v>
      </c>
      <c r="B439" t="s">
        <v>347</v>
      </c>
      <c r="C439" s="1">
        <v>46185</v>
      </c>
      <c r="D439" s="1">
        <v>46185</v>
      </c>
      <c r="E439" s="1">
        <v>46190</v>
      </c>
      <c r="F439" s="1">
        <v>46190</v>
      </c>
      <c r="G439" s="1">
        <v>46190</v>
      </c>
      <c r="H439">
        <f t="shared" si="31"/>
        <v>0</v>
      </c>
      <c r="I439" t="str">
        <f t="shared" si="32"/>
        <v>ParcelOne</v>
      </c>
      <c r="J439" t="str">
        <f>VLOOKUP(A439,Orders!$A$2:$D$1201,4,FALSE)</f>
        <v>Delivered</v>
      </c>
      <c r="K439" t="str">
        <f t="shared" si="33"/>
        <v>On time</v>
      </c>
      <c r="L439" t="str">
        <f t="shared" si="34"/>
        <v>On time</v>
      </c>
      <c r="O439">
        <f t="shared" si="35"/>
        <v>0</v>
      </c>
    </row>
    <row r="440" spans="1:15">
      <c r="A440">
        <v>1460</v>
      </c>
      <c r="B440" t="s">
        <v>347</v>
      </c>
      <c r="C440" s="1">
        <v>46141</v>
      </c>
      <c r="D440" s="1">
        <v>46141</v>
      </c>
      <c r="E440" s="1">
        <v>46146</v>
      </c>
      <c r="F440" s="1">
        <v>46144</v>
      </c>
      <c r="G440" s="1">
        <v>46144</v>
      </c>
      <c r="H440">
        <f t="shared" si="31"/>
        <v>0</v>
      </c>
      <c r="I440" t="str">
        <f t="shared" si="32"/>
        <v>ParcelOne</v>
      </c>
      <c r="J440" t="str">
        <f>VLOOKUP(A440,Orders!$A$2:$D$1201,4,FALSE)</f>
        <v>Delivered</v>
      </c>
      <c r="K440" t="str">
        <f t="shared" si="33"/>
        <v>On time</v>
      </c>
      <c r="L440" t="str">
        <f t="shared" si="34"/>
        <v>On time</v>
      </c>
      <c r="O440">
        <f t="shared" si="35"/>
        <v>0</v>
      </c>
    </row>
    <row r="441" spans="1:15">
      <c r="A441">
        <v>1461</v>
      </c>
      <c r="B441" t="s">
        <v>348</v>
      </c>
      <c r="C441" s="1">
        <v>46033</v>
      </c>
      <c r="D441" s="1">
        <v>46035</v>
      </c>
      <c r="E441" s="1">
        <v>46038</v>
      </c>
      <c r="F441" s="1">
        <v>46037</v>
      </c>
      <c r="G441" s="1">
        <v>46037</v>
      </c>
      <c r="H441">
        <f t="shared" si="31"/>
        <v>0</v>
      </c>
      <c r="I441" t="str">
        <f t="shared" si="32"/>
        <v>MetroLogistics</v>
      </c>
      <c r="J441" t="str">
        <f>VLOOKUP(A441,Orders!$A$2:$D$1201,4,FALSE)</f>
        <v>Delivered</v>
      </c>
      <c r="K441" t="str">
        <f t="shared" si="33"/>
        <v>On time</v>
      </c>
      <c r="L441" t="str">
        <f t="shared" si="34"/>
        <v>Late</v>
      </c>
      <c r="O441">
        <f t="shared" si="35"/>
        <v>0</v>
      </c>
    </row>
    <row r="442" spans="1:15">
      <c r="A442">
        <v>1462</v>
      </c>
      <c r="B442" t="s">
        <v>347</v>
      </c>
      <c r="C442" s="1">
        <v>46202</v>
      </c>
      <c r="D442" s="1">
        <v>46202</v>
      </c>
      <c r="E442" s="1">
        <v>46207</v>
      </c>
      <c r="F442" s="1">
        <v>46207</v>
      </c>
      <c r="G442" s="1">
        <v>46208</v>
      </c>
      <c r="H442">
        <f t="shared" si="31"/>
        <v>0</v>
      </c>
      <c r="I442" t="str">
        <f t="shared" si="32"/>
        <v>ParcelOne</v>
      </c>
      <c r="J442" t="str">
        <f>VLOOKUP(A442,Orders!$A$2:$D$1201,4,FALSE)</f>
        <v>Delivered</v>
      </c>
      <c r="K442" t="str">
        <f t="shared" si="33"/>
        <v>On time</v>
      </c>
      <c r="L442" t="str">
        <f t="shared" si="34"/>
        <v>On time</v>
      </c>
      <c r="O442">
        <f t="shared" si="35"/>
        <v>1</v>
      </c>
    </row>
    <row r="443" spans="1:15">
      <c r="A443">
        <v>1463</v>
      </c>
      <c r="B443" t="s">
        <v>347</v>
      </c>
      <c r="C443" s="1">
        <v>46134</v>
      </c>
      <c r="D443" s="1">
        <v>46134</v>
      </c>
      <c r="E443" s="1">
        <v>46139</v>
      </c>
      <c r="F443" s="1">
        <v>46139</v>
      </c>
      <c r="G443" s="1">
        <v>46139</v>
      </c>
      <c r="H443">
        <f t="shared" si="31"/>
        <v>0</v>
      </c>
      <c r="I443" t="str">
        <f t="shared" si="32"/>
        <v>ParcelOne</v>
      </c>
      <c r="J443" t="str">
        <f>VLOOKUP(A443,Orders!$A$2:$D$1201,4,FALSE)</f>
        <v>Delivered</v>
      </c>
      <c r="K443" t="str">
        <f t="shared" si="33"/>
        <v>On time</v>
      </c>
      <c r="L443" t="str">
        <f t="shared" si="34"/>
        <v>On time</v>
      </c>
      <c r="O443">
        <f t="shared" si="35"/>
        <v>0</v>
      </c>
    </row>
    <row r="444" spans="1:15">
      <c r="A444">
        <v>1464</v>
      </c>
      <c r="B444" t="s">
        <v>348</v>
      </c>
      <c r="C444" s="1">
        <v>46181</v>
      </c>
      <c r="D444" s="1">
        <v>46181</v>
      </c>
      <c r="E444" s="1">
        <v>46186</v>
      </c>
      <c r="F444" s="1">
        <v>46186</v>
      </c>
      <c r="G444" s="1">
        <v>46186</v>
      </c>
      <c r="H444">
        <f t="shared" si="31"/>
        <v>0</v>
      </c>
      <c r="I444" t="str">
        <f t="shared" si="32"/>
        <v>MetroLogistics</v>
      </c>
      <c r="J444" t="str">
        <f>VLOOKUP(A444,Orders!$A$2:$D$1201,4,FALSE)</f>
        <v>Delivered</v>
      </c>
      <c r="K444" t="str">
        <f t="shared" si="33"/>
        <v>On time</v>
      </c>
      <c r="L444" t="str">
        <f t="shared" si="34"/>
        <v>On time</v>
      </c>
      <c r="O444">
        <f t="shared" si="35"/>
        <v>0</v>
      </c>
    </row>
    <row r="445" spans="1:15">
      <c r="A445">
        <v>1465</v>
      </c>
      <c r="B445" t="s">
        <v>348</v>
      </c>
      <c r="C445" s="1">
        <v>46115</v>
      </c>
      <c r="D445" s="1">
        <v>46116</v>
      </c>
      <c r="E445" s="1">
        <v>46120</v>
      </c>
      <c r="H445">
        <f t="shared" si="31"/>
        <v>0</v>
      </c>
      <c r="I445" t="str">
        <f t="shared" si="32"/>
        <v>MetroLogistics</v>
      </c>
      <c r="J445" t="str">
        <f>VLOOKUP(A445,Orders!$A$2:$D$1201,4,FALSE)</f>
        <v>Shipped</v>
      </c>
      <c r="K445" t="str">
        <f t="shared" si="33"/>
        <v>Not delivered</v>
      </c>
      <c r="L445" t="str">
        <f t="shared" si="34"/>
        <v>Late</v>
      </c>
      <c r="O445" t="str">
        <f t="shared" si="35"/>
        <v/>
      </c>
    </row>
    <row r="446" spans="1:15">
      <c r="A446">
        <v>1466</v>
      </c>
      <c r="B446" t="s">
        <v>347</v>
      </c>
      <c r="C446" s="1">
        <v>46084</v>
      </c>
      <c r="D446" s="1">
        <v>46084</v>
      </c>
      <c r="E446" s="1">
        <v>46089</v>
      </c>
      <c r="F446" s="1">
        <v>46090</v>
      </c>
      <c r="G446" s="1">
        <v>46090</v>
      </c>
      <c r="H446">
        <f t="shared" si="31"/>
        <v>0</v>
      </c>
      <c r="I446" t="str">
        <f t="shared" si="32"/>
        <v>ParcelOne</v>
      </c>
      <c r="J446" t="str">
        <f>VLOOKUP(A446,Orders!$A$2:$D$1201,4,FALSE)</f>
        <v>Delivered</v>
      </c>
      <c r="K446" t="str">
        <f t="shared" si="33"/>
        <v>Late</v>
      </c>
      <c r="L446" t="str">
        <f t="shared" si="34"/>
        <v>On time</v>
      </c>
      <c r="O446">
        <f t="shared" si="35"/>
        <v>0</v>
      </c>
    </row>
    <row r="447" spans="1:15">
      <c r="A447">
        <v>1467</v>
      </c>
      <c r="B447" t="s">
        <v>348</v>
      </c>
      <c r="C447" s="1">
        <v>46182</v>
      </c>
      <c r="E447" s="1">
        <v>46187</v>
      </c>
      <c r="H447">
        <f t="shared" si="31"/>
        <v>0</v>
      </c>
      <c r="I447" t="str">
        <f t="shared" si="32"/>
        <v>MetroLogistics</v>
      </c>
      <c r="J447" t="str">
        <f>VLOOKUP(A447,Orders!$A$2:$D$1201,4,FALSE)</f>
        <v>Pending</v>
      </c>
      <c r="K447" t="str">
        <f t="shared" si="33"/>
        <v>Not delivered</v>
      </c>
      <c r="L447" t="str">
        <f t="shared" si="34"/>
        <v>Not dispatched</v>
      </c>
      <c r="O447" t="str">
        <f t="shared" si="35"/>
        <v/>
      </c>
    </row>
    <row r="448" spans="1:15">
      <c r="A448">
        <v>1468</v>
      </c>
      <c r="B448" t="s">
        <v>346</v>
      </c>
      <c r="C448" s="1">
        <v>46188</v>
      </c>
      <c r="D448" s="1">
        <v>46188</v>
      </c>
      <c r="E448" s="1">
        <v>46193</v>
      </c>
      <c r="F448" s="1">
        <v>46192</v>
      </c>
      <c r="G448" s="1">
        <v>46192</v>
      </c>
      <c r="H448">
        <f t="shared" si="31"/>
        <v>0</v>
      </c>
      <c r="I448" t="str">
        <f t="shared" si="32"/>
        <v>SwiftShip</v>
      </c>
      <c r="J448" t="str">
        <f>VLOOKUP(A448,Orders!$A$2:$D$1201,4,FALSE)</f>
        <v>Delivered</v>
      </c>
      <c r="K448" t="str">
        <f t="shared" si="33"/>
        <v>On time</v>
      </c>
      <c r="L448" t="str">
        <f t="shared" si="34"/>
        <v>On time</v>
      </c>
      <c r="O448">
        <f t="shared" si="35"/>
        <v>0</v>
      </c>
    </row>
    <row r="449" spans="1:15">
      <c r="A449">
        <v>1469</v>
      </c>
      <c r="B449" t="s">
        <v>346</v>
      </c>
      <c r="C449" s="1">
        <v>46170</v>
      </c>
      <c r="D449" s="1">
        <v>46171</v>
      </c>
      <c r="E449" s="1">
        <v>46175</v>
      </c>
      <c r="F449" s="1">
        <v>46179</v>
      </c>
      <c r="G449" s="1">
        <v>46179</v>
      </c>
      <c r="H449">
        <f t="shared" si="31"/>
        <v>0</v>
      </c>
      <c r="I449" t="str">
        <f t="shared" si="32"/>
        <v>SwiftShip</v>
      </c>
      <c r="J449" t="str">
        <f>VLOOKUP(A449,Orders!$A$2:$D$1201,4,FALSE)</f>
        <v>Delivered</v>
      </c>
      <c r="K449" t="str">
        <f t="shared" si="33"/>
        <v>Late</v>
      </c>
      <c r="L449" t="str">
        <f t="shared" si="34"/>
        <v>Late</v>
      </c>
      <c r="O449">
        <f t="shared" si="35"/>
        <v>0</v>
      </c>
    </row>
    <row r="450" spans="1:15">
      <c r="A450">
        <v>1470</v>
      </c>
      <c r="B450" t="s">
        <v>346</v>
      </c>
      <c r="C450" s="1">
        <v>46034</v>
      </c>
      <c r="D450" s="1">
        <v>46035</v>
      </c>
      <c r="E450" s="1">
        <v>46039</v>
      </c>
      <c r="F450" s="1">
        <v>46039</v>
      </c>
      <c r="G450" s="1">
        <v>46039</v>
      </c>
      <c r="H450">
        <f t="shared" si="31"/>
        <v>0</v>
      </c>
      <c r="I450" t="str">
        <f t="shared" si="32"/>
        <v>SwiftShip</v>
      </c>
      <c r="J450" t="str">
        <f>VLOOKUP(A450,Orders!$A$2:$D$1201,4,FALSE)</f>
        <v>Delivered</v>
      </c>
      <c r="K450" t="str">
        <f t="shared" si="33"/>
        <v>On time</v>
      </c>
      <c r="L450" t="str">
        <f t="shared" si="34"/>
        <v>Late</v>
      </c>
      <c r="O450">
        <f t="shared" si="35"/>
        <v>0</v>
      </c>
    </row>
    <row r="451" spans="1:15">
      <c r="A451">
        <v>1471</v>
      </c>
      <c r="B451" t="s">
        <v>347</v>
      </c>
      <c r="C451" s="1">
        <v>46039</v>
      </c>
      <c r="D451" s="1">
        <v>46039</v>
      </c>
      <c r="E451" s="1">
        <v>46044</v>
      </c>
      <c r="F451" s="1">
        <v>46046</v>
      </c>
      <c r="G451" s="1">
        <v>46046</v>
      </c>
      <c r="H451">
        <f t="shared" ref="H451:H514" si="36">LEN(B451)-LEN(TRIM(B451))</f>
        <v>0</v>
      </c>
      <c r="I451" t="str">
        <f t="shared" ref="I451:I514" si="37">TRIM(B451)</f>
        <v>ParcelOne</v>
      </c>
      <c r="J451" t="str">
        <f>VLOOKUP(A451,Orders!$A$2:$D$1201,4,FALSE)</f>
        <v>Delivered</v>
      </c>
      <c r="K451" t="str">
        <f t="shared" ref="K451:K514" si="38">IF(J451&lt;&gt;"Delivered","Not delivered",IF(OR(E451="",F451=""),"Unknown",IF(F451&lt;=E451,"On time","Late")))</f>
        <v>Late</v>
      </c>
      <c r="L451" t="str">
        <f t="shared" ref="L451:L514" si="39">IF(D451="","Not dispatched",IF(C451="","Unknown",IF(D451&lt;=C451,"On time","Late")))</f>
        <v>On time</v>
      </c>
      <c r="O451">
        <f t="shared" ref="O451:O514" si="40">IF(OR(F451="",G451=""),"",G451-F451)</f>
        <v>0</v>
      </c>
    </row>
    <row r="452" spans="1:15">
      <c r="A452">
        <v>1472</v>
      </c>
      <c r="B452" t="s">
        <v>346</v>
      </c>
      <c r="C452" s="1">
        <v>46096</v>
      </c>
      <c r="D452" s="1">
        <v>46096</v>
      </c>
      <c r="E452" s="1">
        <v>46101</v>
      </c>
      <c r="F452" s="1">
        <v>46100</v>
      </c>
      <c r="G452" s="1">
        <v>46100</v>
      </c>
      <c r="H452">
        <f t="shared" si="36"/>
        <v>0</v>
      </c>
      <c r="I452" t="str">
        <f t="shared" si="37"/>
        <v>SwiftShip</v>
      </c>
      <c r="J452" t="str">
        <f>VLOOKUP(A452,Orders!$A$2:$D$1201,4,FALSE)</f>
        <v>Delivered</v>
      </c>
      <c r="K452" t="str">
        <f t="shared" si="38"/>
        <v>On time</v>
      </c>
      <c r="L452" t="str">
        <f t="shared" si="39"/>
        <v>On time</v>
      </c>
      <c r="O452">
        <f t="shared" si="40"/>
        <v>0</v>
      </c>
    </row>
    <row r="453" spans="1:15">
      <c r="A453">
        <v>1474</v>
      </c>
      <c r="B453" t="s">
        <v>347</v>
      </c>
      <c r="C453" s="1">
        <v>46120</v>
      </c>
      <c r="D453" s="1">
        <v>46120</v>
      </c>
      <c r="E453" s="1">
        <v>46125</v>
      </c>
      <c r="F453" s="1">
        <v>46125</v>
      </c>
      <c r="G453" s="1">
        <v>46125</v>
      </c>
      <c r="H453">
        <f t="shared" si="36"/>
        <v>0</v>
      </c>
      <c r="I453" t="str">
        <f t="shared" si="37"/>
        <v>ParcelOne</v>
      </c>
      <c r="J453" t="str">
        <f>VLOOKUP(A453,Orders!$A$2:$D$1201,4,FALSE)</f>
        <v>Delivered</v>
      </c>
      <c r="K453" t="str">
        <f t="shared" si="38"/>
        <v>On time</v>
      </c>
      <c r="L453" t="str">
        <f t="shared" si="39"/>
        <v>On time</v>
      </c>
      <c r="O453">
        <f t="shared" si="40"/>
        <v>0</v>
      </c>
    </row>
    <row r="454" spans="1:15">
      <c r="A454">
        <v>1475</v>
      </c>
      <c r="B454" t="s">
        <v>346</v>
      </c>
      <c r="C454" s="1">
        <v>46048</v>
      </c>
      <c r="D454" s="1">
        <v>46050</v>
      </c>
      <c r="E454" s="1">
        <v>46053</v>
      </c>
      <c r="F454" s="1">
        <v>46054</v>
      </c>
      <c r="G454" s="1">
        <v>46054</v>
      </c>
      <c r="H454">
        <f t="shared" si="36"/>
        <v>0</v>
      </c>
      <c r="I454" t="str">
        <f t="shared" si="37"/>
        <v>SwiftShip</v>
      </c>
      <c r="J454" t="str">
        <f>VLOOKUP(A454,Orders!$A$2:$D$1201,4,FALSE)</f>
        <v>Delivered</v>
      </c>
      <c r="K454" t="str">
        <f t="shared" si="38"/>
        <v>Late</v>
      </c>
      <c r="L454" t="str">
        <f t="shared" si="39"/>
        <v>Late</v>
      </c>
      <c r="O454">
        <f t="shared" si="40"/>
        <v>0</v>
      </c>
    </row>
    <row r="455" spans="1:15">
      <c r="A455">
        <v>1476</v>
      </c>
      <c r="B455" t="s">
        <v>347</v>
      </c>
      <c r="C455" s="1">
        <v>46061</v>
      </c>
      <c r="D455" s="1">
        <v>46061</v>
      </c>
      <c r="E455" s="1">
        <v>46066</v>
      </c>
      <c r="F455" s="1">
        <v>46066</v>
      </c>
      <c r="G455" s="1">
        <v>46066</v>
      </c>
      <c r="H455">
        <f t="shared" si="36"/>
        <v>0</v>
      </c>
      <c r="I455" t="str">
        <f t="shared" si="37"/>
        <v>ParcelOne</v>
      </c>
      <c r="J455" t="str">
        <f>VLOOKUP(A455,Orders!$A$2:$D$1201,4,FALSE)</f>
        <v>Delivered</v>
      </c>
      <c r="K455" t="str">
        <f t="shared" si="38"/>
        <v>On time</v>
      </c>
      <c r="L455" t="str">
        <f t="shared" si="39"/>
        <v>On time</v>
      </c>
      <c r="O455">
        <f t="shared" si="40"/>
        <v>0</v>
      </c>
    </row>
    <row r="456" spans="1:15">
      <c r="A456">
        <v>1477</v>
      </c>
      <c r="B456" t="s">
        <v>347</v>
      </c>
      <c r="C456" s="1">
        <v>46200</v>
      </c>
      <c r="D456" s="1">
        <v>46200</v>
      </c>
      <c r="E456" s="1">
        <v>46205</v>
      </c>
      <c r="F456" s="1">
        <v>46206</v>
      </c>
      <c r="G456" s="1">
        <v>46206</v>
      </c>
      <c r="H456">
        <f t="shared" si="36"/>
        <v>0</v>
      </c>
      <c r="I456" t="str">
        <f t="shared" si="37"/>
        <v>ParcelOne</v>
      </c>
      <c r="J456" t="str">
        <f>VLOOKUP(A456,Orders!$A$2:$D$1201,4,FALSE)</f>
        <v>Delivered</v>
      </c>
      <c r="K456" t="str">
        <f t="shared" si="38"/>
        <v>Late</v>
      </c>
      <c r="L456" t="str">
        <f t="shared" si="39"/>
        <v>On time</v>
      </c>
      <c r="O456">
        <f t="shared" si="40"/>
        <v>0</v>
      </c>
    </row>
    <row r="457" spans="1:15">
      <c r="A457">
        <v>1478</v>
      </c>
      <c r="B457" t="s">
        <v>348</v>
      </c>
      <c r="C457" s="1">
        <v>46107</v>
      </c>
      <c r="D457" s="1">
        <v>46107</v>
      </c>
      <c r="E457" s="1">
        <v>46112</v>
      </c>
      <c r="F457" s="1">
        <v>46111</v>
      </c>
      <c r="G457" s="1">
        <v>46111</v>
      </c>
      <c r="H457">
        <f t="shared" si="36"/>
        <v>0</v>
      </c>
      <c r="I457" t="str">
        <f t="shared" si="37"/>
        <v>MetroLogistics</v>
      </c>
      <c r="J457" t="str">
        <f>VLOOKUP(A457,Orders!$A$2:$D$1201,4,FALSE)</f>
        <v>Delivered</v>
      </c>
      <c r="K457" t="str">
        <f t="shared" si="38"/>
        <v>On time</v>
      </c>
      <c r="L457" t="str">
        <f t="shared" si="39"/>
        <v>On time</v>
      </c>
      <c r="O457">
        <f t="shared" si="40"/>
        <v>0</v>
      </c>
    </row>
    <row r="458" spans="1:15">
      <c r="A458">
        <v>1479</v>
      </c>
      <c r="B458" t="s">
        <v>346</v>
      </c>
      <c r="C458" s="1">
        <v>46168</v>
      </c>
      <c r="D458" s="1">
        <v>46168</v>
      </c>
      <c r="E458" s="1">
        <v>46173</v>
      </c>
      <c r="F458" s="1">
        <v>46172</v>
      </c>
      <c r="G458" s="1">
        <v>46172</v>
      </c>
      <c r="H458">
        <f t="shared" si="36"/>
        <v>0</v>
      </c>
      <c r="I458" t="str">
        <f t="shared" si="37"/>
        <v>SwiftShip</v>
      </c>
      <c r="J458" t="str">
        <f>VLOOKUP(A458,Orders!$A$2:$D$1201,4,FALSE)</f>
        <v>Delivered</v>
      </c>
      <c r="K458" t="str">
        <f t="shared" si="38"/>
        <v>On time</v>
      </c>
      <c r="L458" t="str">
        <f t="shared" si="39"/>
        <v>On time</v>
      </c>
      <c r="O458">
        <f t="shared" si="40"/>
        <v>0</v>
      </c>
    </row>
    <row r="459" spans="1:15">
      <c r="A459">
        <v>1480</v>
      </c>
      <c r="B459" t="s">
        <v>347</v>
      </c>
      <c r="C459" s="1">
        <v>46163</v>
      </c>
      <c r="D459" s="1">
        <v>46163</v>
      </c>
      <c r="E459" s="1">
        <v>46168</v>
      </c>
      <c r="F459" s="1">
        <v>46166</v>
      </c>
      <c r="G459" s="1">
        <v>46166</v>
      </c>
      <c r="H459">
        <f t="shared" si="36"/>
        <v>0</v>
      </c>
      <c r="I459" t="str">
        <f t="shared" si="37"/>
        <v>ParcelOne</v>
      </c>
      <c r="J459" t="str">
        <f>VLOOKUP(A459,Orders!$A$2:$D$1201,4,FALSE)</f>
        <v>Delivered</v>
      </c>
      <c r="K459" t="str">
        <f t="shared" si="38"/>
        <v>On time</v>
      </c>
      <c r="L459" t="str">
        <f t="shared" si="39"/>
        <v>On time</v>
      </c>
      <c r="O459">
        <f t="shared" si="40"/>
        <v>0</v>
      </c>
    </row>
    <row r="460" spans="1:15">
      <c r="A460">
        <v>1481</v>
      </c>
      <c r="B460" t="s">
        <v>348</v>
      </c>
      <c r="C460" s="1">
        <v>46205</v>
      </c>
      <c r="D460" s="1">
        <v>46205</v>
      </c>
      <c r="E460" s="1">
        <v>46210</v>
      </c>
      <c r="F460" s="1">
        <v>46209</v>
      </c>
      <c r="G460" s="1">
        <v>46210</v>
      </c>
      <c r="H460">
        <f t="shared" si="36"/>
        <v>0</v>
      </c>
      <c r="I460" t="str">
        <f t="shared" si="37"/>
        <v>MetroLogistics</v>
      </c>
      <c r="J460" t="str">
        <f>VLOOKUP(A460,Orders!$A$2:$D$1201,4,FALSE)</f>
        <v>Delivered</v>
      </c>
      <c r="K460" t="str">
        <f t="shared" si="38"/>
        <v>On time</v>
      </c>
      <c r="L460" t="str">
        <f t="shared" si="39"/>
        <v>On time</v>
      </c>
      <c r="O460">
        <f t="shared" si="40"/>
        <v>1</v>
      </c>
    </row>
    <row r="461" spans="1:15">
      <c r="A461">
        <v>1482</v>
      </c>
      <c r="B461" t="s">
        <v>346</v>
      </c>
      <c r="C461" s="1">
        <v>46144</v>
      </c>
      <c r="D461" s="1">
        <v>46145</v>
      </c>
      <c r="E461" s="1">
        <v>46149</v>
      </c>
      <c r="F461" s="1">
        <v>46149</v>
      </c>
      <c r="G461" s="1">
        <v>46151</v>
      </c>
      <c r="H461">
        <f t="shared" si="36"/>
        <v>0</v>
      </c>
      <c r="I461" t="str">
        <f t="shared" si="37"/>
        <v>SwiftShip</v>
      </c>
      <c r="J461" t="str">
        <f>VLOOKUP(A461,Orders!$A$2:$D$1201,4,FALSE)</f>
        <v>Delivered</v>
      </c>
      <c r="K461" t="str">
        <f t="shared" si="38"/>
        <v>On time</v>
      </c>
      <c r="L461" t="str">
        <f t="shared" si="39"/>
        <v>Late</v>
      </c>
      <c r="O461">
        <f t="shared" si="40"/>
        <v>2</v>
      </c>
    </row>
    <row r="462" spans="1:15">
      <c r="A462">
        <v>1483</v>
      </c>
      <c r="B462" t="s">
        <v>347</v>
      </c>
      <c r="C462" s="1">
        <v>46071</v>
      </c>
      <c r="D462" s="1">
        <v>46071</v>
      </c>
      <c r="E462" s="1">
        <v>46076</v>
      </c>
      <c r="F462" s="1">
        <v>46076</v>
      </c>
      <c r="G462" s="1">
        <v>46076</v>
      </c>
      <c r="H462">
        <f t="shared" si="36"/>
        <v>0</v>
      </c>
      <c r="I462" t="str">
        <f t="shared" si="37"/>
        <v>ParcelOne</v>
      </c>
      <c r="J462" t="str">
        <f>VLOOKUP(A462,Orders!$A$2:$D$1201,4,FALSE)</f>
        <v>Delivered</v>
      </c>
      <c r="K462" t="str">
        <f t="shared" si="38"/>
        <v>On time</v>
      </c>
      <c r="L462" t="str">
        <f t="shared" si="39"/>
        <v>On time</v>
      </c>
      <c r="O462">
        <f t="shared" si="40"/>
        <v>0</v>
      </c>
    </row>
    <row r="463" spans="1:15">
      <c r="A463">
        <v>1484</v>
      </c>
      <c r="B463" t="s">
        <v>348</v>
      </c>
      <c r="C463" s="1">
        <v>46097</v>
      </c>
      <c r="D463" s="1">
        <v>46097</v>
      </c>
      <c r="E463" s="1">
        <v>46102</v>
      </c>
      <c r="F463" s="1">
        <v>46103</v>
      </c>
      <c r="G463" s="1">
        <v>46103</v>
      </c>
      <c r="H463">
        <f t="shared" si="36"/>
        <v>0</v>
      </c>
      <c r="I463" t="str">
        <f t="shared" si="37"/>
        <v>MetroLogistics</v>
      </c>
      <c r="J463" t="str">
        <f>VLOOKUP(A463,Orders!$A$2:$D$1201,4,FALSE)</f>
        <v>Delivered</v>
      </c>
      <c r="K463" t="str">
        <f t="shared" si="38"/>
        <v>Late</v>
      </c>
      <c r="L463" t="str">
        <f t="shared" si="39"/>
        <v>On time</v>
      </c>
      <c r="O463">
        <f t="shared" si="40"/>
        <v>0</v>
      </c>
    </row>
    <row r="464" spans="1:15">
      <c r="A464">
        <v>1485</v>
      </c>
      <c r="B464" t="s">
        <v>346</v>
      </c>
      <c r="C464" s="1">
        <v>46191</v>
      </c>
      <c r="D464" s="1">
        <v>46191</v>
      </c>
      <c r="E464" s="1">
        <v>46196</v>
      </c>
      <c r="F464" s="1">
        <v>46200</v>
      </c>
      <c r="G464" s="1">
        <v>46200</v>
      </c>
      <c r="H464">
        <f t="shared" si="36"/>
        <v>0</v>
      </c>
      <c r="I464" t="str">
        <f t="shared" si="37"/>
        <v>SwiftShip</v>
      </c>
      <c r="J464" t="str">
        <f>VLOOKUP(A464,Orders!$A$2:$D$1201,4,FALSE)</f>
        <v>Delivered</v>
      </c>
      <c r="K464" t="str">
        <f t="shared" si="38"/>
        <v>Late</v>
      </c>
      <c r="L464" t="str">
        <f t="shared" si="39"/>
        <v>On time</v>
      </c>
      <c r="O464">
        <f t="shared" si="40"/>
        <v>0</v>
      </c>
    </row>
    <row r="465" spans="1:15">
      <c r="A465">
        <v>1486</v>
      </c>
      <c r="B465" t="s">
        <v>348</v>
      </c>
      <c r="C465" s="1">
        <v>46078</v>
      </c>
      <c r="D465" s="1">
        <v>46078</v>
      </c>
      <c r="E465" s="1">
        <v>46083</v>
      </c>
      <c r="F465" s="1">
        <v>46081</v>
      </c>
      <c r="G465" s="1">
        <v>46083</v>
      </c>
      <c r="H465">
        <f t="shared" si="36"/>
        <v>0</v>
      </c>
      <c r="I465" t="str">
        <f t="shared" si="37"/>
        <v>MetroLogistics</v>
      </c>
      <c r="J465" t="str">
        <f>VLOOKUP(A465,Orders!$A$2:$D$1201,4,FALSE)</f>
        <v>Delivered</v>
      </c>
      <c r="K465" t="str">
        <f t="shared" si="38"/>
        <v>On time</v>
      </c>
      <c r="L465" t="str">
        <f t="shared" si="39"/>
        <v>On time</v>
      </c>
      <c r="O465">
        <f t="shared" si="40"/>
        <v>2</v>
      </c>
    </row>
    <row r="466" spans="1:15">
      <c r="A466">
        <v>1487</v>
      </c>
      <c r="B466" t="s">
        <v>348</v>
      </c>
      <c r="C466" s="1">
        <v>46149</v>
      </c>
      <c r="D466" s="1">
        <v>46149</v>
      </c>
      <c r="E466" s="1">
        <v>46154</v>
      </c>
      <c r="F466" s="1">
        <v>46154</v>
      </c>
      <c r="G466" s="1">
        <v>46154</v>
      </c>
      <c r="H466">
        <f t="shared" si="36"/>
        <v>0</v>
      </c>
      <c r="I466" t="str">
        <f t="shared" si="37"/>
        <v>MetroLogistics</v>
      </c>
      <c r="J466" t="str">
        <f>VLOOKUP(A466,Orders!$A$2:$D$1201,4,FALSE)</f>
        <v>Delivered</v>
      </c>
      <c r="K466" t="str">
        <f t="shared" si="38"/>
        <v>On time</v>
      </c>
      <c r="L466" t="str">
        <f t="shared" si="39"/>
        <v>On time</v>
      </c>
      <c r="O466">
        <f t="shared" si="40"/>
        <v>0</v>
      </c>
    </row>
    <row r="467" spans="1:15">
      <c r="A467">
        <v>1488</v>
      </c>
      <c r="B467" t="s">
        <v>348</v>
      </c>
      <c r="C467" s="1">
        <v>46177</v>
      </c>
      <c r="D467" s="1">
        <v>46177</v>
      </c>
      <c r="E467" s="1">
        <v>46182</v>
      </c>
      <c r="F467" s="1">
        <v>46181</v>
      </c>
      <c r="G467" s="1">
        <v>46181</v>
      </c>
      <c r="H467">
        <f t="shared" si="36"/>
        <v>0</v>
      </c>
      <c r="I467" t="str">
        <f t="shared" si="37"/>
        <v>MetroLogistics</v>
      </c>
      <c r="J467" t="str">
        <f>VLOOKUP(A467,Orders!$A$2:$D$1201,4,FALSE)</f>
        <v>Delivered</v>
      </c>
      <c r="K467" t="str">
        <f t="shared" si="38"/>
        <v>On time</v>
      </c>
      <c r="L467" t="str">
        <f t="shared" si="39"/>
        <v>On time</v>
      </c>
      <c r="O467">
        <f t="shared" si="40"/>
        <v>0</v>
      </c>
    </row>
    <row r="468" spans="1:15">
      <c r="A468">
        <v>1489</v>
      </c>
      <c r="B468" t="s">
        <v>348</v>
      </c>
      <c r="C468" s="1">
        <v>46025</v>
      </c>
      <c r="D468" s="1">
        <v>46025</v>
      </c>
      <c r="E468" s="1">
        <v>46030</v>
      </c>
      <c r="F468" s="1">
        <v>46031</v>
      </c>
      <c r="G468" s="1">
        <v>46031</v>
      </c>
      <c r="H468">
        <f t="shared" si="36"/>
        <v>0</v>
      </c>
      <c r="I468" t="str">
        <f t="shared" si="37"/>
        <v>MetroLogistics</v>
      </c>
      <c r="J468" t="str">
        <f>VLOOKUP(A468,Orders!$A$2:$D$1201,4,FALSE)</f>
        <v>Delivered</v>
      </c>
      <c r="K468" t="str">
        <f t="shared" si="38"/>
        <v>Late</v>
      </c>
      <c r="L468" t="str">
        <f t="shared" si="39"/>
        <v>On time</v>
      </c>
      <c r="O468">
        <f t="shared" si="40"/>
        <v>0</v>
      </c>
    </row>
    <row r="469" spans="1:15">
      <c r="A469">
        <v>1490</v>
      </c>
      <c r="B469" t="s">
        <v>347</v>
      </c>
      <c r="C469" s="1">
        <v>46198</v>
      </c>
      <c r="D469" s="1">
        <v>46199</v>
      </c>
      <c r="E469" s="1">
        <v>46203</v>
      </c>
      <c r="F469" s="1">
        <v>46201</v>
      </c>
      <c r="G469" s="1">
        <v>46203</v>
      </c>
      <c r="H469">
        <f t="shared" si="36"/>
        <v>0</v>
      </c>
      <c r="I469" t="str">
        <f t="shared" si="37"/>
        <v>ParcelOne</v>
      </c>
      <c r="J469" t="str">
        <f>VLOOKUP(A469,Orders!$A$2:$D$1201,4,FALSE)</f>
        <v>Delivered</v>
      </c>
      <c r="K469" t="str">
        <f t="shared" si="38"/>
        <v>On time</v>
      </c>
      <c r="L469" t="str">
        <f t="shared" si="39"/>
        <v>Late</v>
      </c>
      <c r="O469">
        <f t="shared" si="40"/>
        <v>2</v>
      </c>
    </row>
    <row r="470" spans="1:15">
      <c r="A470">
        <v>1491</v>
      </c>
      <c r="B470" t="s">
        <v>346</v>
      </c>
      <c r="C470" s="1">
        <v>46025</v>
      </c>
      <c r="D470" s="1">
        <v>46025</v>
      </c>
      <c r="E470" s="1">
        <v>46030</v>
      </c>
      <c r="F470" s="1">
        <v>46031</v>
      </c>
      <c r="G470" s="1">
        <v>46031</v>
      </c>
      <c r="H470">
        <f t="shared" si="36"/>
        <v>0</v>
      </c>
      <c r="I470" t="str">
        <f t="shared" si="37"/>
        <v>SwiftShip</v>
      </c>
      <c r="J470" t="str">
        <f>VLOOKUP(A470,Orders!$A$2:$D$1201,4,FALSE)</f>
        <v>Delivered</v>
      </c>
      <c r="K470" t="str">
        <f t="shared" si="38"/>
        <v>Late</v>
      </c>
      <c r="L470" t="str">
        <f t="shared" si="39"/>
        <v>On time</v>
      </c>
      <c r="O470">
        <f t="shared" si="40"/>
        <v>0</v>
      </c>
    </row>
    <row r="471" spans="1:15">
      <c r="A471">
        <v>1492</v>
      </c>
      <c r="B471" t="s">
        <v>346</v>
      </c>
      <c r="C471" s="1">
        <v>46122</v>
      </c>
      <c r="D471" s="1">
        <v>46122</v>
      </c>
      <c r="E471" s="1">
        <v>46127</v>
      </c>
      <c r="F471" s="1">
        <v>46129</v>
      </c>
      <c r="G471" s="1">
        <v>46129</v>
      </c>
      <c r="H471">
        <f t="shared" si="36"/>
        <v>0</v>
      </c>
      <c r="I471" t="str">
        <f t="shared" si="37"/>
        <v>SwiftShip</v>
      </c>
      <c r="J471" t="str">
        <f>VLOOKUP(A471,Orders!$A$2:$D$1201,4,FALSE)</f>
        <v>Delivered</v>
      </c>
      <c r="K471" t="str">
        <f t="shared" si="38"/>
        <v>Late</v>
      </c>
      <c r="L471" t="str">
        <f t="shared" si="39"/>
        <v>On time</v>
      </c>
      <c r="O471">
        <f t="shared" si="40"/>
        <v>0</v>
      </c>
    </row>
    <row r="472" spans="1:15">
      <c r="A472">
        <v>1493</v>
      </c>
      <c r="B472" t="s">
        <v>348</v>
      </c>
      <c r="C472" s="1">
        <v>46064</v>
      </c>
      <c r="D472" s="1">
        <v>46064</v>
      </c>
      <c r="E472" s="1">
        <v>46069</v>
      </c>
      <c r="F472" s="1">
        <v>46068</v>
      </c>
      <c r="G472" s="1">
        <v>46069</v>
      </c>
      <c r="H472">
        <f t="shared" si="36"/>
        <v>0</v>
      </c>
      <c r="I472" t="str">
        <f t="shared" si="37"/>
        <v>MetroLogistics</v>
      </c>
      <c r="J472" t="str">
        <f>VLOOKUP(A472,Orders!$A$2:$D$1201,4,FALSE)</f>
        <v>Delivered</v>
      </c>
      <c r="K472" t="str">
        <f t="shared" si="38"/>
        <v>On time</v>
      </c>
      <c r="L472" t="str">
        <f t="shared" si="39"/>
        <v>On time</v>
      </c>
      <c r="O472">
        <f t="shared" si="40"/>
        <v>1</v>
      </c>
    </row>
    <row r="473" spans="1:15">
      <c r="A473">
        <v>1494</v>
      </c>
      <c r="B473" t="s">
        <v>346</v>
      </c>
      <c r="C473" s="1">
        <v>46136</v>
      </c>
      <c r="E473" s="1">
        <v>46141</v>
      </c>
      <c r="H473">
        <f t="shared" si="36"/>
        <v>0</v>
      </c>
      <c r="I473" t="str">
        <f t="shared" si="37"/>
        <v>SwiftShip</v>
      </c>
      <c r="J473" t="str">
        <f>VLOOKUP(A473,Orders!$A$2:$D$1201,4,FALSE)</f>
        <v>Pending</v>
      </c>
      <c r="K473" t="str">
        <f t="shared" si="38"/>
        <v>Not delivered</v>
      </c>
      <c r="L473" t="str">
        <f t="shared" si="39"/>
        <v>Not dispatched</v>
      </c>
      <c r="O473" t="str">
        <f t="shared" si="40"/>
        <v/>
      </c>
    </row>
    <row r="474" spans="1:15">
      <c r="A474">
        <v>1495</v>
      </c>
      <c r="B474" t="s">
        <v>348</v>
      </c>
      <c r="C474" s="1">
        <v>46203</v>
      </c>
      <c r="D474" s="1">
        <v>46203</v>
      </c>
      <c r="E474" s="1">
        <v>46208</v>
      </c>
      <c r="F474" s="1">
        <v>46207</v>
      </c>
      <c r="G474" s="1">
        <v>46207</v>
      </c>
      <c r="H474">
        <f t="shared" si="36"/>
        <v>0</v>
      </c>
      <c r="I474" t="str">
        <f t="shared" si="37"/>
        <v>MetroLogistics</v>
      </c>
      <c r="J474" t="str">
        <f>VLOOKUP(A474,Orders!$A$2:$D$1201,4,FALSE)</f>
        <v>Delivered</v>
      </c>
      <c r="K474" t="str">
        <f t="shared" si="38"/>
        <v>On time</v>
      </c>
      <c r="L474" t="str">
        <f t="shared" si="39"/>
        <v>On time</v>
      </c>
      <c r="O474">
        <f t="shared" si="40"/>
        <v>0</v>
      </c>
    </row>
    <row r="475" spans="1:15">
      <c r="A475">
        <v>1496</v>
      </c>
      <c r="B475" t="s">
        <v>346</v>
      </c>
      <c r="C475" s="1">
        <v>46152</v>
      </c>
      <c r="D475" s="1">
        <v>46152</v>
      </c>
      <c r="E475" s="1">
        <v>46157</v>
      </c>
      <c r="F475" s="1">
        <v>46158</v>
      </c>
      <c r="G475" s="1">
        <v>46158</v>
      </c>
      <c r="H475">
        <f t="shared" si="36"/>
        <v>0</v>
      </c>
      <c r="I475" t="str">
        <f t="shared" si="37"/>
        <v>SwiftShip</v>
      </c>
      <c r="J475" t="str">
        <f>VLOOKUP(A475,Orders!$A$2:$D$1201,4,FALSE)</f>
        <v>Delivered</v>
      </c>
      <c r="K475" t="str">
        <f t="shared" si="38"/>
        <v>Late</v>
      </c>
      <c r="L475" t="str">
        <f t="shared" si="39"/>
        <v>On time</v>
      </c>
      <c r="O475">
        <f t="shared" si="40"/>
        <v>0</v>
      </c>
    </row>
    <row r="476" spans="1:15">
      <c r="A476">
        <v>1497</v>
      </c>
      <c r="B476" t="s">
        <v>348</v>
      </c>
      <c r="C476" s="1">
        <v>46201</v>
      </c>
      <c r="D476" s="1">
        <v>46201</v>
      </c>
      <c r="E476" s="1">
        <v>46206</v>
      </c>
      <c r="F476" s="1">
        <v>46206</v>
      </c>
      <c r="G476" s="1">
        <v>46206</v>
      </c>
      <c r="H476">
        <f t="shared" si="36"/>
        <v>0</v>
      </c>
      <c r="I476" t="str">
        <f t="shared" si="37"/>
        <v>MetroLogistics</v>
      </c>
      <c r="J476" t="str">
        <f>VLOOKUP(A476,Orders!$A$2:$D$1201,4,FALSE)</f>
        <v>Delivered</v>
      </c>
      <c r="K476" t="str">
        <f t="shared" si="38"/>
        <v>On time</v>
      </c>
      <c r="L476" t="str">
        <f t="shared" si="39"/>
        <v>On time</v>
      </c>
      <c r="O476">
        <f t="shared" si="40"/>
        <v>0</v>
      </c>
    </row>
    <row r="477" spans="1:15">
      <c r="A477">
        <v>1498</v>
      </c>
      <c r="B477" t="s">
        <v>346</v>
      </c>
      <c r="C477" s="1">
        <v>46044</v>
      </c>
      <c r="D477" s="1">
        <v>46044</v>
      </c>
      <c r="E477" s="1">
        <v>46049</v>
      </c>
      <c r="F477" s="1">
        <v>46051</v>
      </c>
      <c r="G477" s="1">
        <v>46051</v>
      </c>
      <c r="H477">
        <f t="shared" si="36"/>
        <v>0</v>
      </c>
      <c r="I477" t="str">
        <f t="shared" si="37"/>
        <v>SwiftShip</v>
      </c>
      <c r="J477" t="str">
        <f>VLOOKUP(A477,Orders!$A$2:$D$1201,4,FALSE)</f>
        <v>Delivered</v>
      </c>
      <c r="K477" t="str">
        <f t="shared" si="38"/>
        <v>Late</v>
      </c>
      <c r="L477" t="str">
        <f t="shared" si="39"/>
        <v>On time</v>
      </c>
      <c r="O477">
        <f t="shared" si="40"/>
        <v>0</v>
      </c>
    </row>
    <row r="478" spans="1:15">
      <c r="A478">
        <v>1499</v>
      </c>
      <c r="B478" t="s">
        <v>347</v>
      </c>
      <c r="C478" s="1">
        <v>46132</v>
      </c>
      <c r="D478" s="1">
        <v>46132</v>
      </c>
      <c r="E478" s="1">
        <v>46137</v>
      </c>
      <c r="F478" s="1">
        <v>46137</v>
      </c>
      <c r="G478" s="1">
        <v>46137</v>
      </c>
      <c r="H478">
        <f t="shared" si="36"/>
        <v>0</v>
      </c>
      <c r="I478" t="str">
        <f t="shared" si="37"/>
        <v>ParcelOne</v>
      </c>
      <c r="J478" t="str">
        <f>VLOOKUP(A478,Orders!$A$2:$D$1201,4,FALSE)</f>
        <v>Delivered</v>
      </c>
      <c r="K478" t="str">
        <f t="shared" si="38"/>
        <v>On time</v>
      </c>
      <c r="L478" t="str">
        <f t="shared" si="39"/>
        <v>On time</v>
      </c>
      <c r="O478">
        <f t="shared" si="40"/>
        <v>0</v>
      </c>
    </row>
    <row r="479" spans="1:15">
      <c r="A479">
        <v>1500</v>
      </c>
      <c r="B479" t="s">
        <v>346</v>
      </c>
      <c r="C479" s="1">
        <v>46193</v>
      </c>
      <c r="E479" s="1">
        <v>46198</v>
      </c>
      <c r="H479">
        <f t="shared" si="36"/>
        <v>0</v>
      </c>
      <c r="I479" t="str">
        <f t="shared" si="37"/>
        <v>SwiftShip</v>
      </c>
      <c r="J479" t="str">
        <f>VLOOKUP(A479,Orders!$A$2:$D$1201,4,FALSE)</f>
        <v>Pending</v>
      </c>
      <c r="K479" t="str">
        <f t="shared" si="38"/>
        <v>Not delivered</v>
      </c>
      <c r="L479" t="str">
        <f t="shared" si="39"/>
        <v>Not dispatched</v>
      </c>
      <c r="O479" t="str">
        <f t="shared" si="40"/>
        <v/>
      </c>
    </row>
    <row r="480" spans="1:15">
      <c r="A480">
        <v>1501</v>
      </c>
      <c r="B480" t="s">
        <v>346</v>
      </c>
      <c r="C480" s="1">
        <v>46089</v>
      </c>
      <c r="D480" s="1">
        <v>46091</v>
      </c>
      <c r="E480" s="1">
        <v>46094</v>
      </c>
      <c r="F480" s="1">
        <v>46095</v>
      </c>
      <c r="G480" s="1">
        <v>46095</v>
      </c>
      <c r="H480">
        <f t="shared" si="36"/>
        <v>0</v>
      </c>
      <c r="I480" t="str">
        <f t="shared" si="37"/>
        <v>SwiftShip</v>
      </c>
      <c r="J480" t="str">
        <f>VLOOKUP(A480,Orders!$A$2:$D$1201,4,FALSE)</f>
        <v>Delivered</v>
      </c>
      <c r="K480" t="str">
        <f t="shared" si="38"/>
        <v>Late</v>
      </c>
      <c r="L480" t="str">
        <f t="shared" si="39"/>
        <v>Late</v>
      </c>
      <c r="O480">
        <f t="shared" si="40"/>
        <v>0</v>
      </c>
    </row>
    <row r="481" spans="1:15">
      <c r="A481">
        <v>1502</v>
      </c>
      <c r="B481" t="s">
        <v>347</v>
      </c>
      <c r="C481" s="1">
        <v>46069</v>
      </c>
      <c r="D481" s="1">
        <v>46071</v>
      </c>
      <c r="E481" s="1">
        <v>46074</v>
      </c>
      <c r="F481" s="1">
        <v>46078</v>
      </c>
      <c r="G481" s="1">
        <v>46078</v>
      </c>
      <c r="H481">
        <f t="shared" si="36"/>
        <v>0</v>
      </c>
      <c r="I481" t="str">
        <f t="shared" si="37"/>
        <v>ParcelOne</v>
      </c>
      <c r="J481" t="str">
        <f>VLOOKUP(A481,Orders!$A$2:$D$1201,4,FALSE)</f>
        <v>Delivered</v>
      </c>
      <c r="K481" t="str">
        <f t="shared" si="38"/>
        <v>Late</v>
      </c>
      <c r="L481" t="str">
        <f t="shared" si="39"/>
        <v>Late</v>
      </c>
      <c r="O481">
        <f t="shared" si="40"/>
        <v>0</v>
      </c>
    </row>
    <row r="482" spans="1:15">
      <c r="A482">
        <v>1503</v>
      </c>
      <c r="B482" t="s">
        <v>348</v>
      </c>
      <c r="C482" s="1">
        <v>46151</v>
      </c>
      <c r="D482" s="1">
        <v>46151</v>
      </c>
      <c r="E482" s="1">
        <v>46156</v>
      </c>
      <c r="F482" s="1">
        <v>46157</v>
      </c>
      <c r="G482" s="1">
        <v>46157</v>
      </c>
      <c r="H482">
        <f t="shared" si="36"/>
        <v>0</v>
      </c>
      <c r="I482" t="str">
        <f t="shared" si="37"/>
        <v>MetroLogistics</v>
      </c>
      <c r="J482" t="str">
        <f>VLOOKUP(A482,Orders!$A$2:$D$1201,4,FALSE)</f>
        <v>Delivered</v>
      </c>
      <c r="K482" t="str">
        <f t="shared" si="38"/>
        <v>Late</v>
      </c>
      <c r="L482" t="str">
        <f t="shared" si="39"/>
        <v>On time</v>
      </c>
      <c r="O482">
        <f t="shared" si="40"/>
        <v>0</v>
      </c>
    </row>
    <row r="483" spans="1:15">
      <c r="A483">
        <v>1504</v>
      </c>
      <c r="B483" t="s">
        <v>348</v>
      </c>
      <c r="C483" s="1">
        <v>46092</v>
      </c>
      <c r="D483" s="1">
        <v>46092</v>
      </c>
      <c r="E483" s="1">
        <v>46097</v>
      </c>
      <c r="F483" s="1">
        <v>46097</v>
      </c>
      <c r="G483" s="1">
        <v>46097</v>
      </c>
      <c r="H483">
        <f t="shared" si="36"/>
        <v>0</v>
      </c>
      <c r="I483" t="str">
        <f t="shared" si="37"/>
        <v>MetroLogistics</v>
      </c>
      <c r="J483" t="str">
        <f>VLOOKUP(A483,Orders!$A$2:$D$1201,4,FALSE)</f>
        <v>Delivered</v>
      </c>
      <c r="K483" t="str">
        <f t="shared" si="38"/>
        <v>On time</v>
      </c>
      <c r="L483" t="str">
        <f t="shared" si="39"/>
        <v>On time</v>
      </c>
      <c r="O483">
        <f t="shared" si="40"/>
        <v>0</v>
      </c>
    </row>
    <row r="484" spans="1:15">
      <c r="A484">
        <v>1505</v>
      </c>
      <c r="B484" t="s">
        <v>346</v>
      </c>
      <c r="C484" s="1">
        <v>46084</v>
      </c>
      <c r="D484" s="1">
        <v>46084</v>
      </c>
      <c r="E484" s="1">
        <v>46089</v>
      </c>
      <c r="F484" s="1">
        <v>46090</v>
      </c>
      <c r="G484" s="1">
        <v>46090</v>
      </c>
      <c r="H484">
        <f t="shared" si="36"/>
        <v>0</v>
      </c>
      <c r="I484" t="str">
        <f t="shared" si="37"/>
        <v>SwiftShip</v>
      </c>
      <c r="J484" t="str">
        <f>VLOOKUP(A484,Orders!$A$2:$D$1201,4,FALSE)</f>
        <v>Delivered</v>
      </c>
      <c r="K484" t="str">
        <f t="shared" si="38"/>
        <v>Late</v>
      </c>
      <c r="L484" t="str">
        <f t="shared" si="39"/>
        <v>On time</v>
      </c>
      <c r="O484">
        <f t="shared" si="40"/>
        <v>0</v>
      </c>
    </row>
    <row r="485" spans="1:15">
      <c r="A485">
        <v>1506</v>
      </c>
      <c r="B485" t="s">
        <v>346</v>
      </c>
      <c r="C485" s="1">
        <v>46160</v>
      </c>
      <c r="D485" s="1">
        <v>46162</v>
      </c>
      <c r="E485" s="1">
        <v>46165</v>
      </c>
      <c r="F485" s="1">
        <v>46165</v>
      </c>
      <c r="G485" s="1">
        <v>46167</v>
      </c>
      <c r="H485">
        <f t="shared" si="36"/>
        <v>0</v>
      </c>
      <c r="I485" t="str">
        <f t="shared" si="37"/>
        <v>SwiftShip</v>
      </c>
      <c r="J485" t="str">
        <f>VLOOKUP(A485,Orders!$A$2:$D$1201,4,FALSE)</f>
        <v>Delivered</v>
      </c>
      <c r="K485" t="str">
        <f t="shared" si="38"/>
        <v>On time</v>
      </c>
      <c r="L485" t="str">
        <f t="shared" si="39"/>
        <v>Late</v>
      </c>
      <c r="O485">
        <f t="shared" si="40"/>
        <v>2</v>
      </c>
    </row>
    <row r="486" spans="1:15">
      <c r="A486">
        <v>1507</v>
      </c>
      <c r="B486" t="s">
        <v>348</v>
      </c>
      <c r="C486" s="1">
        <v>46110</v>
      </c>
      <c r="D486" s="1">
        <v>46110</v>
      </c>
      <c r="E486" s="1">
        <v>46115</v>
      </c>
      <c r="F486" s="1">
        <v>46116</v>
      </c>
      <c r="G486" s="1">
        <v>46116</v>
      </c>
      <c r="H486">
        <f t="shared" si="36"/>
        <v>0</v>
      </c>
      <c r="I486" t="str">
        <f t="shared" si="37"/>
        <v>MetroLogistics</v>
      </c>
      <c r="J486" t="str">
        <f>VLOOKUP(A486,Orders!$A$2:$D$1201,4,FALSE)</f>
        <v>Delivered</v>
      </c>
      <c r="K486" t="str">
        <f t="shared" si="38"/>
        <v>Late</v>
      </c>
      <c r="L486" t="str">
        <f t="shared" si="39"/>
        <v>On time</v>
      </c>
      <c r="O486">
        <f t="shared" si="40"/>
        <v>0</v>
      </c>
    </row>
    <row r="487" spans="1:15">
      <c r="A487">
        <v>1508</v>
      </c>
      <c r="B487" t="s">
        <v>346</v>
      </c>
      <c r="C487" s="1">
        <v>46074</v>
      </c>
      <c r="D487" s="1">
        <v>46074</v>
      </c>
      <c r="E487" s="1">
        <v>46079</v>
      </c>
      <c r="F487" s="1">
        <v>46078</v>
      </c>
      <c r="G487" s="1">
        <v>46078</v>
      </c>
      <c r="H487">
        <f t="shared" si="36"/>
        <v>0</v>
      </c>
      <c r="I487" t="str">
        <f t="shared" si="37"/>
        <v>SwiftShip</v>
      </c>
      <c r="J487" t="str">
        <f>VLOOKUP(A487,Orders!$A$2:$D$1201,4,FALSE)</f>
        <v>Delivered</v>
      </c>
      <c r="K487" t="str">
        <f t="shared" si="38"/>
        <v>On time</v>
      </c>
      <c r="L487" t="str">
        <f t="shared" si="39"/>
        <v>On time</v>
      </c>
      <c r="O487">
        <f t="shared" si="40"/>
        <v>0</v>
      </c>
    </row>
    <row r="488" spans="1:15">
      <c r="A488">
        <v>1509</v>
      </c>
      <c r="B488" t="s">
        <v>347</v>
      </c>
      <c r="C488" s="1">
        <v>46114</v>
      </c>
      <c r="D488" s="1">
        <v>46114</v>
      </c>
      <c r="E488" s="1">
        <v>46119</v>
      </c>
      <c r="F488" s="1">
        <v>46119</v>
      </c>
      <c r="G488" s="1">
        <v>46120</v>
      </c>
      <c r="H488">
        <f t="shared" si="36"/>
        <v>0</v>
      </c>
      <c r="I488" t="str">
        <f t="shared" si="37"/>
        <v>ParcelOne</v>
      </c>
      <c r="J488" t="str">
        <f>VLOOKUP(A488,Orders!$A$2:$D$1201,4,FALSE)</f>
        <v>Delivered</v>
      </c>
      <c r="K488" t="str">
        <f t="shared" si="38"/>
        <v>On time</v>
      </c>
      <c r="L488" t="str">
        <f t="shared" si="39"/>
        <v>On time</v>
      </c>
      <c r="O488">
        <f t="shared" si="40"/>
        <v>1</v>
      </c>
    </row>
    <row r="489" spans="1:15">
      <c r="A489">
        <v>1510</v>
      </c>
      <c r="B489" t="s">
        <v>347</v>
      </c>
      <c r="C489" s="1">
        <v>46178</v>
      </c>
      <c r="D489" s="1">
        <v>46178</v>
      </c>
      <c r="E489" s="1">
        <v>46183</v>
      </c>
      <c r="F489" s="1">
        <v>46184</v>
      </c>
      <c r="G489" s="1">
        <v>46184</v>
      </c>
      <c r="H489">
        <f t="shared" si="36"/>
        <v>0</v>
      </c>
      <c r="I489" t="str">
        <f t="shared" si="37"/>
        <v>ParcelOne</v>
      </c>
      <c r="J489" t="str">
        <f>VLOOKUP(A489,Orders!$A$2:$D$1201,4,FALSE)</f>
        <v>Delivered</v>
      </c>
      <c r="K489" t="str">
        <f t="shared" si="38"/>
        <v>Late</v>
      </c>
      <c r="L489" t="str">
        <f t="shared" si="39"/>
        <v>On time</v>
      </c>
      <c r="O489">
        <f t="shared" si="40"/>
        <v>0</v>
      </c>
    </row>
    <row r="490" spans="1:15">
      <c r="A490">
        <v>1511</v>
      </c>
      <c r="B490" t="s">
        <v>348</v>
      </c>
      <c r="C490" s="1">
        <v>46053</v>
      </c>
      <c r="D490" s="1">
        <v>46055</v>
      </c>
      <c r="E490" s="1">
        <v>46058</v>
      </c>
      <c r="F490" s="1">
        <v>46058</v>
      </c>
      <c r="G490" s="1">
        <v>46058</v>
      </c>
      <c r="H490">
        <f t="shared" si="36"/>
        <v>0</v>
      </c>
      <c r="I490" t="str">
        <f t="shared" si="37"/>
        <v>MetroLogistics</v>
      </c>
      <c r="J490" t="str">
        <f>VLOOKUP(A490,Orders!$A$2:$D$1201,4,FALSE)</f>
        <v>Delivered</v>
      </c>
      <c r="K490" t="str">
        <f t="shared" si="38"/>
        <v>On time</v>
      </c>
      <c r="L490" t="str">
        <f t="shared" si="39"/>
        <v>Late</v>
      </c>
      <c r="O490">
        <f t="shared" si="40"/>
        <v>0</v>
      </c>
    </row>
    <row r="491" spans="1:15">
      <c r="A491">
        <v>1512</v>
      </c>
      <c r="B491" t="s">
        <v>347</v>
      </c>
      <c r="C491" s="1">
        <v>46107</v>
      </c>
      <c r="D491" s="1">
        <v>46109</v>
      </c>
      <c r="E491" s="1">
        <v>46112</v>
      </c>
      <c r="F491" s="1">
        <v>46112</v>
      </c>
      <c r="G491" s="1">
        <v>46113</v>
      </c>
      <c r="H491">
        <f t="shared" si="36"/>
        <v>0</v>
      </c>
      <c r="I491" t="str">
        <f t="shared" si="37"/>
        <v>ParcelOne</v>
      </c>
      <c r="J491" t="str">
        <f>VLOOKUP(A491,Orders!$A$2:$D$1201,4,FALSE)</f>
        <v>Delivered</v>
      </c>
      <c r="K491" t="str">
        <f t="shared" si="38"/>
        <v>On time</v>
      </c>
      <c r="L491" t="str">
        <f t="shared" si="39"/>
        <v>Late</v>
      </c>
      <c r="O491">
        <f t="shared" si="40"/>
        <v>1</v>
      </c>
    </row>
    <row r="492" spans="1:15">
      <c r="A492">
        <v>1513</v>
      </c>
      <c r="B492" t="s">
        <v>348</v>
      </c>
      <c r="C492" s="1">
        <v>46137</v>
      </c>
      <c r="D492" s="1">
        <v>46137</v>
      </c>
      <c r="E492" s="1">
        <v>46142</v>
      </c>
      <c r="F492" s="1">
        <v>46142</v>
      </c>
      <c r="G492" s="1">
        <v>46144</v>
      </c>
      <c r="H492">
        <f t="shared" si="36"/>
        <v>0</v>
      </c>
      <c r="I492" t="str">
        <f t="shared" si="37"/>
        <v>MetroLogistics</v>
      </c>
      <c r="J492" t="str">
        <f>VLOOKUP(A492,Orders!$A$2:$D$1201,4,FALSE)</f>
        <v>Delivered</v>
      </c>
      <c r="K492" t="str">
        <f t="shared" si="38"/>
        <v>On time</v>
      </c>
      <c r="L492" t="str">
        <f t="shared" si="39"/>
        <v>On time</v>
      </c>
      <c r="O492">
        <f t="shared" si="40"/>
        <v>2</v>
      </c>
    </row>
    <row r="493" spans="1:15">
      <c r="A493">
        <v>1514</v>
      </c>
      <c r="B493" t="s">
        <v>348</v>
      </c>
      <c r="C493" s="1">
        <v>46091</v>
      </c>
      <c r="D493" s="1">
        <v>46091</v>
      </c>
      <c r="E493" s="1">
        <v>46096</v>
      </c>
      <c r="F493" s="1">
        <v>46094</v>
      </c>
      <c r="G493" s="1">
        <v>46094</v>
      </c>
      <c r="H493">
        <f t="shared" si="36"/>
        <v>0</v>
      </c>
      <c r="I493" t="str">
        <f t="shared" si="37"/>
        <v>MetroLogistics</v>
      </c>
      <c r="J493" t="str">
        <f>VLOOKUP(A493,Orders!$A$2:$D$1201,4,FALSE)</f>
        <v>Delivered</v>
      </c>
      <c r="K493" t="str">
        <f t="shared" si="38"/>
        <v>On time</v>
      </c>
      <c r="L493" t="str">
        <f t="shared" si="39"/>
        <v>On time</v>
      </c>
      <c r="O493">
        <f t="shared" si="40"/>
        <v>0</v>
      </c>
    </row>
    <row r="494" spans="1:15">
      <c r="A494">
        <v>1515</v>
      </c>
      <c r="B494" t="s">
        <v>346</v>
      </c>
      <c r="C494" s="1">
        <v>46188</v>
      </c>
      <c r="D494" s="1">
        <v>46188</v>
      </c>
      <c r="E494" s="1">
        <v>46193</v>
      </c>
      <c r="F494" s="1">
        <v>46197</v>
      </c>
      <c r="G494" s="1">
        <v>46197</v>
      </c>
      <c r="H494">
        <f t="shared" si="36"/>
        <v>0</v>
      </c>
      <c r="I494" t="str">
        <f t="shared" si="37"/>
        <v>SwiftShip</v>
      </c>
      <c r="J494" t="str">
        <f>VLOOKUP(A494,Orders!$A$2:$D$1201,4,FALSE)</f>
        <v>Delivered</v>
      </c>
      <c r="K494" t="str">
        <f t="shared" si="38"/>
        <v>Late</v>
      </c>
      <c r="L494" t="str">
        <f t="shared" si="39"/>
        <v>On time</v>
      </c>
      <c r="O494">
        <f t="shared" si="40"/>
        <v>0</v>
      </c>
    </row>
    <row r="495" spans="1:15">
      <c r="A495">
        <v>1516</v>
      </c>
      <c r="B495" t="s">
        <v>348</v>
      </c>
      <c r="C495" s="1">
        <v>46128</v>
      </c>
      <c r="D495" s="1">
        <v>46128</v>
      </c>
      <c r="E495" s="1">
        <v>46133</v>
      </c>
      <c r="F495" s="1">
        <v>46133</v>
      </c>
      <c r="G495" s="1">
        <v>46133</v>
      </c>
      <c r="H495">
        <f t="shared" si="36"/>
        <v>0</v>
      </c>
      <c r="I495" t="str">
        <f t="shared" si="37"/>
        <v>MetroLogistics</v>
      </c>
      <c r="J495" t="str">
        <f>VLOOKUP(A495,Orders!$A$2:$D$1201,4,FALSE)</f>
        <v>Delivered</v>
      </c>
      <c r="K495" t="str">
        <f t="shared" si="38"/>
        <v>On time</v>
      </c>
      <c r="L495" t="str">
        <f t="shared" si="39"/>
        <v>On time</v>
      </c>
      <c r="O495">
        <f t="shared" si="40"/>
        <v>0</v>
      </c>
    </row>
    <row r="496" spans="1:15">
      <c r="A496">
        <v>1517</v>
      </c>
      <c r="B496" t="s">
        <v>346</v>
      </c>
      <c r="C496" s="1">
        <v>46048</v>
      </c>
      <c r="D496" s="1">
        <v>46048</v>
      </c>
      <c r="E496" s="1">
        <v>46053</v>
      </c>
      <c r="F496" s="1">
        <v>46052</v>
      </c>
      <c r="G496" s="1">
        <v>46052</v>
      </c>
      <c r="H496">
        <f t="shared" si="36"/>
        <v>0</v>
      </c>
      <c r="I496" t="str">
        <f t="shared" si="37"/>
        <v>SwiftShip</v>
      </c>
      <c r="J496" t="str">
        <f>VLOOKUP(A496,Orders!$A$2:$D$1201,4,FALSE)</f>
        <v>Delivered</v>
      </c>
      <c r="K496" t="str">
        <f t="shared" si="38"/>
        <v>On time</v>
      </c>
      <c r="L496" t="str">
        <f t="shared" si="39"/>
        <v>On time</v>
      </c>
      <c r="O496">
        <f t="shared" si="40"/>
        <v>0</v>
      </c>
    </row>
    <row r="497" spans="1:15">
      <c r="A497">
        <v>1518</v>
      </c>
      <c r="B497" t="s">
        <v>347</v>
      </c>
      <c r="C497" s="1">
        <v>46194</v>
      </c>
      <c r="D497" s="1">
        <v>46194</v>
      </c>
      <c r="E497" s="1">
        <v>46199</v>
      </c>
      <c r="F497" s="1">
        <v>46201</v>
      </c>
      <c r="G497" s="1">
        <v>46201</v>
      </c>
      <c r="H497">
        <f t="shared" si="36"/>
        <v>0</v>
      </c>
      <c r="I497" t="str">
        <f t="shared" si="37"/>
        <v>ParcelOne</v>
      </c>
      <c r="J497" t="str">
        <f>VLOOKUP(A497,Orders!$A$2:$D$1201,4,FALSE)</f>
        <v>Delivered</v>
      </c>
      <c r="K497" t="str">
        <f t="shared" si="38"/>
        <v>Late</v>
      </c>
      <c r="L497" t="str">
        <f t="shared" si="39"/>
        <v>On time</v>
      </c>
      <c r="O497">
        <f t="shared" si="40"/>
        <v>0</v>
      </c>
    </row>
    <row r="498" spans="1:15">
      <c r="A498">
        <v>1519</v>
      </c>
      <c r="B498" t="s">
        <v>347</v>
      </c>
      <c r="C498" s="1">
        <v>46060</v>
      </c>
      <c r="D498" s="1">
        <v>46060</v>
      </c>
      <c r="E498" s="1">
        <v>46065</v>
      </c>
      <c r="F498" s="1">
        <v>46069</v>
      </c>
      <c r="G498" s="1">
        <v>46070</v>
      </c>
      <c r="H498">
        <f t="shared" si="36"/>
        <v>0</v>
      </c>
      <c r="I498" t="str">
        <f t="shared" si="37"/>
        <v>ParcelOne</v>
      </c>
      <c r="J498" t="str">
        <f>VLOOKUP(A498,Orders!$A$2:$D$1201,4,FALSE)</f>
        <v>Delivered</v>
      </c>
      <c r="K498" t="str">
        <f t="shared" si="38"/>
        <v>Late</v>
      </c>
      <c r="L498" t="str">
        <f t="shared" si="39"/>
        <v>On time</v>
      </c>
      <c r="O498">
        <f t="shared" si="40"/>
        <v>1</v>
      </c>
    </row>
    <row r="499" spans="1:15">
      <c r="A499">
        <v>1520</v>
      </c>
      <c r="B499" t="s">
        <v>348</v>
      </c>
      <c r="C499" s="1">
        <v>46034</v>
      </c>
      <c r="D499" s="1">
        <v>46034</v>
      </c>
      <c r="E499" s="1">
        <v>46039</v>
      </c>
      <c r="F499" s="1">
        <v>46038</v>
      </c>
      <c r="G499" s="1">
        <v>46038</v>
      </c>
      <c r="H499">
        <f t="shared" si="36"/>
        <v>0</v>
      </c>
      <c r="I499" t="str">
        <f t="shared" si="37"/>
        <v>MetroLogistics</v>
      </c>
      <c r="J499" t="str">
        <f>VLOOKUP(A499,Orders!$A$2:$D$1201,4,FALSE)</f>
        <v>Delivered</v>
      </c>
      <c r="K499" t="str">
        <f t="shared" si="38"/>
        <v>On time</v>
      </c>
      <c r="L499" t="str">
        <f t="shared" si="39"/>
        <v>On time</v>
      </c>
      <c r="O499">
        <f t="shared" si="40"/>
        <v>0</v>
      </c>
    </row>
    <row r="500" spans="1:15">
      <c r="A500">
        <v>1521</v>
      </c>
      <c r="B500" t="s">
        <v>347</v>
      </c>
      <c r="C500" s="1">
        <v>46061</v>
      </c>
      <c r="D500" s="1">
        <v>46061</v>
      </c>
      <c r="E500" s="1">
        <v>46066</v>
      </c>
      <c r="F500" s="1">
        <v>46066</v>
      </c>
      <c r="G500" s="1">
        <v>46068</v>
      </c>
      <c r="H500">
        <f t="shared" si="36"/>
        <v>0</v>
      </c>
      <c r="I500" t="str">
        <f t="shared" si="37"/>
        <v>ParcelOne</v>
      </c>
      <c r="J500" t="str">
        <f>VLOOKUP(A500,Orders!$A$2:$D$1201,4,FALSE)</f>
        <v>Delivered</v>
      </c>
      <c r="K500" t="str">
        <f t="shared" si="38"/>
        <v>On time</v>
      </c>
      <c r="L500" t="str">
        <f t="shared" si="39"/>
        <v>On time</v>
      </c>
      <c r="O500">
        <f t="shared" si="40"/>
        <v>2</v>
      </c>
    </row>
    <row r="501" spans="1:15">
      <c r="A501">
        <v>1522</v>
      </c>
      <c r="B501" t="s">
        <v>347</v>
      </c>
      <c r="C501" s="1">
        <v>46141</v>
      </c>
      <c r="D501" s="1">
        <v>46141</v>
      </c>
      <c r="E501" s="1">
        <v>46146</v>
      </c>
      <c r="F501" s="1">
        <v>46146</v>
      </c>
      <c r="G501" s="1">
        <v>46146</v>
      </c>
      <c r="H501">
        <f t="shared" si="36"/>
        <v>0</v>
      </c>
      <c r="I501" t="str">
        <f t="shared" si="37"/>
        <v>ParcelOne</v>
      </c>
      <c r="J501" t="str">
        <f>VLOOKUP(A501,Orders!$A$2:$D$1201,4,FALSE)</f>
        <v>Delivered</v>
      </c>
      <c r="K501" t="str">
        <f t="shared" si="38"/>
        <v>On time</v>
      </c>
      <c r="L501" t="str">
        <f t="shared" si="39"/>
        <v>On time</v>
      </c>
      <c r="O501">
        <f t="shared" si="40"/>
        <v>0</v>
      </c>
    </row>
    <row r="502" spans="1:15">
      <c r="A502">
        <v>1523</v>
      </c>
      <c r="B502" t="s">
        <v>348</v>
      </c>
      <c r="C502" s="1">
        <v>46134</v>
      </c>
      <c r="D502" s="1">
        <v>46135</v>
      </c>
      <c r="E502" s="1">
        <v>46139</v>
      </c>
      <c r="F502" s="1">
        <v>46140</v>
      </c>
      <c r="G502" s="1">
        <v>46140</v>
      </c>
      <c r="H502">
        <f t="shared" si="36"/>
        <v>0</v>
      </c>
      <c r="I502" t="str">
        <f t="shared" si="37"/>
        <v>MetroLogistics</v>
      </c>
      <c r="J502" t="str">
        <f>VLOOKUP(A502,Orders!$A$2:$D$1201,4,FALSE)</f>
        <v>Delivered</v>
      </c>
      <c r="K502" t="str">
        <f t="shared" si="38"/>
        <v>Late</v>
      </c>
      <c r="L502" t="str">
        <f t="shared" si="39"/>
        <v>Late</v>
      </c>
      <c r="O502">
        <f t="shared" si="40"/>
        <v>0</v>
      </c>
    </row>
    <row r="503" spans="1:15">
      <c r="A503">
        <v>1524</v>
      </c>
      <c r="B503" t="s">
        <v>347</v>
      </c>
      <c r="C503" s="1">
        <v>46069</v>
      </c>
      <c r="D503" s="1">
        <v>46069</v>
      </c>
      <c r="E503" s="1">
        <v>46074</v>
      </c>
      <c r="F503" s="1">
        <v>46074</v>
      </c>
      <c r="G503" s="1">
        <v>46076</v>
      </c>
      <c r="H503">
        <f t="shared" si="36"/>
        <v>0</v>
      </c>
      <c r="I503" t="str">
        <f t="shared" si="37"/>
        <v>ParcelOne</v>
      </c>
      <c r="J503" t="str">
        <f>VLOOKUP(A503,Orders!$A$2:$D$1201,4,FALSE)</f>
        <v>Delivered</v>
      </c>
      <c r="K503" t="str">
        <f t="shared" si="38"/>
        <v>On time</v>
      </c>
      <c r="L503" t="str">
        <f t="shared" si="39"/>
        <v>On time</v>
      </c>
      <c r="O503">
        <f t="shared" si="40"/>
        <v>2</v>
      </c>
    </row>
    <row r="504" spans="1:15">
      <c r="A504">
        <v>1525</v>
      </c>
      <c r="B504" t="s">
        <v>348</v>
      </c>
      <c r="C504" s="1">
        <v>46059</v>
      </c>
      <c r="D504" s="1">
        <v>46059</v>
      </c>
      <c r="E504" s="1">
        <v>46064</v>
      </c>
      <c r="F504" s="1">
        <v>46062</v>
      </c>
      <c r="G504" s="1">
        <v>46064</v>
      </c>
      <c r="H504">
        <f t="shared" si="36"/>
        <v>0</v>
      </c>
      <c r="I504" t="str">
        <f t="shared" si="37"/>
        <v>MetroLogistics</v>
      </c>
      <c r="J504" t="str">
        <f>VLOOKUP(A504,Orders!$A$2:$D$1201,4,FALSE)</f>
        <v>Delivered</v>
      </c>
      <c r="K504" t="str">
        <f t="shared" si="38"/>
        <v>On time</v>
      </c>
      <c r="L504" t="str">
        <f t="shared" si="39"/>
        <v>On time</v>
      </c>
      <c r="O504">
        <f t="shared" si="40"/>
        <v>2</v>
      </c>
    </row>
    <row r="505" spans="1:15">
      <c r="A505">
        <v>1526</v>
      </c>
      <c r="B505" t="s">
        <v>347</v>
      </c>
      <c r="C505" s="1">
        <v>46191</v>
      </c>
      <c r="D505" s="1">
        <v>46191</v>
      </c>
      <c r="E505" s="1">
        <v>46196</v>
      </c>
      <c r="F505" s="1">
        <v>46196</v>
      </c>
      <c r="G505" s="1">
        <v>46196</v>
      </c>
      <c r="H505">
        <f t="shared" si="36"/>
        <v>0</v>
      </c>
      <c r="I505" t="str">
        <f t="shared" si="37"/>
        <v>ParcelOne</v>
      </c>
      <c r="J505" t="str">
        <f>VLOOKUP(A505,Orders!$A$2:$D$1201,4,FALSE)</f>
        <v>Delivered</v>
      </c>
      <c r="K505" t="str">
        <f t="shared" si="38"/>
        <v>On time</v>
      </c>
      <c r="L505" t="str">
        <f t="shared" si="39"/>
        <v>On time</v>
      </c>
      <c r="O505">
        <f t="shared" si="40"/>
        <v>0</v>
      </c>
    </row>
    <row r="506" spans="1:15">
      <c r="A506">
        <v>1527</v>
      </c>
      <c r="B506" t="s">
        <v>348</v>
      </c>
      <c r="C506" s="1">
        <v>46069</v>
      </c>
      <c r="D506" s="1">
        <v>46069</v>
      </c>
      <c r="E506" s="1">
        <v>46074</v>
      </c>
      <c r="F506" s="1">
        <v>46074</v>
      </c>
      <c r="G506" s="1">
        <v>46074</v>
      </c>
      <c r="H506">
        <f t="shared" si="36"/>
        <v>0</v>
      </c>
      <c r="I506" t="str">
        <f t="shared" si="37"/>
        <v>MetroLogistics</v>
      </c>
      <c r="J506" t="str">
        <f>VLOOKUP(A506,Orders!$A$2:$D$1201,4,FALSE)</f>
        <v>Delivered</v>
      </c>
      <c r="K506" t="str">
        <f t="shared" si="38"/>
        <v>On time</v>
      </c>
      <c r="L506" t="str">
        <f t="shared" si="39"/>
        <v>On time</v>
      </c>
      <c r="O506">
        <f t="shared" si="40"/>
        <v>0</v>
      </c>
    </row>
    <row r="507" spans="1:15">
      <c r="A507">
        <v>1528</v>
      </c>
      <c r="B507" t="s">
        <v>346</v>
      </c>
      <c r="C507" s="1">
        <v>46049</v>
      </c>
      <c r="D507" s="1">
        <v>46049</v>
      </c>
      <c r="E507" s="1">
        <v>46054</v>
      </c>
      <c r="F507" s="1">
        <v>46053</v>
      </c>
      <c r="G507" s="1">
        <v>46054</v>
      </c>
      <c r="H507">
        <f t="shared" si="36"/>
        <v>0</v>
      </c>
      <c r="I507" t="str">
        <f t="shared" si="37"/>
        <v>SwiftShip</v>
      </c>
      <c r="J507" t="str">
        <f>VLOOKUP(A507,Orders!$A$2:$D$1201,4,FALSE)</f>
        <v>Delivered</v>
      </c>
      <c r="K507" t="str">
        <f t="shared" si="38"/>
        <v>On time</v>
      </c>
      <c r="L507" t="str">
        <f t="shared" si="39"/>
        <v>On time</v>
      </c>
      <c r="O507">
        <f t="shared" si="40"/>
        <v>1</v>
      </c>
    </row>
    <row r="508" spans="1:15">
      <c r="A508">
        <v>1529</v>
      </c>
      <c r="B508" t="s">
        <v>346</v>
      </c>
      <c r="C508" s="1">
        <v>46152</v>
      </c>
      <c r="D508" s="1">
        <v>46152</v>
      </c>
      <c r="E508" s="1">
        <v>46157</v>
      </c>
      <c r="F508" s="1">
        <v>46157</v>
      </c>
      <c r="G508" s="1">
        <v>46157</v>
      </c>
      <c r="H508">
        <f t="shared" si="36"/>
        <v>0</v>
      </c>
      <c r="I508" t="str">
        <f t="shared" si="37"/>
        <v>SwiftShip</v>
      </c>
      <c r="J508" t="str">
        <f>VLOOKUP(A508,Orders!$A$2:$D$1201,4,FALSE)</f>
        <v>Delivered</v>
      </c>
      <c r="K508" t="str">
        <f t="shared" si="38"/>
        <v>On time</v>
      </c>
      <c r="L508" t="str">
        <f t="shared" si="39"/>
        <v>On time</v>
      </c>
      <c r="O508">
        <f t="shared" si="40"/>
        <v>0</v>
      </c>
    </row>
    <row r="509" spans="1:15">
      <c r="A509">
        <v>1530</v>
      </c>
      <c r="B509" t="s">
        <v>346</v>
      </c>
      <c r="C509" s="1">
        <v>46036</v>
      </c>
      <c r="D509" s="1">
        <v>46037</v>
      </c>
      <c r="E509" s="1">
        <v>46041</v>
      </c>
      <c r="F509" s="1">
        <v>46042</v>
      </c>
      <c r="G509" s="1">
        <v>46042</v>
      </c>
      <c r="H509">
        <f t="shared" si="36"/>
        <v>0</v>
      </c>
      <c r="I509" t="str">
        <f t="shared" si="37"/>
        <v>SwiftShip</v>
      </c>
      <c r="J509" t="str">
        <f>VLOOKUP(A509,Orders!$A$2:$D$1201,4,FALSE)</f>
        <v>Delivered</v>
      </c>
      <c r="K509" t="str">
        <f t="shared" si="38"/>
        <v>Late</v>
      </c>
      <c r="L509" t="str">
        <f t="shared" si="39"/>
        <v>Late</v>
      </c>
      <c r="O509">
        <f t="shared" si="40"/>
        <v>0</v>
      </c>
    </row>
    <row r="510" spans="1:15">
      <c r="A510">
        <v>1531</v>
      </c>
      <c r="B510" t="s">
        <v>347</v>
      </c>
      <c r="C510" s="1">
        <v>46132</v>
      </c>
      <c r="D510" s="1">
        <v>46132</v>
      </c>
      <c r="E510" s="1">
        <v>46137</v>
      </c>
      <c r="F510" s="1">
        <v>46136</v>
      </c>
      <c r="G510" s="1">
        <v>46136</v>
      </c>
      <c r="H510">
        <f t="shared" si="36"/>
        <v>0</v>
      </c>
      <c r="I510" t="str">
        <f t="shared" si="37"/>
        <v>ParcelOne</v>
      </c>
      <c r="J510" t="str">
        <f>VLOOKUP(A510,Orders!$A$2:$D$1201,4,FALSE)</f>
        <v>Delivered</v>
      </c>
      <c r="K510" t="str">
        <f t="shared" si="38"/>
        <v>On time</v>
      </c>
      <c r="L510" t="str">
        <f t="shared" si="39"/>
        <v>On time</v>
      </c>
      <c r="O510">
        <f t="shared" si="40"/>
        <v>0</v>
      </c>
    </row>
    <row r="511" spans="1:15">
      <c r="A511">
        <v>1533</v>
      </c>
      <c r="B511" t="s">
        <v>346</v>
      </c>
      <c r="C511" s="1">
        <v>46062</v>
      </c>
      <c r="D511" s="1">
        <v>46062</v>
      </c>
      <c r="E511" s="1">
        <v>46067</v>
      </c>
      <c r="F511" s="1">
        <v>46068</v>
      </c>
      <c r="G511" s="1">
        <v>46068</v>
      </c>
      <c r="H511">
        <f t="shared" si="36"/>
        <v>0</v>
      </c>
      <c r="I511" t="str">
        <f t="shared" si="37"/>
        <v>SwiftShip</v>
      </c>
      <c r="J511" t="str">
        <f>VLOOKUP(A511,Orders!$A$2:$D$1201,4,FALSE)</f>
        <v>Delivered</v>
      </c>
      <c r="K511" t="str">
        <f t="shared" si="38"/>
        <v>Late</v>
      </c>
      <c r="L511" t="str">
        <f t="shared" si="39"/>
        <v>On time</v>
      </c>
      <c r="O511">
        <f t="shared" si="40"/>
        <v>0</v>
      </c>
    </row>
    <row r="512" spans="1:15">
      <c r="A512">
        <v>1534</v>
      </c>
      <c r="B512" t="s">
        <v>346</v>
      </c>
      <c r="C512" s="1">
        <v>46076</v>
      </c>
      <c r="D512" s="1">
        <v>46076</v>
      </c>
      <c r="E512" s="1">
        <v>46081</v>
      </c>
      <c r="F512" s="1">
        <v>46080</v>
      </c>
      <c r="G512" s="1">
        <v>46080</v>
      </c>
      <c r="H512">
        <f t="shared" si="36"/>
        <v>0</v>
      </c>
      <c r="I512" t="str">
        <f t="shared" si="37"/>
        <v>SwiftShip</v>
      </c>
      <c r="J512" t="str">
        <f>VLOOKUP(A512,Orders!$A$2:$D$1201,4,FALSE)</f>
        <v>Delivered</v>
      </c>
      <c r="K512" t="str">
        <f t="shared" si="38"/>
        <v>On time</v>
      </c>
      <c r="L512" t="str">
        <f t="shared" si="39"/>
        <v>On time</v>
      </c>
      <c r="O512">
        <f t="shared" si="40"/>
        <v>0</v>
      </c>
    </row>
    <row r="513" spans="1:15">
      <c r="A513">
        <v>1535</v>
      </c>
      <c r="B513" t="s">
        <v>348</v>
      </c>
      <c r="C513" s="1">
        <v>46179</v>
      </c>
      <c r="D513" s="1">
        <v>46179</v>
      </c>
      <c r="E513" s="1">
        <v>46184</v>
      </c>
      <c r="F513" s="1">
        <v>46186</v>
      </c>
      <c r="G513" s="1">
        <v>46186</v>
      </c>
      <c r="H513">
        <f t="shared" si="36"/>
        <v>0</v>
      </c>
      <c r="I513" t="str">
        <f t="shared" si="37"/>
        <v>MetroLogistics</v>
      </c>
      <c r="J513" t="str">
        <f>VLOOKUP(A513,Orders!$A$2:$D$1201,4,FALSE)</f>
        <v>Delivered</v>
      </c>
      <c r="K513" t="str">
        <f t="shared" si="38"/>
        <v>Late</v>
      </c>
      <c r="L513" t="str">
        <f t="shared" si="39"/>
        <v>On time</v>
      </c>
      <c r="O513">
        <f t="shared" si="40"/>
        <v>0</v>
      </c>
    </row>
    <row r="514" spans="1:15">
      <c r="A514">
        <v>1536</v>
      </c>
      <c r="B514" t="s">
        <v>347</v>
      </c>
      <c r="C514" s="1">
        <v>46134</v>
      </c>
      <c r="D514" s="1">
        <v>46134</v>
      </c>
      <c r="E514" s="1">
        <v>46139</v>
      </c>
      <c r="F514" s="1">
        <v>46141</v>
      </c>
      <c r="G514" s="1">
        <v>46141</v>
      </c>
      <c r="H514">
        <f t="shared" si="36"/>
        <v>0</v>
      </c>
      <c r="I514" t="str">
        <f t="shared" si="37"/>
        <v>ParcelOne</v>
      </c>
      <c r="J514" t="str">
        <f>VLOOKUP(A514,Orders!$A$2:$D$1201,4,FALSE)</f>
        <v>Delivered</v>
      </c>
      <c r="K514" t="str">
        <f t="shared" si="38"/>
        <v>Late</v>
      </c>
      <c r="L514" t="str">
        <f t="shared" si="39"/>
        <v>On time</v>
      </c>
      <c r="O514">
        <f t="shared" si="40"/>
        <v>0</v>
      </c>
    </row>
    <row r="515" spans="1:15">
      <c r="A515">
        <v>1538</v>
      </c>
      <c r="B515" t="s">
        <v>348</v>
      </c>
      <c r="C515" s="1">
        <v>46154</v>
      </c>
      <c r="D515" s="1">
        <v>46154</v>
      </c>
      <c r="E515" s="1">
        <v>46159</v>
      </c>
      <c r="F515" s="1">
        <v>46159</v>
      </c>
      <c r="G515" s="1">
        <v>46159</v>
      </c>
      <c r="H515">
        <f t="shared" ref="H515:H578" si="41">LEN(B515)-LEN(TRIM(B515))</f>
        <v>0</v>
      </c>
      <c r="I515" t="str">
        <f t="shared" ref="I515:I578" si="42">TRIM(B515)</f>
        <v>MetroLogistics</v>
      </c>
      <c r="J515" t="str">
        <f>VLOOKUP(A515,Orders!$A$2:$D$1201,4,FALSE)</f>
        <v>Delivered</v>
      </c>
      <c r="K515" t="str">
        <f t="shared" ref="K515:K578" si="43">IF(J515&lt;&gt;"Delivered","Not delivered",IF(OR(E515="",F515=""),"Unknown",IF(F515&lt;=E515,"On time","Late")))</f>
        <v>On time</v>
      </c>
      <c r="L515" t="str">
        <f t="shared" ref="L515:L578" si="44">IF(D515="","Not dispatched",IF(C515="","Unknown",IF(D515&lt;=C515,"On time","Late")))</f>
        <v>On time</v>
      </c>
      <c r="O515">
        <f t="shared" ref="O515:O578" si="45">IF(OR(F515="",G515=""),"",G515-F515)</f>
        <v>0</v>
      </c>
    </row>
    <row r="516" spans="1:15">
      <c r="A516">
        <v>1539</v>
      </c>
      <c r="B516" t="s">
        <v>346</v>
      </c>
      <c r="C516" s="1">
        <v>46129</v>
      </c>
      <c r="D516" s="1">
        <v>46129</v>
      </c>
      <c r="E516" s="1">
        <v>46134</v>
      </c>
      <c r="H516">
        <f t="shared" si="41"/>
        <v>0</v>
      </c>
      <c r="I516" t="str">
        <f t="shared" si="42"/>
        <v>SwiftShip</v>
      </c>
      <c r="J516" t="str">
        <f>VLOOKUP(A516,Orders!$A$2:$D$1201,4,FALSE)</f>
        <v>Shipped</v>
      </c>
      <c r="K516" t="str">
        <f t="shared" si="43"/>
        <v>Not delivered</v>
      </c>
      <c r="L516" t="str">
        <f t="shared" si="44"/>
        <v>On time</v>
      </c>
      <c r="O516" t="str">
        <f t="shared" si="45"/>
        <v/>
      </c>
    </row>
    <row r="517" spans="1:15">
      <c r="A517">
        <v>1540</v>
      </c>
      <c r="B517" t="s">
        <v>348</v>
      </c>
      <c r="C517" s="1">
        <v>46066</v>
      </c>
      <c r="D517" s="1">
        <v>46066</v>
      </c>
      <c r="E517" s="1">
        <v>46071</v>
      </c>
      <c r="F517" s="1">
        <v>46073</v>
      </c>
      <c r="G517" s="1">
        <v>46073</v>
      </c>
      <c r="H517">
        <f t="shared" si="41"/>
        <v>0</v>
      </c>
      <c r="I517" t="str">
        <f t="shared" si="42"/>
        <v>MetroLogistics</v>
      </c>
      <c r="J517" t="str">
        <f>VLOOKUP(A517,Orders!$A$2:$D$1201,4,FALSE)</f>
        <v>Delivered</v>
      </c>
      <c r="K517" t="str">
        <f t="shared" si="43"/>
        <v>Late</v>
      </c>
      <c r="L517" t="str">
        <f t="shared" si="44"/>
        <v>On time</v>
      </c>
      <c r="O517">
        <f t="shared" si="45"/>
        <v>0</v>
      </c>
    </row>
    <row r="518" spans="1:15">
      <c r="A518">
        <v>1541</v>
      </c>
      <c r="B518" t="s">
        <v>348</v>
      </c>
      <c r="C518" s="1">
        <v>46187</v>
      </c>
      <c r="D518" s="1">
        <v>46187</v>
      </c>
      <c r="E518" s="1">
        <v>46192</v>
      </c>
      <c r="F518" s="1">
        <v>46192</v>
      </c>
      <c r="G518" s="1">
        <v>46194</v>
      </c>
      <c r="H518">
        <f t="shared" si="41"/>
        <v>0</v>
      </c>
      <c r="I518" t="str">
        <f t="shared" si="42"/>
        <v>MetroLogistics</v>
      </c>
      <c r="J518" t="str">
        <f>VLOOKUP(A518,Orders!$A$2:$D$1201,4,FALSE)</f>
        <v>Delivered</v>
      </c>
      <c r="K518" t="str">
        <f t="shared" si="43"/>
        <v>On time</v>
      </c>
      <c r="L518" t="str">
        <f t="shared" si="44"/>
        <v>On time</v>
      </c>
      <c r="O518">
        <f t="shared" si="45"/>
        <v>2</v>
      </c>
    </row>
    <row r="519" spans="1:15">
      <c r="A519">
        <v>1542</v>
      </c>
      <c r="B519" t="s">
        <v>346</v>
      </c>
      <c r="C519" s="1">
        <v>46172</v>
      </c>
      <c r="D519" s="1">
        <v>46172</v>
      </c>
      <c r="E519" s="1">
        <v>46177</v>
      </c>
      <c r="F519" s="1">
        <v>46177</v>
      </c>
      <c r="G519" s="1">
        <v>46177</v>
      </c>
      <c r="H519">
        <f t="shared" si="41"/>
        <v>0</v>
      </c>
      <c r="I519" t="str">
        <f t="shared" si="42"/>
        <v>SwiftShip</v>
      </c>
      <c r="J519" t="str">
        <f>VLOOKUP(A519,Orders!$A$2:$D$1201,4,FALSE)</f>
        <v>Delivered</v>
      </c>
      <c r="K519" t="str">
        <f t="shared" si="43"/>
        <v>On time</v>
      </c>
      <c r="L519" t="str">
        <f t="shared" si="44"/>
        <v>On time</v>
      </c>
      <c r="O519">
        <f t="shared" si="45"/>
        <v>0</v>
      </c>
    </row>
    <row r="520" spans="1:15">
      <c r="A520">
        <v>1543</v>
      </c>
      <c r="B520" t="s">
        <v>348</v>
      </c>
      <c r="C520" s="1">
        <v>46069</v>
      </c>
      <c r="D520" s="1">
        <v>46069</v>
      </c>
      <c r="E520" s="1">
        <v>46074</v>
      </c>
      <c r="F520" s="1">
        <v>46075</v>
      </c>
      <c r="G520" s="1">
        <v>46075</v>
      </c>
      <c r="H520">
        <f t="shared" si="41"/>
        <v>0</v>
      </c>
      <c r="I520" t="str">
        <f t="shared" si="42"/>
        <v>MetroLogistics</v>
      </c>
      <c r="J520" t="str">
        <f>VLOOKUP(A520,Orders!$A$2:$D$1201,4,FALSE)</f>
        <v>Delivered</v>
      </c>
      <c r="K520" t="str">
        <f t="shared" si="43"/>
        <v>Late</v>
      </c>
      <c r="L520" t="str">
        <f t="shared" si="44"/>
        <v>On time</v>
      </c>
      <c r="O520">
        <f t="shared" si="45"/>
        <v>0</v>
      </c>
    </row>
    <row r="521" spans="1:15">
      <c r="A521">
        <v>1544</v>
      </c>
      <c r="B521" t="s">
        <v>348</v>
      </c>
      <c r="C521" s="1">
        <v>46078</v>
      </c>
      <c r="D521" s="1">
        <v>46078</v>
      </c>
      <c r="E521" s="1">
        <v>46083</v>
      </c>
      <c r="F521" s="1">
        <v>46083</v>
      </c>
      <c r="G521" s="1">
        <v>46083</v>
      </c>
      <c r="H521">
        <f t="shared" si="41"/>
        <v>0</v>
      </c>
      <c r="I521" t="str">
        <f t="shared" si="42"/>
        <v>MetroLogistics</v>
      </c>
      <c r="J521" t="str">
        <f>VLOOKUP(A521,Orders!$A$2:$D$1201,4,FALSE)</f>
        <v>Delivered</v>
      </c>
      <c r="K521" t="str">
        <f t="shared" si="43"/>
        <v>On time</v>
      </c>
      <c r="L521" t="str">
        <f t="shared" si="44"/>
        <v>On time</v>
      </c>
      <c r="O521">
        <f t="shared" si="45"/>
        <v>0</v>
      </c>
    </row>
    <row r="522" spans="1:15">
      <c r="A522">
        <v>1545</v>
      </c>
      <c r="B522" t="s">
        <v>347</v>
      </c>
      <c r="C522" s="1">
        <v>46159</v>
      </c>
      <c r="D522" s="1">
        <v>46159</v>
      </c>
      <c r="E522" s="1">
        <v>46164</v>
      </c>
      <c r="F522" s="1">
        <v>46168</v>
      </c>
      <c r="G522" s="1">
        <v>46169</v>
      </c>
      <c r="H522">
        <f t="shared" si="41"/>
        <v>0</v>
      </c>
      <c r="I522" t="str">
        <f t="shared" si="42"/>
        <v>ParcelOne</v>
      </c>
      <c r="J522" t="str">
        <f>VLOOKUP(A522,Orders!$A$2:$D$1201,4,FALSE)</f>
        <v>Delivered</v>
      </c>
      <c r="K522" t="str">
        <f t="shared" si="43"/>
        <v>Late</v>
      </c>
      <c r="L522" t="str">
        <f t="shared" si="44"/>
        <v>On time</v>
      </c>
      <c r="O522">
        <f t="shared" si="45"/>
        <v>1</v>
      </c>
    </row>
    <row r="523" spans="1:15">
      <c r="A523">
        <v>1547</v>
      </c>
      <c r="B523" t="s">
        <v>347</v>
      </c>
      <c r="C523" s="1">
        <v>46070</v>
      </c>
      <c r="D523" s="1">
        <v>46070</v>
      </c>
      <c r="E523" s="1">
        <v>46075</v>
      </c>
      <c r="F523" s="1">
        <v>46074</v>
      </c>
      <c r="G523" s="1">
        <v>46074</v>
      </c>
      <c r="H523">
        <f t="shared" si="41"/>
        <v>0</v>
      </c>
      <c r="I523" t="str">
        <f t="shared" si="42"/>
        <v>ParcelOne</v>
      </c>
      <c r="J523" t="str">
        <f>VLOOKUP(A523,Orders!$A$2:$D$1201,4,FALSE)</f>
        <v>Delivered</v>
      </c>
      <c r="K523" t="str">
        <f t="shared" si="43"/>
        <v>On time</v>
      </c>
      <c r="L523" t="str">
        <f t="shared" si="44"/>
        <v>On time</v>
      </c>
      <c r="O523">
        <f t="shared" si="45"/>
        <v>0</v>
      </c>
    </row>
    <row r="524" spans="1:15">
      <c r="A524">
        <v>1548</v>
      </c>
      <c r="B524" t="s">
        <v>346</v>
      </c>
      <c r="C524" s="1">
        <v>46158</v>
      </c>
      <c r="D524" s="1">
        <v>46158</v>
      </c>
      <c r="E524" s="1">
        <v>46163</v>
      </c>
      <c r="H524">
        <f t="shared" si="41"/>
        <v>0</v>
      </c>
      <c r="I524" t="str">
        <f t="shared" si="42"/>
        <v>SwiftShip</v>
      </c>
      <c r="J524" t="str">
        <f>VLOOKUP(A524,Orders!$A$2:$D$1201,4,FALSE)</f>
        <v>Shipped</v>
      </c>
      <c r="K524" t="str">
        <f t="shared" si="43"/>
        <v>Not delivered</v>
      </c>
      <c r="L524" t="str">
        <f t="shared" si="44"/>
        <v>On time</v>
      </c>
      <c r="O524" t="str">
        <f t="shared" si="45"/>
        <v/>
      </c>
    </row>
    <row r="525" spans="1:15">
      <c r="A525">
        <v>1549</v>
      </c>
      <c r="B525" t="s">
        <v>348</v>
      </c>
      <c r="C525" s="1">
        <v>46190</v>
      </c>
      <c r="D525" s="1">
        <v>46191</v>
      </c>
      <c r="E525" s="1">
        <v>46195</v>
      </c>
      <c r="F525" s="1">
        <v>46195</v>
      </c>
      <c r="G525" s="1">
        <v>46195</v>
      </c>
      <c r="H525">
        <f t="shared" si="41"/>
        <v>0</v>
      </c>
      <c r="I525" t="str">
        <f t="shared" si="42"/>
        <v>MetroLogistics</v>
      </c>
      <c r="J525" t="str">
        <f>VLOOKUP(A525,Orders!$A$2:$D$1201,4,FALSE)</f>
        <v>Delivered</v>
      </c>
      <c r="K525" t="str">
        <f t="shared" si="43"/>
        <v>On time</v>
      </c>
      <c r="L525" t="str">
        <f t="shared" si="44"/>
        <v>Late</v>
      </c>
      <c r="O525">
        <f t="shared" si="45"/>
        <v>0</v>
      </c>
    </row>
    <row r="526" spans="1:15">
      <c r="A526">
        <v>1550</v>
      </c>
      <c r="B526" t="s">
        <v>347</v>
      </c>
      <c r="C526" s="1">
        <v>46112</v>
      </c>
      <c r="D526" s="1">
        <v>46112</v>
      </c>
      <c r="E526" s="1">
        <v>46117</v>
      </c>
      <c r="F526" s="1">
        <v>46116</v>
      </c>
      <c r="G526" s="1">
        <v>46116</v>
      </c>
      <c r="H526">
        <f t="shared" si="41"/>
        <v>0</v>
      </c>
      <c r="I526" t="str">
        <f t="shared" si="42"/>
        <v>ParcelOne</v>
      </c>
      <c r="J526" t="str">
        <f>VLOOKUP(A526,Orders!$A$2:$D$1201,4,FALSE)</f>
        <v>Delivered</v>
      </c>
      <c r="K526" t="str">
        <f t="shared" si="43"/>
        <v>On time</v>
      </c>
      <c r="L526" t="str">
        <f t="shared" si="44"/>
        <v>On time</v>
      </c>
      <c r="O526">
        <f t="shared" si="45"/>
        <v>0</v>
      </c>
    </row>
    <row r="527" spans="1:15">
      <c r="A527">
        <v>1551</v>
      </c>
      <c r="B527" t="s">
        <v>348</v>
      </c>
      <c r="C527" s="1">
        <v>46091</v>
      </c>
      <c r="D527" s="1">
        <v>46091</v>
      </c>
      <c r="E527" s="1">
        <v>46096</v>
      </c>
      <c r="F527" s="1">
        <v>46095</v>
      </c>
      <c r="G527" s="1">
        <v>46097</v>
      </c>
      <c r="H527">
        <f t="shared" si="41"/>
        <v>0</v>
      </c>
      <c r="I527" t="str">
        <f t="shared" si="42"/>
        <v>MetroLogistics</v>
      </c>
      <c r="J527" t="str">
        <f>VLOOKUP(A527,Orders!$A$2:$D$1201,4,FALSE)</f>
        <v>Delivered</v>
      </c>
      <c r="K527" t="str">
        <f t="shared" si="43"/>
        <v>On time</v>
      </c>
      <c r="L527" t="str">
        <f t="shared" si="44"/>
        <v>On time</v>
      </c>
      <c r="O527">
        <f t="shared" si="45"/>
        <v>2</v>
      </c>
    </row>
    <row r="528" spans="1:15">
      <c r="A528">
        <v>1552</v>
      </c>
      <c r="B528" t="s">
        <v>346</v>
      </c>
      <c r="C528" s="1">
        <v>46162</v>
      </c>
      <c r="D528" s="1">
        <v>46162</v>
      </c>
      <c r="E528" s="1">
        <v>46167</v>
      </c>
      <c r="F528" s="1">
        <v>46167</v>
      </c>
      <c r="G528" s="1">
        <v>46167</v>
      </c>
      <c r="H528">
        <f t="shared" si="41"/>
        <v>0</v>
      </c>
      <c r="I528" t="str">
        <f t="shared" si="42"/>
        <v>SwiftShip</v>
      </c>
      <c r="J528" t="str">
        <f>VLOOKUP(A528,Orders!$A$2:$D$1201,4,FALSE)</f>
        <v>Delivered</v>
      </c>
      <c r="K528" t="str">
        <f t="shared" si="43"/>
        <v>On time</v>
      </c>
      <c r="L528" t="str">
        <f t="shared" si="44"/>
        <v>On time</v>
      </c>
      <c r="O528">
        <f t="shared" si="45"/>
        <v>0</v>
      </c>
    </row>
    <row r="529" spans="1:15">
      <c r="A529">
        <v>1553</v>
      </c>
      <c r="B529" t="s">
        <v>347</v>
      </c>
      <c r="C529" s="1">
        <v>46119</v>
      </c>
      <c r="D529" s="1">
        <v>46119</v>
      </c>
      <c r="E529" s="1">
        <v>46124</v>
      </c>
      <c r="F529" s="1">
        <v>46128</v>
      </c>
      <c r="G529" s="1">
        <v>46128</v>
      </c>
      <c r="H529">
        <f t="shared" si="41"/>
        <v>0</v>
      </c>
      <c r="I529" t="str">
        <f t="shared" si="42"/>
        <v>ParcelOne</v>
      </c>
      <c r="J529" t="str">
        <f>VLOOKUP(A529,Orders!$A$2:$D$1201,4,FALSE)</f>
        <v>Delivered</v>
      </c>
      <c r="K529" t="str">
        <f t="shared" si="43"/>
        <v>Late</v>
      </c>
      <c r="L529" t="str">
        <f t="shared" si="44"/>
        <v>On time</v>
      </c>
      <c r="O529">
        <f t="shared" si="45"/>
        <v>0</v>
      </c>
    </row>
    <row r="530" spans="1:15">
      <c r="A530">
        <v>1554</v>
      </c>
      <c r="B530" t="s">
        <v>348</v>
      </c>
      <c r="C530" s="1">
        <v>46031</v>
      </c>
      <c r="D530" s="1">
        <v>46031</v>
      </c>
      <c r="E530" s="1">
        <v>46036</v>
      </c>
      <c r="F530" s="1">
        <v>46040</v>
      </c>
      <c r="G530" s="1">
        <v>46040</v>
      </c>
      <c r="H530">
        <f t="shared" si="41"/>
        <v>0</v>
      </c>
      <c r="I530" t="str">
        <f t="shared" si="42"/>
        <v>MetroLogistics</v>
      </c>
      <c r="J530" t="str">
        <f>VLOOKUP(A530,Orders!$A$2:$D$1201,4,FALSE)</f>
        <v>Delivered</v>
      </c>
      <c r="K530" t="str">
        <f t="shared" si="43"/>
        <v>Late</v>
      </c>
      <c r="L530" t="str">
        <f t="shared" si="44"/>
        <v>On time</v>
      </c>
      <c r="O530">
        <f t="shared" si="45"/>
        <v>0</v>
      </c>
    </row>
    <row r="531" spans="1:15">
      <c r="A531">
        <v>1555</v>
      </c>
      <c r="B531" t="s">
        <v>347</v>
      </c>
      <c r="C531" s="1">
        <v>46109</v>
      </c>
      <c r="D531" s="1">
        <v>46109</v>
      </c>
      <c r="E531" s="1">
        <v>46114</v>
      </c>
      <c r="F531" s="1">
        <v>46113</v>
      </c>
      <c r="G531" s="1">
        <v>46113</v>
      </c>
      <c r="H531">
        <f t="shared" si="41"/>
        <v>0</v>
      </c>
      <c r="I531" t="str">
        <f t="shared" si="42"/>
        <v>ParcelOne</v>
      </c>
      <c r="J531" t="str">
        <f>VLOOKUP(A531,Orders!$A$2:$D$1201,4,FALSE)</f>
        <v>Delivered</v>
      </c>
      <c r="K531" t="str">
        <f t="shared" si="43"/>
        <v>On time</v>
      </c>
      <c r="L531" t="str">
        <f t="shared" si="44"/>
        <v>On time</v>
      </c>
      <c r="O531">
        <f t="shared" si="45"/>
        <v>0</v>
      </c>
    </row>
    <row r="532" spans="1:15">
      <c r="A532">
        <v>1556</v>
      </c>
      <c r="B532" t="s">
        <v>347</v>
      </c>
      <c r="C532" s="1">
        <v>46060</v>
      </c>
      <c r="D532" s="1">
        <v>46060</v>
      </c>
      <c r="E532" s="1">
        <v>46065</v>
      </c>
      <c r="F532" s="1">
        <v>46065</v>
      </c>
      <c r="G532" s="1">
        <v>46065</v>
      </c>
      <c r="H532">
        <f t="shared" si="41"/>
        <v>0</v>
      </c>
      <c r="I532" t="str">
        <f t="shared" si="42"/>
        <v>ParcelOne</v>
      </c>
      <c r="J532" t="str">
        <f>VLOOKUP(A532,Orders!$A$2:$D$1201,4,FALSE)</f>
        <v>Delivered</v>
      </c>
      <c r="K532" t="str">
        <f t="shared" si="43"/>
        <v>On time</v>
      </c>
      <c r="L532" t="str">
        <f t="shared" si="44"/>
        <v>On time</v>
      </c>
      <c r="O532">
        <f t="shared" si="45"/>
        <v>0</v>
      </c>
    </row>
    <row r="533" spans="1:15">
      <c r="A533">
        <v>1557</v>
      </c>
      <c r="B533" t="s">
        <v>347</v>
      </c>
      <c r="C533" s="1">
        <v>46174</v>
      </c>
      <c r="D533" s="1">
        <v>46174</v>
      </c>
      <c r="E533" s="1">
        <v>46179</v>
      </c>
      <c r="F533" s="1">
        <v>46179</v>
      </c>
      <c r="G533" s="1">
        <v>46179</v>
      </c>
      <c r="H533">
        <f t="shared" si="41"/>
        <v>0</v>
      </c>
      <c r="I533" t="str">
        <f t="shared" si="42"/>
        <v>ParcelOne</v>
      </c>
      <c r="J533" t="str">
        <f>VLOOKUP(A533,Orders!$A$2:$D$1201,4,FALSE)</f>
        <v>Delivered</v>
      </c>
      <c r="K533" t="str">
        <f t="shared" si="43"/>
        <v>On time</v>
      </c>
      <c r="L533" t="str">
        <f t="shared" si="44"/>
        <v>On time</v>
      </c>
      <c r="O533">
        <f t="shared" si="45"/>
        <v>0</v>
      </c>
    </row>
    <row r="534" spans="1:15">
      <c r="A534">
        <v>1558</v>
      </c>
      <c r="B534" t="s">
        <v>346</v>
      </c>
      <c r="C534" s="1">
        <v>46156</v>
      </c>
      <c r="D534" s="1">
        <v>46156</v>
      </c>
      <c r="E534" s="1">
        <v>46161</v>
      </c>
      <c r="F534" s="1">
        <v>46162</v>
      </c>
      <c r="G534" s="1">
        <v>46162</v>
      </c>
      <c r="H534">
        <f t="shared" si="41"/>
        <v>0</v>
      </c>
      <c r="I534" t="str">
        <f t="shared" si="42"/>
        <v>SwiftShip</v>
      </c>
      <c r="J534" t="str">
        <f>VLOOKUP(A534,Orders!$A$2:$D$1201,4,FALSE)</f>
        <v>Delivered</v>
      </c>
      <c r="K534" t="str">
        <f t="shared" si="43"/>
        <v>Late</v>
      </c>
      <c r="L534" t="str">
        <f t="shared" si="44"/>
        <v>On time</v>
      </c>
      <c r="O534">
        <f t="shared" si="45"/>
        <v>0</v>
      </c>
    </row>
    <row r="535" spans="1:15">
      <c r="A535">
        <v>1559</v>
      </c>
      <c r="B535" t="s">
        <v>346</v>
      </c>
      <c r="C535" s="1">
        <v>46120</v>
      </c>
      <c r="D535" s="1">
        <v>46120</v>
      </c>
      <c r="E535" s="1">
        <v>46125</v>
      </c>
      <c r="F535" s="1">
        <v>46125</v>
      </c>
      <c r="G535" s="1">
        <v>46127</v>
      </c>
      <c r="H535">
        <f t="shared" si="41"/>
        <v>0</v>
      </c>
      <c r="I535" t="str">
        <f t="shared" si="42"/>
        <v>SwiftShip</v>
      </c>
      <c r="J535" t="str">
        <f>VLOOKUP(A535,Orders!$A$2:$D$1201,4,FALSE)</f>
        <v>Delivered</v>
      </c>
      <c r="K535" t="str">
        <f t="shared" si="43"/>
        <v>On time</v>
      </c>
      <c r="L535" t="str">
        <f t="shared" si="44"/>
        <v>On time</v>
      </c>
      <c r="O535">
        <f t="shared" si="45"/>
        <v>2</v>
      </c>
    </row>
    <row r="536" spans="1:15">
      <c r="A536">
        <v>1560</v>
      </c>
      <c r="B536" t="s">
        <v>346</v>
      </c>
      <c r="C536" s="1">
        <v>46098</v>
      </c>
      <c r="D536" s="1">
        <v>46098</v>
      </c>
      <c r="E536" s="1">
        <v>46103</v>
      </c>
      <c r="F536" s="1">
        <v>46107</v>
      </c>
      <c r="G536" s="1">
        <v>46107</v>
      </c>
      <c r="H536">
        <f t="shared" si="41"/>
        <v>0</v>
      </c>
      <c r="I536" t="str">
        <f t="shared" si="42"/>
        <v>SwiftShip</v>
      </c>
      <c r="J536" t="str">
        <f>VLOOKUP(A536,Orders!$A$2:$D$1201,4,FALSE)</f>
        <v>Delivered</v>
      </c>
      <c r="K536" t="str">
        <f t="shared" si="43"/>
        <v>Late</v>
      </c>
      <c r="L536" t="str">
        <f t="shared" si="44"/>
        <v>On time</v>
      </c>
      <c r="O536">
        <f t="shared" si="45"/>
        <v>0</v>
      </c>
    </row>
    <row r="537" spans="1:15">
      <c r="A537">
        <v>1561</v>
      </c>
      <c r="B537" t="s">
        <v>346</v>
      </c>
      <c r="C537" s="1">
        <v>46041</v>
      </c>
      <c r="D537" s="1">
        <v>46041</v>
      </c>
      <c r="E537" s="1">
        <v>46046</v>
      </c>
      <c r="H537">
        <f t="shared" si="41"/>
        <v>0</v>
      </c>
      <c r="I537" t="str">
        <f t="shared" si="42"/>
        <v>SwiftShip</v>
      </c>
      <c r="J537" t="str">
        <f>VLOOKUP(A537,Orders!$A$2:$D$1201,4,FALSE)</f>
        <v>Shipped</v>
      </c>
      <c r="K537" t="str">
        <f t="shared" si="43"/>
        <v>Not delivered</v>
      </c>
      <c r="L537" t="str">
        <f t="shared" si="44"/>
        <v>On time</v>
      </c>
      <c r="O537" t="str">
        <f t="shared" si="45"/>
        <v/>
      </c>
    </row>
    <row r="538" spans="1:15">
      <c r="A538">
        <v>1562</v>
      </c>
      <c r="B538" t="s">
        <v>348</v>
      </c>
      <c r="C538" s="1">
        <v>46131</v>
      </c>
      <c r="D538" s="1">
        <v>46131</v>
      </c>
      <c r="E538" s="1">
        <v>46136</v>
      </c>
      <c r="F538" s="1">
        <v>46134</v>
      </c>
      <c r="G538" s="1">
        <v>46135</v>
      </c>
      <c r="H538">
        <f t="shared" si="41"/>
        <v>0</v>
      </c>
      <c r="I538" t="str">
        <f t="shared" si="42"/>
        <v>MetroLogistics</v>
      </c>
      <c r="J538" t="str">
        <f>VLOOKUP(A538,Orders!$A$2:$D$1201,4,FALSE)</f>
        <v>Delivered</v>
      </c>
      <c r="K538" t="str">
        <f t="shared" si="43"/>
        <v>On time</v>
      </c>
      <c r="L538" t="str">
        <f t="shared" si="44"/>
        <v>On time</v>
      </c>
      <c r="O538">
        <f t="shared" si="45"/>
        <v>1</v>
      </c>
    </row>
    <row r="539" spans="1:15">
      <c r="A539">
        <v>1563</v>
      </c>
      <c r="B539" t="s">
        <v>348</v>
      </c>
      <c r="C539" s="1">
        <v>46102</v>
      </c>
      <c r="D539" s="1">
        <v>46102</v>
      </c>
      <c r="E539" s="1">
        <v>46107</v>
      </c>
      <c r="F539" s="1">
        <v>46107</v>
      </c>
      <c r="G539" s="1">
        <v>46107</v>
      </c>
      <c r="H539">
        <f t="shared" si="41"/>
        <v>0</v>
      </c>
      <c r="I539" t="str">
        <f t="shared" si="42"/>
        <v>MetroLogistics</v>
      </c>
      <c r="J539" t="str">
        <f>VLOOKUP(A539,Orders!$A$2:$D$1201,4,FALSE)</f>
        <v>Delivered</v>
      </c>
      <c r="K539" t="str">
        <f t="shared" si="43"/>
        <v>On time</v>
      </c>
      <c r="L539" t="str">
        <f t="shared" si="44"/>
        <v>On time</v>
      </c>
      <c r="O539">
        <f t="shared" si="45"/>
        <v>0</v>
      </c>
    </row>
    <row r="540" spans="1:15">
      <c r="A540">
        <v>1564</v>
      </c>
      <c r="B540" t="s">
        <v>347</v>
      </c>
      <c r="C540" s="1">
        <v>46145</v>
      </c>
      <c r="D540" s="1">
        <v>46145</v>
      </c>
      <c r="E540" s="1">
        <v>46150</v>
      </c>
      <c r="F540" s="1">
        <v>46150</v>
      </c>
      <c r="G540" s="1">
        <v>46152</v>
      </c>
      <c r="H540">
        <f t="shared" si="41"/>
        <v>0</v>
      </c>
      <c r="I540" t="str">
        <f t="shared" si="42"/>
        <v>ParcelOne</v>
      </c>
      <c r="J540" t="str">
        <f>VLOOKUP(A540,Orders!$A$2:$D$1201,4,FALSE)</f>
        <v>Delivered</v>
      </c>
      <c r="K540" t="str">
        <f t="shared" si="43"/>
        <v>On time</v>
      </c>
      <c r="L540" t="str">
        <f t="shared" si="44"/>
        <v>On time</v>
      </c>
      <c r="O540">
        <f t="shared" si="45"/>
        <v>2</v>
      </c>
    </row>
    <row r="541" spans="1:15">
      <c r="A541">
        <v>1565</v>
      </c>
      <c r="B541" t="s">
        <v>348</v>
      </c>
      <c r="C541" s="1">
        <v>46178</v>
      </c>
      <c r="D541" s="1">
        <v>46180</v>
      </c>
      <c r="E541" s="1">
        <v>46183</v>
      </c>
      <c r="F541" s="1">
        <v>46184</v>
      </c>
      <c r="G541" s="1">
        <v>46184</v>
      </c>
      <c r="H541">
        <f t="shared" si="41"/>
        <v>0</v>
      </c>
      <c r="I541" t="str">
        <f t="shared" si="42"/>
        <v>MetroLogistics</v>
      </c>
      <c r="J541" t="str">
        <f>VLOOKUP(A541,Orders!$A$2:$D$1201,4,FALSE)</f>
        <v>Delivered</v>
      </c>
      <c r="K541" t="str">
        <f t="shared" si="43"/>
        <v>Late</v>
      </c>
      <c r="L541" t="str">
        <f t="shared" si="44"/>
        <v>Late</v>
      </c>
      <c r="O541">
        <f t="shared" si="45"/>
        <v>0</v>
      </c>
    </row>
    <row r="542" spans="1:15">
      <c r="A542">
        <v>1566</v>
      </c>
      <c r="B542" t="s">
        <v>346</v>
      </c>
      <c r="C542" s="1">
        <v>46172</v>
      </c>
      <c r="D542" s="1">
        <v>46172</v>
      </c>
      <c r="E542" s="1">
        <v>46177</v>
      </c>
      <c r="F542" s="1">
        <v>46177</v>
      </c>
      <c r="G542" s="1">
        <v>46177</v>
      </c>
      <c r="H542">
        <f t="shared" si="41"/>
        <v>0</v>
      </c>
      <c r="I542" t="str">
        <f t="shared" si="42"/>
        <v>SwiftShip</v>
      </c>
      <c r="J542" t="str">
        <f>VLOOKUP(A542,Orders!$A$2:$D$1201,4,FALSE)</f>
        <v>Delivered</v>
      </c>
      <c r="K542" t="str">
        <f t="shared" si="43"/>
        <v>On time</v>
      </c>
      <c r="L542" t="str">
        <f t="shared" si="44"/>
        <v>On time</v>
      </c>
      <c r="O542">
        <f t="shared" si="45"/>
        <v>0</v>
      </c>
    </row>
    <row r="543" spans="1:15">
      <c r="A543">
        <v>1567</v>
      </c>
      <c r="B543" t="s">
        <v>347</v>
      </c>
      <c r="C543" s="1">
        <v>46066</v>
      </c>
      <c r="D543" s="1">
        <v>46066</v>
      </c>
      <c r="E543" s="1">
        <v>46071</v>
      </c>
      <c r="F543" s="1">
        <v>46071</v>
      </c>
      <c r="G543" s="1">
        <v>46071</v>
      </c>
      <c r="H543">
        <f t="shared" si="41"/>
        <v>0</v>
      </c>
      <c r="I543" t="str">
        <f t="shared" si="42"/>
        <v>ParcelOne</v>
      </c>
      <c r="J543" t="str">
        <f>VLOOKUP(A543,Orders!$A$2:$D$1201,4,FALSE)</f>
        <v>Delivered</v>
      </c>
      <c r="K543" t="str">
        <f t="shared" si="43"/>
        <v>On time</v>
      </c>
      <c r="L543" t="str">
        <f t="shared" si="44"/>
        <v>On time</v>
      </c>
      <c r="O543">
        <f t="shared" si="45"/>
        <v>0</v>
      </c>
    </row>
    <row r="544" spans="1:15">
      <c r="A544">
        <v>1568</v>
      </c>
      <c r="B544" t="s">
        <v>348</v>
      </c>
      <c r="C544" s="1">
        <v>46185</v>
      </c>
      <c r="D544" s="1">
        <v>46185</v>
      </c>
      <c r="E544" s="1">
        <v>46190</v>
      </c>
      <c r="F544" s="1">
        <v>46191</v>
      </c>
      <c r="G544" s="1">
        <v>46191</v>
      </c>
      <c r="H544">
        <f t="shared" si="41"/>
        <v>0</v>
      </c>
      <c r="I544" t="str">
        <f t="shared" si="42"/>
        <v>MetroLogistics</v>
      </c>
      <c r="J544" t="str">
        <f>VLOOKUP(A544,Orders!$A$2:$D$1201,4,FALSE)</f>
        <v>Delivered</v>
      </c>
      <c r="K544" t="str">
        <f t="shared" si="43"/>
        <v>Late</v>
      </c>
      <c r="L544" t="str">
        <f t="shared" si="44"/>
        <v>On time</v>
      </c>
      <c r="O544">
        <f t="shared" si="45"/>
        <v>0</v>
      </c>
    </row>
    <row r="545" spans="1:15">
      <c r="A545">
        <v>1569</v>
      </c>
      <c r="B545" t="s">
        <v>347</v>
      </c>
      <c r="C545" s="1">
        <v>46115</v>
      </c>
      <c r="D545" s="1">
        <v>46115</v>
      </c>
      <c r="E545" s="1">
        <v>46120</v>
      </c>
      <c r="F545" s="1">
        <v>46120</v>
      </c>
      <c r="G545" s="1">
        <v>46120</v>
      </c>
      <c r="H545">
        <f t="shared" si="41"/>
        <v>0</v>
      </c>
      <c r="I545" t="str">
        <f t="shared" si="42"/>
        <v>ParcelOne</v>
      </c>
      <c r="J545" t="str">
        <f>VLOOKUP(A545,Orders!$A$2:$D$1201,4,FALSE)</f>
        <v>Delivered</v>
      </c>
      <c r="K545" t="str">
        <f t="shared" si="43"/>
        <v>On time</v>
      </c>
      <c r="L545" t="str">
        <f t="shared" si="44"/>
        <v>On time</v>
      </c>
      <c r="O545">
        <f t="shared" si="45"/>
        <v>0</v>
      </c>
    </row>
    <row r="546" spans="1:15">
      <c r="A546">
        <v>1570</v>
      </c>
      <c r="B546" t="s">
        <v>347</v>
      </c>
      <c r="C546" s="1">
        <v>46051</v>
      </c>
      <c r="D546" s="1">
        <v>46051</v>
      </c>
      <c r="E546" s="1">
        <v>46056</v>
      </c>
      <c r="F546" s="1">
        <v>46058</v>
      </c>
      <c r="G546" s="1">
        <v>46058</v>
      </c>
      <c r="H546">
        <f t="shared" si="41"/>
        <v>0</v>
      </c>
      <c r="I546" t="str">
        <f t="shared" si="42"/>
        <v>ParcelOne</v>
      </c>
      <c r="J546" t="str">
        <f>VLOOKUP(A546,Orders!$A$2:$D$1201,4,FALSE)</f>
        <v>Delivered</v>
      </c>
      <c r="K546" t="str">
        <f t="shared" si="43"/>
        <v>Late</v>
      </c>
      <c r="L546" t="str">
        <f t="shared" si="44"/>
        <v>On time</v>
      </c>
      <c r="O546">
        <f t="shared" si="45"/>
        <v>0</v>
      </c>
    </row>
    <row r="547" spans="1:15">
      <c r="A547">
        <v>1571</v>
      </c>
      <c r="B547" t="s">
        <v>348</v>
      </c>
      <c r="C547" s="1">
        <v>46029</v>
      </c>
      <c r="D547" s="1">
        <v>46029</v>
      </c>
      <c r="E547" s="1">
        <v>46034</v>
      </c>
      <c r="F547" s="1">
        <v>46035</v>
      </c>
      <c r="G547" s="1">
        <v>46035</v>
      </c>
      <c r="H547">
        <f t="shared" si="41"/>
        <v>0</v>
      </c>
      <c r="I547" t="str">
        <f t="shared" si="42"/>
        <v>MetroLogistics</v>
      </c>
      <c r="J547" t="str">
        <f>VLOOKUP(A547,Orders!$A$2:$D$1201,4,FALSE)</f>
        <v>Delivered</v>
      </c>
      <c r="K547" t="str">
        <f t="shared" si="43"/>
        <v>Late</v>
      </c>
      <c r="L547" t="str">
        <f t="shared" si="44"/>
        <v>On time</v>
      </c>
      <c r="O547">
        <f t="shared" si="45"/>
        <v>0</v>
      </c>
    </row>
    <row r="548" spans="1:15">
      <c r="A548">
        <v>1572</v>
      </c>
      <c r="B548" t="s">
        <v>347</v>
      </c>
      <c r="C548" s="1">
        <v>46061</v>
      </c>
      <c r="D548" s="1">
        <v>46063</v>
      </c>
      <c r="E548" s="1">
        <v>46066</v>
      </c>
      <c r="F548" s="1">
        <v>46066</v>
      </c>
      <c r="G548" s="1">
        <v>46066</v>
      </c>
      <c r="H548">
        <f t="shared" si="41"/>
        <v>0</v>
      </c>
      <c r="I548" t="str">
        <f t="shared" si="42"/>
        <v>ParcelOne</v>
      </c>
      <c r="J548" t="str">
        <f>VLOOKUP(A548,Orders!$A$2:$D$1201,4,FALSE)</f>
        <v>Delivered</v>
      </c>
      <c r="K548" t="str">
        <f t="shared" si="43"/>
        <v>On time</v>
      </c>
      <c r="L548" t="str">
        <f t="shared" si="44"/>
        <v>Late</v>
      </c>
      <c r="O548">
        <f t="shared" si="45"/>
        <v>0</v>
      </c>
    </row>
    <row r="549" spans="1:15">
      <c r="A549">
        <v>1573</v>
      </c>
      <c r="B549" t="s">
        <v>347</v>
      </c>
      <c r="C549" s="1">
        <v>46044</v>
      </c>
      <c r="D549" s="1">
        <v>46044</v>
      </c>
      <c r="E549" s="1">
        <v>46049</v>
      </c>
      <c r="F549" s="1">
        <v>46049</v>
      </c>
      <c r="G549" s="1">
        <v>46049</v>
      </c>
      <c r="H549">
        <f t="shared" si="41"/>
        <v>0</v>
      </c>
      <c r="I549" t="str">
        <f t="shared" si="42"/>
        <v>ParcelOne</v>
      </c>
      <c r="J549" t="str">
        <f>VLOOKUP(A549,Orders!$A$2:$D$1201,4,FALSE)</f>
        <v>Delivered</v>
      </c>
      <c r="K549" t="str">
        <f t="shared" si="43"/>
        <v>On time</v>
      </c>
      <c r="L549" t="str">
        <f t="shared" si="44"/>
        <v>On time</v>
      </c>
      <c r="O549">
        <f t="shared" si="45"/>
        <v>0</v>
      </c>
    </row>
    <row r="550" spans="1:15">
      <c r="A550">
        <v>1574</v>
      </c>
      <c r="B550" t="s">
        <v>348</v>
      </c>
      <c r="C550" s="1">
        <v>46089</v>
      </c>
      <c r="D550" s="1">
        <v>46089</v>
      </c>
      <c r="E550" s="1">
        <v>46094</v>
      </c>
      <c r="F550" s="1">
        <v>46092</v>
      </c>
      <c r="G550" s="1">
        <v>46092</v>
      </c>
      <c r="H550">
        <f t="shared" si="41"/>
        <v>0</v>
      </c>
      <c r="I550" t="str">
        <f t="shared" si="42"/>
        <v>MetroLogistics</v>
      </c>
      <c r="J550" t="str">
        <f>VLOOKUP(A550,Orders!$A$2:$D$1201,4,FALSE)</f>
        <v>Delivered</v>
      </c>
      <c r="K550" t="str">
        <f t="shared" si="43"/>
        <v>On time</v>
      </c>
      <c r="L550" t="str">
        <f t="shared" si="44"/>
        <v>On time</v>
      </c>
      <c r="O550">
        <f t="shared" si="45"/>
        <v>0</v>
      </c>
    </row>
    <row r="551" spans="1:15">
      <c r="A551">
        <v>1575</v>
      </c>
      <c r="B551" t="s">
        <v>348</v>
      </c>
      <c r="C551" s="1">
        <v>46096</v>
      </c>
      <c r="D551" s="1">
        <v>46096</v>
      </c>
      <c r="E551" s="1">
        <v>46101</v>
      </c>
      <c r="H551">
        <f t="shared" si="41"/>
        <v>0</v>
      </c>
      <c r="I551" t="str">
        <f t="shared" si="42"/>
        <v>MetroLogistics</v>
      </c>
      <c r="J551" t="str">
        <f>VLOOKUP(A551,Orders!$A$2:$D$1201,4,FALSE)</f>
        <v>Shipped</v>
      </c>
      <c r="K551" t="str">
        <f t="shared" si="43"/>
        <v>Not delivered</v>
      </c>
      <c r="L551" t="str">
        <f t="shared" si="44"/>
        <v>On time</v>
      </c>
      <c r="O551" t="str">
        <f t="shared" si="45"/>
        <v/>
      </c>
    </row>
    <row r="552" spans="1:15">
      <c r="A552">
        <v>1576</v>
      </c>
      <c r="B552" t="s">
        <v>346</v>
      </c>
      <c r="C552" s="1">
        <v>46028</v>
      </c>
      <c r="D552" s="1">
        <v>46030</v>
      </c>
      <c r="E552" s="1">
        <v>46033</v>
      </c>
      <c r="F552" s="1">
        <v>46037</v>
      </c>
      <c r="G552" s="1">
        <v>46038</v>
      </c>
      <c r="H552">
        <f t="shared" si="41"/>
        <v>0</v>
      </c>
      <c r="I552" t="str">
        <f t="shared" si="42"/>
        <v>SwiftShip</v>
      </c>
      <c r="J552" t="str">
        <f>VLOOKUP(A552,Orders!$A$2:$D$1201,4,FALSE)</f>
        <v>Delivered</v>
      </c>
      <c r="K552" t="str">
        <f t="shared" si="43"/>
        <v>Late</v>
      </c>
      <c r="L552" t="str">
        <f t="shared" si="44"/>
        <v>Late</v>
      </c>
      <c r="O552">
        <f t="shared" si="45"/>
        <v>1</v>
      </c>
    </row>
    <row r="553" spans="1:15">
      <c r="A553">
        <v>1577</v>
      </c>
      <c r="B553" t="s">
        <v>346</v>
      </c>
      <c r="C553" s="1">
        <v>46118</v>
      </c>
      <c r="D553" s="1">
        <v>46120</v>
      </c>
      <c r="E553" s="1">
        <v>46123</v>
      </c>
      <c r="F553" s="1">
        <v>46123</v>
      </c>
      <c r="G553" s="1">
        <v>46123</v>
      </c>
      <c r="H553">
        <f t="shared" si="41"/>
        <v>0</v>
      </c>
      <c r="I553" t="str">
        <f t="shared" si="42"/>
        <v>SwiftShip</v>
      </c>
      <c r="J553" t="str">
        <f>VLOOKUP(A553,Orders!$A$2:$D$1201,4,FALSE)</f>
        <v>Delivered</v>
      </c>
      <c r="K553" t="str">
        <f t="shared" si="43"/>
        <v>On time</v>
      </c>
      <c r="L553" t="str">
        <f t="shared" si="44"/>
        <v>Late</v>
      </c>
      <c r="O553">
        <f t="shared" si="45"/>
        <v>0</v>
      </c>
    </row>
    <row r="554" spans="1:15">
      <c r="A554">
        <v>1578</v>
      </c>
      <c r="B554" t="s">
        <v>346</v>
      </c>
      <c r="C554" s="1">
        <v>46053</v>
      </c>
      <c r="D554" s="1">
        <v>46053</v>
      </c>
      <c r="E554" s="1">
        <v>46058</v>
      </c>
      <c r="F554" s="1">
        <v>46058</v>
      </c>
      <c r="G554" s="1">
        <v>46058</v>
      </c>
      <c r="H554">
        <f t="shared" si="41"/>
        <v>0</v>
      </c>
      <c r="I554" t="str">
        <f t="shared" si="42"/>
        <v>SwiftShip</v>
      </c>
      <c r="J554" t="str">
        <f>VLOOKUP(A554,Orders!$A$2:$D$1201,4,FALSE)</f>
        <v>Delivered</v>
      </c>
      <c r="K554" t="str">
        <f t="shared" si="43"/>
        <v>On time</v>
      </c>
      <c r="L554" t="str">
        <f t="shared" si="44"/>
        <v>On time</v>
      </c>
      <c r="O554">
        <f t="shared" si="45"/>
        <v>0</v>
      </c>
    </row>
    <row r="555" spans="1:15">
      <c r="A555">
        <v>1579</v>
      </c>
      <c r="B555" t="s">
        <v>346</v>
      </c>
      <c r="C555" s="1">
        <v>46167</v>
      </c>
      <c r="D555" s="1">
        <v>46167</v>
      </c>
      <c r="E555" s="1">
        <v>46172</v>
      </c>
      <c r="F555" s="1">
        <v>46173</v>
      </c>
      <c r="G555" s="1">
        <v>46173</v>
      </c>
      <c r="H555">
        <f t="shared" si="41"/>
        <v>0</v>
      </c>
      <c r="I555" t="str">
        <f t="shared" si="42"/>
        <v>SwiftShip</v>
      </c>
      <c r="J555" t="str">
        <f>VLOOKUP(A555,Orders!$A$2:$D$1201,4,FALSE)</f>
        <v>Delivered</v>
      </c>
      <c r="K555" t="str">
        <f t="shared" si="43"/>
        <v>Late</v>
      </c>
      <c r="L555" t="str">
        <f t="shared" si="44"/>
        <v>On time</v>
      </c>
      <c r="O555">
        <f t="shared" si="45"/>
        <v>0</v>
      </c>
    </row>
    <row r="556" spans="1:15">
      <c r="A556">
        <v>1580</v>
      </c>
      <c r="B556" t="s">
        <v>347</v>
      </c>
      <c r="C556" s="1">
        <v>46082</v>
      </c>
      <c r="D556" s="1">
        <v>46082</v>
      </c>
      <c r="E556" s="1">
        <v>46087</v>
      </c>
      <c r="F556" s="1">
        <v>46091</v>
      </c>
      <c r="G556" s="1">
        <v>46091</v>
      </c>
      <c r="H556">
        <f t="shared" si="41"/>
        <v>0</v>
      </c>
      <c r="I556" t="str">
        <f t="shared" si="42"/>
        <v>ParcelOne</v>
      </c>
      <c r="J556" t="str">
        <f>VLOOKUP(A556,Orders!$A$2:$D$1201,4,FALSE)</f>
        <v>Delivered</v>
      </c>
      <c r="K556" t="str">
        <f t="shared" si="43"/>
        <v>Late</v>
      </c>
      <c r="L556" t="str">
        <f t="shared" si="44"/>
        <v>On time</v>
      </c>
      <c r="O556">
        <f t="shared" si="45"/>
        <v>0</v>
      </c>
    </row>
    <row r="557" spans="1:15">
      <c r="A557">
        <v>1581</v>
      </c>
      <c r="B557" t="s">
        <v>347</v>
      </c>
      <c r="C557" s="1">
        <v>46126</v>
      </c>
      <c r="D557" s="1">
        <v>46126</v>
      </c>
      <c r="E557" s="1">
        <v>46131</v>
      </c>
      <c r="F557" s="1">
        <v>46131</v>
      </c>
      <c r="G557" s="1">
        <v>46131</v>
      </c>
      <c r="H557">
        <f t="shared" si="41"/>
        <v>0</v>
      </c>
      <c r="I557" t="str">
        <f t="shared" si="42"/>
        <v>ParcelOne</v>
      </c>
      <c r="J557" t="str">
        <f>VLOOKUP(A557,Orders!$A$2:$D$1201,4,FALSE)</f>
        <v>Delivered</v>
      </c>
      <c r="K557" t="str">
        <f t="shared" si="43"/>
        <v>On time</v>
      </c>
      <c r="L557" t="str">
        <f t="shared" si="44"/>
        <v>On time</v>
      </c>
      <c r="O557">
        <f t="shared" si="45"/>
        <v>0</v>
      </c>
    </row>
    <row r="558" spans="1:15">
      <c r="A558">
        <v>1582</v>
      </c>
      <c r="B558" t="s">
        <v>348</v>
      </c>
      <c r="C558" s="1">
        <v>46041</v>
      </c>
      <c r="D558" s="1">
        <v>46041</v>
      </c>
      <c r="E558" s="1">
        <v>46046</v>
      </c>
      <c r="F558" s="1">
        <v>46046</v>
      </c>
      <c r="G558" s="1">
        <v>46046</v>
      </c>
      <c r="H558">
        <f t="shared" si="41"/>
        <v>0</v>
      </c>
      <c r="I558" t="str">
        <f t="shared" si="42"/>
        <v>MetroLogistics</v>
      </c>
      <c r="J558" t="str">
        <f>VLOOKUP(A558,Orders!$A$2:$D$1201,4,FALSE)</f>
        <v>Delivered</v>
      </c>
      <c r="K558" t="str">
        <f t="shared" si="43"/>
        <v>On time</v>
      </c>
      <c r="L558" t="str">
        <f t="shared" si="44"/>
        <v>On time</v>
      </c>
      <c r="O558">
        <f t="shared" si="45"/>
        <v>0</v>
      </c>
    </row>
    <row r="559" spans="1:15">
      <c r="A559">
        <v>1583</v>
      </c>
      <c r="B559" t="s">
        <v>347</v>
      </c>
      <c r="C559" s="1">
        <v>46173</v>
      </c>
      <c r="D559" s="1">
        <v>46173</v>
      </c>
      <c r="E559" s="1">
        <v>46178</v>
      </c>
      <c r="F559" s="1">
        <v>46177</v>
      </c>
      <c r="G559" s="1">
        <v>46177</v>
      </c>
      <c r="H559">
        <f t="shared" si="41"/>
        <v>0</v>
      </c>
      <c r="I559" t="str">
        <f t="shared" si="42"/>
        <v>ParcelOne</v>
      </c>
      <c r="J559" t="str">
        <f>VLOOKUP(A559,Orders!$A$2:$D$1201,4,FALSE)</f>
        <v>Delivered</v>
      </c>
      <c r="K559" t="str">
        <f t="shared" si="43"/>
        <v>On time</v>
      </c>
      <c r="L559" t="str">
        <f t="shared" si="44"/>
        <v>On time</v>
      </c>
      <c r="O559">
        <f t="shared" si="45"/>
        <v>0</v>
      </c>
    </row>
    <row r="560" spans="1:15">
      <c r="A560">
        <v>1584</v>
      </c>
      <c r="B560" t="s">
        <v>348</v>
      </c>
      <c r="C560" s="1">
        <v>46089</v>
      </c>
      <c r="D560" s="1">
        <v>46089</v>
      </c>
      <c r="E560" s="1">
        <v>46094</v>
      </c>
      <c r="F560" s="1">
        <v>46098</v>
      </c>
      <c r="G560" s="1">
        <v>46098</v>
      </c>
      <c r="H560">
        <f t="shared" si="41"/>
        <v>0</v>
      </c>
      <c r="I560" t="str">
        <f t="shared" si="42"/>
        <v>MetroLogistics</v>
      </c>
      <c r="J560" t="str">
        <f>VLOOKUP(A560,Orders!$A$2:$D$1201,4,FALSE)</f>
        <v>Delivered</v>
      </c>
      <c r="K560" t="str">
        <f t="shared" si="43"/>
        <v>Late</v>
      </c>
      <c r="L560" t="str">
        <f t="shared" si="44"/>
        <v>On time</v>
      </c>
      <c r="O560">
        <f t="shared" si="45"/>
        <v>0</v>
      </c>
    </row>
    <row r="561" spans="1:15">
      <c r="A561">
        <v>1585</v>
      </c>
      <c r="B561" t="s">
        <v>346</v>
      </c>
      <c r="C561" s="1">
        <v>46108</v>
      </c>
      <c r="D561" s="1">
        <v>46108</v>
      </c>
      <c r="E561" s="1">
        <v>46113</v>
      </c>
      <c r="F561" s="1">
        <v>46112</v>
      </c>
      <c r="G561" s="1">
        <v>46112</v>
      </c>
      <c r="H561">
        <f t="shared" si="41"/>
        <v>0</v>
      </c>
      <c r="I561" t="str">
        <f t="shared" si="42"/>
        <v>SwiftShip</v>
      </c>
      <c r="J561" t="str">
        <f>VLOOKUP(A561,Orders!$A$2:$D$1201,4,FALSE)</f>
        <v>Delivered</v>
      </c>
      <c r="K561" t="str">
        <f t="shared" si="43"/>
        <v>On time</v>
      </c>
      <c r="L561" t="str">
        <f t="shared" si="44"/>
        <v>On time</v>
      </c>
      <c r="O561">
        <f t="shared" si="45"/>
        <v>0</v>
      </c>
    </row>
    <row r="562" spans="1:15">
      <c r="A562">
        <v>1586</v>
      </c>
      <c r="B562" t="s">
        <v>347</v>
      </c>
      <c r="C562" s="1">
        <v>46154</v>
      </c>
      <c r="D562" s="1">
        <v>46154</v>
      </c>
      <c r="E562" s="1">
        <v>46159</v>
      </c>
      <c r="F562" s="1">
        <v>46161</v>
      </c>
      <c r="G562" s="1">
        <v>46161</v>
      </c>
      <c r="H562">
        <f t="shared" si="41"/>
        <v>0</v>
      </c>
      <c r="I562" t="str">
        <f t="shared" si="42"/>
        <v>ParcelOne</v>
      </c>
      <c r="J562" t="str">
        <f>VLOOKUP(A562,Orders!$A$2:$D$1201,4,FALSE)</f>
        <v>Delivered</v>
      </c>
      <c r="K562" t="str">
        <f t="shared" si="43"/>
        <v>Late</v>
      </c>
      <c r="L562" t="str">
        <f t="shared" si="44"/>
        <v>On time</v>
      </c>
      <c r="O562">
        <f t="shared" si="45"/>
        <v>0</v>
      </c>
    </row>
    <row r="563" spans="1:15">
      <c r="A563">
        <v>1587</v>
      </c>
      <c r="B563" t="s">
        <v>348</v>
      </c>
      <c r="C563" s="1">
        <v>46033</v>
      </c>
      <c r="D563" s="1">
        <v>46033</v>
      </c>
      <c r="E563" s="1">
        <v>46038</v>
      </c>
      <c r="F563" s="1">
        <v>46037</v>
      </c>
      <c r="G563" s="1">
        <v>46037</v>
      </c>
      <c r="H563">
        <f t="shared" si="41"/>
        <v>0</v>
      </c>
      <c r="I563" t="str">
        <f t="shared" si="42"/>
        <v>MetroLogistics</v>
      </c>
      <c r="J563" t="str">
        <f>VLOOKUP(A563,Orders!$A$2:$D$1201,4,FALSE)</f>
        <v>Delivered</v>
      </c>
      <c r="K563" t="str">
        <f t="shared" si="43"/>
        <v>On time</v>
      </c>
      <c r="L563" t="str">
        <f t="shared" si="44"/>
        <v>On time</v>
      </c>
      <c r="O563">
        <f t="shared" si="45"/>
        <v>0</v>
      </c>
    </row>
    <row r="564" spans="1:15">
      <c r="A564">
        <v>1588</v>
      </c>
      <c r="B564" t="s">
        <v>348</v>
      </c>
      <c r="C564" s="1">
        <v>46166</v>
      </c>
      <c r="D564" s="1">
        <v>46166</v>
      </c>
      <c r="E564" s="1">
        <v>46171</v>
      </c>
      <c r="F564" s="1">
        <v>46171</v>
      </c>
      <c r="G564" s="1">
        <v>46173</v>
      </c>
      <c r="H564">
        <f t="shared" si="41"/>
        <v>0</v>
      </c>
      <c r="I564" t="str">
        <f t="shared" si="42"/>
        <v>MetroLogistics</v>
      </c>
      <c r="J564" t="str">
        <f>VLOOKUP(A564,Orders!$A$2:$D$1201,4,FALSE)</f>
        <v>Delivered</v>
      </c>
      <c r="K564" t="str">
        <f t="shared" si="43"/>
        <v>On time</v>
      </c>
      <c r="L564" t="str">
        <f t="shared" si="44"/>
        <v>On time</v>
      </c>
      <c r="O564">
        <f t="shared" si="45"/>
        <v>2</v>
      </c>
    </row>
    <row r="565" spans="1:15">
      <c r="A565">
        <v>1589</v>
      </c>
      <c r="B565" t="s">
        <v>347</v>
      </c>
      <c r="C565" s="1">
        <v>46198</v>
      </c>
      <c r="D565" s="1">
        <v>46199</v>
      </c>
      <c r="E565" s="1">
        <v>46203</v>
      </c>
      <c r="F565" s="1">
        <v>46203</v>
      </c>
      <c r="G565" s="1">
        <v>46203</v>
      </c>
      <c r="H565">
        <f t="shared" si="41"/>
        <v>0</v>
      </c>
      <c r="I565" t="str">
        <f t="shared" si="42"/>
        <v>ParcelOne</v>
      </c>
      <c r="J565" t="str">
        <f>VLOOKUP(A565,Orders!$A$2:$D$1201,4,FALSE)</f>
        <v>Delivered</v>
      </c>
      <c r="K565" t="str">
        <f t="shared" si="43"/>
        <v>On time</v>
      </c>
      <c r="L565" t="str">
        <f t="shared" si="44"/>
        <v>Late</v>
      </c>
      <c r="O565">
        <f t="shared" si="45"/>
        <v>0</v>
      </c>
    </row>
    <row r="566" spans="1:15">
      <c r="A566">
        <v>1590</v>
      </c>
      <c r="B566" t="s">
        <v>346</v>
      </c>
      <c r="C566" s="1">
        <v>46185</v>
      </c>
      <c r="D566" s="1">
        <v>46185</v>
      </c>
      <c r="E566" s="1">
        <v>46190</v>
      </c>
      <c r="F566" s="1">
        <v>46189</v>
      </c>
      <c r="G566" s="1">
        <v>46189</v>
      </c>
      <c r="H566">
        <f t="shared" si="41"/>
        <v>0</v>
      </c>
      <c r="I566" t="str">
        <f t="shared" si="42"/>
        <v>SwiftShip</v>
      </c>
      <c r="J566" t="str">
        <f>VLOOKUP(A566,Orders!$A$2:$D$1201,4,FALSE)</f>
        <v>Delivered</v>
      </c>
      <c r="K566" t="str">
        <f t="shared" si="43"/>
        <v>On time</v>
      </c>
      <c r="L566" t="str">
        <f t="shared" si="44"/>
        <v>On time</v>
      </c>
      <c r="O566">
        <f t="shared" si="45"/>
        <v>0</v>
      </c>
    </row>
    <row r="567" spans="1:15">
      <c r="A567">
        <v>1591</v>
      </c>
      <c r="B567" t="s">
        <v>346</v>
      </c>
      <c r="C567" s="1">
        <v>46176</v>
      </c>
      <c r="D567" s="1">
        <v>46176</v>
      </c>
      <c r="E567" s="1">
        <v>46181</v>
      </c>
      <c r="F567" s="1">
        <v>46179</v>
      </c>
      <c r="G567" s="1">
        <v>46179</v>
      </c>
      <c r="H567">
        <f t="shared" si="41"/>
        <v>0</v>
      </c>
      <c r="I567" t="str">
        <f t="shared" si="42"/>
        <v>SwiftShip</v>
      </c>
      <c r="J567" t="str">
        <f>VLOOKUP(A567,Orders!$A$2:$D$1201,4,FALSE)</f>
        <v>Delivered</v>
      </c>
      <c r="K567" t="str">
        <f t="shared" si="43"/>
        <v>On time</v>
      </c>
      <c r="L567" t="str">
        <f t="shared" si="44"/>
        <v>On time</v>
      </c>
      <c r="O567">
        <f t="shared" si="45"/>
        <v>0</v>
      </c>
    </row>
    <row r="568" spans="1:15">
      <c r="A568">
        <v>1592</v>
      </c>
      <c r="B568" t="s">
        <v>346</v>
      </c>
      <c r="C568" s="1">
        <v>46170</v>
      </c>
      <c r="D568" s="1">
        <v>46170</v>
      </c>
      <c r="E568" s="1">
        <v>46175</v>
      </c>
      <c r="F568" s="1">
        <v>46175</v>
      </c>
      <c r="G568" s="1">
        <v>46175</v>
      </c>
      <c r="H568">
        <f t="shared" si="41"/>
        <v>0</v>
      </c>
      <c r="I568" t="str">
        <f t="shared" si="42"/>
        <v>SwiftShip</v>
      </c>
      <c r="J568" t="str">
        <f>VLOOKUP(A568,Orders!$A$2:$D$1201,4,FALSE)</f>
        <v>Delivered</v>
      </c>
      <c r="K568" t="str">
        <f t="shared" si="43"/>
        <v>On time</v>
      </c>
      <c r="L568" t="str">
        <f t="shared" si="44"/>
        <v>On time</v>
      </c>
      <c r="O568">
        <f t="shared" si="45"/>
        <v>0</v>
      </c>
    </row>
    <row r="569" spans="1:15">
      <c r="A569">
        <v>1593</v>
      </c>
      <c r="B569" t="s">
        <v>346</v>
      </c>
      <c r="C569" s="1">
        <v>46050</v>
      </c>
      <c r="D569" s="1">
        <v>46050</v>
      </c>
      <c r="E569" s="1">
        <v>46055</v>
      </c>
      <c r="F569" s="1">
        <v>46055</v>
      </c>
      <c r="G569" s="1">
        <v>46055</v>
      </c>
      <c r="H569">
        <f t="shared" si="41"/>
        <v>0</v>
      </c>
      <c r="I569" t="str">
        <f t="shared" si="42"/>
        <v>SwiftShip</v>
      </c>
      <c r="J569" t="str">
        <f>VLOOKUP(A569,Orders!$A$2:$D$1201,4,FALSE)</f>
        <v>Delivered</v>
      </c>
      <c r="K569" t="str">
        <f t="shared" si="43"/>
        <v>On time</v>
      </c>
      <c r="L569" t="str">
        <f t="shared" si="44"/>
        <v>On time</v>
      </c>
      <c r="O569">
        <f t="shared" si="45"/>
        <v>0</v>
      </c>
    </row>
    <row r="570" spans="1:15">
      <c r="A570">
        <v>1594</v>
      </c>
      <c r="B570" t="s">
        <v>348</v>
      </c>
      <c r="C570" s="1">
        <v>46187</v>
      </c>
      <c r="D570" s="1">
        <v>46188</v>
      </c>
      <c r="E570" s="1">
        <v>46192</v>
      </c>
      <c r="F570" s="1">
        <v>46192</v>
      </c>
      <c r="G570" s="1">
        <v>46194</v>
      </c>
      <c r="H570">
        <f t="shared" si="41"/>
        <v>0</v>
      </c>
      <c r="I570" t="str">
        <f t="shared" si="42"/>
        <v>MetroLogistics</v>
      </c>
      <c r="J570" t="str">
        <f>VLOOKUP(A570,Orders!$A$2:$D$1201,4,FALSE)</f>
        <v>Delivered</v>
      </c>
      <c r="K570" t="str">
        <f t="shared" si="43"/>
        <v>On time</v>
      </c>
      <c r="L570" t="str">
        <f t="shared" si="44"/>
        <v>Late</v>
      </c>
      <c r="O570">
        <f t="shared" si="45"/>
        <v>2</v>
      </c>
    </row>
    <row r="571" spans="1:15">
      <c r="A571">
        <v>1595</v>
      </c>
      <c r="B571" t="s">
        <v>346</v>
      </c>
      <c r="C571" s="1">
        <v>46173</v>
      </c>
      <c r="D571" s="1">
        <v>46173</v>
      </c>
      <c r="E571" s="1">
        <v>46178</v>
      </c>
      <c r="F571" s="1">
        <v>46179</v>
      </c>
      <c r="G571" s="1">
        <v>46179</v>
      </c>
      <c r="H571">
        <f t="shared" si="41"/>
        <v>0</v>
      </c>
      <c r="I571" t="str">
        <f t="shared" si="42"/>
        <v>SwiftShip</v>
      </c>
      <c r="J571" t="str">
        <f>VLOOKUP(A571,Orders!$A$2:$D$1201,4,FALSE)</f>
        <v>Delivered</v>
      </c>
      <c r="K571" t="str">
        <f t="shared" si="43"/>
        <v>Late</v>
      </c>
      <c r="L571" t="str">
        <f t="shared" si="44"/>
        <v>On time</v>
      </c>
      <c r="O571">
        <f t="shared" si="45"/>
        <v>0</v>
      </c>
    </row>
    <row r="572" spans="1:15">
      <c r="A572">
        <v>1596</v>
      </c>
      <c r="B572" t="s">
        <v>347</v>
      </c>
      <c r="C572" s="1">
        <v>46154</v>
      </c>
      <c r="D572" s="1">
        <v>46154</v>
      </c>
      <c r="E572" s="1">
        <v>46159</v>
      </c>
      <c r="F572" s="1">
        <v>46159</v>
      </c>
      <c r="G572" s="1">
        <v>46159</v>
      </c>
      <c r="H572">
        <f t="shared" si="41"/>
        <v>0</v>
      </c>
      <c r="I572" t="str">
        <f t="shared" si="42"/>
        <v>ParcelOne</v>
      </c>
      <c r="J572" t="str">
        <f>VLOOKUP(A572,Orders!$A$2:$D$1201,4,FALSE)</f>
        <v>Delivered</v>
      </c>
      <c r="K572" t="str">
        <f t="shared" si="43"/>
        <v>On time</v>
      </c>
      <c r="L572" t="str">
        <f t="shared" si="44"/>
        <v>On time</v>
      </c>
      <c r="O572">
        <f t="shared" si="45"/>
        <v>0</v>
      </c>
    </row>
    <row r="573" spans="1:15">
      <c r="A573">
        <v>1597</v>
      </c>
      <c r="B573" t="s">
        <v>346</v>
      </c>
      <c r="C573" s="1">
        <v>46029</v>
      </c>
      <c r="D573" s="1">
        <v>46029</v>
      </c>
      <c r="E573" s="1">
        <v>46034</v>
      </c>
      <c r="F573" s="1">
        <v>46038</v>
      </c>
      <c r="G573" s="1">
        <v>46038</v>
      </c>
      <c r="H573">
        <f t="shared" si="41"/>
        <v>0</v>
      </c>
      <c r="I573" t="str">
        <f t="shared" si="42"/>
        <v>SwiftShip</v>
      </c>
      <c r="J573" t="str">
        <f>VLOOKUP(A573,Orders!$A$2:$D$1201,4,FALSE)</f>
        <v>Delivered</v>
      </c>
      <c r="K573" t="str">
        <f t="shared" si="43"/>
        <v>Late</v>
      </c>
      <c r="L573" t="str">
        <f t="shared" si="44"/>
        <v>On time</v>
      </c>
      <c r="O573">
        <f t="shared" si="45"/>
        <v>0</v>
      </c>
    </row>
    <row r="574" spans="1:15">
      <c r="A574">
        <v>1598</v>
      </c>
      <c r="B574" t="s">
        <v>347</v>
      </c>
      <c r="C574" s="1">
        <v>46093</v>
      </c>
      <c r="D574" s="1">
        <v>46093</v>
      </c>
      <c r="E574" s="1">
        <v>46098</v>
      </c>
      <c r="H574">
        <f t="shared" si="41"/>
        <v>0</v>
      </c>
      <c r="I574" t="str">
        <f t="shared" si="42"/>
        <v>ParcelOne</v>
      </c>
      <c r="J574" t="str">
        <f>VLOOKUP(A574,Orders!$A$2:$D$1201,4,FALSE)</f>
        <v>Shipped</v>
      </c>
      <c r="K574" t="str">
        <f t="shared" si="43"/>
        <v>Not delivered</v>
      </c>
      <c r="L574" t="str">
        <f t="shared" si="44"/>
        <v>On time</v>
      </c>
      <c r="O574" t="str">
        <f t="shared" si="45"/>
        <v/>
      </c>
    </row>
    <row r="575" spans="1:15">
      <c r="A575">
        <v>1599</v>
      </c>
      <c r="B575" t="s">
        <v>348</v>
      </c>
      <c r="C575" s="1">
        <v>46200</v>
      </c>
      <c r="D575" s="1">
        <v>46200</v>
      </c>
      <c r="E575" s="1">
        <v>46205</v>
      </c>
      <c r="F575" s="1">
        <v>46205</v>
      </c>
      <c r="G575" s="1">
        <v>46205</v>
      </c>
      <c r="H575">
        <f t="shared" si="41"/>
        <v>0</v>
      </c>
      <c r="I575" t="str">
        <f t="shared" si="42"/>
        <v>MetroLogistics</v>
      </c>
      <c r="J575" t="str">
        <f>VLOOKUP(A575,Orders!$A$2:$D$1201,4,FALSE)</f>
        <v>Delivered</v>
      </c>
      <c r="K575" t="str">
        <f t="shared" si="43"/>
        <v>On time</v>
      </c>
      <c r="L575" t="str">
        <f t="shared" si="44"/>
        <v>On time</v>
      </c>
      <c r="O575">
        <f t="shared" si="45"/>
        <v>0</v>
      </c>
    </row>
    <row r="576" spans="1:15">
      <c r="A576">
        <v>1600</v>
      </c>
      <c r="B576" t="s">
        <v>346</v>
      </c>
      <c r="C576" s="1">
        <v>46178</v>
      </c>
      <c r="D576" s="1">
        <v>46178</v>
      </c>
      <c r="E576" s="1">
        <v>46183</v>
      </c>
      <c r="F576" s="1">
        <v>46184</v>
      </c>
      <c r="G576" s="1">
        <v>46184</v>
      </c>
      <c r="H576">
        <f t="shared" si="41"/>
        <v>0</v>
      </c>
      <c r="I576" t="str">
        <f t="shared" si="42"/>
        <v>SwiftShip</v>
      </c>
      <c r="J576" t="str">
        <f>VLOOKUP(A576,Orders!$A$2:$D$1201,4,FALSE)</f>
        <v>Delivered</v>
      </c>
      <c r="K576" t="str">
        <f t="shared" si="43"/>
        <v>Late</v>
      </c>
      <c r="L576" t="str">
        <f t="shared" si="44"/>
        <v>On time</v>
      </c>
      <c r="O576">
        <f t="shared" si="45"/>
        <v>0</v>
      </c>
    </row>
    <row r="577" spans="1:15">
      <c r="A577">
        <v>1601</v>
      </c>
      <c r="B577" t="s">
        <v>346</v>
      </c>
      <c r="C577" s="1">
        <v>46168</v>
      </c>
      <c r="E577" s="1">
        <v>46173</v>
      </c>
      <c r="H577">
        <f t="shared" si="41"/>
        <v>0</v>
      </c>
      <c r="I577" t="str">
        <f t="shared" si="42"/>
        <v>SwiftShip</v>
      </c>
      <c r="J577" t="str">
        <f>VLOOKUP(A577,Orders!$A$2:$D$1201,4,FALSE)</f>
        <v>Pending</v>
      </c>
      <c r="K577" t="str">
        <f t="shared" si="43"/>
        <v>Not delivered</v>
      </c>
      <c r="L577" t="str">
        <f t="shared" si="44"/>
        <v>Not dispatched</v>
      </c>
      <c r="O577" t="str">
        <f t="shared" si="45"/>
        <v/>
      </c>
    </row>
    <row r="578" spans="1:15">
      <c r="A578">
        <v>1602</v>
      </c>
      <c r="B578" t="s">
        <v>346</v>
      </c>
      <c r="C578" s="1">
        <v>46096</v>
      </c>
      <c r="D578" s="1">
        <v>46096</v>
      </c>
      <c r="E578" s="1">
        <v>46101</v>
      </c>
      <c r="F578" s="1">
        <v>46103</v>
      </c>
      <c r="G578" s="1">
        <v>46105</v>
      </c>
      <c r="H578">
        <f t="shared" si="41"/>
        <v>0</v>
      </c>
      <c r="I578" t="str">
        <f t="shared" si="42"/>
        <v>SwiftShip</v>
      </c>
      <c r="J578" t="str">
        <f>VLOOKUP(A578,Orders!$A$2:$D$1201,4,FALSE)</f>
        <v>Delivered</v>
      </c>
      <c r="K578" t="str">
        <f t="shared" si="43"/>
        <v>Late</v>
      </c>
      <c r="L578" t="str">
        <f t="shared" si="44"/>
        <v>On time</v>
      </c>
      <c r="O578">
        <f t="shared" si="45"/>
        <v>2</v>
      </c>
    </row>
    <row r="579" spans="1:15">
      <c r="A579">
        <v>1603</v>
      </c>
      <c r="B579" t="s">
        <v>348</v>
      </c>
      <c r="C579" s="1">
        <v>46118</v>
      </c>
      <c r="D579" s="1">
        <v>46118</v>
      </c>
      <c r="E579" s="1">
        <v>46123</v>
      </c>
      <c r="F579" s="1">
        <v>46123</v>
      </c>
      <c r="G579" s="1">
        <v>46123</v>
      </c>
      <c r="H579">
        <f t="shared" ref="H579:H642" si="46">LEN(B579)-LEN(TRIM(B579))</f>
        <v>0</v>
      </c>
      <c r="I579" t="str">
        <f t="shared" ref="I579:I642" si="47">TRIM(B579)</f>
        <v>MetroLogistics</v>
      </c>
      <c r="J579" t="str">
        <f>VLOOKUP(A579,Orders!$A$2:$D$1201,4,FALSE)</f>
        <v>Delivered</v>
      </c>
      <c r="K579" t="str">
        <f t="shared" ref="K579:K642" si="48">IF(J579&lt;&gt;"Delivered","Not delivered",IF(OR(E579="",F579=""),"Unknown",IF(F579&lt;=E579,"On time","Late")))</f>
        <v>On time</v>
      </c>
      <c r="L579" t="str">
        <f t="shared" ref="L579:L642" si="49">IF(D579="","Not dispatched",IF(C579="","Unknown",IF(D579&lt;=C579,"On time","Late")))</f>
        <v>On time</v>
      </c>
      <c r="O579">
        <f t="shared" ref="O579:O642" si="50">IF(OR(F579="",G579=""),"",G579-F579)</f>
        <v>0</v>
      </c>
    </row>
    <row r="580" spans="1:15">
      <c r="A580">
        <v>1604</v>
      </c>
      <c r="B580" t="s">
        <v>346</v>
      </c>
      <c r="C580" s="1">
        <v>46173</v>
      </c>
      <c r="D580" s="1">
        <v>46173</v>
      </c>
      <c r="E580" s="1">
        <v>46178</v>
      </c>
      <c r="H580">
        <f t="shared" si="46"/>
        <v>0</v>
      </c>
      <c r="I580" t="str">
        <f t="shared" si="47"/>
        <v>SwiftShip</v>
      </c>
      <c r="J580" t="str">
        <f>VLOOKUP(A580,Orders!$A$2:$D$1201,4,FALSE)</f>
        <v>Shipped</v>
      </c>
      <c r="K580" t="str">
        <f t="shared" si="48"/>
        <v>Not delivered</v>
      </c>
      <c r="L580" t="str">
        <f t="shared" si="49"/>
        <v>On time</v>
      </c>
      <c r="O580" t="str">
        <f t="shared" si="50"/>
        <v/>
      </c>
    </row>
    <row r="581" spans="1:15">
      <c r="A581">
        <v>1605</v>
      </c>
      <c r="B581" t="s">
        <v>346</v>
      </c>
      <c r="C581" s="1">
        <v>46109</v>
      </c>
      <c r="D581" s="1">
        <v>46109</v>
      </c>
      <c r="E581" s="1">
        <v>46114</v>
      </c>
      <c r="F581" s="1">
        <v>46118</v>
      </c>
      <c r="G581" s="1">
        <v>46118</v>
      </c>
      <c r="H581">
        <f t="shared" si="46"/>
        <v>0</v>
      </c>
      <c r="I581" t="str">
        <f t="shared" si="47"/>
        <v>SwiftShip</v>
      </c>
      <c r="J581" t="str">
        <f>VLOOKUP(A581,Orders!$A$2:$D$1201,4,FALSE)</f>
        <v>Delivered</v>
      </c>
      <c r="K581" t="str">
        <f t="shared" si="48"/>
        <v>Late</v>
      </c>
      <c r="L581" t="str">
        <f t="shared" si="49"/>
        <v>On time</v>
      </c>
      <c r="O581">
        <f t="shared" si="50"/>
        <v>0</v>
      </c>
    </row>
    <row r="582" spans="1:15">
      <c r="A582">
        <v>1606</v>
      </c>
      <c r="B582" t="s">
        <v>347</v>
      </c>
      <c r="C582" s="1">
        <v>46175</v>
      </c>
      <c r="D582" s="1">
        <v>46175</v>
      </c>
      <c r="E582" s="1">
        <v>46180</v>
      </c>
      <c r="F582" s="1">
        <v>46179</v>
      </c>
      <c r="G582" s="1">
        <v>46179</v>
      </c>
      <c r="H582">
        <f t="shared" si="46"/>
        <v>0</v>
      </c>
      <c r="I582" t="str">
        <f t="shared" si="47"/>
        <v>ParcelOne</v>
      </c>
      <c r="J582" t="str">
        <f>VLOOKUP(A582,Orders!$A$2:$D$1201,4,FALSE)</f>
        <v>Delivered</v>
      </c>
      <c r="K582" t="str">
        <f t="shared" si="48"/>
        <v>On time</v>
      </c>
      <c r="L582" t="str">
        <f t="shared" si="49"/>
        <v>On time</v>
      </c>
      <c r="O582">
        <f t="shared" si="50"/>
        <v>0</v>
      </c>
    </row>
    <row r="583" spans="1:15">
      <c r="A583">
        <v>1607</v>
      </c>
      <c r="B583" t="s">
        <v>348</v>
      </c>
      <c r="C583" s="1">
        <v>46117</v>
      </c>
      <c r="D583" s="1">
        <v>46117</v>
      </c>
      <c r="E583" s="1">
        <v>46122</v>
      </c>
      <c r="F583" s="1">
        <v>46123</v>
      </c>
      <c r="G583" s="1">
        <v>46123</v>
      </c>
      <c r="H583">
        <f t="shared" si="46"/>
        <v>0</v>
      </c>
      <c r="I583" t="str">
        <f t="shared" si="47"/>
        <v>MetroLogistics</v>
      </c>
      <c r="J583" t="str">
        <f>VLOOKUP(A583,Orders!$A$2:$D$1201,4,FALSE)</f>
        <v>Delivered</v>
      </c>
      <c r="K583" t="str">
        <f t="shared" si="48"/>
        <v>Late</v>
      </c>
      <c r="L583" t="str">
        <f t="shared" si="49"/>
        <v>On time</v>
      </c>
      <c r="O583">
        <f t="shared" si="50"/>
        <v>0</v>
      </c>
    </row>
    <row r="584" spans="1:15">
      <c r="A584">
        <v>1608</v>
      </c>
      <c r="B584" t="s">
        <v>346</v>
      </c>
      <c r="C584" s="1">
        <v>46123</v>
      </c>
      <c r="D584" s="1">
        <v>46125</v>
      </c>
      <c r="E584" s="1">
        <v>46128</v>
      </c>
      <c r="F584" s="1">
        <v>46128</v>
      </c>
      <c r="G584" s="1">
        <v>46130</v>
      </c>
      <c r="H584">
        <f t="shared" si="46"/>
        <v>0</v>
      </c>
      <c r="I584" t="str">
        <f t="shared" si="47"/>
        <v>SwiftShip</v>
      </c>
      <c r="J584" t="str">
        <f>VLOOKUP(A584,Orders!$A$2:$D$1201,4,FALSE)</f>
        <v>Delivered</v>
      </c>
      <c r="K584" t="str">
        <f t="shared" si="48"/>
        <v>On time</v>
      </c>
      <c r="L584" t="str">
        <f t="shared" si="49"/>
        <v>Late</v>
      </c>
      <c r="O584">
        <f t="shared" si="50"/>
        <v>2</v>
      </c>
    </row>
    <row r="585" spans="1:15">
      <c r="A585">
        <v>1609</v>
      </c>
      <c r="B585" t="s">
        <v>347</v>
      </c>
      <c r="C585" s="1">
        <v>46102</v>
      </c>
      <c r="D585" s="1">
        <v>46103</v>
      </c>
      <c r="E585" s="1">
        <v>46107</v>
      </c>
      <c r="F585" s="1">
        <v>46108</v>
      </c>
      <c r="G585" s="1">
        <v>46108</v>
      </c>
      <c r="H585">
        <f t="shared" si="46"/>
        <v>0</v>
      </c>
      <c r="I585" t="str">
        <f t="shared" si="47"/>
        <v>ParcelOne</v>
      </c>
      <c r="J585" t="str">
        <f>VLOOKUP(A585,Orders!$A$2:$D$1201,4,FALSE)</f>
        <v>Delivered</v>
      </c>
      <c r="K585" t="str">
        <f t="shared" si="48"/>
        <v>Late</v>
      </c>
      <c r="L585" t="str">
        <f t="shared" si="49"/>
        <v>Late</v>
      </c>
      <c r="O585">
        <f t="shared" si="50"/>
        <v>0</v>
      </c>
    </row>
    <row r="586" spans="1:15">
      <c r="A586">
        <v>1611</v>
      </c>
      <c r="B586" t="s">
        <v>346</v>
      </c>
      <c r="C586" s="1">
        <v>46050</v>
      </c>
      <c r="D586" s="1">
        <v>46050</v>
      </c>
      <c r="E586" s="1">
        <v>46055</v>
      </c>
      <c r="F586" s="1">
        <v>46055</v>
      </c>
      <c r="G586" s="1">
        <v>46055</v>
      </c>
      <c r="H586">
        <f t="shared" si="46"/>
        <v>0</v>
      </c>
      <c r="I586" t="str">
        <f t="shared" si="47"/>
        <v>SwiftShip</v>
      </c>
      <c r="J586" t="str">
        <f>VLOOKUP(A586,Orders!$A$2:$D$1201,4,FALSE)</f>
        <v>Delivered</v>
      </c>
      <c r="K586" t="str">
        <f t="shared" si="48"/>
        <v>On time</v>
      </c>
      <c r="L586" t="str">
        <f t="shared" si="49"/>
        <v>On time</v>
      </c>
      <c r="O586">
        <f t="shared" si="50"/>
        <v>0</v>
      </c>
    </row>
    <row r="587" spans="1:15">
      <c r="A587">
        <v>1612</v>
      </c>
      <c r="B587" t="s">
        <v>348</v>
      </c>
      <c r="C587" s="1">
        <v>46189</v>
      </c>
      <c r="D587" s="1">
        <v>46189</v>
      </c>
      <c r="E587" s="1">
        <v>46194</v>
      </c>
      <c r="F587" s="1">
        <v>46192</v>
      </c>
      <c r="G587" s="1">
        <v>46192</v>
      </c>
      <c r="H587">
        <f t="shared" si="46"/>
        <v>0</v>
      </c>
      <c r="I587" t="str">
        <f t="shared" si="47"/>
        <v>MetroLogistics</v>
      </c>
      <c r="J587" t="str">
        <f>VLOOKUP(A587,Orders!$A$2:$D$1201,4,FALSE)</f>
        <v>Delivered</v>
      </c>
      <c r="K587" t="str">
        <f t="shared" si="48"/>
        <v>On time</v>
      </c>
      <c r="L587" t="str">
        <f t="shared" si="49"/>
        <v>On time</v>
      </c>
      <c r="O587">
        <f t="shared" si="50"/>
        <v>0</v>
      </c>
    </row>
    <row r="588" spans="1:15">
      <c r="A588">
        <v>1613</v>
      </c>
      <c r="B588" t="s">
        <v>346</v>
      </c>
      <c r="C588" s="1">
        <v>46191</v>
      </c>
      <c r="D588" s="1">
        <v>46191</v>
      </c>
      <c r="E588" s="1">
        <v>46196</v>
      </c>
      <c r="F588" s="1">
        <v>46196</v>
      </c>
      <c r="G588" s="1">
        <v>46196</v>
      </c>
      <c r="H588">
        <f t="shared" si="46"/>
        <v>0</v>
      </c>
      <c r="I588" t="str">
        <f t="shared" si="47"/>
        <v>SwiftShip</v>
      </c>
      <c r="J588" t="str">
        <f>VLOOKUP(A588,Orders!$A$2:$D$1201,4,FALSE)</f>
        <v>Delivered</v>
      </c>
      <c r="K588" t="str">
        <f t="shared" si="48"/>
        <v>On time</v>
      </c>
      <c r="L588" t="str">
        <f t="shared" si="49"/>
        <v>On time</v>
      </c>
      <c r="O588">
        <f t="shared" si="50"/>
        <v>0</v>
      </c>
    </row>
    <row r="589" spans="1:15">
      <c r="A589">
        <v>1614</v>
      </c>
      <c r="B589" t="s">
        <v>347</v>
      </c>
      <c r="C589" s="1">
        <v>46075</v>
      </c>
      <c r="D589" s="1">
        <v>46077</v>
      </c>
      <c r="E589" s="1">
        <v>46080</v>
      </c>
      <c r="F589" s="1">
        <v>46082</v>
      </c>
      <c r="G589" s="1">
        <v>46082</v>
      </c>
      <c r="H589">
        <f t="shared" si="46"/>
        <v>0</v>
      </c>
      <c r="I589" t="str">
        <f t="shared" si="47"/>
        <v>ParcelOne</v>
      </c>
      <c r="J589" t="str">
        <f>VLOOKUP(A589,Orders!$A$2:$D$1201,4,FALSE)</f>
        <v>Delivered</v>
      </c>
      <c r="K589" t="str">
        <f t="shared" si="48"/>
        <v>Late</v>
      </c>
      <c r="L589" t="str">
        <f t="shared" si="49"/>
        <v>Late</v>
      </c>
      <c r="O589">
        <f t="shared" si="50"/>
        <v>0</v>
      </c>
    </row>
    <row r="590" spans="1:15">
      <c r="A590">
        <v>1615</v>
      </c>
      <c r="B590" t="s">
        <v>348</v>
      </c>
      <c r="C590" s="1">
        <v>46167</v>
      </c>
      <c r="D590" s="1">
        <v>46167</v>
      </c>
      <c r="E590" s="1">
        <v>46172</v>
      </c>
      <c r="F590" s="1">
        <v>46174</v>
      </c>
      <c r="G590" s="1">
        <v>46174</v>
      </c>
      <c r="H590">
        <f t="shared" si="46"/>
        <v>0</v>
      </c>
      <c r="I590" t="str">
        <f t="shared" si="47"/>
        <v>MetroLogistics</v>
      </c>
      <c r="J590" t="str">
        <f>VLOOKUP(A590,Orders!$A$2:$D$1201,4,FALSE)</f>
        <v>Delivered</v>
      </c>
      <c r="K590" t="str">
        <f t="shared" si="48"/>
        <v>Late</v>
      </c>
      <c r="L590" t="str">
        <f t="shared" si="49"/>
        <v>On time</v>
      </c>
      <c r="O590">
        <f t="shared" si="50"/>
        <v>0</v>
      </c>
    </row>
    <row r="591" spans="1:15">
      <c r="A591">
        <v>1616</v>
      </c>
      <c r="B591" t="s">
        <v>346</v>
      </c>
      <c r="C591" s="1">
        <v>46134</v>
      </c>
      <c r="D591" s="1">
        <v>46136</v>
      </c>
      <c r="E591" s="1">
        <v>46139</v>
      </c>
      <c r="F591" s="1">
        <v>46138</v>
      </c>
      <c r="G591" s="1">
        <v>46138</v>
      </c>
      <c r="H591">
        <f t="shared" si="46"/>
        <v>0</v>
      </c>
      <c r="I591" t="str">
        <f t="shared" si="47"/>
        <v>SwiftShip</v>
      </c>
      <c r="J591" t="str">
        <f>VLOOKUP(A591,Orders!$A$2:$D$1201,4,FALSE)</f>
        <v>Delivered</v>
      </c>
      <c r="K591" t="str">
        <f t="shared" si="48"/>
        <v>On time</v>
      </c>
      <c r="L591" t="str">
        <f t="shared" si="49"/>
        <v>Late</v>
      </c>
      <c r="O591">
        <f t="shared" si="50"/>
        <v>0</v>
      </c>
    </row>
    <row r="592" spans="1:15">
      <c r="A592">
        <v>1617</v>
      </c>
      <c r="B592" t="s">
        <v>346</v>
      </c>
      <c r="C592" s="1">
        <v>46141</v>
      </c>
      <c r="D592" s="1">
        <v>46141</v>
      </c>
      <c r="E592" s="1">
        <v>46146</v>
      </c>
      <c r="F592" s="1">
        <v>46148</v>
      </c>
      <c r="G592" s="1">
        <v>46148</v>
      </c>
      <c r="H592">
        <f t="shared" si="46"/>
        <v>0</v>
      </c>
      <c r="I592" t="str">
        <f t="shared" si="47"/>
        <v>SwiftShip</v>
      </c>
      <c r="J592" t="str">
        <f>VLOOKUP(A592,Orders!$A$2:$D$1201,4,FALSE)</f>
        <v>Delivered</v>
      </c>
      <c r="K592" t="str">
        <f t="shared" si="48"/>
        <v>Late</v>
      </c>
      <c r="L592" t="str">
        <f t="shared" si="49"/>
        <v>On time</v>
      </c>
      <c r="O592">
        <f t="shared" si="50"/>
        <v>0</v>
      </c>
    </row>
    <row r="593" spans="1:15">
      <c r="A593">
        <v>1618</v>
      </c>
      <c r="B593" t="s">
        <v>346</v>
      </c>
      <c r="C593" s="1">
        <v>46151</v>
      </c>
      <c r="D593" s="1">
        <v>46153</v>
      </c>
      <c r="E593" s="1">
        <v>46156</v>
      </c>
      <c r="F593" s="1">
        <v>46156</v>
      </c>
      <c r="G593" s="1">
        <v>46156</v>
      </c>
      <c r="H593">
        <f t="shared" si="46"/>
        <v>0</v>
      </c>
      <c r="I593" t="str">
        <f t="shared" si="47"/>
        <v>SwiftShip</v>
      </c>
      <c r="J593" t="str">
        <f>VLOOKUP(A593,Orders!$A$2:$D$1201,4,FALSE)</f>
        <v>Delivered</v>
      </c>
      <c r="K593" t="str">
        <f t="shared" si="48"/>
        <v>On time</v>
      </c>
      <c r="L593" t="str">
        <f t="shared" si="49"/>
        <v>Late</v>
      </c>
      <c r="O593">
        <f t="shared" si="50"/>
        <v>0</v>
      </c>
    </row>
    <row r="594" spans="1:15">
      <c r="A594">
        <v>1619</v>
      </c>
      <c r="B594" t="s">
        <v>348</v>
      </c>
      <c r="C594" s="1">
        <v>46071</v>
      </c>
      <c r="D594" s="1">
        <v>46071</v>
      </c>
      <c r="E594" s="1">
        <v>46076</v>
      </c>
      <c r="F594" s="1">
        <v>46076</v>
      </c>
      <c r="G594" s="1">
        <v>46076</v>
      </c>
      <c r="H594">
        <f t="shared" si="46"/>
        <v>0</v>
      </c>
      <c r="I594" t="str">
        <f t="shared" si="47"/>
        <v>MetroLogistics</v>
      </c>
      <c r="J594" t="str">
        <f>VLOOKUP(A594,Orders!$A$2:$D$1201,4,FALSE)</f>
        <v>Delivered</v>
      </c>
      <c r="K594" t="str">
        <f t="shared" si="48"/>
        <v>On time</v>
      </c>
      <c r="L594" t="str">
        <f t="shared" si="49"/>
        <v>On time</v>
      </c>
      <c r="O594">
        <f t="shared" si="50"/>
        <v>0</v>
      </c>
    </row>
    <row r="595" spans="1:15">
      <c r="A595">
        <v>1620</v>
      </c>
      <c r="B595" t="s">
        <v>347</v>
      </c>
      <c r="C595" s="1">
        <v>46200</v>
      </c>
      <c r="D595" s="1">
        <v>46201</v>
      </c>
      <c r="E595" s="1">
        <v>46205</v>
      </c>
      <c r="F595" s="1">
        <v>46209</v>
      </c>
      <c r="G595" s="1">
        <v>46209</v>
      </c>
      <c r="H595">
        <f t="shared" si="46"/>
        <v>0</v>
      </c>
      <c r="I595" t="str">
        <f t="shared" si="47"/>
        <v>ParcelOne</v>
      </c>
      <c r="J595" t="str">
        <f>VLOOKUP(A595,Orders!$A$2:$D$1201,4,FALSE)</f>
        <v>Delivered</v>
      </c>
      <c r="K595" t="str">
        <f t="shared" si="48"/>
        <v>Late</v>
      </c>
      <c r="L595" t="str">
        <f t="shared" si="49"/>
        <v>Late</v>
      </c>
      <c r="O595">
        <f t="shared" si="50"/>
        <v>0</v>
      </c>
    </row>
    <row r="596" spans="1:15">
      <c r="A596">
        <v>1621</v>
      </c>
      <c r="B596" t="s">
        <v>346</v>
      </c>
      <c r="C596" s="1">
        <v>46123</v>
      </c>
      <c r="D596" s="1">
        <v>46123</v>
      </c>
      <c r="E596" s="1">
        <v>46128</v>
      </c>
      <c r="F596" s="1">
        <v>46132</v>
      </c>
      <c r="G596" s="1">
        <v>46132</v>
      </c>
      <c r="H596">
        <f t="shared" si="46"/>
        <v>0</v>
      </c>
      <c r="I596" t="str">
        <f t="shared" si="47"/>
        <v>SwiftShip</v>
      </c>
      <c r="J596" t="str">
        <f>VLOOKUP(A596,Orders!$A$2:$D$1201,4,FALSE)</f>
        <v>Delivered</v>
      </c>
      <c r="K596" t="str">
        <f t="shared" si="48"/>
        <v>Late</v>
      </c>
      <c r="L596" t="str">
        <f t="shared" si="49"/>
        <v>On time</v>
      </c>
      <c r="O596">
        <f t="shared" si="50"/>
        <v>0</v>
      </c>
    </row>
    <row r="597" spans="1:15">
      <c r="A597">
        <v>1622</v>
      </c>
      <c r="B597" t="s">
        <v>346</v>
      </c>
      <c r="C597" s="1">
        <v>46180</v>
      </c>
      <c r="D597" s="1">
        <v>46180</v>
      </c>
      <c r="E597" s="1">
        <v>46185</v>
      </c>
      <c r="H597">
        <f t="shared" si="46"/>
        <v>0</v>
      </c>
      <c r="I597" t="str">
        <f t="shared" si="47"/>
        <v>SwiftShip</v>
      </c>
      <c r="J597" t="str">
        <f>VLOOKUP(A597,Orders!$A$2:$D$1201,4,FALSE)</f>
        <v>Shipped</v>
      </c>
      <c r="K597" t="str">
        <f t="shared" si="48"/>
        <v>Not delivered</v>
      </c>
      <c r="L597" t="str">
        <f t="shared" si="49"/>
        <v>On time</v>
      </c>
      <c r="O597" t="str">
        <f t="shared" si="50"/>
        <v/>
      </c>
    </row>
    <row r="598" spans="1:15">
      <c r="A598">
        <v>1623</v>
      </c>
      <c r="B598" t="s">
        <v>346</v>
      </c>
      <c r="C598" s="1">
        <v>46196</v>
      </c>
      <c r="D598" s="1">
        <v>46196</v>
      </c>
      <c r="E598" s="1">
        <v>46201</v>
      </c>
      <c r="F598" s="1">
        <v>46201</v>
      </c>
      <c r="G598" s="1">
        <v>46203</v>
      </c>
      <c r="H598">
        <f t="shared" si="46"/>
        <v>0</v>
      </c>
      <c r="I598" t="str">
        <f t="shared" si="47"/>
        <v>SwiftShip</v>
      </c>
      <c r="J598" t="str">
        <f>VLOOKUP(A598,Orders!$A$2:$D$1201,4,FALSE)</f>
        <v>Delivered</v>
      </c>
      <c r="K598" t="str">
        <f t="shared" si="48"/>
        <v>On time</v>
      </c>
      <c r="L598" t="str">
        <f t="shared" si="49"/>
        <v>On time</v>
      </c>
      <c r="O598">
        <f t="shared" si="50"/>
        <v>2</v>
      </c>
    </row>
    <row r="599" spans="1:15">
      <c r="A599">
        <v>1624</v>
      </c>
      <c r="B599" t="s">
        <v>346</v>
      </c>
      <c r="C599" s="1">
        <v>46058</v>
      </c>
      <c r="D599" s="1">
        <v>46058</v>
      </c>
      <c r="E599" s="1">
        <v>46063</v>
      </c>
      <c r="F599" s="1">
        <v>46062</v>
      </c>
      <c r="G599" s="1">
        <v>46063</v>
      </c>
      <c r="H599">
        <f t="shared" si="46"/>
        <v>0</v>
      </c>
      <c r="I599" t="str">
        <f t="shared" si="47"/>
        <v>SwiftShip</v>
      </c>
      <c r="J599" t="str">
        <f>VLOOKUP(A599,Orders!$A$2:$D$1201,4,FALSE)</f>
        <v>Delivered</v>
      </c>
      <c r="K599" t="str">
        <f t="shared" si="48"/>
        <v>On time</v>
      </c>
      <c r="L599" t="str">
        <f t="shared" si="49"/>
        <v>On time</v>
      </c>
      <c r="O599">
        <f t="shared" si="50"/>
        <v>1</v>
      </c>
    </row>
    <row r="600" spans="1:15">
      <c r="A600">
        <v>1625</v>
      </c>
      <c r="B600" t="s">
        <v>346</v>
      </c>
      <c r="C600" s="1">
        <v>46117</v>
      </c>
      <c r="D600" s="1">
        <v>46118</v>
      </c>
      <c r="E600" s="1">
        <v>46122</v>
      </c>
      <c r="H600">
        <f t="shared" si="46"/>
        <v>0</v>
      </c>
      <c r="I600" t="str">
        <f t="shared" si="47"/>
        <v>SwiftShip</v>
      </c>
      <c r="J600" t="str">
        <f>VLOOKUP(A600,Orders!$A$2:$D$1201,4,FALSE)</f>
        <v>Shipped</v>
      </c>
      <c r="K600" t="str">
        <f t="shared" si="48"/>
        <v>Not delivered</v>
      </c>
      <c r="L600" t="str">
        <f t="shared" si="49"/>
        <v>Late</v>
      </c>
      <c r="O600" t="str">
        <f t="shared" si="50"/>
        <v/>
      </c>
    </row>
    <row r="601" spans="1:15">
      <c r="A601">
        <v>1626</v>
      </c>
      <c r="B601" t="s">
        <v>347</v>
      </c>
      <c r="C601" s="1">
        <v>46150</v>
      </c>
      <c r="D601" s="1">
        <v>46150</v>
      </c>
      <c r="E601" s="1">
        <v>46155</v>
      </c>
      <c r="F601" s="1">
        <v>46154</v>
      </c>
      <c r="G601" s="1">
        <v>46154</v>
      </c>
      <c r="H601">
        <f t="shared" si="46"/>
        <v>0</v>
      </c>
      <c r="I601" t="str">
        <f t="shared" si="47"/>
        <v>ParcelOne</v>
      </c>
      <c r="J601" t="str">
        <f>VLOOKUP(A601,Orders!$A$2:$D$1201,4,FALSE)</f>
        <v>Delivered</v>
      </c>
      <c r="K601" t="str">
        <f t="shared" si="48"/>
        <v>On time</v>
      </c>
      <c r="L601" t="str">
        <f t="shared" si="49"/>
        <v>On time</v>
      </c>
      <c r="O601">
        <f t="shared" si="50"/>
        <v>0</v>
      </c>
    </row>
    <row r="602" spans="1:15">
      <c r="A602">
        <v>1627</v>
      </c>
      <c r="B602" t="s">
        <v>347</v>
      </c>
      <c r="C602" s="1">
        <v>46205</v>
      </c>
      <c r="D602" s="1">
        <v>46205</v>
      </c>
      <c r="E602" s="1">
        <v>46210</v>
      </c>
      <c r="F602" s="1">
        <v>46209</v>
      </c>
      <c r="G602" s="1">
        <v>46209</v>
      </c>
      <c r="H602">
        <f t="shared" si="46"/>
        <v>0</v>
      </c>
      <c r="I602" t="str">
        <f t="shared" si="47"/>
        <v>ParcelOne</v>
      </c>
      <c r="J602" t="str">
        <f>VLOOKUP(A602,Orders!$A$2:$D$1201,4,FALSE)</f>
        <v>Delivered</v>
      </c>
      <c r="K602" t="str">
        <f t="shared" si="48"/>
        <v>On time</v>
      </c>
      <c r="L602" t="str">
        <f t="shared" si="49"/>
        <v>On time</v>
      </c>
      <c r="O602">
        <f t="shared" si="50"/>
        <v>0</v>
      </c>
    </row>
    <row r="603" spans="1:15">
      <c r="A603">
        <v>1628</v>
      </c>
      <c r="B603" t="s">
        <v>348</v>
      </c>
      <c r="C603" s="1">
        <v>46056</v>
      </c>
      <c r="D603" s="1">
        <v>46056</v>
      </c>
      <c r="E603" s="1">
        <v>46061</v>
      </c>
      <c r="F603" s="1">
        <v>46065</v>
      </c>
      <c r="G603" s="1">
        <v>46065</v>
      </c>
      <c r="H603">
        <f t="shared" si="46"/>
        <v>0</v>
      </c>
      <c r="I603" t="str">
        <f t="shared" si="47"/>
        <v>MetroLogistics</v>
      </c>
      <c r="J603" t="str">
        <f>VLOOKUP(A603,Orders!$A$2:$D$1201,4,FALSE)</f>
        <v>Delivered</v>
      </c>
      <c r="K603" t="str">
        <f t="shared" si="48"/>
        <v>Late</v>
      </c>
      <c r="L603" t="str">
        <f t="shared" si="49"/>
        <v>On time</v>
      </c>
      <c r="O603">
        <f t="shared" si="50"/>
        <v>0</v>
      </c>
    </row>
    <row r="604" spans="1:15">
      <c r="A604">
        <v>1629</v>
      </c>
      <c r="B604" t="s">
        <v>348</v>
      </c>
      <c r="C604" s="1">
        <v>46071</v>
      </c>
      <c r="D604" s="1">
        <v>46072</v>
      </c>
      <c r="E604" s="1">
        <v>46076</v>
      </c>
      <c r="F604" s="1">
        <v>46074</v>
      </c>
      <c r="G604" s="1">
        <v>46074</v>
      </c>
      <c r="H604">
        <f t="shared" si="46"/>
        <v>0</v>
      </c>
      <c r="I604" t="str">
        <f t="shared" si="47"/>
        <v>MetroLogistics</v>
      </c>
      <c r="J604" t="str">
        <f>VLOOKUP(A604,Orders!$A$2:$D$1201,4,FALSE)</f>
        <v>Delivered</v>
      </c>
      <c r="K604" t="str">
        <f t="shared" si="48"/>
        <v>On time</v>
      </c>
      <c r="L604" t="str">
        <f t="shared" si="49"/>
        <v>Late</v>
      </c>
      <c r="O604">
        <f t="shared" si="50"/>
        <v>0</v>
      </c>
    </row>
    <row r="605" spans="1:15">
      <c r="A605">
        <v>1630</v>
      </c>
      <c r="B605" t="s">
        <v>346</v>
      </c>
      <c r="C605" s="1">
        <v>46056</v>
      </c>
      <c r="D605" s="1">
        <v>46057</v>
      </c>
      <c r="E605" s="1">
        <v>46061</v>
      </c>
      <c r="F605" s="1">
        <v>46061</v>
      </c>
      <c r="G605" s="1">
        <v>46061</v>
      </c>
      <c r="H605">
        <f t="shared" si="46"/>
        <v>0</v>
      </c>
      <c r="I605" t="str">
        <f t="shared" si="47"/>
        <v>SwiftShip</v>
      </c>
      <c r="J605" t="str">
        <f>VLOOKUP(A605,Orders!$A$2:$D$1201,4,FALSE)</f>
        <v>Delivered</v>
      </c>
      <c r="K605" t="str">
        <f t="shared" si="48"/>
        <v>On time</v>
      </c>
      <c r="L605" t="str">
        <f t="shared" si="49"/>
        <v>Late</v>
      </c>
      <c r="O605">
        <f t="shared" si="50"/>
        <v>0</v>
      </c>
    </row>
    <row r="606" spans="1:15">
      <c r="A606">
        <v>1631</v>
      </c>
      <c r="B606" t="s">
        <v>348</v>
      </c>
      <c r="C606" s="1">
        <v>46177</v>
      </c>
      <c r="D606" s="1">
        <v>46177</v>
      </c>
      <c r="E606" s="1">
        <v>46182</v>
      </c>
      <c r="F606" s="1">
        <v>46183</v>
      </c>
      <c r="G606" s="1">
        <v>46183</v>
      </c>
      <c r="H606">
        <f t="shared" si="46"/>
        <v>0</v>
      </c>
      <c r="I606" t="str">
        <f t="shared" si="47"/>
        <v>MetroLogistics</v>
      </c>
      <c r="J606" t="str">
        <f>VLOOKUP(A606,Orders!$A$2:$D$1201,4,FALSE)</f>
        <v>Delivered</v>
      </c>
      <c r="K606" t="str">
        <f t="shared" si="48"/>
        <v>Late</v>
      </c>
      <c r="L606" t="str">
        <f t="shared" si="49"/>
        <v>On time</v>
      </c>
      <c r="O606">
        <f t="shared" si="50"/>
        <v>0</v>
      </c>
    </row>
    <row r="607" spans="1:15">
      <c r="A607">
        <v>1632</v>
      </c>
      <c r="B607" t="s">
        <v>346</v>
      </c>
      <c r="C607" s="1">
        <v>46058</v>
      </c>
      <c r="D607" s="1">
        <v>46058</v>
      </c>
      <c r="E607" s="1">
        <v>46063</v>
      </c>
      <c r="F607" s="1">
        <v>46062</v>
      </c>
      <c r="G607" s="1">
        <v>46064</v>
      </c>
      <c r="H607">
        <f t="shared" si="46"/>
        <v>0</v>
      </c>
      <c r="I607" t="str">
        <f t="shared" si="47"/>
        <v>SwiftShip</v>
      </c>
      <c r="J607" t="str">
        <f>VLOOKUP(A607,Orders!$A$2:$D$1201,4,FALSE)</f>
        <v>Delivered</v>
      </c>
      <c r="K607" t="str">
        <f t="shared" si="48"/>
        <v>On time</v>
      </c>
      <c r="L607" t="str">
        <f t="shared" si="49"/>
        <v>On time</v>
      </c>
      <c r="O607">
        <f t="shared" si="50"/>
        <v>2</v>
      </c>
    </row>
    <row r="608" spans="1:15">
      <c r="A608">
        <v>1633</v>
      </c>
      <c r="B608" t="s">
        <v>347</v>
      </c>
      <c r="C608" s="1">
        <v>46047</v>
      </c>
      <c r="D608" s="1">
        <v>46047</v>
      </c>
      <c r="E608" s="1">
        <v>46052</v>
      </c>
      <c r="F608" s="1">
        <v>46053</v>
      </c>
      <c r="G608" s="1">
        <v>46053</v>
      </c>
      <c r="H608">
        <f t="shared" si="46"/>
        <v>0</v>
      </c>
      <c r="I608" t="str">
        <f t="shared" si="47"/>
        <v>ParcelOne</v>
      </c>
      <c r="J608" t="str">
        <f>VLOOKUP(A608,Orders!$A$2:$D$1201,4,FALSE)</f>
        <v>Delivered</v>
      </c>
      <c r="K608" t="str">
        <f t="shared" si="48"/>
        <v>Late</v>
      </c>
      <c r="L608" t="str">
        <f t="shared" si="49"/>
        <v>On time</v>
      </c>
      <c r="O608">
        <f t="shared" si="50"/>
        <v>0</v>
      </c>
    </row>
    <row r="609" spans="1:15">
      <c r="A609">
        <v>1634</v>
      </c>
      <c r="B609" t="s">
        <v>346</v>
      </c>
      <c r="C609" s="1">
        <v>46101</v>
      </c>
      <c r="D609" s="1">
        <v>46102</v>
      </c>
      <c r="E609" s="1">
        <v>46106</v>
      </c>
      <c r="F609" s="1">
        <v>46106</v>
      </c>
      <c r="G609" s="1">
        <v>46106</v>
      </c>
      <c r="H609">
        <f t="shared" si="46"/>
        <v>0</v>
      </c>
      <c r="I609" t="str">
        <f t="shared" si="47"/>
        <v>SwiftShip</v>
      </c>
      <c r="J609" t="str">
        <f>VLOOKUP(A609,Orders!$A$2:$D$1201,4,FALSE)</f>
        <v>Delivered</v>
      </c>
      <c r="K609" t="str">
        <f t="shared" si="48"/>
        <v>On time</v>
      </c>
      <c r="L609" t="str">
        <f t="shared" si="49"/>
        <v>Late</v>
      </c>
      <c r="O609">
        <f t="shared" si="50"/>
        <v>0</v>
      </c>
    </row>
    <row r="610" spans="1:15">
      <c r="A610">
        <v>1635</v>
      </c>
      <c r="B610" t="s">
        <v>347</v>
      </c>
      <c r="C610" s="1">
        <v>46146</v>
      </c>
      <c r="D610" s="1">
        <v>46146</v>
      </c>
      <c r="E610" s="1">
        <v>46151</v>
      </c>
      <c r="F610" s="1">
        <v>46151</v>
      </c>
      <c r="G610" s="1">
        <v>46151</v>
      </c>
      <c r="H610">
        <f t="shared" si="46"/>
        <v>0</v>
      </c>
      <c r="I610" t="str">
        <f t="shared" si="47"/>
        <v>ParcelOne</v>
      </c>
      <c r="J610" t="str">
        <f>VLOOKUP(A610,Orders!$A$2:$D$1201,4,FALSE)</f>
        <v>Delivered</v>
      </c>
      <c r="K610" t="str">
        <f t="shared" si="48"/>
        <v>On time</v>
      </c>
      <c r="L610" t="str">
        <f t="shared" si="49"/>
        <v>On time</v>
      </c>
      <c r="O610">
        <f t="shared" si="50"/>
        <v>0</v>
      </c>
    </row>
    <row r="611" spans="1:15">
      <c r="A611">
        <v>1636</v>
      </c>
      <c r="B611" t="s">
        <v>346</v>
      </c>
      <c r="C611" s="1">
        <v>46156</v>
      </c>
      <c r="D611" s="1">
        <v>46156</v>
      </c>
      <c r="E611" s="1">
        <v>46161</v>
      </c>
      <c r="F611" s="1">
        <v>46159</v>
      </c>
      <c r="G611" s="1">
        <v>46160</v>
      </c>
      <c r="H611">
        <f t="shared" si="46"/>
        <v>0</v>
      </c>
      <c r="I611" t="str">
        <f t="shared" si="47"/>
        <v>SwiftShip</v>
      </c>
      <c r="J611" t="str">
        <f>VLOOKUP(A611,Orders!$A$2:$D$1201,4,FALSE)</f>
        <v>Delivered</v>
      </c>
      <c r="K611" t="str">
        <f t="shared" si="48"/>
        <v>On time</v>
      </c>
      <c r="L611" t="str">
        <f t="shared" si="49"/>
        <v>On time</v>
      </c>
      <c r="O611">
        <f t="shared" si="50"/>
        <v>1</v>
      </c>
    </row>
    <row r="612" spans="1:15">
      <c r="A612">
        <v>1637</v>
      </c>
      <c r="B612" t="s">
        <v>346</v>
      </c>
      <c r="C612" s="1">
        <v>46063</v>
      </c>
      <c r="E612" s="1">
        <v>46068</v>
      </c>
      <c r="H612">
        <f t="shared" si="46"/>
        <v>0</v>
      </c>
      <c r="I612" t="str">
        <f t="shared" si="47"/>
        <v>SwiftShip</v>
      </c>
      <c r="J612" t="str">
        <f>VLOOKUP(A612,Orders!$A$2:$D$1201,4,FALSE)</f>
        <v>Pending</v>
      </c>
      <c r="K612" t="str">
        <f t="shared" si="48"/>
        <v>Not delivered</v>
      </c>
      <c r="L612" t="str">
        <f t="shared" si="49"/>
        <v>Not dispatched</v>
      </c>
      <c r="O612" t="str">
        <f t="shared" si="50"/>
        <v/>
      </c>
    </row>
    <row r="613" spans="1:15">
      <c r="A613">
        <v>1638</v>
      </c>
      <c r="B613" t="s">
        <v>348</v>
      </c>
      <c r="C613" s="1">
        <v>46170</v>
      </c>
      <c r="D613" s="1">
        <v>46170</v>
      </c>
      <c r="E613" s="1">
        <v>46175</v>
      </c>
      <c r="F613" s="1">
        <v>46175</v>
      </c>
      <c r="G613" s="1">
        <v>46175</v>
      </c>
      <c r="H613">
        <f t="shared" si="46"/>
        <v>0</v>
      </c>
      <c r="I613" t="str">
        <f t="shared" si="47"/>
        <v>MetroLogistics</v>
      </c>
      <c r="J613" t="str">
        <f>VLOOKUP(A613,Orders!$A$2:$D$1201,4,FALSE)</f>
        <v>Delivered</v>
      </c>
      <c r="K613" t="str">
        <f t="shared" si="48"/>
        <v>On time</v>
      </c>
      <c r="L613" t="str">
        <f t="shared" si="49"/>
        <v>On time</v>
      </c>
      <c r="O613">
        <f t="shared" si="50"/>
        <v>0</v>
      </c>
    </row>
    <row r="614" spans="1:15">
      <c r="A614">
        <v>1639</v>
      </c>
      <c r="B614" t="s">
        <v>346</v>
      </c>
      <c r="C614" s="1">
        <v>46170</v>
      </c>
      <c r="D614" s="1">
        <v>46170</v>
      </c>
      <c r="E614" s="1">
        <v>46175</v>
      </c>
      <c r="F614" s="1">
        <v>46175</v>
      </c>
      <c r="G614" s="1">
        <v>46175</v>
      </c>
      <c r="H614">
        <f t="shared" si="46"/>
        <v>0</v>
      </c>
      <c r="I614" t="str">
        <f t="shared" si="47"/>
        <v>SwiftShip</v>
      </c>
      <c r="J614" t="str">
        <f>VLOOKUP(A614,Orders!$A$2:$D$1201,4,FALSE)</f>
        <v>Delivered</v>
      </c>
      <c r="K614" t="str">
        <f t="shared" si="48"/>
        <v>On time</v>
      </c>
      <c r="L614" t="str">
        <f t="shared" si="49"/>
        <v>On time</v>
      </c>
      <c r="O614">
        <f t="shared" si="50"/>
        <v>0</v>
      </c>
    </row>
    <row r="615" spans="1:15">
      <c r="A615">
        <v>1640</v>
      </c>
      <c r="B615" t="s">
        <v>347</v>
      </c>
      <c r="C615" s="1">
        <v>46036</v>
      </c>
      <c r="D615" s="1">
        <v>46036</v>
      </c>
      <c r="E615" s="1">
        <v>46041</v>
      </c>
      <c r="F615" s="1">
        <v>46045</v>
      </c>
      <c r="G615" s="1">
        <v>46046</v>
      </c>
      <c r="H615">
        <f t="shared" si="46"/>
        <v>0</v>
      </c>
      <c r="I615" t="str">
        <f t="shared" si="47"/>
        <v>ParcelOne</v>
      </c>
      <c r="J615" t="str">
        <f>VLOOKUP(A615,Orders!$A$2:$D$1201,4,FALSE)</f>
        <v>Delivered</v>
      </c>
      <c r="K615" t="str">
        <f t="shared" si="48"/>
        <v>Late</v>
      </c>
      <c r="L615" t="str">
        <f t="shared" si="49"/>
        <v>On time</v>
      </c>
      <c r="O615">
        <f t="shared" si="50"/>
        <v>1</v>
      </c>
    </row>
    <row r="616" spans="1:15">
      <c r="A616">
        <v>1641</v>
      </c>
      <c r="B616" t="s">
        <v>348</v>
      </c>
      <c r="C616" s="1">
        <v>46072</v>
      </c>
      <c r="D616" s="1">
        <v>46072</v>
      </c>
      <c r="E616" s="1">
        <v>46077</v>
      </c>
      <c r="F616" s="1">
        <v>46076</v>
      </c>
      <c r="G616" s="1">
        <v>46076</v>
      </c>
      <c r="H616">
        <f t="shared" si="46"/>
        <v>0</v>
      </c>
      <c r="I616" t="str">
        <f t="shared" si="47"/>
        <v>MetroLogistics</v>
      </c>
      <c r="J616" t="str">
        <f>VLOOKUP(A616,Orders!$A$2:$D$1201,4,FALSE)</f>
        <v>Delivered</v>
      </c>
      <c r="K616" t="str">
        <f t="shared" si="48"/>
        <v>On time</v>
      </c>
      <c r="L616" t="str">
        <f t="shared" si="49"/>
        <v>On time</v>
      </c>
      <c r="O616">
        <f t="shared" si="50"/>
        <v>0</v>
      </c>
    </row>
    <row r="617" spans="1:15">
      <c r="A617">
        <v>1643</v>
      </c>
      <c r="B617" t="s">
        <v>347</v>
      </c>
      <c r="C617" s="1">
        <v>46102</v>
      </c>
      <c r="D617" s="1">
        <v>46103</v>
      </c>
      <c r="E617" s="1">
        <v>46107</v>
      </c>
      <c r="F617" s="1">
        <v>46108</v>
      </c>
      <c r="G617" s="1">
        <v>46108</v>
      </c>
      <c r="H617">
        <f t="shared" si="46"/>
        <v>0</v>
      </c>
      <c r="I617" t="str">
        <f t="shared" si="47"/>
        <v>ParcelOne</v>
      </c>
      <c r="J617" t="str">
        <f>VLOOKUP(A617,Orders!$A$2:$D$1201,4,FALSE)</f>
        <v>Delivered</v>
      </c>
      <c r="K617" t="str">
        <f t="shared" si="48"/>
        <v>Late</v>
      </c>
      <c r="L617" t="str">
        <f t="shared" si="49"/>
        <v>Late</v>
      </c>
      <c r="O617">
        <f t="shared" si="50"/>
        <v>0</v>
      </c>
    </row>
    <row r="618" spans="1:15">
      <c r="A618">
        <v>1644</v>
      </c>
      <c r="B618" t="s">
        <v>347</v>
      </c>
      <c r="C618" s="1">
        <v>46078</v>
      </c>
      <c r="D618" s="1">
        <v>46078</v>
      </c>
      <c r="E618" s="1">
        <v>46083</v>
      </c>
      <c r="F618" s="1">
        <v>46082</v>
      </c>
      <c r="G618" s="1">
        <v>46082</v>
      </c>
      <c r="H618">
        <f t="shared" si="46"/>
        <v>0</v>
      </c>
      <c r="I618" t="str">
        <f t="shared" si="47"/>
        <v>ParcelOne</v>
      </c>
      <c r="J618" t="str">
        <f>VLOOKUP(A618,Orders!$A$2:$D$1201,4,FALSE)</f>
        <v>Delivered</v>
      </c>
      <c r="K618" t="str">
        <f t="shared" si="48"/>
        <v>On time</v>
      </c>
      <c r="L618" t="str">
        <f t="shared" si="49"/>
        <v>On time</v>
      </c>
      <c r="O618">
        <f t="shared" si="50"/>
        <v>0</v>
      </c>
    </row>
    <row r="619" spans="1:15">
      <c r="A619">
        <v>1646</v>
      </c>
      <c r="B619" t="s">
        <v>346</v>
      </c>
      <c r="C619" s="1">
        <v>46076</v>
      </c>
      <c r="D619" s="1">
        <v>46076</v>
      </c>
      <c r="E619" s="1">
        <v>46081</v>
      </c>
      <c r="F619" s="1">
        <v>46083</v>
      </c>
      <c r="G619" s="1">
        <v>46083</v>
      </c>
      <c r="H619">
        <f t="shared" si="46"/>
        <v>0</v>
      </c>
      <c r="I619" t="str">
        <f t="shared" si="47"/>
        <v>SwiftShip</v>
      </c>
      <c r="J619" t="str">
        <f>VLOOKUP(A619,Orders!$A$2:$D$1201,4,FALSE)</f>
        <v>Delivered</v>
      </c>
      <c r="K619" t="str">
        <f t="shared" si="48"/>
        <v>Late</v>
      </c>
      <c r="L619" t="str">
        <f t="shared" si="49"/>
        <v>On time</v>
      </c>
      <c r="O619">
        <f t="shared" si="50"/>
        <v>0</v>
      </c>
    </row>
    <row r="620" spans="1:15">
      <c r="A620">
        <v>1647</v>
      </c>
      <c r="B620" t="s">
        <v>346</v>
      </c>
      <c r="C620" s="1">
        <v>46151</v>
      </c>
      <c r="D620" s="1">
        <v>46151</v>
      </c>
      <c r="E620" s="1">
        <v>46156</v>
      </c>
      <c r="F620" s="1">
        <v>46157</v>
      </c>
      <c r="G620" s="1">
        <v>46159</v>
      </c>
      <c r="H620">
        <f t="shared" si="46"/>
        <v>0</v>
      </c>
      <c r="I620" t="str">
        <f t="shared" si="47"/>
        <v>SwiftShip</v>
      </c>
      <c r="J620" t="str">
        <f>VLOOKUP(A620,Orders!$A$2:$D$1201,4,FALSE)</f>
        <v>Delivered</v>
      </c>
      <c r="K620" t="str">
        <f t="shared" si="48"/>
        <v>Late</v>
      </c>
      <c r="L620" t="str">
        <f t="shared" si="49"/>
        <v>On time</v>
      </c>
      <c r="O620">
        <f t="shared" si="50"/>
        <v>2</v>
      </c>
    </row>
    <row r="621" spans="1:15">
      <c r="A621">
        <v>1648</v>
      </c>
      <c r="B621" t="s">
        <v>346</v>
      </c>
      <c r="C621" s="1">
        <v>46084</v>
      </c>
      <c r="D621" s="1">
        <v>46084</v>
      </c>
      <c r="E621" s="1">
        <v>46089</v>
      </c>
      <c r="F621" s="1">
        <v>46089</v>
      </c>
      <c r="G621" s="1">
        <v>46089</v>
      </c>
      <c r="H621">
        <f t="shared" si="46"/>
        <v>0</v>
      </c>
      <c r="I621" t="str">
        <f t="shared" si="47"/>
        <v>SwiftShip</v>
      </c>
      <c r="J621" t="str">
        <f>VLOOKUP(A621,Orders!$A$2:$D$1201,4,FALSE)</f>
        <v>Delivered</v>
      </c>
      <c r="K621" t="str">
        <f t="shared" si="48"/>
        <v>On time</v>
      </c>
      <c r="L621" t="str">
        <f t="shared" si="49"/>
        <v>On time</v>
      </c>
      <c r="O621">
        <f t="shared" si="50"/>
        <v>0</v>
      </c>
    </row>
    <row r="622" spans="1:15">
      <c r="A622">
        <v>1649</v>
      </c>
      <c r="B622" t="s">
        <v>347</v>
      </c>
      <c r="C622" s="1">
        <v>46054</v>
      </c>
      <c r="D622" s="1">
        <v>46054</v>
      </c>
      <c r="E622" s="1">
        <v>46059</v>
      </c>
      <c r="F622" s="1">
        <v>46058</v>
      </c>
      <c r="G622" s="1">
        <v>46058</v>
      </c>
      <c r="H622">
        <f t="shared" si="46"/>
        <v>0</v>
      </c>
      <c r="I622" t="str">
        <f t="shared" si="47"/>
        <v>ParcelOne</v>
      </c>
      <c r="J622" t="str">
        <f>VLOOKUP(A622,Orders!$A$2:$D$1201,4,FALSE)</f>
        <v>Delivered</v>
      </c>
      <c r="K622" t="str">
        <f t="shared" si="48"/>
        <v>On time</v>
      </c>
      <c r="L622" t="str">
        <f t="shared" si="49"/>
        <v>On time</v>
      </c>
      <c r="O622">
        <f t="shared" si="50"/>
        <v>0</v>
      </c>
    </row>
    <row r="623" spans="1:15">
      <c r="A623">
        <v>1650</v>
      </c>
      <c r="B623" t="s">
        <v>348</v>
      </c>
      <c r="C623" s="1">
        <v>46154</v>
      </c>
      <c r="D623" s="1">
        <v>46156</v>
      </c>
      <c r="E623" s="1">
        <v>46159</v>
      </c>
      <c r="F623" s="1">
        <v>46160</v>
      </c>
      <c r="G623" s="1">
        <v>46160</v>
      </c>
      <c r="H623">
        <f t="shared" si="46"/>
        <v>0</v>
      </c>
      <c r="I623" t="str">
        <f t="shared" si="47"/>
        <v>MetroLogistics</v>
      </c>
      <c r="J623" t="str">
        <f>VLOOKUP(A623,Orders!$A$2:$D$1201,4,FALSE)</f>
        <v>Delivered</v>
      </c>
      <c r="K623" t="str">
        <f t="shared" si="48"/>
        <v>Late</v>
      </c>
      <c r="L623" t="str">
        <f t="shared" si="49"/>
        <v>Late</v>
      </c>
      <c r="O623">
        <f t="shared" si="50"/>
        <v>0</v>
      </c>
    </row>
    <row r="624" spans="1:15">
      <c r="A624">
        <v>1651</v>
      </c>
      <c r="B624" t="s">
        <v>346</v>
      </c>
      <c r="C624" s="1">
        <v>46117</v>
      </c>
      <c r="D624" s="1">
        <v>46117</v>
      </c>
      <c r="E624" s="1">
        <v>46122</v>
      </c>
      <c r="F624" s="1">
        <v>46122</v>
      </c>
      <c r="G624" s="1">
        <v>46122</v>
      </c>
      <c r="H624">
        <f t="shared" si="46"/>
        <v>0</v>
      </c>
      <c r="I624" t="str">
        <f t="shared" si="47"/>
        <v>SwiftShip</v>
      </c>
      <c r="J624" t="str">
        <f>VLOOKUP(A624,Orders!$A$2:$D$1201,4,FALSE)</f>
        <v>Delivered</v>
      </c>
      <c r="K624" t="str">
        <f t="shared" si="48"/>
        <v>On time</v>
      </c>
      <c r="L624" t="str">
        <f t="shared" si="49"/>
        <v>On time</v>
      </c>
      <c r="O624">
        <f t="shared" si="50"/>
        <v>0</v>
      </c>
    </row>
    <row r="625" spans="1:15">
      <c r="A625">
        <v>1652</v>
      </c>
      <c r="B625" t="s">
        <v>347</v>
      </c>
      <c r="C625" s="1">
        <v>46151</v>
      </c>
      <c r="D625" s="1">
        <v>46151</v>
      </c>
      <c r="E625" s="1">
        <v>46156</v>
      </c>
      <c r="F625" s="1">
        <v>46158</v>
      </c>
      <c r="G625" s="1">
        <v>46158</v>
      </c>
      <c r="H625">
        <f t="shared" si="46"/>
        <v>0</v>
      </c>
      <c r="I625" t="str">
        <f t="shared" si="47"/>
        <v>ParcelOne</v>
      </c>
      <c r="J625" t="str">
        <f>VLOOKUP(A625,Orders!$A$2:$D$1201,4,FALSE)</f>
        <v>Delivered</v>
      </c>
      <c r="K625" t="str">
        <f t="shared" si="48"/>
        <v>Late</v>
      </c>
      <c r="L625" t="str">
        <f t="shared" si="49"/>
        <v>On time</v>
      </c>
      <c r="O625">
        <f t="shared" si="50"/>
        <v>0</v>
      </c>
    </row>
    <row r="626" spans="1:15">
      <c r="A626">
        <v>1653</v>
      </c>
      <c r="B626" t="s">
        <v>347</v>
      </c>
      <c r="C626" s="1">
        <v>46111</v>
      </c>
      <c r="D626" s="1">
        <v>46111</v>
      </c>
      <c r="E626" s="1">
        <v>46116</v>
      </c>
      <c r="F626" s="1">
        <v>46120</v>
      </c>
      <c r="G626" s="1">
        <v>46120</v>
      </c>
      <c r="H626">
        <f t="shared" si="46"/>
        <v>0</v>
      </c>
      <c r="I626" t="str">
        <f t="shared" si="47"/>
        <v>ParcelOne</v>
      </c>
      <c r="J626" t="str">
        <f>VLOOKUP(A626,Orders!$A$2:$D$1201,4,FALSE)</f>
        <v>Delivered</v>
      </c>
      <c r="K626" t="str">
        <f t="shared" si="48"/>
        <v>Late</v>
      </c>
      <c r="L626" t="str">
        <f t="shared" si="49"/>
        <v>On time</v>
      </c>
      <c r="O626">
        <f t="shared" si="50"/>
        <v>0</v>
      </c>
    </row>
    <row r="627" spans="1:15">
      <c r="A627">
        <v>1654</v>
      </c>
      <c r="B627" t="s">
        <v>348</v>
      </c>
      <c r="C627" s="1">
        <v>46167</v>
      </c>
      <c r="D627" s="1">
        <v>46169</v>
      </c>
      <c r="E627" s="1">
        <v>46172</v>
      </c>
      <c r="F627" s="1">
        <v>46173</v>
      </c>
      <c r="G627" s="1">
        <v>46175</v>
      </c>
      <c r="H627">
        <f t="shared" si="46"/>
        <v>0</v>
      </c>
      <c r="I627" t="str">
        <f t="shared" si="47"/>
        <v>MetroLogistics</v>
      </c>
      <c r="J627" t="str">
        <f>VLOOKUP(A627,Orders!$A$2:$D$1201,4,FALSE)</f>
        <v>Delivered</v>
      </c>
      <c r="K627" t="str">
        <f t="shared" si="48"/>
        <v>Late</v>
      </c>
      <c r="L627" t="str">
        <f t="shared" si="49"/>
        <v>Late</v>
      </c>
      <c r="O627">
        <f t="shared" si="50"/>
        <v>2</v>
      </c>
    </row>
    <row r="628" spans="1:15">
      <c r="A628">
        <v>1655</v>
      </c>
      <c r="B628" t="s">
        <v>346</v>
      </c>
      <c r="C628" s="1">
        <v>46181</v>
      </c>
      <c r="D628" s="1">
        <v>46183</v>
      </c>
      <c r="E628" s="1">
        <v>46186</v>
      </c>
      <c r="F628" s="1">
        <v>46185</v>
      </c>
      <c r="G628" s="1">
        <v>46185</v>
      </c>
      <c r="H628">
        <f t="shared" si="46"/>
        <v>0</v>
      </c>
      <c r="I628" t="str">
        <f t="shared" si="47"/>
        <v>SwiftShip</v>
      </c>
      <c r="J628" t="str">
        <f>VLOOKUP(A628,Orders!$A$2:$D$1201,4,FALSE)</f>
        <v>Delivered</v>
      </c>
      <c r="K628" t="str">
        <f t="shared" si="48"/>
        <v>On time</v>
      </c>
      <c r="L628" t="str">
        <f t="shared" si="49"/>
        <v>Late</v>
      </c>
      <c r="O628">
        <f t="shared" si="50"/>
        <v>0</v>
      </c>
    </row>
    <row r="629" spans="1:15">
      <c r="A629">
        <v>1656</v>
      </c>
      <c r="B629" t="s">
        <v>346</v>
      </c>
      <c r="C629" s="1">
        <v>46154</v>
      </c>
      <c r="D629" s="1">
        <v>46154</v>
      </c>
      <c r="E629" s="1">
        <v>46159</v>
      </c>
      <c r="F629" s="1">
        <v>46158</v>
      </c>
      <c r="G629" s="1">
        <v>46159</v>
      </c>
      <c r="H629">
        <f t="shared" si="46"/>
        <v>0</v>
      </c>
      <c r="I629" t="str">
        <f t="shared" si="47"/>
        <v>SwiftShip</v>
      </c>
      <c r="J629" t="str">
        <f>VLOOKUP(A629,Orders!$A$2:$D$1201,4,FALSE)</f>
        <v>Delivered</v>
      </c>
      <c r="K629" t="str">
        <f t="shared" si="48"/>
        <v>On time</v>
      </c>
      <c r="L629" t="str">
        <f t="shared" si="49"/>
        <v>On time</v>
      </c>
      <c r="O629">
        <f t="shared" si="50"/>
        <v>1</v>
      </c>
    </row>
    <row r="630" spans="1:15">
      <c r="A630">
        <v>1657</v>
      </c>
      <c r="B630" t="s">
        <v>348</v>
      </c>
      <c r="C630" s="1">
        <v>46131</v>
      </c>
      <c r="D630" s="1">
        <v>46131</v>
      </c>
      <c r="E630" s="1">
        <v>46136</v>
      </c>
      <c r="F630" s="1">
        <v>46135</v>
      </c>
      <c r="G630" s="1">
        <v>46135</v>
      </c>
      <c r="H630">
        <f t="shared" si="46"/>
        <v>0</v>
      </c>
      <c r="I630" t="str">
        <f t="shared" si="47"/>
        <v>MetroLogistics</v>
      </c>
      <c r="J630" t="str">
        <f>VLOOKUP(A630,Orders!$A$2:$D$1201,4,FALSE)</f>
        <v>Delivered</v>
      </c>
      <c r="K630" t="str">
        <f t="shared" si="48"/>
        <v>On time</v>
      </c>
      <c r="L630" t="str">
        <f t="shared" si="49"/>
        <v>On time</v>
      </c>
      <c r="O630">
        <f t="shared" si="50"/>
        <v>0</v>
      </c>
    </row>
    <row r="631" spans="1:15">
      <c r="A631">
        <v>1658</v>
      </c>
      <c r="B631" t="s">
        <v>346</v>
      </c>
      <c r="C631" s="1">
        <v>46131</v>
      </c>
      <c r="D631" s="1">
        <v>46131</v>
      </c>
      <c r="E631" s="1">
        <v>46136</v>
      </c>
      <c r="F631" s="1">
        <v>46135</v>
      </c>
      <c r="G631" s="1">
        <v>46135</v>
      </c>
      <c r="H631">
        <f t="shared" si="46"/>
        <v>0</v>
      </c>
      <c r="I631" t="str">
        <f t="shared" si="47"/>
        <v>SwiftShip</v>
      </c>
      <c r="J631" t="str">
        <f>VLOOKUP(A631,Orders!$A$2:$D$1201,4,FALSE)</f>
        <v>Delivered</v>
      </c>
      <c r="K631" t="str">
        <f t="shared" si="48"/>
        <v>On time</v>
      </c>
      <c r="L631" t="str">
        <f t="shared" si="49"/>
        <v>On time</v>
      </c>
      <c r="O631">
        <f t="shared" si="50"/>
        <v>0</v>
      </c>
    </row>
    <row r="632" spans="1:15">
      <c r="A632">
        <v>1659</v>
      </c>
      <c r="B632" t="s">
        <v>346</v>
      </c>
      <c r="C632" s="1">
        <v>46142</v>
      </c>
      <c r="D632" s="1">
        <v>46142</v>
      </c>
      <c r="E632" s="1">
        <v>46147</v>
      </c>
      <c r="H632">
        <f t="shared" si="46"/>
        <v>0</v>
      </c>
      <c r="I632" t="str">
        <f t="shared" si="47"/>
        <v>SwiftShip</v>
      </c>
      <c r="J632" t="str">
        <f>VLOOKUP(A632,Orders!$A$2:$D$1201,4,FALSE)</f>
        <v>Shipped</v>
      </c>
      <c r="K632" t="str">
        <f t="shared" si="48"/>
        <v>Not delivered</v>
      </c>
      <c r="L632" t="str">
        <f t="shared" si="49"/>
        <v>On time</v>
      </c>
      <c r="O632" t="str">
        <f t="shared" si="50"/>
        <v/>
      </c>
    </row>
    <row r="633" spans="1:15">
      <c r="A633">
        <v>1660</v>
      </c>
      <c r="B633" t="s">
        <v>348</v>
      </c>
      <c r="C633" s="1">
        <v>46127</v>
      </c>
      <c r="E633" s="1">
        <v>46132</v>
      </c>
      <c r="H633">
        <f t="shared" si="46"/>
        <v>0</v>
      </c>
      <c r="I633" t="str">
        <f t="shared" si="47"/>
        <v>MetroLogistics</v>
      </c>
      <c r="J633" t="str">
        <f>VLOOKUP(A633,Orders!$A$2:$D$1201,4,FALSE)</f>
        <v>Pending</v>
      </c>
      <c r="K633" t="str">
        <f t="shared" si="48"/>
        <v>Not delivered</v>
      </c>
      <c r="L633" t="str">
        <f t="shared" si="49"/>
        <v>Not dispatched</v>
      </c>
      <c r="O633" t="str">
        <f t="shared" si="50"/>
        <v/>
      </c>
    </row>
    <row r="634" spans="1:15">
      <c r="A634">
        <v>1661</v>
      </c>
      <c r="B634" t="s">
        <v>346</v>
      </c>
      <c r="C634" s="1">
        <v>46039</v>
      </c>
      <c r="E634" s="1">
        <v>46044</v>
      </c>
      <c r="H634">
        <f t="shared" si="46"/>
        <v>0</v>
      </c>
      <c r="I634" t="str">
        <f t="shared" si="47"/>
        <v>SwiftShip</v>
      </c>
      <c r="J634" t="str">
        <f>VLOOKUP(A634,Orders!$A$2:$D$1201,4,FALSE)</f>
        <v>Pending</v>
      </c>
      <c r="K634" t="str">
        <f t="shared" si="48"/>
        <v>Not delivered</v>
      </c>
      <c r="L634" t="str">
        <f t="shared" si="49"/>
        <v>Not dispatched</v>
      </c>
      <c r="O634" t="str">
        <f t="shared" si="50"/>
        <v/>
      </c>
    </row>
    <row r="635" spans="1:15">
      <c r="A635">
        <v>1662</v>
      </c>
      <c r="B635" t="s">
        <v>347</v>
      </c>
      <c r="C635" s="1">
        <v>46027</v>
      </c>
      <c r="D635" s="1">
        <v>46028</v>
      </c>
      <c r="E635" s="1">
        <v>46032</v>
      </c>
      <c r="F635" s="1">
        <v>46033</v>
      </c>
      <c r="G635" s="1">
        <v>46033</v>
      </c>
      <c r="H635">
        <f t="shared" si="46"/>
        <v>0</v>
      </c>
      <c r="I635" t="str">
        <f t="shared" si="47"/>
        <v>ParcelOne</v>
      </c>
      <c r="J635" t="str">
        <f>VLOOKUP(A635,Orders!$A$2:$D$1201,4,FALSE)</f>
        <v>Delivered</v>
      </c>
      <c r="K635" t="str">
        <f t="shared" si="48"/>
        <v>Late</v>
      </c>
      <c r="L635" t="str">
        <f t="shared" si="49"/>
        <v>Late</v>
      </c>
      <c r="O635">
        <f t="shared" si="50"/>
        <v>0</v>
      </c>
    </row>
    <row r="636" spans="1:15">
      <c r="A636">
        <v>1663</v>
      </c>
      <c r="B636" t="s">
        <v>348</v>
      </c>
      <c r="C636" s="1">
        <v>46102</v>
      </c>
      <c r="D636" s="1">
        <v>46102</v>
      </c>
      <c r="E636" s="1">
        <v>46107</v>
      </c>
      <c r="F636" s="1">
        <v>46107</v>
      </c>
      <c r="G636" s="1">
        <v>46107</v>
      </c>
      <c r="H636">
        <f t="shared" si="46"/>
        <v>0</v>
      </c>
      <c r="I636" t="str">
        <f t="shared" si="47"/>
        <v>MetroLogistics</v>
      </c>
      <c r="J636" t="str">
        <f>VLOOKUP(A636,Orders!$A$2:$D$1201,4,FALSE)</f>
        <v>Delivered</v>
      </c>
      <c r="K636" t="str">
        <f t="shared" si="48"/>
        <v>On time</v>
      </c>
      <c r="L636" t="str">
        <f t="shared" si="49"/>
        <v>On time</v>
      </c>
      <c r="O636">
        <f t="shared" si="50"/>
        <v>0</v>
      </c>
    </row>
    <row r="637" spans="1:15">
      <c r="A637">
        <v>1664</v>
      </c>
      <c r="B637" t="s">
        <v>347</v>
      </c>
      <c r="C637" s="1">
        <v>46065</v>
      </c>
      <c r="D637" s="1">
        <v>46066</v>
      </c>
      <c r="E637" s="1">
        <v>46070</v>
      </c>
      <c r="F637" s="1">
        <v>46070</v>
      </c>
      <c r="G637" s="1">
        <v>46070</v>
      </c>
      <c r="H637">
        <f t="shared" si="46"/>
        <v>0</v>
      </c>
      <c r="I637" t="str">
        <f t="shared" si="47"/>
        <v>ParcelOne</v>
      </c>
      <c r="J637" t="str">
        <f>VLOOKUP(A637,Orders!$A$2:$D$1201,4,FALSE)</f>
        <v>Delivered</v>
      </c>
      <c r="K637" t="str">
        <f t="shared" si="48"/>
        <v>On time</v>
      </c>
      <c r="L637" t="str">
        <f t="shared" si="49"/>
        <v>Late</v>
      </c>
      <c r="O637">
        <f t="shared" si="50"/>
        <v>0</v>
      </c>
    </row>
    <row r="638" spans="1:15">
      <c r="A638">
        <v>1665</v>
      </c>
      <c r="B638" t="s">
        <v>348</v>
      </c>
      <c r="C638" s="1">
        <v>46037</v>
      </c>
      <c r="D638" s="1">
        <v>46037</v>
      </c>
      <c r="E638" s="1">
        <v>46042</v>
      </c>
      <c r="F638" s="1">
        <v>46041</v>
      </c>
      <c r="G638" s="1">
        <v>46041</v>
      </c>
      <c r="H638">
        <f t="shared" si="46"/>
        <v>0</v>
      </c>
      <c r="I638" t="str">
        <f t="shared" si="47"/>
        <v>MetroLogistics</v>
      </c>
      <c r="J638" t="str">
        <f>VLOOKUP(A638,Orders!$A$2:$D$1201,4,FALSE)</f>
        <v>Delivered</v>
      </c>
      <c r="K638" t="str">
        <f t="shared" si="48"/>
        <v>On time</v>
      </c>
      <c r="L638" t="str">
        <f t="shared" si="49"/>
        <v>On time</v>
      </c>
      <c r="O638">
        <f t="shared" si="50"/>
        <v>0</v>
      </c>
    </row>
    <row r="639" spans="1:15">
      <c r="A639">
        <v>1666</v>
      </c>
      <c r="B639" t="s">
        <v>348</v>
      </c>
      <c r="C639" s="1">
        <v>46169</v>
      </c>
      <c r="D639" s="1">
        <v>46169</v>
      </c>
      <c r="E639" s="1">
        <v>46174</v>
      </c>
      <c r="F639" s="1">
        <v>46173</v>
      </c>
      <c r="G639" s="1">
        <v>46173</v>
      </c>
      <c r="H639">
        <f t="shared" si="46"/>
        <v>0</v>
      </c>
      <c r="I639" t="str">
        <f t="shared" si="47"/>
        <v>MetroLogistics</v>
      </c>
      <c r="J639" t="str">
        <f>VLOOKUP(A639,Orders!$A$2:$D$1201,4,FALSE)</f>
        <v>Delivered</v>
      </c>
      <c r="K639" t="str">
        <f t="shared" si="48"/>
        <v>On time</v>
      </c>
      <c r="L639" t="str">
        <f t="shared" si="49"/>
        <v>On time</v>
      </c>
      <c r="O639">
        <f t="shared" si="50"/>
        <v>0</v>
      </c>
    </row>
    <row r="640" spans="1:15">
      <c r="A640">
        <v>1667</v>
      </c>
      <c r="B640" t="s">
        <v>346</v>
      </c>
      <c r="C640" s="1">
        <v>46074</v>
      </c>
      <c r="D640" s="1">
        <v>46074</v>
      </c>
      <c r="E640" s="1">
        <v>46079</v>
      </c>
      <c r="F640" s="1">
        <v>46077</v>
      </c>
      <c r="G640" s="1">
        <v>46078</v>
      </c>
      <c r="H640">
        <f t="shared" si="46"/>
        <v>0</v>
      </c>
      <c r="I640" t="str">
        <f t="shared" si="47"/>
        <v>SwiftShip</v>
      </c>
      <c r="J640" t="str">
        <f>VLOOKUP(A640,Orders!$A$2:$D$1201,4,FALSE)</f>
        <v>Delivered</v>
      </c>
      <c r="K640" t="str">
        <f t="shared" si="48"/>
        <v>On time</v>
      </c>
      <c r="L640" t="str">
        <f t="shared" si="49"/>
        <v>On time</v>
      </c>
      <c r="O640">
        <f t="shared" si="50"/>
        <v>1</v>
      </c>
    </row>
    <row r="641" spans="1:15">
      <c r="A641">
        <v>1668</v>
      </c>
      <c r="B641" t="s">
        <v>346</v>
      </c>
      <c r="C641" s="1">
        <v>46079</v>
      </c>
      <c r="D641" s="1">
        <v>46079</v>
      </c>
      <c r="E641" s="1">
        <v>46084</v>
      </c>
      <c r="F641" s="1">
        <v>46088</v>
      </c>
      <c r="G641" s="1">
        <v>46088</v>
      </c>
      <c r="H641">
        <f t="shared" si="46"/>
        <v>0</v>
      </c>
      <c r="I641" t="str">
        <f t="shared" si="47"/>
        <v>SwiftShip</v>
      </c>
      <c r="J641" t="str">
        <f>VLOOKUP(A641,Orders!$A$2:$D$1201,4,FALSE)</f>
        <v>Delivered</v>
      </c>
      <c r="K641" t="str">
        <f t="shared" si="48"/>
        <v>Late</v>
      </c>
      <c r="L641" t="str">
        <f t="shared" si="49"/>
        <v>On time</v>
      </c>
      <c r="O641">
        <f t="shared" si="50"/>
        <v>0</v>
      </c>
    </row>
    <row r="642" spans="1:15">
      <c r="A642">
        <v>1669</v>
      </c>
      <c r="B642" t="s">
        <v>348</v>
      </c>
      <c r="C642" s="1">
        <v>46131</v>
      </c>
      <c r="D642" s="1">
        <v>46131</v>
      </c>
      <c r="E642" s="1">
        <v>46136</v>
      </c>
      <c r="F642" s="1">
        <v>46134</v>
      </c>
      <c r="G642" s="1">
        <v>46134</v>
      </c>
      <c r="H642">
        <f t="shared" si="46"/>
        <v>0</v>
      </c>
      <c r="I642" t="str">
        <f t="shared" si="47"/>
        <v>MetroLogistics</v>
      </c>
      <c r="J642" t="str">
        <f>VLOOKUP(A642,Orders!$A$2:$D$1201,4,FALSE)</f>
        <v>Delivered</v>
      </c>
      <c r="K642" t="str">
        <f t="shared" si="48"/>
        <v>On time</v>
      </c>
      <c r="L642" t="str">
        <f t="shared" si="49"/>
        <v>On time</v>
      </c>
      <c r="O642">
        <f t="shared" si="50"/>
        <v>0</v>
      </c>
    </row>
    <row r="643" spans="1:15">
      <c r="A643">
        <v>1670</v>
      </c>
      <c r="B643" t="s">
        <v>347</v>
      </c>
      <c r="C643" s="1">
        <v>46119</v>
      </c>
      <c r="D643" s="1">
        <v>46119</v>
      </c>
      <c r="E643" s="1">
        <v>46124</v>
      </c>
      <c r="H643">
        <f t="shared" ref="H643:H706" si="51">LEN(B643)-LEN(TRIM(B643))</f>
        <v>0</v>
      </c>
      <c r="I643" t="str">
        <f t="shared" ref="I643:I706" si="52">TRIM(B643)</f>
        <v>ParcelOne</v>
      </c>
      <c r="J643" t="str">
        <f>VLOOKUP(A643,Orders!$A$2:$D$1201,4,FALSE)</f>
        <v>Shipped</v>
      </c>
      <c r="K643" t="str">
        <f t="shared" ref="K643:K706" si="53">IF(J643&lt;&gt;"Delivered","Not delivered",IF(OR(E643="",F643=""),"Unknown",IF(F643&lt;=E643,"On time","Late")))</f>
        <v>Not delivered</v>
      </c>
      <c r="L643" t="str">
        <f t="shared" ref="L643:L706" si="54">IF(D643="","Not dispatched",IF(C643="","Unknown",IF(D643&lt;=C643,"On time","Late")))</f>
        <v>On time</v>
      </c>
      <c r="O643" t="str">
        <f t="shared" ref="O643:O706" si="55">IF(OR(F643="",G643=""),"",G643-F643)</f>
        <v/>
      </c>
    </row>
    <row r="644" spans="1:15">
      <c r="A644">
        <v>1671</v>
      </c>
      <c r="B644" t="s">
        <v>346</v>
      </c>
      <c r="C644" s="1">
        <v>46120</v>
      </c>
      <c r="D644" s="1">
        <v>46120</v>
      </c>
      <c r="E644" s="1">
        <v>46125</v>
      </c>
      <c r="F644" s="1">
        <v>46125</v>
      </c>
      <c r="G644" s="1">
        <v>46125</v>
      </c>
      <c r="H644">
        <f t="shared" si="51"/>
        <v>0</v>
      </c>
      <c r="I644" t="str">
        <f t="shared" si="52"/>
        <v>SwiftShip</v>
      </c>
      <c r="J644" t="str">
        <f>VLOOKUP(A644,Orders!$A$2:$D$1201,4,FALSE)</f>
        <v>Delivered</v>
      </c>
      <c r="K644" t="str">
        <f t="shared" si="53"/>
        <v>On time</v>
      </c>
      <c r="L644" t="str">
        <f t="shared" si="54"/>
        <v>On time</v>
      </c>
      <c r="O644">
        <f t="shared" si="55"/>
        <v>0</v>
      </c>
    </row>
    <row r="645" spans="1:15">
      <c r="A645">
        <v>1672</v>
      </c>
      <c r="B645" t="s">
        <v>346</v>
      </c>
      <c r="C645" s="1">
        <v>46097</v>
      </c>
      <c r="D645" s="1">
        <v>46097</v>
      </c>
      <c r="E645" s="1">
        <v>46102</v>
      </c>
      <c r="F645" s="1">
        <v>46100</v>
      </c>
      <c r="G645" s="1">
        <v>46100</v>
      </c>
      <c r="H645">
        <f t="shared" si="51"/>
        <v>0</v>
      </c>
      <c r="I645" t="str">
        <f t="shared" si="52"/>
        <v>SwiftShip</v>
      </c>
      <c r="J645" t="str">
        <f>VLOOKUP(A645,Orders!$A$2:$D$1201,4,FALSE)</f>
        <v>Delivered</v>
      </c>
      <c r="K645" t="str">
        <f t="shared" si="53"/>
        <v>On time</v>
      </c>
      <c r="L645" t="str">
        <f t="shared" si="54"/>
        <v>On time</v>
      </c>
      <c r="O645">
        <f t="shared" si="55"/>
        <v>0</v>
      </c>
    </row>
    <row r="646" spans="1:15">
      <c r="A646">
        <v>1673</v>
      </c>
      <c r="B646" t="s">
        <v>346</v>
      </c>
      <c r="C646" s="1">
        <v>46169</v>
      </c>
      <c r="D646" s="1">
        <v>46169</v>
      </c>
      <c r="E646" s="1">
        <v>46174</v>
      </c>
      <c r="F646" s="1">
        <v>46174</v>
      </c>
      <c r="G646" s="1">
        <v>46174</v>
      </c>
      <c r="H646">
        <f t="shared" si="51"/>
        <v>0</v>
      </c>
      <c r="I646" t="str">
        <f t="shared" si="52"/>
        <v>SwiftShip</v>
      </c>
      <c r="J646" t="str">
        <f>VLOOKUP(A646,Orders!$A$2:$D$1201,4,FALSE)</f>
        <v>Delivered</v>
      </c>
      <c r="K646" t="str">
        <f t="shared" si="53"/>
        <v>On time</v>
      </c>
      <c r="L646" t="str">
        <f t="shared" si="54"/>
        <v>On time</v>
      </c>
      <c r="O646">
        <f t="shared" si="55"/>
        <v>0</v>
      </c>
    </row>
    <row r="647" spans="1:15">
      <c r="A647">
        <v>1675</v>
      </c>
      <c r="B647" t="s">
        <v>348</v>
      </c>
      <c r="C647" s="1">
        <v>46124</v>
      </c>
      <c r="D647" s="1">
        <v>46124</v>
      </c>
      <c r="E647" s="1">
        <v>46129</v>
      </c>
      <c r="F647" s="1">
        <v>46131</v>
      </c>
      <c r="G647" s="1">
        <v>46131</v>
      </c>
      <c r="H647">
        <f t="shared" si="51"/>
        <v>0</v>
      </c>
      <c r="I647" t="str">
        <f t="shared" si="52"/>
        <v>MetroLogistics</v>
      </c>
      <c r="J647" t="str">
        <f>VLOOKUP(A647,Orders!$A$2:$D$1201,4,FALSE)</f>
        <v>Delivered</v>
      </c>
      <c r="K647" t="str">
        <f t="shared" si="53"/>
        <v>Late</v>
      </c>
      <c r="L647" t="str">
        <f t="shared" si="54"/>
        <v>On time</v>
      </c>
      <c r="O647">
        <f t="shared" si="55"/>
        <v>0</v>
      </c>
    </row>
    <row r="648" spans="1:15">
      <c r="A648">
        <v>1676</v>
      </c>
      <c r="B648" t="s">
        <v>348</v>
      </c>
      <c r="C648" s="1">
        <v>46186</v>
      </c>
      <c r="D648" s="1">
        <v>46188</v>
      </c>
      <c r="E648" s="1">
        <v>46191</v>
      </c>
      <c r="F648" s="1">
        <v>46191</v>
      </c>
      <c r="G648" s="1">
        <v>46191</v>
      </c>
      <c r="H648">
        <f t="shared" si="51"/>
        <v>0</v>
      </c>
      <c r="I648" t="str">
        <f t="shared" si="52"/>
        <v>MetroLogistics</v>
      </c>
      <c r="J648" t="str">
        <f>VLOOKUP(A648,Orders!$A$2:$D$1201,4,FALSE)</f>
        <v>Delivered</v>
      </c>
      <c r="K648" t="str">
        <f t="shared" si="53"/>
        <v>On time</v>
      </c>
      <c r="L648" t="str">
        <f t="shared" si="54"/>
        <v>Late</v>
      </c>
      <c r="O648">
        <f t="shared" si="55"/>
        <v>0</v>
      </c>
    </row>
    <row r="649" spans="1:15">
      <c r="A649">
        <v>1677</v>
      </c>
      <c r="B649" t="s">
        <v>348</v>
      </c>
      <c r="C649" s="1">
        <v>46029</v>
      </c>
      <c r="D649" s="1">
        <v>46029</v>
      </c>
      <c r="E649" s="1">
        <v>46034</v>
      </c>
      <c r="F649" s="1">
        <v>46033</v>
      </c>
      <c r="G649" s="1">
        <v>46033</v>
      </c>
      <c r="H649">
        <f t="shared" si="51"/>
        <v>0</v>
      </c>
      <c r="I649" t="str">
        <f t="shared" si="52"/>
        <v>MetroLogistics</v>
      </c>
      <c r="J649" t="str">
        <f>VLOOKUP(A649,Orders!$A$2:$D$1201,4,FALSE)</f>
        <v>Delivered</v>
      </c>
      <c r="K649" t="str">
        <f t="shared" si="53"/>
        <v>On time</v>
      </c>
      <c r="L649" t="str">
        <f t="shared" si="54"/>
        <v>On time</v>
      </c>
      <c r="O649">
        <f t="shared" si="55"/>
        <v>0</v>
      </c>
    </row>
    <row r="650" spans="1:15">
      <c r="A650">
        <v>1678</v>
      </c>
      <c r="B650" t="s">
        <v>348</v>
      </c>
      <c r="C650" s="1">
        <v>46138</v>
      </c>
      <c r="D650" s="1">
        <v>46138</v>
      </c>
      <c r="E650" s="1">
        <v>46143</v>
      </c>
      <c r="F650" s="1">
        <v>46142</v>
      </c>
      <c r="G650" s="1">
        <v>46142</v>
      </c>
      <c r="H650">
        <f t="shared" si="51"/>
        <v>0</v>
      </c>
      <c r="I650" t="str">
        <f t="shared" si="52"/>
        <v>MetroLogistics</v>
      </c>
      <c r="J650" t="str">
        <f>VLOOKUP(A650,Orders!$A$2:$D$1201,4,FALSE)</f>
        <v>Delivered</v>
      </c>
      <c r="K650" t="str">
        <f t="shared" si="53"/>
        <v>On time</v>
      </c>
      <c r="L650" t="str">
        <f t="shared" si="54"/>
        <v>On time</v>
      </c>
      <c r="O650">
        <f t="shared" si="55"/>
        <v>0</v>
      </c>
    </row>
    <row r="651" spans="1:15">
      <c r="A651">
        <v>1679</v>
      </c>
      <c r="B651" t="s">
        <v>347</v>
      </c>
      <c r="C651" s="1">
        <v>46106</v>
      </c>
      <c r="D651" s="1">
        <v>46106</v>
      </c>
      <c r="E651" s="1">
        <v>46111</v>
      </c>
      <c r="F651" s="1">
        <v>46110</v>
      </c>
      <c r="G651" s="1">
        <v>46110</v>
      </c>
      <c r="H651">
        <f t="shared" si="51"/>
        <v>0</v>
      </c>
      <c r="I651" t="str">
        <f t="shared" si="52"/>
        <v>ParcelOne</v>
      </c>
      <c r="J651" t="str">
        <f>VLOOKUP(A651,Orders!$A$2:$D$1201,4,FALSE)</f>
        <v>Delivered</v>
      </c>
      <c r="K651" t="str">
        <f t="shared" si="53"/>
        <v>On time</v>
      </c>
      <c r="L651" t="str">
        <f t="shared" si="54"/>
        <v>On time</v>
      </c>
      <c r="O651">
        <f t="shared" si="55"/>
        <v>0</v>
      </c>
    </row>
    <row r="652" spans="1:15">
      <c r="A652">
        <v>1680</v>
      </c>
      <c r="B652" t="s">
        <v>348</v>
      </c>
      <c r="C652" s="1">
        <v>46103</v>
      </c>
      <c r="D652" s="1">
        <v>46103</v>
      </c>
      <c r="E652" s="1">
        <v>46108</v>
      </c>
      <c r="H652">
        <f t="shared" si="51"/>
        <v>0</v>
      </c>
      <c r="I652" t="str">
        <f t="shared" si="52"/>
        <v>MetroLogistics</v>
      </c>
      <c r="J652" t="str">
        <f>VLOOKUP(A652,Orders!$A$2:$D$1201,4,FALSE)</f>
        <v>Shipped</v>
      </c>
      <c r="K652" t="str">
        <f t="shared" si="53"/>
        <v>Not delivered</v>
      </c>
      <c r="L652" t="str">
        <f t="shared" si="54"/>
        <v>On time</v>
      </c>
      <c r="O652" t="str">
        <f t="shared" si="55"/>
        <v/>
      </c>
    </row>
    <row r="653" spans="1:15">
      <c r="A653">
        <v>1681</v>
      </c>
      <c r="B653" t="s">
        <v>347</v>
      </c>
      <c r="C653" s="1">
        <v>46039</v>
      </c>
      <c r="D653" s="1">
        <v>46039</v>
      </c>
      <c r="E653" s="1">
        <v>46044</v>
      </c>
      <c r="F653" s="1">
        <v>46045</v>
      </c>
      <c r="G653" s="1">
        <v>46045</v>
      </c>
      <c r="H653">
        <f t="shared" si="51"/>
        <v>0</v>
      </c>
      <c r="I653" t="str">
        <f t="shared" si="52"/>
        <v>ParcelOne</v>
      </c>
      <c r="J653" t="str">
        <f>VLOOKUP(A653,Orders!$A$2:$D$1201,4,FALSE)</f>
        <v>Delivered</v>
      </c>
      <c r="K653" t="str">
        <f t="shared" si="53"/>
        <v>Late</v>
      </c>
      <c r="L653" t="str">
        <f t="shared" si="54"/>
        <v>On time</v>
      </c>
      <c r="O653">
        <f t="shared" si="55"/>
        <v>0</v>
      </c>
    </row>
    <row r="654" spans="1:15">
      <c r="A654">
        <v>1682</v>
      </c>
      <c r="B654" t="s">
        <v>347</v>
      </c>
      <c r="C654" s="1">
        <v>46086</v>
      </c>
      <c r="D654" s="1">
        <v>46086</v>
      </c>
      <c r="E654" s="1">
        <v>46091</v>
      </c>
      <c r="F654" s="1">
        <v>46091</v>
      </c>
      <c r="G654" s="1">
        <v>46091</v>
      </c>
      <c r="H654">
        <f t="shared" si="51"/>
        <v>0</v>
      </c>
      <c r="I654" t="str">
        <f t="shared" si="52"/>
        <v>ParcelOne</v>
      </c>
      <c r="J654" t="str">
        <f>VLOOKUP(A654,Orders!$A$2:$D$1201,4,FALSE)</f>
        <v>Delivered</v>
      </c>
      <c r="K654" t="str">
        <f t="shared" si="53"/>
        <v>On time</v>
      </c>
      <c r="L654" t="str">
        <f t="shared" si="54"/>
        <v>On time</v>
      </c>
      <c r="O654">
        <f t="shared" si="55"/>
        <v>0</v>
      </c>
    </row>
    <row r="655" spans="1:15">
      <c r="A655">
        <v>1683</v>
      </c>
      <c r="B655" t="s">
        <v>346</v>
      </c>
      <c r="C655" s="1">
        <v>46148</v>
      </c>
      <c r="D655" s="1">
        <v>46148</v>
      </c>
      <c r="E655" s="1">
        <v>46153</v>
      </c>
      <c r="F655" s="1">
        <v>46153</v>
      </c>
      <c r="G655" s="1">
        <v>46153</v>
      </c>
      <c r="H655">
        <f t="shared" si="51"/>
        <v>0</v>
      </c>
      <c r="I655" t="str">
        <f t="shared" si="52"/>
        <v>SwiftShip</v>
      </c>
      <c r="J655" t="str">
        <f>VLOOKUP(A655,Orders!$A$2:$D$1201,4,FALSE)</f>
        <v>Delivered</v>
      </c>
      <c r="K655" t="str">
        <f t="shared" si="53"/>
        <v>On time</v>
      </c>
      <c r="L655" t="str">
        <f t="shared" si="54"/>
        <v>On time</v>
      </c>
      <c r="O655">
        <f t="shared" si="55"/>
        <v>0</v>
      </c>
    </row>
    <row r="656" spans="1:15">
      <c r="A656">
        <v>1684</v>
      </c>
      <c r="B656" t="s">
        <v>346</v>
      </c>
      <c r="C656" s="1">
        <v>46170</v>
      </c>
      <c r="D656" s="1">
        <v>46170</v>
      </c>
      <c r="E656" s="1">
        <v>46175</v>
      </c>
      <c r="F656" s="1">
        <v>46175</v>
      </c>
      <c r="G656" s="1">
        <v>46177</v>
      </c>
      <c r="H656">
        <f t="shared" si="51"/>
        <v>0</v>
      </c>
      <c r="I656" t="str">
        <f t="shared" si="52"/>
        <v>SwiftShip</v>
      </c>
      <c r="J656" t="str">
        <f>VLOOKUP(A656,Orders!$A$2:$D$1201,4,FALSE)</f>
        <v>Delivered</v>
      </c>
      <c r="K656" t="str">
        <f t="shared" si="53"/>
        <v>On time</v>
      </c>
      <c r="L656" t="str">
        <f t="shared" si="54"/>
        <v>On time</v>
      </c>
      <c r="O656">
        <f t="shared" si="55"/>
        <v>2</v>
      </c>
    </row>
    <row r="657" spans="1:15">
      <c r="A657">
        <v>1685</v>
      </c>
      <c r="B657" t="s">
        <v>346</v>
      </c>
      <c r="C657" s="1">
        <v>46035</v>
      </c>
      <c r="D657" s="1">
        <v>46035</v>
      </c>
      <c r="E657" s="1">
        <v>46040</v>
      </c>
      <c r="F657" s="1">
        <v>46040</v>
      </c>
      <c r="G657" s="1">
        <v>46040</v>
      </c>
      <c r="H657">
        <f t="shared" si="51"/>
        <v>0</v>
      </c>
      <c r="I657" t="str">
        <f t="shared" si="52"/>
        <v>SwiftShip</v>
      </c>
      <c r="J657" t="str">
        <f>VLOOKUP(A657,Orders!$A$2:$D$1201,4,FALSE)</f>
        <v>Delivered</v>
      </c>
      <c r="K657" t="str">
        <f t="shared" si="53"/>
        <v>On time</v>
      </c>
      <c r="L657" t="str">
        <f t="shared" si="54"/>
        <v>On time</v>
      </c>
      <c r="O657">
        <f t="shared" si="55"/>
        <v>0</v>
      </c>
    </row>
    <row r="658" spans="1:15">
      <c r="A658">
        <v>1686</v>
      </c>
      <c r="B658" t="s">
        <v>348</v>
      </c>
      <c r="C658" s="1">
        <v>46186</v>
      </c>
      <c r="D658" s="1">
        <v>46186</v>
      </c>
      <c r="E658" s="1">
        <v>46191</v>
      </c>
      <c r="F658" s="1">
        <v>46192</v>
      </c>
      <c r="G658" s="1">
        <v>46193</v>
      </c>
      <c r="H658">
        <f t="shared" si="51"/>
        <v>0</v>
      </c>
      <c r="I658" t="str">
        <f t="shared" si="52"/>
        <v>MetroLogistics</v>
      </c>
      <c r="J658" t="str">
        <f>VLOOKUP(A658,Orders!$A$2:$D$1201,4,FALSE)</f>
        <v>Delivered</v>
      </c>
      <c r="K658" t="str">
        <f t="shared" si="53"/>
        <v>Late</v>
      </c>
      <c r="L658" t="str">
        <f t="shared" si="54"/>
        <v>On time</v>
      </c>
      <c r="O658">
        <f t="shared" si="55"/>
        <v>1</v>
      </c>
    </row>
    <row r="659" spans="1:15">
      <c r="A659">
        <v>1687</v>
      </c>
      <c r="B659" t="s">
        <v>348</v>
      </c>
      <c r="C659" s="1">
        <v>46167</v>
      </c>
      <c r="E659" s="1">
        <v>46172</v>
      </c>
      <c r="H659">
        <f t="shared" si="51"/>
        <v>0</v>
      </c>
      <c r="I659" t="str">
        <f t="shared" si="52"/>
        <v>MetroLogistics</v>
      </c>
      <c r="J659" t="str">
        <f>VLOOKUP(A659,Orders!$A$2:$D$1201,4,FALSE)</f>
        <v>Pending</v>
      </c>
      <c r="K659" t="str">
        <f t="shared" si="53"/>
        <v>Not delivered</v>
      </c>
      <c r="L659" t="str">
        <f t="shared" si="54"/>
        <v>Not dispatched</v>
      </c>
      <c r="O659" t="str">
        <f t="shared" si="55"/>
        <v/>
      </c>
    </row>
    <row r="660" spans="1:15">
      <c r="A660">
        <v>1688</v>
      </c>
      <c r="B660" t="s">
        <v>348</v>
      </c>
      <c r="C660" s="1">
        <v>46112</v>
      </c>
      <c r="D660" s="1">
        <v>46112</v>
      </c>
      <c r="E660" s="1">
        <v>46117</v>
      </c>
      <c r="F660" s="1">
        <v>46121</v>
      </c>
      <c r="G660" s="1">
        <v>46121</v>
      </c>
      <c r="H660">
        <f t="shared" si="51"/>
        <v>0</v>
      </c>
      <c r="I660" t="str">
        <f t="shared" si="52"/>
        <v>MetroLogistics</v>
      </c>
      <c r="J660" t="str">
        <f>VLOOKUP(A660,Orders!$A$2:$D$1201,4,FALSE)</f>
        <v>Delivered</v>
      </c>
      <c r="K660" t="str">
        <f t="shared" si="53"/>
        <v>Late</v>
      </c>
      <c r="L660" t="str">
        <f t="shared" si="54"/>
        <v>On time</v>
      </c>
      <c r="O660">
        <f t="shared" si="55"/>
        <v>0</v>
      </c>
    </row>
    <row r="661" spans="1:15">
      <c r="A661">
        <v>1689</v>
      </c>
      <c r="B661" t="s">
        <v>348</v>
      </c>
      <c r="C661" s="1">
        <v>46059</v>
      </c>
      <c r="D661" s="1">
        <v>46059</v>
      </c>
      <c r="E661" s="1">
        <v>46064</v>
      </c>
      <c r="F661" s="1">
        <v>46064</v>
      </c>
      <c r="G661" s="1">
        <v>46064</v>
      </c>
      <c r="H661">
        <f t="shared" si="51"/>
        <v>0</v>
      </c>
      <c r="I661" t="str">
        <f t="shared" si="52"/>
        <v>MetroLogistics</v>
      </c>
      <c r="J661" t="str">
        <f>VLOOKUP(A661,Orders!$A$2:$D$1201,4,FALSE)</f>
        <v>Delivered</v>
      </c>
      <c r="K661" t="str">
        <f t="shared" si="53"/>
        <v>On time</v>
      </c>
      <c r="L661" t="str">
        <f t="shared" si="54"/>
        <v>On time</v>
      </c>
      <c r="O661">
        <f t="shared" si="55"/>
        <v>0</v>
      </c>
    </row>
    <row r="662" spans="1:15">
      <c r="A662">
        <v>1690</v>
      </c>
      <c r="B662" t="s">
        <v>347</v>
      </c>
      <c r="C662" s="1">
        <v>46191</v>
      </c>
      <c r="D662" s="1">
        <v>46191</v>
      </c>
      <c r="E662" s="1">
        <v>46196</v>
      </c>
      <c r="F662" s="1">
        <v>46198</v>
      </c>
      <c r="G662" s="1">
        <v>46199</v>
      </c>
      <c r="H662">
        <f t="shared" si="51"/>
        <v>0</v>
      </c>
      <c r="I662" t="str">
        <f t="shared" si="52"/>
        <v>ParcelOne</v>
      </c>
      <c r="J662" t="str">
        <f>VLOOKUP(A662,Orders!$A$2:$D$1201,4,FALSE)</f>
        <v>Delivered</v>
      </c>
      <c r="K662" t="str">
        <f t="shared" si="53"/>
        <v>Late</v>
      </c>
      <c r="L662" t="str">
        <f t="shared" si="54"/>
        <v>On time</v>
      </c>
      <c r="O662">
        <f t="shared" si="55"/>
        <v>1</v>
      </c>
    </row>
    <row r="663" spans="1:15">
      <c r="A663">
        <v>1691</v>
      </c>
      <c r="B663" t="s">
        <v>348</v>
      </c>
      <c r="C663" s="1">
        <v>46056</v>
      </c>
      <c r="D663" s="1">
        <v>46056</v>
      </c>
      <c r="E663" s="1">
        <v>46061</v>
      </c>
      <c r="F663" s="1">
        <v>46062</v>
      </c>
      <c r="G663" s="1">
        <v>46062</v>
      </c>
      <c r="H663">
        <f t="shared" si="51"/>
        <v>0</v>
      </c>
      <c r="I663" t="str">
        <f t="shared" si="52"/>
        <v>MetroLogistics</v>
      </c>
      <c r="J663" t="str">
        <f>VLOOKUP(A663,Orders!$A$2:$D$1201,4,FALSE)</f>
        <v>Delivered</v>
      </c>
      <c r="K663" t="str">
        <f t="shared" si="53"/>
        <v>Late</v>
      </c>
      <c r="L663" t="str">
        <f t="shared" si="54"/>
        <v>On time</v>
      </c>
      <c r="O663">
        <f t="shared" si="55"/>
        <v>0</v>
      </c>
    </row>
    <row r="664" spans="1:15">
      <c r="A664">
        <v>1692</v>
      </c>
      <c r="B664" t="s">
        <v>348</v>
      </c>
      <c r="C664" s="1">
        <v>46185</v>
      </c>
      <c r="D664" s="1">
        <v>46185</v>
      </c>
      <c r="E664" s="1">
        <v>46190</v>
      </c>
      <c r="F664" s="1">
        <v>46190</v>
      </c>
      <c r="G664" s="1">
        <v>46190</v>
      </c>
      <c r="H664">
        <f t="shared" si="51"/>
        <v>0</v>
      </c>
      <c r="I664" t="str">
        <f t="shared" si="52"/>
        <v>MetroLogistics</v>
      </c>
      <c r="J664" t="str">
        <f>VLOOKUP(A664,Orders!$A$2:$D$1201,4,FALSE)</f>
        <v>Delivered</v>
      </c>
      <c r="K664" t="str">
        <f t="shared" si="53"/>
        <v>On time</v>
      </c>
      <c r="L664" t="str">
        <f t="shared" si="54"/>
        <v>On time</v>
      </c>
      <c r="O664">
        <f t="shared" si="55"/>
        <v>0</v>
      </c>
    </row>
    <row r="665" spans="1:15">
      <c r="A665">
        <v>1693</v>
      </c>
      <c r="B665" t="s">
        <v>348</v>
      </c>
      <c r="C665" s="1">
        <v>46078</v>
      </c>
      <c r="D665" s="1">
        <v>46078</v>
      </c>
      <c r="E665" s="1">
        <v>46083</v>
      </c>
      <c r="F665" s="1">
        <v>46082</v>
      </c>
      <c r="G665" s="1">
        <v>46082</v>
      </c>
      <c r="H665">
        <f t="shared" si="51"/>
        <v>0</v>
      </c>
      <c r="I665" t="str">
        <f t="shared" si="52"/>
        <v>MetroLogistics</v>
      </c>
      <c r="J665" t="str">
        <f>VLOOKUP(A665,Orders!$A$2:$D$1201,4,FALSE)</f>
        <v>Delivered</v>
      </c>
      <c r="K665" t="str">
        <f t="shared" si="53"/>
        <v>On time</v>
      </c>
      <c r="L665" t="str">
        <f t="shared" si="54"/>
        <v>On time</v>
      </c>
      <c r="O665">
        <f t="shared" si="55"/>
        <v>0</v>
      </c>
    </row>
    <row r="666" spans="1:15">
      <c r="A666">
        <v>1694</v>
      </c>
      <c r="B666" t="s">
        <v>347</v>
      </c>
      <c r="C666" s="1">
        <v>46199</v>
      </c>
      <c r="D666" s="1">
        <v>46199</v>
      </c>
      <c r="E666" s="1">
        <v>46204</v>
      </c>
      <c r="F666" s="1">
        <v>46203</v>
      </c>
      <c r="G666" s="1">
        <v>46205</v>
      </c>
      <c r="H666">
        <f t="shared" si="51"/>
        <v>0</v>
      </c>
      <c r="I666" t="str">
        <f t="shared" si="52"/>
        <v>ParcelOne</v>
      </c>
      <c r="J666" t="str">
        <f>VLOOKUP(A666,Orders!$A$2:$D$1201,4,FALSE)</f>
        <v>Delivered</v>
      </c>
      <c r="K666" t="str">
        <f t="shared" si="53"/>
        <v>On time</v>
      </c>
      <c r="L666" t="str">
        <f t="shared" si="54"/>
        <v>On time</v>
      </c>
      <c r="O666">
        <f t="shared" si="55"/>
        <v>2</v>
      </c>
    </row>
    <row r="667" spans="1:15">
      <c r="A667">
        <v>1695</v>
      </c>
      <c r="B667" t="s">
        <v>346</v>
      </c>
      <c r="C667" s="1">
        <v>46158</v>
      </c>
      <c r="D667" s="1">
        <v>46160</v>
      </c>
      <c r="E667" s="1">
        <v>46163</v>
      </c>
      <c r="F667" s="1">
        <v>46164</v>
      </c>
      <c r="G667" s="1">
        <v>46164</v>
      </c>
      <c r="H667">
        <f t="shared" si="51"/>
        <v>0</v>
      </c>
      <c r="I667" t="str">
        <f t="shared" si="52"/>
        <v>SwiftShip</v>
      </c>
      <c r="J667" t="str">
        <f>VLOOKUP(A667,Orders!$A$2:$D$1201,4,FALSE)</f>
        <v>Delivered</v>
      </c>
      <c r="K667" t="str">
        <f t="shared" si="53"/>
        <v>Late</v>
      </c>
      <c r="L667" t="str">
        <f t="shared" si="54"/>
        <v>Late</v>
      </c>
      <c r="O667">
        <f t="shared" si="55"/>
        <v>0</v>
      </c>
    </row>
    <row r="668" spans="1:15">
      <c r="A668">
        <v>1696</v>
      </c>
      <c r="B668" t="s">
        <v>346</v>
      </c>
      <c r="C668" s="1">
        <v>46199</v>
      </c>
      <c r="D668" s="1">
        <v>46200</v>
      </c>
      <c r="E668" s="1">
        <v>46204</v>
      </c>
      <c r="F668" s="1">
        <v>46204</v>
      </c>
      <c r="G668" s="1">
        <v>46205</v>
      </c>
      <c r="H668">
        <f t="shared" si="51"/>
        <v>0</v>
      </c>
      <c r="I668" t="str">
        <f t="shared" si="52"/>
        <v>SwiftShip</v>
      </c>
      <c r="J668" t="str">
        <f>VLOOKUP(A668,Orders!$A$2:$D$1201,4,FALSE)</f>
        <v>Delivered</v>
      </c>
      <c r="K668" t="str">
        <f t="shared" si="53"/>
        <v>On time</v>
      </c>
      <c r="L668" t="str">
        <f t="shared" si="54"/>
        <v>Late</v>
      </c>
      <c r="O668">
        <f t="shared" si="55"/>
        <v>1</v>
      </c>
    </row>
    <row r="669" spans="1:15">
      <c r="A669">
        <v>1697</v>
      </c>
      <c r="B669" t="s">
        <v>346</v>
      </c>
      <c r="C669" s="1">
        <v>46095</v>
      </c>
      <c r="D669" s="1">
        <v>46095</v>
      </c>
      <c r="E669" s="1">
        <v>46100</v>
      </c>
      <c r="F669" s="1">
        <v>46104</v>
      </c>
      <c r="G669" s="1">
        <v>46104</v>
      </c>
      <c r="H669">
        <f t="shared" si="51"/>
        <v>0</v>
      </c>
      <c r="I669" t="str">
        <f t="shared" si="52"/>
        <v>SwiftShip</v>
      </c>
      <c r="J669" t="str">
        <f>VLOOKUP(A669,Orders!$A$2:$D$1201,4,FALSE)</f>
        <v>Delivered</v>
      </c>
      <c r="K669" t="str">
        <f t="shared" si="53"/>
        <v>Late</v>
      </c>
      <c r="L669" t="str">
        <f t="shared" si="54"/>
        <v>On time</v>
      </c>
      <c r="O669">
        <f t="shared" si="55"/>
        <v>0</v>
      </c>
    </row>
    <row r="670" spans="1:15">
      <c r="A670">
        <v>1698</v>
      </c>
      <c r="B670" t="s">
        <v>347</v>
      </c>
      <c r="C670" s="1">
        <v>46026</v>
      </c>
      <c r="D670" s="1">
        <v>46028</v>
      </c>
      <c r="E670" s="1">
        <v>46031</v>
      </c>
      <c r="F670" s="1">
        <v>46030</v>
      </c>
      <c r="G670" s="1">
        <v>46030</v>
      </c>
      <c r="H670">
        <f t="shared" si="51"/>
        <v>0</v>
      </c>
      <c r="I670" t="str">
        <f t="shared" si="52"/>
        <v>ParcelOne</v>
      </c>
      <c r="J670" t="str">
        <f>VLOOKUP(A670,Orders!$A$2:$D$1201,4,FALSE)</f>
        <v>Delivered</v>
      </c>
      <c r="K670" t="str">
        <f t="shared" si="53"/>
        <v>On time</v>
      </c>
      <c r="L670" t="str">
        <f t="shared" si="54"/>
        <v>Late</v>
      </c>
      <c r="O670">
        <f t="shared" si="55"/>
        <v>0</v>
      </c>
    </row>
    <row r="671" spans="1:15">
      <c r="A671">
        <v>1699</v>
      </c>
      <c r="B671" t="s">
        <v>348</v>
      </c>
      <c r="C671" s="1">
        <v>46088</v>
      </c>
      <c r="D671" s="1">
        <v>46088</v>
      </c>
      <c r="E671" s="1">
        <v>46093</v>
      </c>
      <c r="F671" s="1">
        <v>46094</v>
      </c>
      <c r="G671" s="1">
        <v>46094</v>
      </c>
      <c r="H671">
        <f t="shared" si="51"/>
        <v>0</v>
      </c>
      <c r="I671" t="str">
        <f t="shared" si="52"/>
        <v>MetroLogistics</v>
      </c>
      <c r="J671" t="str">
        <f>VLOOKUP(A671,Orders!$A$2:$D$1201,4,FALSE)</f>
        <v>Delivered</v>
      </c>
      <c r="K671" t="str">
        <f t="shared" si="53"/>
        <v>Late</v>
      </c>
      <c r="L671" t="str">
        <f t="shared" si="54"/>
        <v>On time</v>
      </c>
      <c r="O671">
        <f t="shared" si="55"/>
        <v>0</v>
      </c>
    </row>
    <row r="672" spans="1:15">
      <c r="A672">
        <v>1700</v>
      </c>
      <c r="B672" t="s">
        <v>348</v>
      </c>
      <c r="C672" s="1">
        <v>46110</v>
      </c>
      <c r="D672" s="1">
        <v>46112</v>
      </c>
      <c r="E672" s="1">
        <v>46115</v>
      </c>
      <c r="F672" s="1">
        <v>46116</v>
      </c>
      <c r="G672" s="1">
        <v>46117</v>
      </c>
      <c r="H672">
        <f t="shared" si="51"/>
        <v>0</v>
      </c>
      <c r="I672" t="str">
        <f t="shared" si="52"/>
        <v>MetroLogistics</v>
      </c>
      <c r="J672" t="str">
        <f>VLOOKUP(A672,Orders!$A$2:$D$1201,4,FALSE)</f>
        <v>Delivered</v>
      </c>
      <c r="K672" t="str">
        <f t="shared" si="53"/>
        <v>Late</v>
      </c>
      <c r="L672" t="str">
        <f t="shared" si="54"/>
        <v>Late</v>
      </c>
      <c r="O672">
        <f t="shared" si="55"/>
        <v>1</v>
      </c>
    </row>
    <row r="673" spans="1:15">
      <c r="A673">
        <v>1701</v>
      </c>
      <c r="B673" t="s">
        <v>347</v>
      </c>
      <c r="C673" s="1">
        <v>46085</v>
      </c>
      <c r="D673" s="1">
        <v>46085</v>
      </c>
      <c r="E673" s="1">
        <v>46090</v>
      </c>
      <c r="H673">
        <f t="shared" si="51"/>
        <v>0</v>
      </c>
      <c r="I673" t="str">
        <f t="shared" si="52"/>
        <v>ParcelOne</v>
      </c>
      <c r="J673" t="str">
        <f>VLOOKUP(A673,Orders!$A$2:$D$1201,4,FALSE)</f>
        <v>Shipped</v>
      </c>
      <c r="K673" t="str">
        <f t="shared" si="53"/>
        <v>Not delivered</v>
      </c>
      <c r="L673" t="str">
        <f t="shared" si="54"/>
        <v>On time</v>
      </c>
      <c r="O673" t="str">
        <f t="shared" si="55"/>
        <v/>
      </c>
    </row>
    <row r="674" spans="1:15">
      <c r="A674">
        <v>1702</v>
      </c>
      <c r="B674" t="s">
        <v>346</v>
      </c>
      <c r="C674" s="1">
        <v>46040</v>
      </c>
      <c r="D674" s="1">
        <v>46042</v>
      </c>
      <c r="E674" s="1">
        <v>46045</v>
      </c>
      <c r="H674">
        <f t="shared" si="51"/>
        <v>0</v>
      </c>
      <c r="I674" t="str">
        <f t="shared" si="52"/>
        <v>SwiftShip</v>
      </c>
      <c r="J674" t="str">
        <f>VLOOKUP(A674,Orders!$A$2:$D$1201,4,FALSE)</f>
        <v>Shipped</v>
      </c>
      <c r="K674" t="str">
        <f t="shared" si="53"/>
        <v>Not delivered</v>
      </c>
      <c r="L674" t="str">
        <f t="shared" si="54"/>
        <v>Late</v>
      </c>
      <c r="O674" t="str">
        <f t="shared" si="55"/>
        <v/>
      </c>
    </row>
    <row r="675" spans="1:15">
      <c r="A675">
        <v>1703</v>
      </c>
      <c r="B675" t="s">
        <v>347</v>
      </c>
      <c r="C675" s="1">
        <v>46039</v>
      </c>
      <c r="D675" s="1">
        <v>46039</v>
      </c>
      <c r="E675" s="1">
        <v>46044</v>
      </c>
      <c r="F675" s="1">
        <v>46044</v>
      </c>
      <c r="G675" s="1">
        <v>46044</v>
      </c>
      <c r="H675">
        <f t="shared" si="51"/>
        <v>0</v>
      </c>
      <c r="I675" t="str">
        <f t="shared" si="52"/>
        <v>ParcelOne</v>
      </c>
      <c r="J675" t="str">
        <f>VLOOKUP(A675,Orders!$A$2:$D$1201,4,FALSE)</f>
        <v>Delivered</v>
      </c>
      <c r="K675" t="str">
        <f t="shared" si="53"/>
        <v>On time</v>
      </c>
      <c r="L675" t="str">
        <f t="shared" si="54"/>
        <v>On time</v>
      </c>
      <c r="O675">
        <f t="shared" si="55"/>
        <v>0</v>
      </c>
    </row>
    <row r="676" spans="1:15">
      <c r="A676">
        <v>1704</v>
      </c>
      <c r="B676" t="s">
        <v>346</v>
      </c>
      <c r="C676" s="1">
        <v>46183</v>
      </c>
      <c r="D676" s="1">
        <v>46183</v>
      </c>
      <c r="E676" s="1">
        <v>46188</v>
      </c>
      <c r="F676" s="1">
        <v>46190</v>
      </c>
      <c r="G676" s="1">
        <v>46190</v>
      </c>
      <c r="H676">
        <f t="shared" si="51"/>
        <v>0</v>
      </c>
      <c r="I676" t="str">
        <f t="shared" si="52"/>
        <v>SwiftShip</v>
      </c>
      <c r="J676" t="str">
        <f>VLOOKUP(A676,Orders!$A$2:$D$1201,4,FALSE)</f>
        <v>Delivered</v>
      </c>
      <c r="K676" t="str">
        <f t="shared" si="53"/>
        <v>Late</v>
      </c>
      <c r="L676" t="str">
        <f t="shared" si="54"/>
        <v>On time</v>
      </c>
      <c r="O676">
        <f t="shared" si="55"/>
        <v>0</v>
      </c>
    </row>
    <row r="677" spans="1:15">
      <c r="A677">
        <v>1705</v>
      </c>
      <c r="B677" t="s">
        <v>348</v>
      </c>
      <c r="C677" s="1">
        <v>46191</v>
      </c>
      <c r="D677" s="1">
        <v>46191</v>
      </c>
      <c r="E677" s="1">
        <v>46196</v>
      </c>
      <c r="H677">
        <f t="shared" si="51"/>
        <v>0</v>
      </c>
      <c r="I677" t="str">
        <f t="shared" si="52"/>
        <v>MetroLogistics</v>
      </c>
      <c r="J677" t="str">
        <f>VLOOKUP(A677,Orders!$A$2:$D$1201,4,FALSE)</f>
        <v>Shipped</v>
      </c>
      <c r="K677" t="str">
        <f t="shared" si="53"/>
        <v>Not delivered</v>
      </c>
      <c r="L677" t="str">
        <f t="shared" si="54"/>
        <v>On time</v>
      </c>
      <c r="O677" t="str">
        <f t="shared" si="55"/>
        <v/>
      </c>
    </row>
    <row r="678" spans="1:15">
      <c r="A678">
        <v>1706</v>
      </c>
      <c r="B678" t="s">
        <v>347</v>
      </c>
      <c r="C678" s="1">
        <v>46042</v>
      </c>
      <c r="D678" s="1">
        <v>46042</v>
      </c>
      <c r="E678" s="1">
        <v>46047</v>
      </c>
      <c r="F678" s="1">
        <v>46047</v>
      </c>
      <c r="G678" s="1">
        <v>46047</v>
      </c>
      <c r="H678">
        <f t="shared" si="51"/>
        <v>0</v>
      </c>
      <c r="I678" t="str">
        <f t="shared" si="52"/>
        <v>ParcelOne</v>
      </c>
      <c r="J678" t="str">
        <f>VLOOKUP(A678,Orders!$A$2:$D$1201,4,FALSE)</f>
        <v>Delivered</v>
      </c>
      <c r="K678" t="str">
        <f t="shared" si="53"/>
        <v>On time</v>
      </c>
      <c r="L678" t="str">
        <f t="shared" si="54"/>
        <v>On time</v>
      </c>
      <c r="O678">
        <f t="shared" si="55"/>
        <v>0</v>
      </c>
    </row>
    <row r="679" spans="1:15">
      <c r="A679">
        <v>1707</v>
      </c>
      <c r="B679" t="s">
        <v>347</v>
      </c>
      <c r="C679" s="1">
        <v>46036</v>
      </c>
      <c r="D679" s="1">
        <v>46036</v>
      </c>
      <c r="E679" s="1">
        <v>46041</v>
      </c>
      <c r="F679" s="1">
        <v>46041</v>
      </c>
      <c r="G679" s="1">
        <v>46041</v>
      </c>
      <c r="H679">
        <f t="shared" si="51"/>
        <v>0</v>
      </c>
      <c r="I679" t="str">
        <f t="shared" si="52"/>
        <v>ParcelOne</v>
      </c>
      <c r="J679" t="str">
        <f>VLOOKUP(A679,Orders!$A$2:$D$1201,4,FALSE)</f>
        <v>Delivered</v>
      </c>
      <c r="K679" t="str">
        <f t="shared" si="53"/>
        <v>On time</v>
      </c>
      <c r="L679" t="str">
        <f t="shared" si="54"/>
        <v>On time</v>
      </c>
      <c r="O679">
        <f t="shared" si="55"/>
        <v>0</v>
      </c>
    </row>
    <row r="680" spans="1:15">
      <c r="A680">
        <v>1708</v>
      </c>
      <c r="B680" t="s">
        <v>347</v>
      </c>
      <c r="C680" s="1">
        <v>46157</v>
      </c>
      <c r="D680" s="1">
        <v>46157</v>
      </c>
      <c r="E680" s="1">
        <v>46162</v>
      </c>
      <c r="F680" s="1">
        <v>46161</v>
      </c>
      <c r="G680" s="1">
        <v>46161</v>
      </c>
      <c r="H680">
        <f t="shared" si="51"/>
        <v>0</v>
      </c>
      <c r="I680" t="str">
        <f t="shared" si="52"/>
        <v>ParcelOne</v>
      </c>
      <c r="J680" t="str">
        <f>VLOOKUP(A680,Orders!$A$2:$D$1201,4,FALSE)</f>
        <v>Delivered</v>
      </c>
      <c r="K680" t="str">
        <f t="shared" si="53"/>
        <v>On time</v>
      </c>
      <c r="L680" t="str">
        <f t="shared" si="54"/>
        <v>On time</v>
      </c>
      <c r="O680">
        <f t="shared" si="55"/>
        <v>0</v>
      </c>
    </row>
    <row r="681" spans="1:15">
      <c r="A681">
        <v>1709</v>
      </c>
      <c r="B681" t="s">
        <v>347</v>
      </c>
      <c r="C681" s="1">
        <v>46042</v>
      </c>
      <c r="D681" s="1">
        <v>46042</v>
      </c>
      <c r="E681" s="1">
        <v>46047</v>
      </c>
      <c r="F681" s="1">
        <v>46046</v>
      </c>
      <c r="G681" s="1">
        <v>46046</v>
      </c>
      <c r="H681">
        <f t="shared" si="51"/>
        <v>0</v>
      </c>
      <c r="I681" t="str">
        <f t="shared" si="52"/>
        <v>ParcelOne</v>
      </c>
      <c r="J681" t="str">
        <f>VLOOKUP(A681,Orders!$A$2:$D$1201,4,FALSE)</f>
        <v>Delivered</v>
      </c>
      <c r="K681" t="str">
        <f t="shared" si="53"/>
        <v>On time</v>
      </c>
      <c r="L681" t="str">
        <f t="shared" si="54"/>
        <v>On time</v>
      </c>
      <c r="O681">
        <f t="shared" si="55"/>
        <v>0</v>
      </c>
    </row>
    <row r="682" spans="1:15">
      <c r="A682">
        <v>1710</v>
      </c>
      <c r="B682" t="s">
        <v>348</v>
      </c>
      <c r="C682" s="1">
        <v>46151</v>
      </c>
      <c r="D682" s="1">
        <v>46151</v>
      </c>
      <c r="E682" s="1">
        <v>46156</v>
      </c>
      <c r="F682" s="1">
        <v>46160</v>
      </c>
      <c r="G682" s="1">
        <v>46160</v>
      </c>
      <c r="H682">
        <f t="shared" si="51"/>
        <v>0</v>
      </c>
      <c r="I682" t="str">
        <f t="shared" si="52"/>
        <v>MetroLogistics</v>
      </c>
      <c r="J682" t="str">
        <f>VLOOKUP(A682,Orders!$A$2:$D$1201,4,FALSE)</f>
        <v>Delivered</v>
      </c>
      <c r="K682" t="str">
        <f t="shared" si="53"/>
        <v>Late</v>
      </c>
      <c r="L682" t="str">
        <f t="shared" si="54"/>
        <v>On time</v>
      </c>
      <c r="O682">
        <f t="shared" si="55"/>
        <v>0</v>
      </c>
    </row>
    <row r="683" spans="1:15">
      <c r="A683">
        <v>1711</v>
      </c>
      <c r="B683" t="s">
        <v>346</v>
      </c>
      <c r="C683" s="1">
        <v>46121</v>
      </c>
      <c r="D683" s="1">
        <v>46121</v>
      </c>
      <c r="E683" s="1">
        <v>46126</v>
      </c>
      <c r="F683" s="1">
        <v>46124</v>
      </c>
      <c r="G683" s="1">
        <v>46124</v>
      </c>
      <c r="H683">
        <f t="shared" si="51"/>
        <v>0</v>
      </c>
      <c r="I683" t="str">
        <f t="shared" si="52"/>
        <v>SwiftShip</v>
      </c>
      <c r="J683" t="str">
        <f>VLOOKUP(A683,Orders!$A$2:$D$1201,4,FALSE)</f>
        <v>Delivered</v>
      </c>
      <c r="K683" t="str">
        <f t="shared" si="53"/>
        <v>On time</v>
      </c>
      <c r="L683" t="str">
        <f t="shared" si="54"/>
        <v>On time</v>
      </c>
      <c r="O683">
        <f t="shared" si="55"/>
        <v>0</v>
      </c>
    </row>
    <row r="684" spans="1:15">
      <c r="A684">
        <v>1712</v>
      </c>
      <c r="B684" t="s">
        <v>347</v>
      </c>
      <c r="C684" s="1">
        <v>46137</v>
      </c>
      <c r="D684" s="1">
        <v>46137</v>
      </c>
      <c r="E684" s="1">
        <v>46142</v>
      </c>
      <c r="F684" s="1">
        <v>46141</v>
      </c>
      <c r="G684" s="1">
        <v>46141</v>
      </c>
      <c r="H684">
        <f t="shared" si="51"/>
        <v>0</v>
      </c>
      <c r="I684" t="str">
        <f t="shared" si="52"/>
        <v>ParcelOne</v>
      </c>
      <c r="J684" t="str">
        <f>VLOOKUP(A684,Orders!$A$2:$D$1201,4,FALSE)</f>
        <v>Delivered</v>
      </c>
      <c r="K684" t="str">
        <f t="shared" si="53"/>
        <v>On time</v>
      </c>
      <c r="L684" t="str">
        <f t="shared" si="54"/>
        <v>On time</v>
      </c>
      <c r="O684">
        <f t="shared" si="55"/>
        <v>0</v>
      </c>
    </row>
    <row r="685" spans="1:15">
      <c r="A685">
        <v>1713</v>
      </c>
      <c r="B685" t="s">
        <v>348</v>
      </c>
      <c r="C685" s="1">
        <v>46111</v>
      </c>
      <c r="D685" s="1">
        <v>46111</v>
      </c>
      <c r="E685" s="1">
        <v>46116</v>
      </c>
      <c r="F685" s="1">
        <v>46116</v>
      </c>
      <c r="G685" s="1">
        <v>46116</v>
      </c>
      <c r="H685">
        <f t="shared" si="51"/>
        <v>0</v>
      </c>
      <c r="I685" t="str">
        <f t="shared" si="52"/>
        <v>MetroLogistics</v>
      </c>
      <c r="J685" t="str">
        <f>VLOOKUP(A685,Orders!$A$2:$D$1201,4,FALSE)</f>
        <v>Delivered</v>
      </c>
      <c r="K685" t="str">
        <f t="shared" si="53"/>
        <v>On time</v>
      </c>
      <c r="L685" t="str">
        <f t="shared" si="54"/>
        <v>On time</v>
      </c>
      <c r="O685">
        <f t="shared" si="55"/>
        <v>0</v>
      </c>
    </row>
    <row r="686" spans="1:15">
      <c r="A686">
        <v>1714</v>
      </c>
      <c r="B686" t="s">
        <v>348</v>
      </c>
      <c r="C686" s="1">
        <v>46060</v>
      </c>
      <c r="D686" s="1">
        <v>46060</v>
      </c>
      <c r="E686" s="1">
        <v>46065</v>
      </c>
      <c r="F686" s="1">
        <v>46065</v>
      </c>
      <c r="G686" s="1">
        <v>46065</v>
      </c>
      <c r="H686">
        <f t="shared" si="51"/>
        <v>0</v>
      </c>
      <c r="I686" t="str">
        <f t="shared" si="52"/>
        <v>MetroLogistics</v>
      </c>
      <c r="J686" t="str">
        <f>VLOOKUP(A686,Orders!$A$2:$D$1201,4,FALSE)</f>
        <v>Delivered</v>
      </c>
      <c r="K686" t="str">
        <f t="shared" si="53"/>
        <v>On time</v>
      </c>
      <c r="L686" t="str">
        <f t="shared" si="54"/>
        <v>On time</v>
      </c>
      <c r="O686">
        <f t="shared" si="55"/>
        <v>0</v>
      </c>
    </row>
    <row r="687" spans="1:15">
      <c r="A687">
        <v>1716</v>
      </c>
      <c r="B687" t="s">
        <v>346</v>
      </c>
      <c r="C687" s="1">
        <v>46073</v>
      </c>
      <c r="D687" s="1">
        <v>46073</v>
      </c>
      <c r="E687" s="1">
        <v>46078</v>
      </c>
      <c r="F687" s="1">
        <v>46078</v>
      </c>
      <c r="G687" s="1">
        <v>46079</v>
      </c>
      <c r="H687">
        <f t="shared" si="51"/>
        <v>0</v>
      </c>
      <c r="I687" t="str">
        <f t="shared" si="52"/>
        <v>SwiftShip</v>
      </c>
      <c r="J687" t="str">
        <f>VLOOKUP(A687,Orders!$A$2:$D$1201,4,FALSE)</f>
        <v>Delivered</v>
      </c>
      <c r="K687" t="str">
        <f t="shared" si="53"/>
        <v>On time</v>
      </c>
      <c r="L687" t="str">
        <f t="shared" si="54"/>
        <v>On time</v>
      </c>
      <c r="O687">
        <f t="shared" si="55"/>
        <v>1</v>
      </c>
    </row>
    <row r="688" spans="1:15">
      <c r="A688">
        <v>1717</v>
      </c>
      <c r="B688" t="s">
        <v>347</v>
      </c>
      <c r="C688" s="1">
        <v>46063</v>
      </c>
      <c r="D688" s="1">
        <v>46063</v>
      </c>
      <c r="E688" s="1">
        <v>46068</v>
      </c>
      <c r="F688" s="1">
        <v>46069</v>
      </c>
      <c r="G688" s="1">
        <v>46069</v>
      </c>
      <c r="H688">
        <f t="shared" si="51"/>
        <v>0</v>
      </c>
      <c r="I688" t="str">
        <f t="shared" si="52"/>
        <v>ParcelOne</v>
      </c>
      <c r="J688" t="str">
        <f>VLOOKUP(A688,Orders!$A$2:$D$1201,4,FALSE)</f>
        <v>Delivered</v>
      </c>
      <c r="K688" t="str">
        <f t="shared" si="53"/>
        <v>Late</v>
      </c>
      <c r="L688" t="str">
        <f t="shared" si="54"/>
        <v>On time</v>
      </c>
      <c r="O688">
        <f t="shared" si="55"/>
        <v>0</v>
      </c>
    </row>
    <row r="689" spans="1:15">
      <c r="A689">
        <v>1718</v>
      </c>
      <c r="B689" t="s">
        <v>348</v>
      </c>
      <c r="C689" s="1">
        <v>46155</v>
      </c>
      <c r="D689" s="1">
        <v>46155</v>
      </c>
      <c r="E689" s="1">
        <v>46160</v>
      </c>
      <c r="F689" s="1">
        <v>46160</v>
      </c>
      <c r="G689" s="1">
        <v>46160</v>
      </c>
      <c r="H689">
        <f t="shared" si="51"/>
        <v>0</v>
      </c>
      <c r="I689" t="str">
        <f t="shared" si="52"/>
        <v>MetroLogistics</v>
      </c>
      <c r="J689" t="str">
        <f>VLOOKUP(A689,Orders!$A$2:$D$1201,4,FALSE)</f>
        <v>Delivered</v>
      </c>
      <c r="K689" t="str">
        <f t="shared" si="53"/>
        <v>On time</v>
      </c>
      <c r="L689" t="str">
        <f t="shared" si="54"/>
        <v>On time</v>
      </c>
      <c r="O689">
        <f t="shared" si="55"/>
        <v>0</v>
      </c>
    </row>
    <row r="690" spans="1:15">
      <c r="A690">
        <v>1719</v>
      </c>
      <c r="B690" t="s">
        <v>346</v>
      </c>
      <c r="C690" s="1">
        <v>46151</v>
      </c>
      <c r="D690" s="1">
        <v>46151</v>
      </c>
      <c r="E690" s="1">
        <v>46156</v>
      </c>
      <c r="F690" s="1">
        <v>46155</v>
      </c>
      <c r="G690" s="1">
        <v>46156</v>
      </c>
      <c r="H690">
        <f t="shared" si="51"/>
        <v>0</v>
      </c>
      <c r="I690" t="str">
        <f t="shared" si="52"/>
        <v>SwiftShip</v>
      </c>
      <c r="J690" t="str">
        <f>VLOOKUP(A690,Orders!$A$2:$D$1201,4,FALSE)</f>
        <v>Delivered</v>
      </c>
      <c r="K690" t="str">
        <f t="shared" si="53"/>
        <v>On time</v>
      </c>
      <c r="L690" t="str">
        <f t="shared" si="54"/>
        <v>On time</v>
      </c>
      <c r="O690">
        <f t="shared" si="55"/>
        <v>1</v>
      </c>
    </row>
    <row r="691" spans="1:15">
      <c r="A691">
        <v>1720</v>
      </c>
      <c r="B691" t="s">
        <v>347</v>
      </c>
      <c r="C691" s="1">
        <v>46080</v>
      </c>
      <c r="D691" s="1">
        <v>46080</v>
      </c>
      <c r="E691" s="1">
        <v>46085</v>
      </c>
      <c r="F691" s="1">
        <v>46085</v>
      </c>
      <c r="G691" s="1">
        <v>46085</v>
      </c>
      <c r="H691">
        <f t="shared" si="51"/>
        <v>0</v>
      </c>
      <c r="I691" t="str">
        <f t="shared" si="52"/>
        <v>ParcelOne</v>
      </c>
      <c r="J691" t="str">
        <f>VLOOKUP(A691,Orders!$A$2:$D$1201,4,FALSE)</f>
        <v>Delivered</v>
      </c>
      <c r="K691" t="str">
        <f t="shared" si="53"/>
        <v>On time</v>
      </c>
      <c r="L691" t="str">
        <f t="shared" si="54"/>
        <v>On time</v>
      </c>
      <c r="O691">
        <f t="shared" si="55"/>
        <v>0</v>
      </c>
    </row>
    <row r="692" spans="1:15">
      <c r="A692">
        <v>1721</v>
      </c>
      <c r="B692" t="s">
        <v>347</v>
      </c>
      <c r="C692" s="1">
        <v>46144</v>
      </c>
      <c r="D692" s="1">
        <v>46144</v>
      </c>
      <c r="E692" s="1">
        <v>46149</v>
      </c>
      <c r="F692" s="1">
        <v>46149</v>
      </c>
      <c r="G692" s="1">
        <v>46149</v>
      </c>
      <c r="H692">
        <f t="shared" si="51"/>
        <v>0</v>
      </c>
      <c r="I692" t="str">
        <f t="shared" si="52"/>
        <v>ParcelOne</v>
      </c>
      <c r="J692" t="str">
        <f>VLOOKUP(A692,Orders!$A$2:$D$1201,4,FALSE)</f>
        <v>Delivered</v>
      </c>
      <c r="K692" t="str">
        <f t="shared" si="53"/>
        <v>On time</v>
      </c>
      <c r="L692" t="str">
        <f t="shared" si="54"/>
        <v>On time</v>
      </c>
      <c r="O692">
        <f t="shared" si="55"/>
        <v>0</v>
      </c>
    </row>
    <row r="693" spans="1:15">
      <c r="A693">
        <v>1722</v>
      </c>
      <c r="B693" t="s">
        <v>347</v>
      </c>
      <c r="C693" s="1">
        <v>46070</v>
      </c>
      <c r="D693" s="1">
        <v>46072</v>
      </c>
      <c r="E693" s="1">
        <v>46075</v>
      </c>
      <c r="F693" s="1">
        <v>46074</v>
      </c>
      <c r="G693" s="1">
        <v>46074</v>
      </c>
      <c r="H693">
        <f t="shared" si="51"/>
        <v>0</v>
      </c>
      <c r="I693" t="str">
        <f t="shared" si="52"/>
        <v>ParcelOne</v>
      </c>
      <c r="J693" t="str">
        <f>VLOOKUP(A693,Orders!$A$2:$D$1201,4,FALSE)</f>
        <v>Delivered</v>
      </c>
      <c r="K693" t="str">
        <f t="shared" si="53"/>
        <v>On time</v>
      </c>
      <c r="L693" t="str">
        <f t="shared" si="54"/>
        <v>Late</v>
      </c>
      <c r="O693">
        <f t="shared" si="55"/>
        <v>0</v>
      </c>
    </row>
    <row r="694" spans="1:15">
      <c r="A694">
        <v>1723</v>
      </c>
      <c r="B694" t="s">
        <v>346</v>
      </c>
      <c r="C694" s="1">
        <v>46164</v>
      </c>
      <c r="D694" s="1">
        <v>46166</v>
      </c>
      <c r="E694" s="1">
        <v>46169</v>
      </c>
      <c r="F694" s="1">
        <v>46170</v>
      </c>
      <c r="G694" s="1">
        <v>46170</v>
      </c>
      <c r="H694">
        <f t="shared" si="51"/>
        <v>0</v>
      </c>
      <c r="I694" t="str">
        <f t="shared" si="52"/>
        <v>SwiftShip</v>
      </c>
      <c r="J694" t="str">
        <f>VLOOKUP(A694,Orders!$A$2:$D$1201,4,FALSE)</f>
        <v>Delivered</v>
      </c>
      <c r="K694" t="str">
        <f t="shared" si="53"/>
        <v>Late</v>
      </c>
      <c r="L694" t="str">
        <f t="shared" si="54"/>
        <v>Late</v>
      </c>
      <c r="O694">
        <f t="shared" si="55"/>
        <v>0</v>
      </c>
    </row>
    <row r="695" spans="1:15">
      <c r="A695">
        <v>1724</v>
      </c>
      <c r="B695" t="s">
        <v>346</v>
      </c>
      <c r="C695" s="1">
        <v>46027</v>
      </c>
      <c r="D695" s="1">
        <v>46027</v>
      </c>
      <c r="E695" s="1">
        <v>46032</v>
      </c>
      <c r="F695" s="1">
        <v>46036</v>
      </c>
      <c r="G695" s="1">
        <v>46038</v>
      </c>
      <c r="H695">
        <f t="shared" si="51"/>
        <v>0</v>
      </c>
      <c r="I695" t="str">
        <f t="shared" si="52"/>
        <v>SwiftShip</v>
      </c>
      <c r="J695" t="str">
        <f>VLOOKUP(A695,Orders!$A$2:$D$1201,4,FALSE)</f>
        <v>Delivered</v>
      </c>
      <c r="K695" t="str">
        <f t="shared" si="53"/>
        <v>Late</v>
      </c>
      <c r="L695" t="str">
        <f t="shared" si="54"/>
        <v>On time</v>
      </c>
      <c r="O695">
        <f t="shared" si="55"/>
        <v>2</v>
      </c>
    </row>
    <row r="696" spans="1:15">
      <c r="A696">
        <v>1725</v>
      </c>
      <c r="B696" t="s">
        <v>346</v>
      </c>
      <c r="C696" s="1">
        <v>46083</v>
      </c>
      <c r="D696" s="1">
        <v>46083</v>
      </c>
      <c r="E696" s="1">
        <v>46088</v>
      </c>
      <c r="F696" s="1">
        <v>46087</v>
      </c>
      <c r="G696" s="1">
        <v>46088</v>
      </c>
      <c r="H696">
        <f t="shared" si="51"/>
        <v>0</v>
      </c>
      <c r="I696" t="str">
        <f t="shared" si="52"/>
        <v>SwiftShip</v>
      </c>
      <c r="J696" t="str">
        <f>VLOOKUP(A696,Orders!$A$2:$D$1201,4,FALSE)</f>
        <v>Delivered</v>
      </c>
      <c r="K696" t="str">
        <f t="shared" si="53"/>
        <v>On time</v>
      </c>
      <c r="L696" t="str">
        <f t="shared" si="54"/>
        <v>On time</v>
      </c>
      <c r="O696">
        <f t="shared" si="55"/>
        <v>1</v>
      </c>
    </row>
    <row r="697" spans="1:15">
      <c r="A697">
        <v>1726</v>
      </c>
      <c r="B697" t="s">
        <v>347</v>
      </c>
      <c r="C697" s="1">
        <v>46203</v>
      </c>
      <c r="D697" s="1">
        <v>46203</v>
      </c>
      <c r="E697" s="1">
        <v>46208</v>
      </c>
      <c r="F697" s="1">
        <v>46207</v>
      </c>
      <c r="G697" s="1">
        <v>46209</v>
      </c>
      <c r="H697">
        <f t="shared" si="51"/>
        <v>0</v>
      </c>
      <c r="I697" t="str">
        <f t="shared" si="52"/>
        <v>ParcelOne</v>
      </c>
      <c r="J697" t="str">
        <f>VLOOKUP(A697,Orders!$A$2:$D$1201,4,FALSE)</f>
        <v>Delivered</v>
      </c>
      <c r="K697" t="str">
        <f t="shared" si="53"/>
        <v>On time</v>
      </c>
      <c r="L697" t="str">
        <f t="shared" si="54"/>
        <v>On time</v>
      </c>
      <c r="O697">
        <f t="shared" si="55"/>
        <v>2</v>
      </c>
    </row>
    <row r="698" spans="1:15">
      <c r="A698">
        <v>1727</v>
      </c>
      <c r="B698" t="s">
        <v>348</v>
      </c>
      <c r="C698" s="1">
        <v>46152</v>
      </c>
      <c r="D698" s="1">
        <v>46152</v>
      </c>
      <c r="E698" s="1">
        <v>46157</v>
      </c>
      <c r="F698" s="1">
        <v>46158</v>
      </c>
      <c r="G698" s="1">
        <v>46158</v>
      </c>
      <c r="H698">
        <f t="shared" si="51"/>
        <v>0</v>
      </c>
      <c r="I698" t="str">
        <f t="shared" si="52"/>
        <v>MetroLogistics</v>
      </c>
      <c r="J698" t="str">
        <f>VLOOKUP(A698,Orders!$A$2:$D$1201,4,FALSE)</f>
        <v>Delivered</v>
      </c>
      <c r="K698" t="str">
        <f t="shared" si="53"/>
        <v>Late</v>
      </c>
      <c r="L698" t="str">
        <f t="shared" si="54"/>
        <v>On time</v>
      </c>
      <c r="O698">
        <f t="shared" si="55"/>
        <v>0</v>
      </c>
    </row>
    <row r="699" spans="1:15">
      <c r="A699">
        <v>1728</v>
      </c>
      <c r="B699" t="s">
        <v>348</v>
      </c>
      <c r="C699" s="1">
        <v>46030</v>
      </c>
      <c r="D699" s="1">
        <v>46030</v>
      </c>
      <c r="E699" s="1">
        <v>46035</v>
      </c>
      <c r="F699" s="1">
        <v>46036</v>
      </c>
      <c r="G699" s="1">
        <v>46038</v>
      </c>
      <c r="H699">
        <f t="shared" si="51"/>
        <v>0</v>
      </c>
      <c r="I699" t="str">
        <f t="shared" si="52"/>
        <v>MetroLogistics</v>
      </c>
      <c r="J699" t="str">
        <f>VLOOKUP(A699,Orders!$A$2:$D$1201,4,FALSE)</f>
        <v>Delivered</v>
      </c>
      <c r="K699" t="str">
        <f t="shared" si="53"/>
        <v>Late</v>
      </c>
      <c r="L699" t="str">
        <f t="shared" si="54"/>
        <v>On time</v>
      </c>
      <c r="O699">
        <f t="shared" si="55"/>
        <v>2</v>
      </c>
    </row>
    <row r="700" spans="1:15">
      <c r="A700">
        <v>1729</v>
      </c>
      <c r="B700" t="s">
        <v>346</v>
      </c>
      <c r="C700" s="1">
        <v>46125</v>
      </c>
      <c r="E700" s="1">
        <v>46130</v>
      </c>
      <c r="H700">
        <f t="shared" si="51"/>
        <v>0</v>
      </c>
      <c r="I700" t="str">
        <f t="shared" si="52"/>
        <v>SwiftShip</v>
      </c>
      <c r="J700" t="str">
        <f>VLOOKUP(A700,Orders!$A$2:$D$1201,4,FALSE)</f>
        <v>Pending</v>
      </c>
      <c r="K700" t="str">
        <f t="shared" si="53"/>
        <v>Not delivered</v>
      </c>
      <c r="L700" t="str">
        <f t="shared" si="54"/>
        <v>Not dispatched</v>
      </c>
      <c r="O700" t="str">
        <f t="shared" si="55"/>
        <v/>
      </c>
    </row>
    <row r="701" spans="1:15">
      <c r="A701">
        <v>1730</v>
      </c>
      <c r="B701" t="s">
        <v>347</v>
      </c>
      <c r="C701" s="1">
        <v>46052</v>
      </c>
      <c r="D701" s="1">
        <v>46053</v>
      </c>
      <c r="E701" s="1">
        <v>46057</v>
      </c>
      <c r="F701" s="1">
        <v>46057</v>
      </c>
      <c r="G701" s="1">
        <v>46057</v>
      </c>
      <c r="H701">
        <f t="shared" si="51"/>
        <v>0</v>
      </c>
      <c r="I701" t="str">
        <f t="shared" si="52"/>
        <v>ParcelOne</v>
      </c>
      <c r="J701" t="str">
        <f>VLOOKUP(A701,Orders!$A$2:$D$1201,4,FALSE)</f>
        <v>Delivered</v>
      </c>
      <c r="K701" t="str">
        <f t="shared" si="53"/>
        <v>On time</v>
      </c>
      <c r="L701" t="str">
        <f t="shared" si="54"/>
        <v>Late</v>
      </c>
      <c r="O701">
        <f t="shared" si="55"/>
        <v>0</v>
      </c>
    </row>
    <row r="702" spans="1:15">
      <c r="A702">
        <v>1731</v>
      </c>
      <c r="B702" t="s">
        <v>346</v>
      </c>
      <c r="C702" s="1">
        <v>46042</v>
      </c>
      <c r="D702" s="1">
        <v>46042</v>
      </c>
      <c r="E702" s="1">
        <v>46047</v>
      </c>
      <c r="H702">
        <f t="shared" si="51"/>
        <v>0</v>
      </c>
      <c r="I702" t="str">
        <f t="shared" si="52"/>
        <v>SwiftShip</v>
      </c>
      <c r="J702" t="str">
        <f>VLOOKUP(A702,Orders!$A$2:$D$1201,4,FALSE)</f>
        <v>Shipped</v>
      </c>
      <c r="K702" t="str">
        <f t="shared" si="53"/>
        <v>Not delivered</v>
      </c>
      <c r="L702" t="str">
        <f t="shared" si="54"/>
        <v>On time</v>
      </c>
      <c r="O702" t="str">
        <f t="shared" si="55"/>
        <v/>
      </c>
    </row>
    <row r="703" spans="1:15">
      <c r="A703">
        <v>1732</v>
      </c>
      <c r="B703" t="s">
        <v>347</v>
      </c>
      <c r="C703" s="1">
        <v>46157</v>
      </c>
      <c r="D703" s="1">
        <v>46157</v>
      </c>
      <c r="E703" s="1">
        <v>46162</v>
      </c>
      <c r="F703" s="1">
        <v>46162</v>
      </c>
      <c r="G703" s="1">
        <v>46162</v>
      </c>
      <c r="H703">
        <f t="shared" si="51"/>
        <v>0</v>
      </c>
      <c r="I703" t="str">
        <f t="shared" si="52"/>
        <v>ParcelOne</v>
      </c>
      <c r="J703" t="str">
        <f>VLOOKUP(A703,Orders!$A$2:$D$1201,4,FALSE)</f>
        <v>Delivered</v>
      </c>
      <c r="K703" t="str">
        <f t="shared" si="53"/>
        <v>On time</v>
      </c>
      <c r="L703" t="str">
        <f t="shared" si="54"/>
        <v>On time</v>
      </c>
      <c r="O703">
        <f t="shared" si="55"/>
        <v>0</v>
      </c>
    </row>
    <row r="704" spans="1:15">
      <c r="A704">
        <v>1734</v>
      </c>
      <c r="B704" t="s">
        <v>348</v>
      </c>
      <c r="C704" s="1">
        <v>46179</v>
      </c>
      <c r="D704" s="1">
        <v>46181</v>
      </c>
      <c r="E704" s="1">
        <v>46184</v>
      </c>
      <c r="F704" s="1">
        <v>46184</v>
      </c>
      <c r="G704" s="1">
        <v>46185</v>
      </c>
      <c r="H704">
        <f t="shared" si="51"/>
        <v>0</v>
      </c>
      <c r="I704" t="str">
        <f t="shared" si="52"/>
        <v>MetroLogistics</v>
      </c>
      <c r="J704" t="str">
        <f>VLOOKUP(A704,Orders!$A$2:$D$1201,4,FALSE)</f>
        <v>Delivered</v>
      </c>
      <c r="K704" t="str">
        <f t="shared" si="53"/>
        <v>On time</v>
      </c>
      <c r="L704" t="str">
        <f t="shared" si="54"/>
        <v>Late</v>
      </c>
      <c r="O704">
        <f t="shared" si="55"/>
        <v>1</v>
      </c>
    </row>
    <row r="705" spans="1:15">
      <c r="A705">
        <v>1735</v>
      </c>
      <c r="B705" t="s">
        <v>348</v>
      </c>
      <c r="C705" s="1">
        <v>46088</v>
      </c>
      <c r="D705" s="1">
        <v>46088</v>
      </c>
      <c r="E705" s="1">
        <v>46093</v>
      </c>
      <c r="F705" s="1">
        <v>46095</v>
      </c>
      <c r="G705" s="1">
        <v>46095</v>
      </c>
      <c r="H705">
        <f t="shared" si="51"/>
        <v>0</v>
      </c>
      <c r="I705" t="str">
        <f t="shared" si="52"/>
        <v>MetroLogistics</v>
      </c>
      <c r="J705" t="str">
        <f>VLOOKUP(A705,Orders!$A$2:$D$1201,4,FALSE)</f>
        <v>Delivered</v>
      </c>
      <c r="K705" t="str">
        <f t="shared" si="53"/>
        <v>Late</v>
      </c>
      <c r="L705" t="str">
        <f t="shared" si="54"/>
        <v>On time</v>
      </c>
      <c r="O705">
        <f t="shared" si="55"/>
        <v>0</v>
      </c>
    </row>
    <row r="706" spans="1:15">
      <c r="A706">
        <v>1736</v>
      </c>
      <c r="B706" t="s">
        <v>347</v>
      </c>
      <c r="C706" s="1">
        <v>46101</v>
      </c>
      <c r="D706" s="1">
        <v>46101</v>
      </c>
      <c r="E706" s="1">
        <v>46106</v>
      </c>
      <c r="F706" s="1">
        <v>46106</v>
      </c>
      <c r="G706" s="1">
        <v>46106</v>
      </c>
      <c r="H706">
        <f t="shared" si="51"/>
        <v>0</v>
      </c>
      <c r="I706" t="str">
        <f t="shared" si="52"/>
        <v>ParcelOne</v>
      </c>
      <c r="J706" t="str">
        <f>VLOOKUP(A706,Orders!$A$2:$D$1201,4,FALSE)</f>
        <v>Delivered</v>
      </c>
      <c r="K706" t="str">
        <f t="shared" si="53"/>
        <v>On time</v>
      </c>
      <c r="L706" t="str">
        <f t="shared" si="54"/>
        <v>On time</v>
      </c>
      <c r="O706">
        <f t="shared" si="55"/>
        <v>0</v>
      </c>
    </row>
    <row r="707" spans="1:15">
      <c r="A707">
        <v>1737</v>
      </c>
      <c r="B707" t="s">
        <v>347</v>
      </c>
      <c r="C707" s="1">
        <v>46125</v>
      </c>
      <c r="D707" s="1">
        <v>46126</v>
      </c>
      <c r="E707" s="1">
        <v>46130</v>
      </c>
      <c r="F707" s="1">
        <v>46130</v>
      </c>
      <c r="G707" s="1">
        <v>46130</v>
      </c>
      <c r="H707">
        <f t="shared" ref="H707:H770" si="56">LEN(B707)-LEN(TRIM(B707))</f>
        <v>0</v>
      </c>
      <c r="I707" t="str">
        <f t="shared" ref="I707:I770" si="57">TRIM(B707)</f>
        <v>ParcelOne</v>
      </c>
      <c r="J707" t="str">
        <f>VLOOKUP(A707,Orders!$A$2:$D$1201,4,FALSE)</f>
        <v>Delivered</v>
      </c>
      <c r="K707" t="str">
        <f t="shared" ref="K707:K770" si="58">IF(J707&lt;&gt;"Delivered","Not delivered",IF(OR(E707="",F707=""),"Unknown",IF(F707&lt;=E707,"On time","Late")))</f>
        <v>On time</v>
      </c>
      <c r="L707" t="str">
        <f t="shared" ref="L707:L770" si="59">IF(D707="","Not dispatched",IF(C707="","Unknown",IF(D707&lt;=C707,"On time","Late")))</f>
        <v>Late</v>
      </c>
      <c r="O707">
        <f t="shared" ref="O707:O770" si="60">IF(OR(F707="",G707=""),"",G707-F707)</f>
        <v>0</v>
      </c>
    </row>
    <row r="708" spans="1:15">
      <c r="A708">
        <v>1738</v>
      </c>
      <c r="B708" t="s">
        <v>346</v>
      </c>
      <c r="C708" s="1">
        <v>46203</v>
      </c>
      <c r="D708" s="1">
        <v>46203</v>
      </c>
      <c r="E708" s="1">
        <v>46208</v>
      </c>
      <c r="F708" s="1">
        <v>46207</v>
      </c>
      <c r="G708" s="1">
        <v>46207</v>
      </c>
      <c r="H708">
        <f t="shared" si="56"/>
        <v>0</v>
      </c>
      <c r="I708" t="str">
        <f t="shared" si="57"/>
        <v>SwiftShip</v>
      </c>
      <c r="J708" t="str">
        <f>VLOOKUP(A708,Orders!$A$2:$D$1201,4,FALSE)</f>
        <v>Delivered</v>
      </c>
      <c r="K708" t="str">
        <f t="shared" si="58"/>
        <v>On time</v>
      </c>
      <c r="L708" t="str">
        <f t="shared" si="59"/>
        <v>On time</v>
      </c>
      <c r="O708">
        <f t="shared" si="60"/>
        <v>0</v>
      </c>
    </row>
    <row r="709" spans="1:15">
      <c r="A709">
        <v>1739</v>
      </c>
      <c r="B709" t="s">
        <v>348</v>
      </c>
      <c r="C709" s="1">
        <v>46129</v>
      </c>
      <c r="D709" s="1">
        <v>46129</v>
      </c>
      <c r="E709" s="1">
        <v>46134</v>
      </c>
      <c r="F709" s="1">
        <v>46132</v>
      </c>
      <c r="G709" s="1">
        <v>46132</v>
      </c>
      <c r="H709">
        <f t="shared" si="56"/>
        <v>0</v>
      </c>
      <c r="I709" t="str">
        <f t="shared" si="57"/>
        <v>MetroLogistics</v>
      </c>
      <c r="J709" t="str">
        <f>VLOOKUP(A709,Orders!$A$2:$D$1201,4,FALSE)</f>
        <v>Delivered</v>
      </c>
      <c r="K709" t="str">
        <f t="shared" si="58"/>
        <v>On time</v>
      </c>
      <c r="L709" t="str">
        <f t="shared" si="59"/>
        <v>On time</v>
      </c>
      <c r="O709">
        <f t="shared" si="60"/>
        <v>0</v>
      </c>
    </row>
    <row r="710" spans="1:15">
      <c r="A710">
        <v>1740</v>
      </c>
      <c r="B710" t="s">
        <v>346</v>
      </c>
      <c r="C710" s="1">
        <v>46143</v>
      </c>
      <c r="D710" s="1">
        <v>46143</v>
      </c>
      <c r="E710" s="1">
        <v>46148</v>
      </c>
      <c r="F710" s="1">
        <v>46147</v>
      </c>
      <c r="G710" s="1">
        <v>46149</v>
      </c>
      <c r="H710">
        <f t="shared" si="56"/>
        <v>0</v>
      </c>
      <c r="I710" t="str">
        <f t="shared" si="57"/>
        <v>SwiftShip</v>
      </c>
      <c r="J710" t="str">
        <f>VLOOKUP(A710,Orders!$A$2:$D$1201,4,FALSE)</f>
        <v>Delivered</v>
      </c>
      <c r="K710" t="str">
        <f t="shared" si="58"/>
        <v>On time</v>
      </c>
      <c r="L710" t="str">
        <f t="shared" si="59"/>
        <v>On time</v>
      </c>
      <c r="O710">
        <f t="shared" si="60"/>
        <v>2</v>
      </c>
    </row>
    <row r="711" spans="1:15">
      <c r="A711">
        <v>1741</v>
      </c>
      <c r="B711" t="s">
        <v>347</v>
      </c>
      <c r="C711" s="1">
        <v>46196</v>
      </c>
      <c r="D711" s="1">
        <v>46196</v>
      </c>
      <c r="E711" s="1">
        <v>46201</v>
      </c>
      <c r="F711" s="1">
        <v>46202</v>
      </c>
      <c r="G711" s="1">
        <v>46203</v>
      </c>
      <c r="H711">
        <f t="shared" si="56"/>
        <v>0</v>
      </c>
      <c r="I711" t="str">
        <f t="shared" si="57"/>
        <v>ParcelOne</v>
      </c>
      <c r="J711" t="str">
        <f>VLOOKUP(A711,Orders!$A$2:$D$1201,4,FALSE)</f>
        <v>Delivered</v>
      </c>
      <c r="K711" t="str">
        <f t="shared" si="58"/>
        <v>Late</v>
      </c>
      <c r="L711" t="str">
        <f t="shared" si="59"/>
        <v>On time</v>
      </c>
      <c r="O711">
        <f t="shared" si="60"/>
        <v>1</v>
      </c>
    </row>
    <row r="712" spans="1:15">
      <c r="A712">
        <v>1742</v>
      </c>
      <c r="B712" t="s">
        <v>347</v>
      </c>
      <c r="C712" s="1">
        <v>46029</v>
      </c>
      <c r="D712" s="1">
        <v>46029</v>
      </c>
      <c r="E712" s="1">
        <v>46034</v>
      </c>
      <c r="F712" s="1">
        <v>46035</v>
      </c>
      <c r="G712" s="1">
        <v>46035</v>
      </c>
      <c r="H712">
        <f t="shared" si="56"/>
        <v>0</v>
      </c>
      <c r="I712" t="str">
        <f t="shared" si="57"/>
        <v>ParcelOne</v>
      </c>
      <c r="J712" t="str">
        <f>VLOOKUP(A712,Orders!$A$2:$D$1201,4,FALSE)</f>
        <v>Delivered</v>
      </c>
      <c r="K712" t="str">
        <f t="shared" si="58"/>
        <v>Late</v>
      </c>
      <c r="L712" t="str">
        <f t="shared" si="59"/>
        <v>On time</v>
      </c>
      <c r="O712">
        <f t="shared" si="60"/>
        <v>0</v>
      </c>
    </row>
    <row r="713" spans="1:15">
      <c r="A713">
        <v>1743</v>
      </c>
      <c r="B713" t="s">
        <v>348</v>
      </c>
      <c r="C713" s="1">
        <v>46137</v>
      </c>
      <c r="D713" s="1">
        <v>46138</v>
      </c>
      <c r="E713" s="1">
        <v>46142</v>
      </c>
      <c r="F713" s="1">
        <v>46143</v>
      </c>
      <c r="G713" s="1">
        <v>46143</v>
      </c>
      <c r="H713">
        <f t="shared" si="56"/>
        <v>0</v>
      </c>
      <c r="I713" t="str">
        <f t="shared" si="57"/>
        <v>MetroLogistics</v>
      </c>
      <c r="J713" t="str">
        <f>VLOOKUP(A713,Orders!$A$2:$D$1201,4,FALSE)</f>
        <v>Delivered</v>
      </c>
      <c r="K713" t="str">
        <f t="shared" si="58"/>
        <v>Late</v>
      </c>
      <c r="L713" t="str">
        <f t="shared" si="59"/>
        <v>Late</v>
      </c>
      <c r="O713">
        <f t="shared" si="60"/>
        <v>0</v>
      </c>
    </row>
    <row r="714" spans="1:15">
      <c r="A714">
        <v>1745</v>
      </c>
      <c r="B714" t="s">
        <v>347</v>
      </c>
      <c r="C714" s="1">
        <v>46076</v>
      </c>
      <c r="D714" s="1">
        <v>46076</v>
      </c>
      <c r="E714" s="1">
        <v>46081</v>
      </c>
      <c r="H714">
        <f t="shared" si="56"/>
        <v>0</v>
      </c>
      <c r="I714" t="str">
        <f t="shared" si="57"/>
        <v>ParcelOne</v>
      </c>
      <c r="J714" t="str">
        <f>VLOOKUP(A714,Orders!$A$2:$D$1201,4,FALSE)</f>
        <v>Shipped</v>
      </c>
      <c r="K714" t="str">
        <f t="shared" si="58"/>
        <v>Not delivered</v>
      </c>
      <c r="L714" t="str">
        <f t="shared" si="59"/>
        <v>On time</v>
      </c>
      <c r="O714" t="str">
        <f t="shared" si="60"/>
        <v/>
      </c>
    </row>
    <row r="715" spans="1:15">
      <c r="A715">
        <v>1746</v>
      </c>
      <c r="B715" t="s">
        <v>346</v>
      </c>
      <c r="C715" s="1">
        <v>46028</v>
      </c>
      <c r="D715" s="1">
        <v>46028</v>
      </c>
      <c r="E715" s="1">
        <v>46033</v>
      </c>
      <c r="F715" s="1">
        <v>46033</v>
      </c>
      <c r="G715" s="1">
        <v>46034</v>
      </c>
      <c r="H715">
        <f t="shared" si="56"/>
        <v>0</v>
      </c>
      <c r="I715" t="str">
        <f t="shared" si="57"/>
        <v>SwiftShip</v>
      </c>
      <c r="J715" t="str">
        <f>VLOOKUP(A715,Orders!$A$2:$D$1201,4,FALSE)</f>
        <v>Delivered</v>
      </c>
      <c r="K715" t="str">
        <f t="shared" si="58"/>
        <v>On time</v>
      </c>
      <c r="L715" t="str">
        <f t="shared" si="59"/>
        <v>On time</v>
      </c>
      <c r="O715">
        <f t="shared" si="60"/>
        <v>1</v>
      </c>
    </row>
    <row r="716" spans="1:15">
      <c r="A716">
        <v>1747</v>
      </c>
      <c r="B716" t="s">
        <v>346</v>
      </c>
      <c r="C716" s="1">
        <v>46168</v>
      </c>
      <c r="D716" s="1">
        <v>46168</v>
      </c>
      <c r="E716" s="1">
        <v>46173</v>
      </c>
      <c r="F716" s="1">
        <v>46172</v>
      </c>
      <c r="G716" s="1">
        <v>46172</v>
      </c>
      <c r="H716">
        <f t="shared" si="56"/>
        <v>0</v>
      </c>
      <c r="I716" t="str">
        <f t="shared" si="57"/>
        <v>SwiftShip</v>
      </c>
      <c r="J716" t="str">
        <f>VLOOKUP(A716,Orders!$A$2:$D$1201,4,FALSE)</f>
        <v>Delivered</v>
      </c>
      <c r="K716" t="str">
        <f t="shared" si="58"/>
        <v>On time</v>
      </c>
      <c r="L716" t="str">
        <f t="shared" si="59"/>
        <v>On time</v>
      </c>
      <c r="O716">
        <f t="shared" si="60"/>
        <v>0</v>
      </c>
    </row>
    <row r="717" spans="1:15">
      <c r="A717">
        <v>1748</v>
      </c>
      <c r="B717" t="s">
        <v>347</v>
      </c>
      <c r="C717" s="1">
        <v>46028</v>
      </c>
      <c r="D717" s="1">
        <v>46028</v>
      </c>
      <c r="E717" s="1">
        <v>46033</v>
      </c>
      <c r="F717" s="1">
        <v>46033</v>
      </c>
      <c r="G717" s="1">
        <v>46033</v>
      </c>
      <c r="H717">
        <f t="shared" si="56"/>
        <v>0</v>
      </c>
      <c r="I717" t="str">
        <f t="shared" si="57"/>
        <v>ParcelOne</v>
      </c>
      <c r="J717" t="str">
        <f>VLOOKUP(A717,Orders!$A$2:$D$1201,4,FALSE)</f>
        <v>Delivered</v>
      </c>
      <c r="K717" t="str">
        <f t="shared" si="58"/>
        <v>On time</v>
      </c>
      <c r="L717" t="str">
        <f t="shared" si="59"/>
        <v>On time</v>
      </c>
      <c r="O717">
        <f t="shared" si="60"/>
        <v>0</v>
      </c>
    </row>
    <row r="718" spans="1:15">
      <c r="A718">
        <v>1749</v>
      </c>
      <c r="B718" t="s">
        <v>348</v>
      </c>
      <c r="C718" s="1">
        <v>46130</v>
      </c>
      <c r="D718" s="1">
        <v>46130</v>
      </c>
      <c r="E718" s="1">
        <v>46135</v>
      </c>
      <c r="F718" s="1">
        <v>46134</v>
      </c>
      <c r="G718" s="1">
        <v>46134</v>
      </c>
      <c r="H718">
        <f t="shared" si="56"/>
        <v>0</v>
      </c>
      <c r="I718" t="str">
        <f t="shared" si="57"/>
        <v>MetroLogistics</v>
      </c>
      <c r="J718" t="str">
        <f>VLOOKUP(A718,Orders!$A$2:$D$1201,4,FALSE)</f>
        <v>Delivered</v>
      </c>
      <c r="K718" t="str">
        <f t="shared" si="58"/>
        <v>On time</v>
      </c>
      <c r="L718" t="str">
        <f t="shared" si="59"/>
        <v>On time</v>
      </c>
      <c r="O718">
        <f t="shared" si="60"/>
        <v>0</v>
      </c>
    </row>
    <row r="719" spans="1:15">
      <c r="A719">
        <v>1750</v>
      </c>
      <c r="B719" t="s">
        <v>346</v>
      </c>
      <c r="C719" s="1">
        <v>46203</v>
      </c>
      <c r="D719" s="1">
        <v>46203</v>
      </c>
      <c r="E719" s="1">
        <v>46208</v>
      </c>
      <c r="F719" s="1">
        <v>46206</v>
      </c>
      <c r="G719" s="1">
        <v>46208</v>
      </c>
      <c r="H719">
        <f t="shared" si="56"/>
        <v>0</v>
      </c>
      <c r="I719" t="str">
        <f t="shared" si="57"/>
        <v>SwiftShip</v>
      </c>
      <c r="J719" t="str">
        <f>VLOOKUP(A719,Orders!$A$2:$D$1201,4,FALSE)</f>
        <v>Delivered</v>
      </c>
      <c r="K719" t="str">
        <f t="shared" si="58"/>
        <v>On time</v>
      </c>
      <c r="L719" t="str">
        <f t="shared" si="59"/>
        <v>On time</v>
      </c>
      <c r="O719">
        <f t="shared" si="60"/>
        <v>2</v>
      </c>
    </row>
    <row r="720" spans="1:15">
      <c r="A720">
        <v>1751</v>
      </c>
      <c r="B720" t="s">
        <v>347</v>
      </c>
      <c r="C720" s="1">
        <v>46122</v>
      </c>
      <c r="D720" s="1">
        <v>46122</v>
      </c>
      <c r="E720" s="1">
        <v>46127</v>
      </c>
      <c r="F720" s="1">
        <v>46127</v>
      </c>
      <c r="G720" s="1">
        <v>46127</v>
      </c>
      <c r="H720">
        <f t="shared" si="56"/>
        <v>0</v>
      </c>
      <c r="I720" t="str">
        <f t="shared" si="57"/>
        <v>ParcelOne</v>
      </c>
      <c r="J720" t="str">
        <f>VLOOKUP(A720,Orders!$A$2:$D$1201,4,FALSE)</f>
        <v>Delivered</v>
      </c>
      <c r="K720" t="str">
        <f t="shared" si="58"/>
        <v>On time</v>
      </c>
      <c r="L720" t="str">
        <f t="shared" si="59"/>
        <v>On time</v>
      </c>
      <c r="O720">
        <f t="shared" si="60"/>
        <v>0</v>
      </c>
    </row>
    <row r="721" spans="1:15">
      <c r="A721">
        <v>1752</v>
      </c>
      <c r="B721" t="s">
        <v>346</v>
      </c>
      <c r="C721" s="1">
        <v>46040</v>
      </c>
      <c r="D721" s="1">
        <v>46040</v>
      </c>
      <c r="E721" s="1">
        <v>46045</v>
      </c>
      <c r="F721" s="1">
        <v>46044</v>
      </c>
      <c r="G721" s="1">
        <v>46044</v>
      </c>
      <c r="H721">
        <f t="shared" si="56"/>
        <v>0</v>
      </c>
      <c r="I721" t="str">
        <f t="shared" si="57"/>
        <v>SwiftShip</v>
      </c>
      <c r="J721" t="str">
        <f>VLOOKUP(A721,Orders!$A$2:$D$1201,4,FALSE)</f>
        <v>Delivered</v>
      </c>
      <c r="K721" t="str">
        <f t="shared" si="58"/>
        <v>On time</v>
      </c>
      <c r="L721" t="str">
        <f t="shared" si="59"/>
        <v>On time</v>
      </c>
      <c r="O721">
        <f t="shared" si="60"/>
        <v>0</v>
      </c>
    </row>
    <row r="722" spans="1:15">
      <c r="A722">
        <v>1753</v>
      </c>
      <c r="B722" t="s">
        <v>348</v>
      </c>
      <c r="C722" s="1">
        <v>46109</v>
      </c>
      <c r="D722" s="1">
        <v>46110</v>
      </c>
      <c r="E722" s="1">
        <v>46114</v>
      </c>
      <c r="F722" s="1">
        <v>46114</v>
      </c>
      <c r="G722" s="1">
        <v>46114</v>
      </c>
      <c r="H722">
        <f t="shared" si="56"/>
        <v>0</v>
      </c>
      <c r="I722" t="str">
        <f t="shared" si="57"/>
        <v>MetroLogistics</v>
      </c>
      <c r="J722" t="str">
        <f>VLOOKUP(A722,Orders!$A$2:$D$1201,4,FALSE)</f>
        <v>Delivered</v>
      </c>
      <c r="K722" t="str">
        <f t="shared" si="58"/>
        <v>On time</v>
      </c>
      <c r="L722" t="str">
        <f t="shared" si="59"/>
        <v>Late</v>
      </c>
      <c r="O722">
        <f t="shared" si="60"/>
        <v>0</v>
      </c>
    </row>
    <row r="723" spans="1:15">
      <c r="A723">
        <v>1755</v>
      </c>
      <c r="B723" t="s">
        <v>348</v>
      </c>
      <c r="C723" s="1">
        <v>46138</v>
      </c>
      <c r="D723" s="1">
        <v>46140</v>
      </c>
      <c r="E723" s="1">
        <v>46143</v>
      </c>
      <c r="F723" s="1">
        <v>46142</v>
      </c>
      <c r="G723" s="1">
        <v>46142</v>
      </c>
      <c r="H723">
        <f t="shared" si="56"/>
        <v>0</v>
      </c>
      <c r="I723" t="str">
        <f t="shared" si="57"/>
        <v>MetroLogistics</v>
      </c>
      <c r="J723" t="str">
        <f>VLOOKUP(A723,Orders!$A$2:$D$1201,4,FALSE)</f>
        <v>Delivered</v>
      </c>
      <c r="K723" t="str">
        <f t="shared" si="58"/>
        <v>On time</v>
      </c>
      <c r="L723" t="str">
        <f t="shared" si="59"/>
        <v>Late</v>
      </c>
      <c r="O723">
        <f t="shared" si="60"/>
        <v>0</v>
      </c>
    </row>
    <row r="724" spans="1:15">
      <c r="A724">
        <v>1756</v>
      </c>
      <c r="B724" t="s">
        <v>347</v>
      </c>
      <c r="C724" s="1">
        <v>46077</v>
      </c>
      <c r="D724" s="1">
        <v>46077</v>
      </c>
      <c r="E724" s="1">
        <v>46082</v>
      </c>
      <c r="F724" s="1">
        <v>46081</v>
      </c>
      <c r="G724" s="1">
        <v>46081</v>
      </c>
      <c r="H724">
        <f t="shared" si="56"/>
        <v>0</v>
      </c>
      <c r="I724" t="str">
        <f t="shared" si="57"/>
        <v>ParcelOne</v>
      </c>
      <c r="J724" t="str">
        <f>VLOOKUP(A724,Orders!$A$2:$D$1201,4,FALSE)</f>
        <v>Delivered</v>
      </c>
      <c r="K724" t="str">
        <f t="shared" si="58"/>
        <v>On time</v>
      </c>
      <c r="L724" t="str">
        <f t="shared" si="59"/>
        <v>On time</v>
      </c>
      <c r="O724">
        <f t="shared" si="60"/>
        <v>0</v>
      </c>
    </row>
    <row r="725" spans="1:15">
      <c r="A725">
        <v>1757</v>
      </c>
      <c r="B725" t="s">
        <v>348</v>
      </c>
      <c r="C725" s="1">
        <v>46102</v>
      </c>
      <c r="D725" s="1">
        <v>46102</v>
      </c>
      <c r="E725" s="1">
        <v>46107</v>
      </c>
      <c r="F725" s="1">
        <v>46107</v>
      </c>
      <c r="G725" s="1">
        <v>46107</v>
      </c>
      <c r="H725">
        <f t="shared" si="56"/>
        <v>0</v>
      </c>
      <c r="I725" t="str">
        <f t="shared" si="57"/>
        <v>MetroLogistics</v>
      </c>
      <c r="J725" t="str">
        <f>VLOOKUP(A725,Orders!$A$2:$D$1201,4,FALSE)</f>
        <v>Delivered</v>
      </c>
      <c r="K725" t="str">
        <f t="shared" si="58"/>
        <v>On time</v>
      </c>
      <c r="L725" t="str">
        <f t="shared" si="59"/>
        <v>On time</v>
      </c>
      <c r="O725">
        <f t="shared" si="60"/>
        <v>0</v>
      </c>
    </row>
    <row r="726" spans="1:15">
      <c r="A726">
        <v>1758</v>
      </c>
      <c r="B726" t="s">
        <v>348</v>
      </c>
      <c r="C726" s="1">
        <v>46135</v>
      </c>
      <c r="D726" s="1">
        <v>46136</v>
      </c>
      <c r="E726" s="1">
        <v>46140</v>
      </c>
      <c r="F726" s="1">
        <v>46141</v>
      </c>
      <c r="G726" s="1">
        <v>46143</v>
      </c>
      <c r="H726">
        <f t="shared" si="56"/>
        <v>0</v>
      </c>
      <c r="I726" t="str">
        <f t="shared" si="57"/>
        <v>MetroLogistics</v>
      </c>
      <c r="J726" t="str">
        <f>VLOOKUP(A726,Orders!$A$2:$D$1201,4,FALSE)</f>
        <v>Delivered</v>
      </c>
      <c r="K726" t="str">
        <f t="shared" si="58"/>
        <v>Late</v>
      </c>
      <c r="L726" t="str">
        <f t="shared" si="59"/>
        <v>Late</v>
      </c>
      <c r="O726">
        <f t="shared" si="60"/>
        <v>2</v>
      </c>
    </row>
    <row r="727" spans="1:15">
      <c r="A727">
        <v>1759</v>
      </c>
      <c r="B727" t="s">
        <v>346</v>
      </c>
      <c r="C727" s="1">
        <v>46162</v>
      </c>
      <c r="D727" s="1">
        <v>46162</v>
      </c>
      <c r="E727" s="1">
        <v>46167</v>
      </c>
      <c r="F727" s="1">
        <v>46167</v>
      </c>
      <c r="G727" s="1">
        <v>46167</v>
      </c>
      <c r="H727">
        <f t="shared" si="56"/>
        <v>0</v>
      </c>
      <c r="I727" t="str">
        <f t="shared" si="57"/>
        <v>SwiftShip</v>
      </c>
      <c r="J727" t="str">
        <f>VLOOKUP(A727,Orders!$A$2:$D$1201,4,FALSE)</f>
        <v>Delivered</v>
      </c>
      <c r="K727" t="str">
        <f t="shared" si="58"/>
        <v>On time</v>
      </c>
      <c r="L727" t="str">
        <f t="shared" si="59"/>
        <v>On time</v>
      </c>
      <c r="O727">
        <f t="shared" si="60"/>
        <v>0</v>
      </c>
    </row>
    <row r="728" spans="1:15">
      <c r="A728">
        <v>1760</v>
      </c>
      <c r="B728" t="s">
        <v>346</v>
      </c>
      <c r="C728" s="1">
        <v>46059</v>
      </c>
      <c r="D728" s="1">
        <v>46059</v>
      </c>
      <c r="E728" s="1">
        <v>46064</v>
      </c>
      <c r="F728" s="1">
        <v>46064</v>
      </c>
      <c r="G728" s="1">
        <v>46064</v>
      </c>
      <c r="H728">
        <f t="shared" si="56"/>
        <v>0</v>
      </c>
      <c r="I728" t="str">
        <f t="shared" si="57"/>
        <v>SwiftShip</v>
      </c>
      <c r="J728" t="str">
        <f>VLOOKUP(A728,Orders!$A$2:$D$1201,4,FALSE)</f>
        <v>Delivered</v>
      </c>
      <c r="K728" t="str">
        <f t="shared" si="58"/>
        <v>On time</v>
      </c>
      <c r="L728" t="str">
        <f t="shared" si="59"/>
        <v>On time</v>
      </c>
      <c r="O728">
        <f t="shared" si="60"/>
        <v>0</v>
      </c>
    </row>
    <row r="729" spans="1:15">
      <c r="A729">
        <v>1761</v>
      </c>
      <c r="B729" t="s">
        <v>347</v>
      </c>
      <c r="C729" s="1">
        <v>46128</v>
      </c>
      <c r="D729" s="1">
        <v>46129</v>
      </c>
      <c r="E729" s="1">
        <v>46133</v>
      </c>
      <c r="H729">
        <f t="shared" si="56"/>
        <v>0</v>
      </c>
      <c r="I729" t="str">
        <f t="shared" si="57"/>
        <v>ParcelOne</v>
      </c>
      <c r="J729" t="str">
        <f>VLOOKUP(A729,Orders!$A$2:$D$1201,4,FALSE)</f>
        <v>Shipped</v>
      </c>
      <c r="K729" t="str">
        <f t="shared" si="58"/>
        <v>Not delivered</v>
      </c>
      <c r="L729" t="str">
        <f t="shared" si="59"/>
        <v>Late</v>
      </c>
      <c r="O729" t="str">
        <f t="shared" si="60"/>
        <v/>
      </c>
    </row>
    <row r="730" spans="1:15">
      <c r="A730">
        <v>1762</v>
      </c>
      <c r="B730" t="s">
        <v>348</v>
      </c>
      <c r="C730" s="1">
        <v>46123</v>
      </c>
      <c r="D730" s="1">
        <v>46123</v>
      </c>
      <c r="E730" s="1">
        <v>46128</v>
      </c>
      <c r="H730">
        <f t="shared" si="56"/>
        <v>0</v>
      </c>
      <c r="I730" t="str">
        <f t="shared" si="57"/>
        <v>MetroLogistics</v>
      </c>
      <c r="J730" t="str">
        <f>VLOOKUP(A730,Orders!$A$2:$D$1201,4,FALSE)</f>
        <v>Shipped</v>
      </c>
      <c r="K730" t="str">
        <f t="shared" si="58"/>
        <v>Not delivered</v>
      </c>
      <c r="L730" t="str">
        <f t="shared" si="59"/>
        <v>On time</v>
      </c>
      <c r="O730" t="str">
        <f t="shared" si="60"/>
        <v/>
      </c>
    </row>
    <row r="731" spans="1:15">
      <c r="A731">
        <v>1763</v>
      </c>
      <c r="B731" t="s">
        <v>348</v>
      </c>
      <c r="C731" s="1">
        <v>46114</v>
      </c>
      <c r="D731" s="1">
        <v>46114</v>
      </c>
      <c r="E731" s="1">
        <v>46119</v>
      </c>
      <c r="F731" s="1">
        <v>46117</v>
      </c>
      <c r="G731" s="1">
        <v>46118</v>
      </c>
      <c r="H731">
        <f t="shared" si="56"/>
        <v>0</v>
      </c>
      <c r="I731" t="str">
        <f t="shared" si="57"/>
        <v>MetroLogistics</v>
      </c>
      <c r="J731" t="str">
        <f>VLOOKUP(A731,Orders!$A$2:$D$1201,4,FALSE)</f>
        <v>Delivered</v>
      </c>
      <c r="K731" t="str">
        <f t="shared" si="58"/>
        <v>On time</v>
      </c>
      <c r="L731" t="str">
        <f t="shared" si="59"/>
        <v>On time</v>
      </c>
      <c r="O731">
        <f t="shared" si="60"/>
        <v>1</v>
      </c>
    </row>
    <row r="732" spans="1:15">
      <c r="A732">
        <v>1764</v>
      </c>
      <c r="B732" t="s">
        <v>347</v>
      </c>
      <c r="C732" s="1">
        <v>46205</v>
      </c>
      <c r="D732" s="1">
        <v>46205</v>
      </c>
      <c r="E732" s="1">
        <v>46210</v>
      </c>
      <c r="F732" s="1">
        <v>46210</v>
      </c>
      <c r="G732" s="1">
        <v>46210</v>
      </c>
      <c r="H732">
        <f t="shared" si="56"/>
        <v>0</v>
      </c>
      <c r="I732" t="str">
        <f t="shared" si="57"/>
        <v>ParcelOne</v>
      </c>
      <c r="J732" t="str">
        <f>VLOOKUP(A732,Orders!$A$2:$D$1201,4,FALSE)</f>
        <v>Delivered</v>
      </c>
      <c r="K732" t="str">
        <f t="shared" si="58"/>
        <v>On time</v>
      </c>
      <c r="L732" t="str">
        <f t="shared" si="59"/>
        <v>On time</v>
      </c>
      <c r="O732">
        <f t="shared" si="60"/>
        <v>0</v>
      </c>
    </row>
    <row r="733" spans="1:15">
      <c r="A733">
        <v>1765</v>
      </c>
      <c r="B733" t="s">
        <v>348</v>
      </c>
      <c r="C733" s="1">
        <v>46028</v>
      </c>
      <c r="D733" s="1">
        <v>46028</v>
      </c>
      <c r="E733" s="1">
        <v>46033</v>
      </c>
      <c r="F733" s="1">
        <v>46033</v>
      </c>
      <c r="G733" s="1">
        <v>46033</v>
      </c>
      <c r="H733">
        <f t="shared" si="56"/>
        <v>0</v>
      </c>
      <c r="I733" t="str">
        <f t="shared" si="57"/>
        <v>MetroLogistics</v>
      </c>
      <c r="J733" t="str">
        <f>VLOOKUP(A733,Orders!$A$2:$D$1201,4,FALSE)</f>
        <v>Delivered</v>
      </c>
      <c r="K733" t="str">
        <f t="shared" si="58"/>
        <v>On time</v>
      </c>
      <c r="L733" t="str">
        <f t="shared" si="59"/>
        <v>On time</v>
      </c>
      <c r="O733">
        <f t="shared" si="60"/>
        <v>0</v>
      </c>
    </row>
    <row r="734" spans="1:15">
      <c r="A734">
        <v>1766</v>
      </c>
      <c r="B734" t="s">
        <v>348</v>
      </c>
      <c r="C734" s="1">
        <v>46161</v>
      </c>
      <c r="D734" s="1">
        <v>46161</v>
      </c>
      <c r="E734" s="1">
        <v>46166</v>
      </c>
      <c r="F734" s="1">
        <v>46165</v>
      </c>
      <c r="G734" s="1">
        <v>46165</v>
      </c>
      <c r="H734">
        <f t="shared" si="56"/>
        <v>0</v>
      </c>
      <c r="I734" t="str">
        <f t="shared" si="57"/>
        <v>MetroLogistics</v>
      </c>
      <c r="J734" t="str">
        <f>VLOOKUP(A734,Orders!$A$2:$D$1201,4,FALSE)</f>
        <v>Delivered</v>
      </c>
      <c r="K734" t="str">
        <f t="shared" si="58"/>
        <v>On time</v>
      </c>
      <c r="L734" t="str">
        <f t="shared" si="59"/>
        <v>On time</v>
      </c>
      <c r="O734">
        <f t="shared" si="60"/>
        <v>0</v>
      </c>
    </row>
    <row r="735" spans="1:15">
      <c r="A735">
        <v>1767</v>
      </c>
      <c r="B735" t="s">
        <v>347</v>
      </c>
      <c r="C735" s="1">
        <v>46103</v>
      </c>
      <c r="D735" s="1">
        <v>46103</v>
      </c>
      <c r="E735" s="1">
        <v>46108</v>
      </c>
      <c r="F735" s="1">
        <v>46108</v>
      </c>
      <c r="G735" s="1">
        <v>46108</v>
      </c>
      <c r="H735">
        <f t="shared" si="56"/>
        <v>0</v>
      </c>
      <c r="I735" t="str">
        <f t="shared" si="57"/>
        <v>ParcelOne</v>
      </c>
      <c r="J735" t="str">
        <f>VLOOKUP(A735,Orders!$A$2:$D$1201,4,FALSE)</f>
        <v>Delivered</v>
      </c>
      <c r="K735" t="str">
        <f t="shared" si="58"/>
        <v>On time</v>
      </c>
      <c r="L735" t="str">
        <f t="shared" si="59"/>
        <v>On time</v>
      </c>
      <c r="O735">
        <f t="shared" si="60"/>
        <v>0</v>
      </c>
    </row>
    <row r="736" spans="1:15">
      <c r="A736">
        <v>1768</v>
      </c>
      <c r="B736" t="s">
        <v>347</v>
      </c>
      <c r="C736" s="1">
        <v>46070</v>
      </c>
      <c r="D736" s="1">
        <v>46070</v>
      </c>
      <c r="E736" s="1">
        <v>46075</v>
      </c>
      <c r="F736" s="1">
        <v>46074</v>
      </c>
      <c r="G736" s="1">
        <v>46074</v>
      </c>
      <c r="H736">
        <f t="shared" si="56"/>
        <v>0</v>
      </c>
      <c r="I736" t="str">
        <f t="shared" si="57"/>
        <v>ParcelOne</v>
      </c>
      <c r="J736" t="str">
        <f>VLOOKUP(A736,Orders!$A$2:$D$1201,4,FALSE)</f>
        <v>Delivered</v>
      </c>
      <c r="K736" t="str">
        <f t="shared" si="58"/>
        <v>On time</v>
      </c>
      <c r="L736" t="str">
        <f t="shared" si="59"/>
        <v>On time</v>
      </c>
      <c r="O736">
        <f t="shared" si="60"/>
        <v>0</v>
      </c>
    </row>
    <row r="737" spans="1:15">
      <c r="A737">
        <v>1769</v>
      </c>
      <c r="B737" t="s">
        <v>348</v>
      </c>
      <c r="C737" s="1">
        <v>46072</v>
      </c>
      <c r="D737" s="1">
        <v>46072</v>
      </c>
      <c r="E737" s="1">
        <v>46077</v>
      </c>
      <c r="F737" s="1">
        <v>46079</v>
      </c>
      <c r="G737" s="1">
        <v>46079</v>
      </c>
      <c r="H737">
        <f t="shared" si="56"/>
        <v>0</v>
      </c>
      <c r="I737" t="str">
        <f t="shared" si="57"/>
        <v>MetroLogistics</v>
      </c>
      <c r="J737" t="str">
        <f>VLOOKUP(A737,Orders!$A$2:$D$1201,4,FALSE)</f>
        <v>Delivered</v>
      </c>
      <c r="K737" t="str">
        <f t="shared" si="58"/>
        <v>Late</v>
      </c>
      <c r="L737" t="str">
        <f t="shared" si="59"/>
        <v>On time</v>
      </c>
      <c r="O737">
        <f t="shared" si="60"/>
        <v>0</v>
      </c>
    </row>
    <row r="738" spans="1:15">
      <c r="A738">
        <v>1770</v>
      </c>
      <c r="B738" t="s">
        <v>347</v>
      </c>
      <c r="C738" s="1">
        <v>46067</v>
      </c>
      <c r="D738" s="1">
        <v>46067</v>
      </c>
      <c r="E738" s="1">
        <v>46072</v>
      </c>
      <c r="F738" s="1">
        <v>46071</v>
      </c>
      <c r="G738" s="1">
        <v>46071</v>
      </c>
      <c r="H738">
        <f t="shared" si="56"/>
        <v>0</v>
      </c>
      <c r="I738" t="str">
        <f t="shared" si="57"/>
        <v>ParcelOne</v>
      </c>
      <c r="J738" t="str">
        <f>VLOOKUP(A738,Orders!$A$2:$D$1201,4,FALSE)</f>
        <v>Delivered</v>
      </c>
      <c r="K738" t="str">
        <f t="shared" si="58"/>
        <v>On time</v>
      </c>
      <c r="L738" t="str">
        <f t="shared" si="59"/>
        <v>On time</v>
      </c>
      <c r="O738">
        <f t="shared" si="60"/>
        <v>0</v>
      </c>
    </row>
    <row r="739" spans="1:15">
      <c r="A739">
        <v>1771</v>
      </c>
      <c r="B739" t="s">
        <v>346</v>
      </c>
      <c r="C739" s="1">
        <v>46027</v>
      </c>
      <c r="D739" s="1">
        <v>46027</v>
      </c>
      <c r="E739" s="1">
        <v>46032</v>
      </c>
      <c r="F739" s="1">
        <v>46036</v>
      </c>
      <c r="G739" s="1">
        <v>46036</v>
      </c>
      <c r="H739">
        <f t="shared" si="56"/>
        <v>0</v>
      </c>
      <c r="I739" t="str">
        <f t="shared" si="57"/>
        <v>SwiftShip</v>
      </c>
      <c r="J739" t="str">
        <f>VLOOKUP(A739,Orders!$A$2:$D$1201,4,FALSE)</f>
        <v>Delivered</v>
      </c>
      <c r="K739" t="str">
        <f t="shared" si="58"/>
        <v>Late</v>
      </c>
      <c r="L739" t="str">
        <f t="shared" si="59"/>
        <v>On time</v>
      </c>
      <c r="O739">
        <f t="shared" si="60"/>
        <v>0</v>
      </c>
    </row>
    <row r="740" spans="1:15">
      <c r="A740">
        <v>1772</v>
      </c>
      <c r="B740" t="s">
        <v>346</v>
      </c>
      <c r="C740" s="1">
        <v>46146</v>
      </c>
      <c r="D740" s="1">
        <v>46147</v>
      </c>
      <c r="E740" s="1">
        <v>46151</v>
      </c>
      <c r="F740" s="1">
        <v>46155</v>
      </c>
      <c r="G740" s="1">
        <v>46155</v>
      </c>
      <c r="H740">
        <f t="shared" si="56"/>
        <v>0</v>
      </c>
      <c r="I740" t="str">
        <f t="shared" si="57"/>
        <v>SwiftShip</v>
      </c>
      <c r="J740" t="str">
        <f>VLOOKUP(A740,Orders!$A$2:$D$1201,4,FALSE)</f>
        <v>Delivered</v>
      </c>
      <c r="K740" t="str">
        <f t="shared" si="58"/>
        <v>Late</v>
      </c>
      <c r="L740" t="str">
        <f t="shared" si="59"/>
        <v>Late</v>
      </c>
      <c r="O740">
        <f t="shared" si="60"/>
        <v>0</v>
      </c>
    </row>
    <row r="741" spans="1:15">
      <c r="A741">
        <v>1773</v>
      </c>
      <c r="B741" t="s">
        <v>348</v>
      </c>
      <c r="C741" s="1">
        <v>46181</v>
      </c>
      <c r="D741" s="1">
        <v>46181</v>
      </c>
      <c r="E741" s="1">
        <v>46186</v>
      </c>
      <c r="F741" s="1">
        <v>46188</v>
      </c>
      <c r="G741" s="1">
        <v>46188</v>
      </c>
      <c r="H741">
        <f t="shared" si="56"/>
        <v>0</v>
      </c>
      <c r="I741" t="str">
        <f t="shared" si="57"/>
        <v>MetroLogistics</v>
      </c>
      <c r="J741" t="str">
        <f>VLOOKUP(A741,Orders!$A$2:$D$1201,4,FALSE)</f>
        <v>Delivered</v>
      </c>
      <c r="K741" t="str">
        <f t="shared" si="58"/>
        <v>Late</v>
      </c>
      <c r="L741" t="str">
        <f t="shared" si="59"/>
        <v>On time</v>
      </c>
      <c r="O741">
        <f t="shared" si="60"/>
        <v>0</v>
      </c>
    </row>
    <row r="742" spans="1:15">
      <c r="A742">
        <v>1775</v>
      </c>
      <c r="B742" t="s">
        <v>347</v>
      </c>
      <c r="C742" s="1">
        <v>46025</v>
      </c>
      <c r="E742" s="1">
        <v>46030</v>
      </c>
      <c r="H742">
        <f t="shared" si="56"/>
        <v>0</v>
      </c>
      <c r="I742" t="str">
        <f t="shared" si="57"/>
        <v>ParcelOne</v>
      </c>
      <c r="J742" t="str">
        <f>VLOOKUP(A742,Orders!$A$2:$D$1201,4,FALSE)</f>
        <v>Pending</v>
      </c>
      <c r="K742" t="str">
        <f t="shared" si="58"/>
        <v>Not delivered</v>
      </c>
      <c r="L742" t="str">
        <f t="shared" si="59"/>
        <v>Not dispatched</v>
      </c>
      <c r="O742" t="str">
        <f t="shared" si="60"/>
        <v/>
      </c>
    </row>
    <row r="743" spans="1:15">
      <c r="A743">
        <v>1776</v>
      </c>
      <c r="B743" t="s">
        <v>348</v>
      </c>
      <c r="C743" s="1">
        <v>46108</v>
      </c>
      <c r="D743" s="1">
        <v>46110</v>
      </c>
      <c r="E743" s="1">
        <v>46113</v>
      </c>
      <c r="F743" s="1">
        <v>46117</v>
      </c>
      <c r="G743" s="1">
        <v>46117</v>
      </c>
      <c r="H743">
        <f t="shared" si="56"/>
        <v>0</v>
      </c>
      <c r="I743" t="str">
        <f t="shared" si="57"/>
        <v>MetroLogistics</v>
      </c>
      <c r="J743" t="str">
        <f>VLOOKUP(A743,Orders!$A$2:$D$1201,4,FALSE)</f>
        <v>Delivered</v>
      </c>
      <c r="K743" t="str">
        <f t="shared" si="58"/>
        <v>Late</v>
      </c>
      <c r="L743" t="str">
        <f t="shared" si="59"/>
        <v>Late</v>
      </c>
      <c r="O743">
        <f t="shared" si="60"/>
        <v>0</v>
      </c>
    </row>
    <row r="744" spans="1:15">
      <c r="A744">
        <v>1778</v>
      </c>
      <c r="B744" t="s">
        <v>348</v>
      </c>
      <c r="C744" s="1">
        <v>46057</v>
      </c>
      <c r="D744" s="1">
        <v>46058</v>
      </c>
      <c r="E744" s="1">
        <v>46062</v>
      </c>
      <c r="F744" s="1">
        <v>46066</v>
      </c>
      <c r="G744" s="1">
        <v>46066</v>
      </c>
      <c r="H744">
        <f t="shared" si="56"/>
        <v>0</v>
      </c>
      <c r="I744" t="str">
        <f t="shared" si="57"/>
        <v>MetroLogistics</v>
      </c>
      <c r="J744" t="str">
        <f>VLOOKUP(A744,Orders!$A$2:$D$1201,4,FALSE)</f>
        <v>Delivered</v>
      </c>
      <c r="K744" t="str">
        <f t="shared" si="58"/>
        <v>Late</v>
      </c>
      <c r="L744" t="str">
        <f t="shared" si="59"/>
        <v>Late</v>
      </c>
      <c r="O744">
        <f t="shared" si="60"/>
        <v>0</v>
      </c>
    </row>
    <row r="745" spans="1:15">
      <c r="A745">
        <v>1779</v>
      </c>
      <c r="B745" t="s">
        <v>346</v>
      </c>
      <c r="C745" s="1">
        <v>46086</v>
      </c>
      <c r="D745" s="1">
        <v>46088</v>
      </c>
      <c r="E745" s="1">
        <v>46091</v>
      </c>
      <c r="F745" s="1">
        <v>46091</v>
      </c>
      <c r="G745" s="1">
        <v>46091</v>
      </c>
      <c r="H745">
        <f t="shared" si="56"/>
        <v>0</v>
      </c>
      <c r="I745" t="str">
        <f t="shared" si="57"/>
        <v>SwiftShip</v>
      </c>
      <c r="J745" t="str">
        <f>VLOOKUP(A745,Orders!$A$2:$D$1201,4,FALSE)</f>
        <v>Delivered</v>
      </c>
      <c r="K745" t="str">
        <f t="shared" si="58"/>
        <v>On time</v>
      </c>
      <c r="L745" t="str">
        <f t="shared" si="59"/>
        <v>Late</v>
      </c>
      <c r="O745">
        <f t="shared" si="60"/>
        <v>0</v>
      </c>
    </row>
    <row r="746" spans="1:15">
      <c r="A746">
        <v>1780</v>
      </c>
      <c r="B746" t="s">
        <v>348</v>
      </c>
      <c r="C746" s="1">
        <v>46081</v>
      </c>
      <c r="D746" s="1">
        <v>46082</v>
      </c>
      <c r="E746" s="1">
        <v>46086</v>
      </c>
      <c r="F746" s="1">
        <v>46090</v>
      </c>
      <c r="G746" s="1">
        <v>46090</v>
      </c>
      <c r="H746">
        <f t="shared" si="56"/>
        <v>0</v>
      </c>
      <c r="I746" t="str">
        <f t="shared" si="57"/>
        <v>MetroLogistics</v>
      </c>
      <c r="J746" t="str">
        <f>VLOOKUP(A746,Orders!$A$2:$D$1201,4,FALSE)</f>
        <v>Delivered</v>
      </c>
      <c r="K746" t="str">
        <f t="shared" si="58"/>
        <v>Late</v>
      </c>
      <c r="L746" t="str">
        <f t="shared" si="59"/>
        <v>Late</v>
      </c>
      <c r="O746">
        <f t="shared" si="60"/>
        <v>0</v>
      </c>
    </row>
    <row r="747" spans="1:15">
      <c r="A747">
        <v>1781</v>
      </c>
      <c r="B747" t="s">
        <v>346</v>
      </c>
      <c r="C747" s="1">
        <v>46041</v>
      </c>
      <c r="D747" s="1">
        <v>46041</v>
      </c>
      <c r="E747" s="1">
        <v>46046</v>
      </c>
      <c r="F747" s="1">
        <v>46046</v>
      </c>
      <c r="G747" s="1">
        <v>46046</v>
      </c>
      <c r="H747">
        <f t="shared" si="56"/>
        <v>0</v>
      </c>
      <c r="I747" t="str">
        <f t="shared" si="57"/>
        <v>SwiftShip</v>
      </c>
      <c r="J747" t="str">
        <f>VLOOKUP(A747,Orders!$A$2:$D$1201,4,FALSE)</f>
        <v>Delivered</v>
      </c>
      <c r="K747" t="str">
        <f t="shared" si="58"/>
        <v>On time</v>
      </c>
      <c r="L747" t="str">
        <f t="shared" si="59"/>
        <v>On time</v>
      </c>
      <c r="O747">
        <f t="shared" si="60"/>
        <v>0</v>
      </c>
    </row>
    <row r="748" spans="1:15">
      <c r="A748">
        <v>1782</v>
      </c>
      <c r="B748" t="s">
        <v>348</v>
      </c>
      <c r="C748" s="1">
        <v>46176</v>
      </c>
      <c r="D748" s="1">
        <v>46176</v>
      </c>
      <c r="E748" s="1">
        <v>46181</v>
      </c>
      <c r="H748">
        <f t="shared" si="56"/>
        <v>0</v>
      </c>
      <c r="I748" t="str">
        <f t="shared" si="57"/>
        <v>MetroLogistics</v>
      </c>
      <c r="J748" t="str">
        <f>VLOOKUP(A748,Orders!$A$2:$D$1201,4,FALSE)</f>
        <v>Shipped</v>
      </c>
      <c r="K748" t="str">
        <f t="shared" si="58"/>
        <v>Not delivered</v>
      </c>
      <c r="L748" t="str">
        <f t="shared" si="59"/>
        <v>On time</v>
      </c>
      <c r="O748" t="str">
        <f t="shared" si="60"/>
        <v/>
      </c>
    </row>
    <row r="749" spans="1:15">
      <c r="A749">
        <v>1783</v>
      </c>
      <c r="B749" t="s">
        <v>346</v>
      </c>
      <c r="C749" s="1">
        <v>46073</v>
      </c>
      <c r="D749" s="1">
        <v>46073</v>
      </c>
      <c r="E749" s="1">
        <v>46078</v>
      </c>
      <c r="F749" s="1">
        <v>46076</v>
      </c>
      <c r="G749" s="1">
        <v>46077</v>
      </c>
      <c r="H749">
        <f t="shared" si="56"/>
        <v>0</v>
      </c>
      <c r="I749" t="str">
        <f t="shared" si="57"/>
        <v>SwiftShip</v>
      </c>
      <c r="J749" t="str">
        <f>VLOOKUP(A749,Orders!$A$2:$D$1201,4,FALSE)</f>
        <v>Delivered</v>
      </c>
      <c r="K749" t="str">
        <f t="shared" si="58"/>
        <v>On time</v>
      </c>
      <c r="L749" t="str">
        <f t="shared" si="59"/>
        <v>On time</v>
      </c>
      <c r="O749">
        <f t="shared" si="60"/>
        <v>1</v>
      </c>
    </row>
    <row r="750" spans="1:15">
      <c r="A750">
        <v>1784</v>
      </c>
      <c r="B750" t="s">
        <v>348</v>
      </c>
      <c r="C750" s="1">
        <v>46062</v>
      </c>
      <c r="D750" s="1">
        <v>46062</v>
      </c>
      <c r="E750" s="1">
        <v>46067</v>
      </c>
      <c r="F750" s="1">
        <v>46067</v>
      </c>
      <c r="G750" s="1">
        <v>46067</v>
      </c>
      <c r="H750">
        <f t="shared" si="56"/>
        <v>0</v>
      </c>
      <c r="I750" t="str">
        <f t="shared" si="57"/>
        <v>MetroLogistics</v>
      </c>
      <c r="J750" t="str">
        <f>VLOOKUP(A750,Orders!$A$2:$D$1201,4,FALSE)</f>
        <v>Delivered</v>
      </c>
      <c r="K750" t="str">
        <f t="shared" si="58"/>
        <v>On time</v>
      </c>
      <c r="L750" t="str">
        <f t="shared" si="59"/>
        <v>On time</v>
      </c>
      <c r="O750">
        <f t="shared" si="60"/>
        <v>0</v>
      </c>
    </row>
    <row r="751" spans="1:15">
      <c r="A751">
        <v>1785</v>
      </c>
      <c r="B751" t="s">
        <v>346</v>
      </c>
      <c r="C751" s="1">
        <v>46033</v>
      </c>
      <c r="D751" s="1">
        <v>46033</v>
      </c>
      <c r="E751" s="1">
        <v>46038</v>
      </c>
      <c r="F751" s="1">
        <v>46042</v>
      </c>
      <c r="G751" s="1">
        <v>46042</v>
      </c>
      <c r="H751">
        <f t="shared" si="56"/>
        <v>0</v>
      </c>
      <c r="I751" t="str">
        <f t="shared" si="57"/>
        <v>SwiftShip</v>
      </c>
      <c r="J751" t="str">
        <f>VLOOKUP(A751,Orders!$A$2:$D$1201,4,FALSE)</f>
        <v>Delivered</v>
      </c>
      <c r="K751" t="str">
        <f t="shared" si="58"/>
        <v>Late</v>
      </c>
      <c r="L751" t="str">
        <f t="shared" si="59"/>
        <v>On time</v>
      </c>
      <c r="O751">
        <f t="shared" si="60"/>
        <v>0</v>
      </c>
    </row>
    <row r="752" spans="1:15">
      <c r="A752">
        <v>1786</v>
      </c>
      <c r="B752" t="s">
        <v>347</v>
      </c>
      <c r="C752" s="1">
        <v>46064</v>
      </c>
      <c r="D752" s="1">
        <v>46066</v>
      </c>
      <c r="E752" s="1">
        <v>46069</v>
      </c>
      <c r="F752" s="1">
        <v>46069</v>
      </c>
      <c r="G752" s="1">
        <v>46070</v>
      </c>
      <c r="H752">
        <f t="shared" si="56"/>
        <v>0</v>
      </c>
      <c r="I752" t="str">
        <f t="shared" si="57"/>
        <v>ParcelOne</v>
      </c>
      <c r="J752" t="str">
        <f>VLOOKUP(A752,Orders!$A$2:$D$1201,4,FALSE)</f>
        <v>Delivered</v>
      </c>
      <c r="K752" t="str">
        <f t="shared" si="58"/>
        <v>On time</v>
      </c>
      <c r="L752" t="str">
        <f t="shared" si="59"/>
        <v>Late</v>
      </c>
      <c r="O752">
        <f t="shared" si="60"/>
        <v>1</v>
      </c>
    </row>
    <row r="753" spans="1:15">
      <c r="A753">
        <v>1787</v>
      </c>
      <c r="B753" t="s">
        <v>348</v>
      </c>
      <c r="C753" s="1">
        <v>46165</v>
      </c>
      <c r="D753" s="1">
        <v>46165</v>
      </c>
      <c r="E753" s="1">
        <v>46170</v>
      </c>
      <c r="F753" s="1">
        <v>46174</v>
      </c>
      <c r="G753" s="1">
        <v>46174</v>
      </c>
      <c r="H753">
        <f t="shared" si="56"/>
        <v>0</v>
      </c>
      <c r="I753" t="str">
        <f t="shared" si="57"/>
        <v>MetroLogistics</v>
      </c>
      <c r="J753" t="str">
        <f>VLOOKUP(A753,Orders!$A$2:$D$1201,4,FALSE)</f>
        <v>Delivered</v>
      </c>
      <c r="K753" t="str">
        <f t="shared" si="58"/>
        <v>Late</v>
      </c>
      <c r="L753" t="str">
        <f t="shared" si="59"/>
        <v>On time</v>
      </c>
      <c r="O753">
        <f t="shared" si="60"/>
        <v>0</v>
      </c>
    </row>
    <row r="754" spans="1:15">
      <c r="A754">
        <v>1788</v>
      </c>
      <c r="B754" t="s">
        <v>347</v>
      </c>
      <c r="C754" s="1">
        <v>46125</v>
      </c>
      <c r="D754" s="1">
        <v>46125</v>
      </c>
      <c r="E754" s="1">
        <v>46130</v>
      </c>
      <c r="F754" s="1">
        <v>46130</v>
      </c>
      <c r="G754" s="1">
        <v>46130</v>
      </c>
      <c r="H754">
        <f t="shared" si="56"/>
        <v>0</v>
      </c>
      <c r="I754" t="str">
        <f t="shared" si="57"/>
        <v>ParcelOne</v>
      </c>
      <c r="J754" t="str">
        <f>VLOOKUP(A754,Orders!$A$2:$D$1201,4,FALSE)</f>
        <v>Delivered</v>
      </c>
      <c r="K754" t="str">
        <f t="shared" si="58"/>
        <v>On time</v>
      </c>
      <c r="L754" t="str">
        <f t="shared" si="59"/>
        <v>On time</v>
      </c>
      <c r="O754">
        <f t="shared" si="60"/>
        <v>0</v>
      </c>
    </row>
    <row r="755" spans="1:15">
      <c r="A755">
        <v>1789</v>
      </c>
      <c r="B755" t="s">
        <v>347</v>
      </c>
      <c r="C755" s="1">
        <v>46075</v>
      </c>
      <c r="D755" s="1">
        <v>46075</v>
      </c>
      <c r="E755" s="1">
        <v>46080</v>
      </c>
      <c r="F755" s="1">
        <v>46084</v>
      </c>
      <c r="G755" s="1">
        <v>46084</v>
      </c>
      <c r="H755">
        <f t="shared" si="56"/>
        <v>0</v>
      </c>
      <c r="I755" t="str">
        <f t="shared" si="57"/>
        <v>ParcelOne</v>
      </c>
      <c r="J755" t="str">
        <f>VLOOKUP(A755,Orders!$A$2:$D$1201,4,FALSE)</f>
        <v>Delivered</v>
      </c>
      <c r="K755" t="str">
        <f t="shared" si="58"/>
        <v>Late</v>
      </c>
      <c r="L755" t="str">
        <f t="shared" si="59"/>
        <v>On time</v>
      </c>
      <c r="O755">
        <f t="shared" si="60"/>
        <v>0</v>
      </c>
    </row>
    <row r="756" spans="1:15">
      <c r="A756">
        <v>1790</v>
      </c>
      <c r="B756" t="s">
        <v>347</v>
      </c>
      <c r="C756" s="1">
        <v>46039</v>
      </c>
      <c r="D756" s="1">
        <v>46041</v>
      </c>
      <c r="E756" s="1">
        <v>46044</v>
      </c>
      <c r="F756" s="1">
        <v>46044</v>
      </c>
      <c r="G756" s="1">
        <v>46044</v>
      </c>
      <c r="H756">
        <f t="shared" si="56"/>
        <v>0</v>
      </c>
      <c r="I756" t="str">
        <f t="shared" si="57"/>
        <v>ParcelOne</v>
      </c>
      <c r="J756" t="str">
        <f>VLOOKUP(A756,Orders!$A$2:$D$1201,4,FALSE)</f>
        <v>Delivered</v>
      </c>
      <c r="K756" t="str">
        <f t="shared" si="58"/>
        <v>On time</v>
      </c>
      <c r="L756" t="str">
        <f t="shared" si="59"/>
        <v>Late</v>
      </c>
      <c r="O756">
        <f t="shared" si="60"/>
        <v>0</v>
      </c>
    </row>
    <row r="757" spans="1:15">
      <c r="A757">
        <v>1791</v>
      </c>
      <c r="B757" t="s">
        <v>347</v>
      </c>
      <c r="C757" s="1">
        <v>46185</v>
      </c>
      <c r="D757" s="1">
        <v>46185</v>
      </c>
      <c r="E757" s="1">
        <v>46190</v>
      </c>
      <c r="F757" s="1">
        <v>46190</v>
      </c>
      <c r="G757" s="1">
        <v>46190</v>
      </c>
      <c r="H757">
        <f t="shared" si="56"/>
        <v>0</v>
      </c>
      <c r="I757" t="str">
        <f t="shared" si="57"/>
        <v>ParcelOne</v>
      </c>
      <c r="J757" t="str">
        <f>VLOOKUP(A757,Orders!$A$2:$D$1201,4,FALSE)</f>
        <v>Delivered</v>
      </c>
      <c r="K757" t="str">
        <f t="shared" si="58"/>
        <v>On time</v>
      </c>
      <c r="L757" t="str">
        <f t="shared" si="59"/>
        <v>On time</v>
      </c>
      <c r="O757">
        <f t="shared" si="60"/>
        <v>0</v>
      </c>
    </row>
    <row r="758" spans="1:15">
      <c r="A758">
        <v>1792</v>
      </c>
      <c r="B758" t="s">
        <v>346</v>
      </c>
      <c r="C758" s="1">
        <v>46192</v>
      </c>
      <c r="D758" s="1">
        <v>46192</v>
      </c>
      <c r="E758" s="1">
        <v>46197</v>
      </c>
      <c r="F758" s="1">
        <v>46196</v>
      </c>
      <c r="G758" s="1">
        <v>46196</v>
      </c>
      <c r="H758">
        <f t="shared" si="56"/>
        <v>0</v>
      </c>
      <c r="I758" t="str">
        <f t="shared" si="57"/>
        <v>SwiftShip</v>
      </c>
      <c r="J758" t="str">
        <f>VLOOKUP(A758,Orders!$A$2:$D$1201,4,FALSE)</f>
        <v>Delivered</v>
      </c>
      <c r="K758" t="str">
        <f t="shared" si="58"/>
        <v>On time</v>
      </c>
      <c r="L758" t="str">
        <f t="shared" si="59"/>
        <v>On time</v>
      </c>
      <c r="O758">
        <f t="shared" si="60"/>
        <v>0</v>
      </c>
    </row>
    <row r="759" spans="1:15">
      <c r="A759">
        <v>1793</v>
      </c>
      <c r="B759" t="s">
        <v>347</v>
      </c>
      <c r="C759" s="1">
        <v>46189</v>
      </c>
      <c r="D759" s="1">
        <v>46189</v>
      </c>
      <c r="E759" s="1">
        <v>46194</v>
      </c>
      <c r="F759" s="1">
        <v>46195</v>
      </c>
      <c r="G759" s="1">
        <v>46195</v>
      </c>
      <c r="H759">
        <f t="shared" si="56"/>
        <v>0</v>
      </c>
      <c r="I759" t="str">
        <f t="shared" si="57"/>
        <v>ParcelOne</v>
      </c>
      <c r="J759" t="str">
        <f>VLOOKUP(A759,Orders!$A$2:$D$1201,4,FALSE)</f>
        <v>Delivered</v>
      </c>
      <c r="K759" t="str">
        <f t="shared" si="58"/>
        <v>Late</v>
      </c>
      <c r="L759" t="str">
        <f t="shared" si="59"/>
        <v>On time</v>
      </c>
      <c r="O759">
        <f t="shared" si="60"/>
        <v>0</v>
      </c>
    </row>
    <row r="760" spans="1:15">
      <c r="A760">
        <v>1794</v>
      </c>
      <c r="B760" t="s">
        <v>347</v>
      </c>
      <c r="C760" s="1">
        <v>46123</v>
      </c>
      <c r="D760" s="1">
        <v>46123</v>
      </c>
      <c r="E760" s="1">
        <v>46128</v>
      </c>
      <c r="F760" s="1">
        <v>46130</v>
      </c>
      <c r="G760" s="1">
        <v>46130</v>
      </c>
      <c r="H760">
        <f t="shared" si="56"/>
        <v>0</v>
      </c>
      <c r="I760" t="str">
        <f t="shared" si="57"/>
        <v>ParcelOne</v>
      </c>
      <c r="J760" t="str">
        <f>VLOOKUP(A760,Orders!$A$2:$D$1201,4,FALSE)</f>
        <v>Delivered</v>
      </c>
      <c r="K760" t="str">
        <f t="shared" si="58"/>
        <v>Late</v>
      </c>
      <c r="L760" t="str">
        <f t="shared" si="59"/>
        <v>On time</v>
      </c>
      <c r="O760">
        <f t="shared" si="60"/>
        <v>0</v>
      </c>
    </row>
    <row r="761" spans="1:15">
      <c r="A761">
        <v>1795</v>
      </c>
      <c r="B761" t="s">
        <v>348</v>
      </c>
      <c r="C761" s="1">
        <v>46128</v>
      </c>
      <c r="D761" s="1">
        <v>46128</v>
      </c>
      <c r="E761" s="1">
        <v>46133</v>
      </c>
      <c r="F761" s="1">
        <v>46133</v>
      </c>
      <c r="G761" s="1">
        <v>46133</v>
      </c>
      <c r="H761">
        <f t="shared" si="56"/>
        <v>0</v>
      </c>
      <c r="I761" t="str">
        <f t="shared" si="57"/>
        <v>MetroLogistics</v>
      </c>
      <c r="J761" t="str">
        <f>VLOOKUP(A761,Orders!$A$2:$D$1201,4,FALSE)</f>
        <v>Delivered</v>
      </c>
      <c r="K761" t="str">
        <f t="shared" si="58"/>
        <v>On time</v>
      </c>
      <c r="L761" t="str">
        <f t="shared" si="59"/>
        <v>On time</v>
      </c>
      <c r="O761">
        <f t="shared" si="60"/>
        <v>0</v>
      </c>
    </row>
    <row r="762" spans="1:15">
      <c r="A762">
        <v>1796</v>
      </c>
      <c r="B762" t="s">
        <v>347</v>
      </c>
      <c r="C762" s="1">
        <v>46056</v>
      </c>
      <c r="D762" s="1">
        <v>46057</v>
      </c>
      <c r="E762" s="1">
        <v>46061</v>
      </c>
      <c r="F762" s="1">
        <v>46060</v>
      </c>
      <c r="G762" s="1">
        <v>46060</v>
      </c>
      <c r="H762">
        <f t="shared" si="56"/>
        <v>0</v>
      </c>
      <c r="I762" t="str">
        <f t="shared" si="57"/>
        <v>ParcelOne</v>
      </c>
      <c r="J762" t="str">
        <f>VLOOKUP(A762,Orders!$A$2:$D$1201,4,FALSE)</f>
        <v>Delivered</v>
      </c>
      <c r="K762" t="str">
        <f t="shared" si="58"/>
        <v>On time</v>
      </c>
      <c r="L762" t="str">
        <f t="shared" si="59"/>
        <v>Late</v>
      </c>
      <c r="O762">
        <f t="shared" si="60"/>
        <v>0</v>
      </c>
    </row>
    <row r="763" spans="1:15">
      <c r="A763">
        <v>1797</v>
      </c>
      <c r="B763" t="s">
        <v>348</v>
      </c>
      <c r="C763" s="1">
        <v>46192</v>
      </c>
      <c r="D763" s="1">
        <v>46192</v>
      </c>
      <c r="E763" s="1">
        <v>46197</v>
      </c>
      <c r="F763" s="1">
        <v>46197</v>
      </c>
      <c r="G763" s="1">
        <v>46197</v>
      </c>
      <c r="H763">
        <f t="shared" si="56"/>
        <v>0</v>
      </c>
      <c r="I763" t="str">
        <f t="shared" si="57"/>
        <v>MetroLogistics</v>
      </c>
      <c r="J763" t="str">
        <f>VLOOKUP(A763,Orders!$A$2:$D$1201,4,FALSE)</f>
        <v>Delivered</v>
      </c>
      <c r="K763" t="str">
        <f t="shared" si="58"/>
        <v>On time</v>
      </c>
      <c r="L763" t="str">
        <f t="shared" si="59"/>
        <v>On time</v>
      </c>
      <c r="O763">
        <f t="shared" si="60"/>
        <v>0</v>
      </c>
    </row>
    <row r="764" spans="1:15">
      <c r="A764">
        <v>1798</v>
      </c>
      <c r="B764" t="s">
        <v>346</v>
      </c>
      <c r="C764" s="1">
        <v>46025</v>
      </c>
      <c r="D764" s="1">
        <v>46025</v>
      </c>
      <c r="E764" s="1">
        <v>46030</v>
      </c>
      <c r="F764" s="1">
        <v>46030</v>
      </c>
      <c r="G764" s="1">
        <v>46032</v>
      </c>
      <c r="H764">
        <f t="shared" si="56"/>
        <v>0</v>
      </c>
      <c r="I764" t="str">
        <f t="shared" si="57"/>
        <v>SwiftShip</v>
      </c>
      <c r="J764" t="str">
        <f>VLOOKUP(A764,Orders!$A$2:$D$1201,4,FALSE)</f>
        <v>Delivered</v>
      </c>
      <c r="K764" t="str">
        <f t="shared" si="58"/>
        <v>On time</v>
      </c>
      <c r="L764" t="str">
        <f t="shared" si="59"/>
        <v>On time</v>
      </c>
      <c r="O764">
        <f t="shared" si="60"/>
        <v>2</v>
      </c>
    </row>
    <row r="765" spans="1:15">
      <c r="A765">
        <v>1799</v>
      </c>
      <c r="B765" t="s">
        <v>347</v>
      </c>
      <c r="C765" s="1">
        <v>46180</v>
      </c>
      <c r="D765" s="1">
        <v>46180</v>
      </c>
      <c r="E765" s="1">
        <v>46185</v>
      </c>
      <c r="F765" s="1">
        <v>46187</v>
      </c>
      <c r="G765" s="1">
        <v>46187</v>
      </c>
      <c r="H765">
        <f t="shared" si="56"/>
        <v>0</v>
      </c>
      <c r="I765" t="str">
        <f t="shared" si="57"/>
        <v>ParcelOne</v>
      </c>
      <c r="J765" t="str">
        <f>VLOOKUP(A765,Orders!$A$2:$D$1201,4,FALSE)</f>
        <v>Delivered</v>
      </c>
      <c r="K765" t="str">
        <f t="shared" si="58"/>
        <v>Late</v>
      </c>
      <c r="L765" t="str">
        <f t="shared" si="59"/>
        <v>On time</v>
      </c>
      <c r="O765">
        <f t="shared" si="60"/>
        <v>0</v>
      </c>
    </row>
    <row r="766" spans="1:15">
      <c r="A766">
        <v>1800</v>
      </c>
      <c r="B766" t="s">
        <v>347</v>
      </c>
      <c r="C766" s="1">
        <v>46179</v>
      </c>
      <c r="D766" s="1">
        <v>46179</v>
      </c>
      <c r="E766" s="1">
        <v>46184</v>
      </c>
      <c r="F766" s="1">
        <v>46184</v>
      </c>
      <c r="G766" s="1">
        <v>46184</v>
      </c>
      <c r="H766">
        <f t="shared" si="56"/>
        <v>0</v>
      </c>
      <c r="I766" t="str">
        <f t="shared" si="57"/>
        <v>ParcelOne</v>
      </c>
      <c r="J766" t="str">
        <f>VLOOKUP(A766,Orders!$A$2:$D$1201,4,FALSE)</f>
        <v>Delivered</v>
      </c>
      <c r="K766" t="str">
        <f t="shared" si="58"/>
        <v>On time</v>
      </c>
      <c r="L766" t="str">
        <f t="shared" si="59"/>
        <v>On time</v>
      </c>
      <c r="O766">
        <f t="shared" si="60"/>
        <v>0</v>
      </c>
    </row>
    <row r="767" spans="1:15">
      <c r="A767">
        <v>1801</v>
      </c>
      <c r="B767" t="s">
        <v>346</v>
      </c>
      <c r="C767" s="1">
        <v>46127</v>
      </c>
      <c r="D767" s="1">
        <v>46129</v>
      </c>
      <c r="E767" s="1">
        <v>46132</v>
      </c>
      <c r="F767" s="1">
        <v>46133</v>
      </c>
      <c r="G767" s="1">
        <v>46133</v>
      </c>
      <c r="H767">
        <f t="shared" si="56"/>
        <v>0</v>
      </c>
      <c r="I767" t="str">
        <f t="shared" si="57"/>
        <v>SwiftShip</v>
      </c>
      <c r="J767" t="str">
        <f>VLOOKUP(A767,Orders!$A$2:$D$1201,4,FALSE)</f>
        <v>Delivered</v>
      </c>
      <c r="K767" t="str">
        <f t="shared" si="58"/>
        <v>Late</v>
      </c>
      <c r="L767" t="str">
        <f t="shared" si="59"/>
        <v>Late</v>
      </c>
      <c r="O767">
        <f t="shared" si="60"/>
        <v>0</v>
      </c>
    </row>
    <row r="768" spans="1:15">
      <c r="A768">
        <v>1802</v>
      </c>
      <c r="B768" t="s">
        <v>347</v>
      </c>
      <c r="C768" s="1">
        <v>46169</v>
      </c>
      <c r="D768" s="1">
        <v>46169</v>
      </c>
      <c r="E768" s="1">
        <v>46174</v>
      </c>
      <c r="F768" s="1">
        <v>46174</v>
      </c>
      <c r="G768" s="1">
        <v>46174</v>
      </c>
      <c r="H768">
        <f t="shared" si="56"/>
        <v>0</v>
      </c>
      <c r="I768" t="str">
        <f t="shared" si="57"/>
        <v>ParcelOne</v>
      </c>
      <c r="J768" t="str">
        <f>VLOOKUP(A768,Orders!$A$2:$D$1201,4,FALSE)</f>
        <v>Delivered</v>
      </c>
      <c r="K768" t="str">
        <f t="shared" si="58"/>
        <v>On time</v>
      </c>
      <c r="L768" t="str">
        <f t="shared" si="59"/>
        <v>On time</v>
      </c>
      <c r="O768">
        <f t="shared" si="60"/>
        <v>0</v>
      </c>
    </row>
    <row r="769" spans="1:15">
      <c r="A769">
        <v>1803</v>
      </c>
      <c r="B769" t="s">
        <v>347</v>
      </c>
      <c r="C769" s="1">
        <v>46161</v>
      </c>
      <c r="D769" s="1">
        <v>46163</v>
      </c>
      <c r="E769" s="1">
        <v>46166</v>
      </c>
      <c r="F769" s="1">
        <v>46167</v>
      </c>
      <c r="G769" s="1">
        <v>46167</v>
      </c>
      <c r="H769">
        <f t="shared" si="56"/>
        <v>0</v>
      </c>
      <c r="I769" t="str">
        <f t="shared" si="57"/>
        <v>ParcelOne</v>
      </c>
      <c r="J769" t="str">
        <f>VLOOKUP(A769,Orders!$A$2:$D$1201,4,FALSE)</f>
        <v>Delivered</v>
      </c>
      <c r="K769" t="str">
        <f t="shared" si="58"/>
        <v>Late</v>
      </c>
      <c r="L769" t="str">
        <f t="shared" si="59"/>
        <v>Late</v>
      </c>
      <c r="O769">
        <f t="shared" si="60"/>
        <v>0</v>
      </c>
    </row>
    <row r="770" spans="1:15">
      <c r="A770">
        <v>1804</v>
      </c>
      <c r="B770" t="s">
        <v>346</v>
      </c>
      <c r="C770" s="1">
        <v>46095</v>
      </c>
      <c r="D770" s="1">
        <v>46095</v>
      </c>
      <c r="E770" s="1">
        <v>46100</v>
      </c>
      <c r="F770" s="1">
        <v>46099</v>
      </c>
      <c r="G770" s="1">
        <v>46099</v>
      </c>
      <c r="H770">
        <f t="shared" si="56"/>
        <v>0</v>
      </c>
      <c r="I770" t="str">
        <f t="shared" si="57"/>
        <v>SwiftShip</v>
      </c>
      <c r="J770" t="str">
        <f>VLOOKUP(A770,Orders!$A$2:$D$1201,4,FALSE)</f>
        <v>Delivered</v>
      </c>
      <c r="K770" t="str">
        <f t="shared" si="58"/>
        <v>On time</v>
      </c>
      <c r="L770" t="str">
        <f t="shared" si="59"/>
        <v>On time</v>
      </c>
      <c r="O770">
        <f t="shared" si="60"/>
        <v>0</v>
      </c>
    </row>
    <row r="771" spans="1:15">
      <c r="A771">
        <v>1805</v>
      </c>
      <c r="B771" t="s">
        <v>348</v>
      </c>
      <c r="C771" s="1">
        <v>46175</v>
      </c>
      <c r="D771" s="1">
        <v>46175</v>
      </c>
      <c r="E771" s="1">
        <v>46180</v>
      </c>
      <c r="F771" s="1">
        <v>46182</v>
      </c>
      <c r="G771" s="1">
        <v>46182</v>
      </c>
      <c r="H771">
        <f t="shared" ref="H771:H834" si="61">LEN(B771)-LEN(TRIM(B771))</f>
        <v>0</v>
      </c>
      <c r="I771" t="str">
        <f t="shared" ref="I771:I834" si="62">TRIM(B771)</f>
        <v>MetroLogistics</v>
      </c>
      <c r="J771" t="str">
        <f>VLOOKUP(A771,Orders!$A$2:$D$1201,4,FALSE)</f>
        <v>Delivered</v>
      </c>
      <c r="K771" t="str">
        <f t="shared" ref="K771:K834" si="63">IF(J771&lt;&gt;"Delivered","Not delivered",IF(OR(E771="",F771=""),"Unknown",IF(F771&lt;=E771,"On time","Late")))</f>
        <v>Late</v>
      </c>
      <c r="L771" t="str">
        <f t="shared" ref="L771:L834" si="64">IF(D771="","Not dispatched",IF(C771="","Unknown",IF(D771&lt;=C771,"On time","Late")))</f>
        <v>On time</v>
      </c>
      <c r="O771">
        <f t="shared" ref="O771:O834" si="65">IF(OR(F771="",G771=""),"",G771-F771)</f>
        <v>0</v>
      </c>
    </row>
    <row r="772" spans="1:15">
      <c r="A772">
        <v>1807</v>
      </c>
      <c r="B772" t="s">
        <v>346</v>
      </c>
      <c r="C772" s="1">
        <v>46147</v>
      </c>
      <c r="D772" s="1">
        <v>46147</v>
      </c>
      <c r="E772" s="1">
        <v>46152</v>
      </c>
      <c r="F772" s="1">
        <v>46151</v>
      </c>
      <c r="G772" s="1">
        <v>46151</v>
      </c>
      <c r="H772">
        <f t="shared" si="61"/>
        <v>0</v>
      </c>
      <c r="I772" t="str">
        <f t="shared" si="62"/>
        <v>SwiftShip</v>
      </c>
      <c r="J772" t="str">
        <f>VLOOKUP(A772,Orders!$A$2:$D$1201,4,FALSE)</f>
        <v>Delivered</v>
      </c>
      <c r="K772" t="str">
        <f t="shared" si="63"/>
        <v>On time</v>
      </c>
      <c r="L772" t="str">
        <f t="shared" si="64"/>
        <v>On time</v>
      </c>
      <c r="O772">
        <f t="shared" si="65"/>
        <v>0</v>
      </c>
    </row>
    <row r="773" spans="1:15">
      <c r="A773">
        <v>1808</v>
      </c>
      <c r="B773" t="s">
        <v>346</v>
      </c>
      <c r="C773" s="1">
        <v>46038</v>
      </c>
      <c r="D773" s="1">
        <v>46038</v>
      </c>
      <c r="E773" s="1">
        <v>46043</v>
      </c>
      <c r="H773">
        <f t="shared" si="61"/>
        <v>0</v>
      </c>
      <c r="I773" t="str">
        <f t="shared" si="62"/>
        <v>SwiftShip</v>
      </c>
      <c r="J773" t="str">
        <f>VLOOKUP(A773,Orders!$A$2:$D$1201,4,FALSE)</f>
        <v>Shipped</v>
      </c>
      <c r="K773" t="str">
        <f t="shared" si="63"/>
        <v>Not delivered</v>
      </c>
      <c r="L773" t="str">
        <f t="shared" si="64"/>
        <v>On time</v>
      </c>
      <c r="O773" t="str">
        <f t="shared" si="65"/>
        <v/>
      </c>
    </row>
    <row r="774" spans="1:15">
      <c r="A774">
        <v>1809</v>
      </c>
      <c r="B774" t="s">
        <v>347</v>
      </c>
      <c r="C774" s="1">
        <v>46144</v>
      </c>
      <c r="D774" s="1">
        <v>46146</v>
      </c>
      <c r="E774" s="1">
        <v>46149</v>
      </c>
      <c r="F774" s="1">
        <v>46149</v>
      </c>
      <c r="G774" s="1">
        <v>46149</v>
      </c>
      <c r="H774">
        <f t="shared" si="61"/>
        <v>0</v>
      </c>
      <c r="I774" t="str">
        <f t="shared" si="62"/>
        <v>ParcelOne</v>
      </c>
      <c r="J774" t="str">
        <f>VLOOKUP(A774,Orders!$A$2:$D$1201,4,FALSE)</f>
        <v>Delivered</v>
      </c>
      <c r="K774" t="str">
        <f t="shared" si="63"/>
        <v>On time</v>
      </c>
      <c r="L774" t="str">
        <f t="shared" si="64"/>
        <v>Late</v>
      </c>
      <c r="O774">
        <f t="shared" si="65"/>
        <v>0</v>
      </c>
    </row>
    <row r="775" spans="1:15">
      <c r="A775">
        <v>1810</v>
      </c>
      <c r="B775" t="s">
        <v>347</v>
      </c>
      <c r="C775" s="1">
        <v>46187</v>
      </c>
      <c r="D775" s="1">
        <v>46187</v>
      </c>
      <c r="E775" s="1">
        <v>46192</v>
      </c>
      <c r="F775" s="1">
        <v>46192</v>
      </c>
      <c r="G775" s="1">
        <v>46194</v>
      </c>
      <c r="H775">
        <f t="shared" si="61"/>
        <v>0</v>
      </c>
      <c r="I775" t="str">
        <f t="shared" si="62"/>
        <v>ParcelOne</v>
      </c>
      <c r="J775" t="str">
        <f>VLOOKUP(A775,Orders!$A$2:$D$1201,4,FALSE)</f>
        <v>Delivered</v>
      </c>
      <c r="K775" t="str">
        <f t="shared" si="63"/>
        <v>On time</v>
      </c>
      <c r="L775" t="str">
        <f t="shared" si="64"/>
        <v>On time</v>
      </c>
      <c r="O775">
        <f t="shared" si="65"/>
        <v>2</v>
      </c>
    </row>
    <row r="776" spans="1:15">
      <c r="A776">
        <v>1811</v>
      </c>
      <c r="B776" t="s">
        <v>347</v>
      </c>
      <c r="C776" s="1">
        <v>46133</v>
      </c>
      <c r="D776" s="1">
        <v>46133</v>
      </c>
      <c r="E776" s="1">
        <v>46138</v>
      </c>
      <c r="F776" s="1">
        <v>46137</v>
      </c>
      <c r="G776" s="1">
        <v>46138</v>
      </c>
      <c r="H776">
        <f t="shared" si="61"/>
        <v>0</v>
      </c>
      <c r="I776" t="str">
        <f t="shared" si="62"/>
        <v>ParcelOne</v>
      </c>
      <c r="J776" t="str">
        <f>VLOOKUP(A776,Orders!$A$2:$D$1201,4,FALSE)</f>
        <v>Delivered</v>
      </c>
      <c r="K776" t="str">
        <f t="shared" si="63"/>
        <v>On time</v>
      </c>
      <c r="L776" t="str">
        <f t="shared" si="64"/>
        <v>On time</v>
      </c>
      <c r="O776">
        <f t="shared" si="65"/>
        <v>1</v>
      </c>
    </row>
    <row r="777" spans="1:15">
      <c r="A777">
        <v>1812</v>
      </c>
      <c r="B777" t="s">
        <v>348</v>
      </c>
      <c r="C777" s="1">
        <v>46133</v>
      </c>
      <c r="D777" s="1">
        <v>46133</v>
      </c>
      <c r="E777" s="1">
        <v>46138</v>
      </c>
      <c r="F777" s="1">
        <v>46142</v>
      </c>
      <c r="G777" s="1">
        <v>46142</v>
      </c>
      <c r="H777">
        <f t="shared" si="61"/>
        <v>0</v>
      </c>
      <c r="I777" t="str">
        <f t="shared" si="62"/>
        <v>MetroLogistics</v>
      </c>
      <c r="J777" t="str">
        <f>VLOOKUP(A777,Orders!$A$2:$D$1201,4,FALSE)</f>
        <v>Delivered</v>
      </c>
      <c r="K777" t="str">
        <f t="shared" si="63"/>
        <v>Late</v>
      </c>
      <c r="L777" t="str">
        <f t="shared" si="64"/>
        <v>On time</v>
      </c>
      <c r="O777">
        <f t="shared" si="65"/>
        <v>0</v>
      </c>
    </row>
    <row r="778" spans="1:15">
      <c r="A778">
        <v>1813</v>
      </c>
      <c r="B778" t="s">
        <v>346</v>
      </c>
      <c r="C778" s="1">
        <v>46082</v>
      </c>
      <c r="D778" s="1">
        <v>46084</v>
      </c>
      <c r="E778" s="1">
        <v>46087</v>
      </c>
      <c r="F778" s="1">
        <v>46087</v>
      </c>
      <c r="G778" s="1">
        <v>46087</v>
      </c>
      <c r="H778">
        <f t="shared" si="61"/>
        <v>0</v>
      </c>
      <c r="I778" t="str">
        <f t="shared" si="62"/>
        <v>SwiftShip</v>
      </c>
      <c r="J778" t="str">
        <f>VLOOKUP(A778,Orders!$A$2:$D$1201,4,FALSE)</f>
        <v>Delivered</v>
      </c>
      <c r="K778" t="str">
        <f t="shared" si="63"/>
        <v>On time</v>
      </c>
      <c r="L778" t="str">
        <f t="shared" si="64"/>
        <v>Late</v>
      </c>
      <c r="O778">
        <f t="shared" si="65"/>
        <v>0</v>
      </c>
    </row>
    <row r="779" spans="1:15">
      <c r="A779">
        <v>1814</v>
      </c>
      <c r="B779" t="s">
        <v>347</v>
      </c>
      <c r="C779" s="1">
        <v>46053</v>
      </c>
      <c r="D779" s="1">
        <v>46053</v>
      </c>
      <c r="E779" s="1">
        <v>46058</v>
      </c>
      <c r="F779" s="1">
        <v>46059</v>
      </c>
      <c r="G779" s="1">
        <v>46059</v>
      </c>
      <c r="H779">
        <f t="shared" si="61"/>
        <v>0</v>
      </c>
      <c r="I779" t="str">
        <f t="shared" si="62"/>
        <v>ParcelOne</v>
      </c>
      <c r="J779" t="str">
        <f>VLOOKUP(A779,Orders!$A$2:$D$1201,4,FALSE)</f>
        <v>Delivered</v>
      </c>
      <c r="K779" t="str">
        <f t="shared" si="63"/>
        <v>Late</v>
      </c>
      <c r="L779" t="str">
        <f t="shared" si="64"/>
        <v>On time</v>
      </c>
      <c r="O779">
        <f t="shared" si="65"/>
        <v>0</v>
      </c>
    </row>
    <row r="780" spans="1:15">
      <c r="A780">
        <v>1815</v>
      </c>
      <c r="B780" t="s">
        <v>347</v>
      </c>
      <c r="C780" s="1">
        <v>46103</v>
      </c>
      <c r="D780" s="1">
        <v>46103</v>
      </c>
      <c r="E780" s="1">
        <v>46108</v>
      </c>
      <c r="H780">
        <f t="shared" si="61"/>
        <v>0</v>
      </c>
      <c r="I780" t="str">
        <f t="shared" si="62"/>
        <v>ParcelOne</v>
      </c>
      <c r="J780" t="str">
        <f>VLOOKUP(A780,Orders!$A$2:$D$1201,4,FALSE)</f>
        <v>Shipped</v>
      </c>
      <c r="K780" t="str">
        <f t="shared" si="63"/>
        <v>Not delivered</v>
      </c>
      <c r="L780" t="str">
        <f t="shared" si="64"/>
        <v>On time</v>
      </c>
      <c r="O780" t="str">
        <f t="shared" si="65"/>
        <v/>
      </c>
    </row>
    <row r="781" spans="1:15">
      <c r="A781">
        <v>1816</v>
      </c>
      <c r="B781" t="s">
        <v>347</v>
      </c>
      <c r="C781" s="1">
        <v>46182</v>
      </c>
      <c r="D781" s="1">
        <v>46182</v>
      </c>
      <c r="E781" s="1">
        <v>46187</v>
      </c>
      <c r="F781" s="1">
        <v>46185</v>
      </c>
      <c r="G781" s="1">
        <v>46185</v>
      </c>
      <c r="H781">
        <f t="shared" si="61"/>
        <v>0</v>
      </c>
      <c r="I781" t="str">
        <f t="shared" si="62"/>
        <v>ParcelOne</v>
      </c>
      <c r="J781" t="str">
        <f>VLOOKUP(A781,Orders!$A$2:$D$1201,4,FALSE)</f>
        <v>Delivered</v>
      </c>
      <c r="K781" t="str">
        <f t="shared" si="63"/>
        <v>On time</v>
      </c>
      <c r="L781" t="str">
        <f t="shared" si="64"/>
        <v>On time</v>
      </c>
      <c r="O781">
        <f t="shared" si="65"/>
        <v>0</v>
      </c>
    </row>
    <row r="782" spans="1:15">
      <c r="A782">
        <v>1817</v>
      </c>
      <c r="B782" t="s">
        <v>346</v>
      </c>
      <c r="C782" s="1">
        <v>46046</v>
      </c>
      <c r="D782" s="1">
        <v>46046</v>
      </c>
      <c r="E782" s="1">
        <v>46051</v>
      </c>
      <c r="F782" s="1">
        <v>46051</v>
      </c>
      <c r="G782" s="1">
        <v>46051</v>
      </c>
      <c r="H782">
        <f t="shared" si="61"/>
        <v>0</v>
      </c>
      <c r="I782" t="str">
        <f t="shared" si="62"/>
        <v>SwiftShip</v>
      </c>
      <c r="J782" t="str">
        <f>VLOOKUP(A782,Orders!$A$2:$D$1201,4,FALSE)</f>
        <v>Delivered</v>
      </c>
      <c r="K782" t="str">
        <f t="shared" si="63"/>
        <v>On time</v>
      </c>
      <c r="L782" t="str">
        <f t="shared" si="64"/>
        <v>On time</v>
      </c>
      <c r="O782">
        <f t="shared" si="65"/>
        <v>0</v>
      </c>
    </row>
    <row r="783" spans="1:15">
      <c r="A783">
        <v>1818</v>
      </c>
      <c r="B783" t="s">
        <v>348</v>
      </c>
      <c r="C783" s="1">
        <v>46101</v>
      </c>
      <c r="D783" s="1">
        <v>46101</v>
      </c>
      <c r="E783" s="1">
        <v>46106</v>
      </c>
      <c r="F783" s="1">
        <v>46106</v>
      </c>
      <c r="G783" s="1">
        <v>46106</v>
      </c>
      <c r="H783">
        <f t="shared" si="61"/>
        <v>0</v>
      </c>
      <c r="I783" t="str">
        <f t="shared" si="62"/>
        <v>MetroLogistics</v>
      </c>
      <c r="J783" t="str">
        <f>VLOOKUP(A783,Orders!$A$2:$D$1201,4,FALSE)</f>
        <v>Delivered</v>
      </c>
      <c r="K783" t="str">
        <f t="shared" si="63"/>
        <v>On time</v>
      </c>
      <c r="L783" t="str">
        <f t="shared" si="64"/>
        <v>On time</v>
      </c>
      <c r="O783">
        <f t="shared" si="65"/>
        <v>0</v>
      </c>
    </row>
    <row r="784" spans="1:15">
      <c r="A784">
        <v>1819</v>
      </c>
      <c r="B784" t="s">
        <v>348</v>
      </c>
      <c r="C784" s="1">
        <v>46075</v>
      </c>
      <c r="D784" s="1">
        <v>46075</v>
      </c>
      <c r="E784" s="1">
        <v>46080</v>
      </c>
      <c r="F784" s="1">
        <v>46080</v>
      </c>
      <c r="G784" s="1">
        <v>46080</v>
      </c>
      <c r="H784">
        <f t="shared" si="61"/>
        <v>0</v>
      </c>
      <c r="I784" t="str">
        <f t="shared" si="62"/>
        <v>MetroLogistics</v>
      </c>
      <c r="J784" t="str">
        <f>VLOOKUP(A784,Orders!$A$2:$D$1201,4,FALSE)</f>
        <v>Delivered</v>
      </c>
      <c r="K784" t="str">
        <f t="shared" si="63"/>
        <v>On time</v>
      </c>
      <c r="L784" t="str">
        <f t="shared" si="64"/>
        <v>On time</v>
      </c>
      <c r="O784">
        <f t="shared" si="65"/>
        <v>0</v>
      </c>
    </row>
    <row r="785" spans="1:15">
      <c r="A785">
        <v>1820</v>
      </c>
      <c r="B785" t="s">
        <v>348</v>
      </c>
      <c r="C785" s="1">
        <v>46075</v>
      </c>
      <c r="D785" s="1">
        <v>46075</v>
      </c>
      <c r="E785" s="1">
        <v>46080</v>
      </c>
      <c r="H785">
        <f t="shared" si="61"/>
        <v>0</v>
      </c>
      <c r="I785" t="str">
        <f t="shared" si="62"/>
        <v>MetroLogistics</v>
      </c>
      <c r="J785" t="str">
        <f>VLOOKUP(A785,Orders!$A$2:$D$1201,4,FALSE)</f>
        <v>Shipped</v>
      </c>
      <c r="K785" t="str">
        <f t="shared" si="63"/>
        <v>Not delivered</v>
      </c>
      <c r="L785" t="str">
        <f t="shared" si="64"/>
        <v>On time</v>
      </c>
      <c r="O785" t="str">
        <f t="shared" si="65"/>
        <v/>
      </c>
    </row>
    <row r="786" spans="1:15">
      <c r="A786">
        <v>1821</v>
      </c>
      <c r="B786" t="s">
        <v>348</v>
      </c>
      <c r="C786" s="1">
        <v>46057</v>
      </c>
      <c r="D786" s="1">
        <v>46057</v>
      </c>
      <c r="E786" s="1">
        <v>46062</v>
      </c>
      <c r="F786" s="1">
        <v>46062</v>
      </c>
      <c r="G786" s="1">
        <v>46062</v>
      </c>
      <c r="H786">
        <f t="shared" si="61"/>
        <v>0</v>
      </c>
      <c r="I786" t="str">
        <f t="shared" si="62"/>
        <v>MetroLogistics</v>
      </c>
      <c r="J786" t="str">
        <f>VLOOKUP(A786,Orders!$A$2:$D$1201,4,FALSE)</f>
        <v>Delivered</v>
      </c>
      <c r="K786" t="str">
        <f t="shared" si="63"/>
        <v>On time</v>
      </c>
      <c r="L786" t="str">
        <f t="shared" si="64"/>
        <v>On time</v>
      </c>
      <c r="O786">
        <f t="shared" si="65"/>
        <v>0</v>
      </c>
    </row>
    <row r="787" spans="1:15">
      <c r="A787">
        <v>1822</v>
      </c>
      <c r="B787" t="s">
        <v>347</v>
      </c>
      <c r="C787" s="1">
        <v>46085</v>
      </c>
      <c r="D787" s="1">
        <v>46085</v>
      </c>
      <c r="E787" s="1">
        <v>46090</v>
      </c>
      <c r="F787" s="1">
        <v>46090</v>
      </c>
      <c r="G787" s="1">
        <v>46090</v>
      </c>
      <c r="H787">
        <f t="shared" si="61"/>
        <v>0</v>
      </c>
      <c r="I787" t="str">
        <f t="shared" si="62"/>
        <v>ParcelOne</v>
      </c>
      <c r="J787" t="str">
        <f>VLOOKUP(A787,Orders!$A$2:$D$1201,4,FALSE)</f>
        <v>Delivered</v>
      </c>
      <c r="K787" t="str">
        <f t="shared" si="63"/>
        <v>On time</v>
      </c>
      <c r="L787" t="str">
        <f t="shared" si="64"/>
        <v>On time</v>
      </c>
      <c r="O787">
        <f t="shared" si="65"/>
        <v>0</v>
      </c>
    </row>
    <row r="788" spans="1:15">
      <c r="A788">
        <v>1823</v>
      </c>
      <c r="B788" t="s">
        <v>347</v>
      </c>
      <c r="C788" s="1">
        <v>46183</v>
      </c>
      <c r="D788" s="1">
        <v>46183</v>
      </c>
      <c r="E788" s="1">
        <v>46188</v>
      </c>
      <c r="F788" s="1">
        <v>46190</v>
      </c>
      <c r="G788" s="1">
        <v>46192</v>
      </c>
      <c r="H788">
        <f t="shared" si="61"/>
        <v>0</v>
      </c>
      <c r="I788" t="str">
        <f t="shared" si="62"/>
        <v>ParcelOne</v>
      </c>
      <c r="J788" t="str">
        <f>VLOOKUP(A788,Orders!$A$2:$D$1201,4,FALSE)</f>
        <v>Delivered</v>
      </c>
      <c r="K788" t="str">
        <f t="shared" si="63"/>
        <v>Late</v>
      </c>
      <c r="L788" t="str">
        <f t="shared" si="64"/>
        <v>On time</v>
      </c>
      <c r="O788">
        <f t="shared" si="65"/>
        <v>2</v>
      </c>
    </row>
    <row r="789" spans="1:15">
      <c r="A789">
        <v>1824</v>
      </c>
      <c r="B789" t="s">
        <v>347</v>
      </c>
      <c r="C789" s="1">
        <v>46195</v>
      </c>
      <c r="D789" s="1">
        <v>46197</v>
      </c>
      <c r="E789" s="1">
        <v>46200</v>
      </c>
      <c r="F789" s="1">
        <v>46200</v>
      </c>
      <c r="G789" s="1">
        <v>46200</v>
      </c>
      <c r="H789">
        <f t="shared" si="61"/>
        <v>0</v>
      </c>
      <c r="I789" t="str">
        <f t="shared" si="62"/>
        <v>ParcelOne</v>
      </c>
      <c r="J789" t="str">
        <f>VLOOKUP(A789,Orders!$A$2:$D$1201,4,FALSE)</f>
        <v>Delivered</v>
      </c>
      <c r="K789" t="str">
        <f t="shared" si="63"/>
        <v>On time</v>
      </c>
      <c r="L789" t="str">
        <f t="shared" si="64"/>
        <v>Late</v>
      </c>
      <c r="O789">
        <f t="shared" si="65"/>
        <v>0</v>
      </c>
    </row>
    <row r="790" spans="1:15">
      <c r="A790">
        <v>1825</v>
      </c>
      <c r="B790" t="s">
        <v>346</v>
      </c>
      <c r="C790" s="1">
        <v>46055</v>
      </c>
      <c r="D790" s="1">
        <v>46055</v>
      </c>
      <c r="E790" s="1">
        <v>46060</v>
      </c>
      <c r="F790" s="1">
        <v>46059</v>
      </c>
      <c r="G790" s="1">
        <v>46059</v>
      </c>
      <c r="H790">
        <f t="shared" si="61"/>
        <v>0</v>
      </c>
      <c r="I790" t="str">
        <f t="shared" si="62"/>
        <v>SwiftShip</v>
      </c>
      <c r="J790" t="str">
        <f>VLOOKUP(A790,Orders!$A$2:$D$1201,4,FALSE)</f>
        <v>Delivered</v>
      </c>
      <c r="K790" t="str">
        <f t="shared" si="63"/>
        <v>On time</v>
      </c>
      <c r="L790" t="str">
        <f t="shared" si="64"/>
        <v>On time</v>
      </c>
      <c r="O790">
        <f t="shared" si="65"/>
        <v>0</v>
      </c>
    </row>
    <row r="791" spans="1:15">
      <c r="A791">
        <v>1826</v>
      </c>
      <c r="B791" t="s">
        <v>346</v>
      </c>
      <c r="C791" s="1">
        <v>46159</v>
      </c>
      <c r="D791" s="1">
        <v>46159</v>
      </c>
      <c r="E791" s="1">
        <v>46164</v>
      </c>
      <c r="F791" s="1">
        <v>46164</v>
      </c>
      <c r="G791" s="1">
        <v>46164</v>
      </c>
      <c r="H791">
        <f t="shared" si="61"/>
        <v>0</v>
      </c>
      <c r="I791" t="str">
        <f t="shared" si="62"/>
        <v>SwiftShip</v>
      </c>
      <c r="J791" t="str">
        <f>VLOOKUP(A791,Orders!$A$2:$D$1201,4,FALSE)</f>
        <v>Delivered</v>
      </c>
      <c r="K791" t="str">
        <f t="shared" si="63"/>
        <v>On time</v>
      </c>
      <c r="L791" t="str">
        <f t="shared" si="64"/>
        <v>On time</v>
      </c>
      <c r="O791">
        <f t="shared" si="65"/>
        <v>0</v>
      </c>
    </row>
    <row r="792" spans="1:15">
      <c r="A792">
        <v>1827</v>
      </c>
      <c r="B792" t="s">
        <v>348</v>
      </c>
      <c r="C792" s="1">
        <v>46053</v>
      </c>
      <c r="D792" s="1">
        <v>46054</v>
      </c>
      <c r="E792" s="1">
        <v>46058</v>
      </c>
      <c r="F792" s="1">
        <v>46057</v>
      </c>
      <c r="G792" s="1">
        <v>46057</v>
      </c>
      <c r="H792">
        <f t="shared" si="61"/>
        <v>0</v>
      </c>
      <c r="I792" t="str">
        <f t="shared" si="62"/>
        <v>MetroLogistics</v>
      </c>
      <c r="J792" t="str">
        <f>VLOOKUP(A792,Orders!$A$2:$D$1201,4,FALSE)</f>
        <v>Delivered</v>
      </c>
      <c r="K792" t="str">
        <f t="shared" si="63"/>
        <v>On time</v>
      </c>
      <c r="L792" t="str">
        <f t="shared" si="64"/>
        <v>Late</v>
      </c>
      <c r="O792">
        <f t="shared" si="65"/>
        <v>0</v>
      </c>
    </row>
    <row r="793" spans="1:15">
      <c r="A793">
        <v>1828</v>
      </c>
      <c r="B793" t="s">
        <v>347</v>
      </c>
      <c r="C793" s="1">
        <v>46107</v>
      </c>
      <c r="D793" s="1">
        <v>46107</v>
      </c>
      <c r="E793" s="1">
        <v>46112</v>
      </c>
      <c r="F793" s="1">
        <v>46112</v>
      </c>
      <c r="G793" s="1">
        <v>46112</v>
      </c>
      <c r="H793">
        <f t="shared" si="61"/>
        <v>0</v>
      </c>
      <c r="I793" t="str">
        <f t="shared" si="62"/>
        <v>ParcelOne</v>
      </c>
      <c r="J793" t="str">
        <f>VLOOKUP(A793,Orders!$A$2:$D$1201,4,FALSE)</f>
        <v>Delivered</v>
      </c>
      <c r="K793" t="str">
        <f t="shared" si="63"/>
        <v>On time</v>
      </c>
      <c r="L793" t="str">
        <f t="shared" si="64"/>
        <v>On time</v>
      </c>
      <c r="O793">
        <f t="shared" si="65"/>
        <v>0</v>
      </c>
    </row>
    <row r="794" spans="1:15">
      <c r="A794">
        <v>1829</v>
      </c>
      <c r="B794" t="s">
        <v>348</v>
      </c>
      <c r="C794" s="1">
        <v>46049</v>
      </c>
      <c r="D794" s="1">
        <v>46049</v>
      </c>
      <c r="E794" s="1">
        <v>46054</v>
      </c>
      <c r="F794" s="1">
        <v>46054</v>
      </c>
      <c r="G794" s="1">
        <v>46054</v>
      </c>
      <c r="H794">
        <f t="shared" si="61"/>
        <v>0</v>
      </c>
      <c r="I794" t="str">
        <f t="shared" si="62"/>
        <v>MetroLogistics</v>
      </c>
      <c r="J794" t="str">
        <f>VLOOKUP(A794,Orders!$A$2:$D$1201,4,FALSE)</f>
        <v>Delivered</v>
      </c>
      <c r="K794" t="str">
        <f t="shared" si="63"/>
        <v>On time</v>
      </c>
      <c r="L794" t="str">
        <f t="shared" si="64"/>
        <v>On time</v>
      </c>
      <c r="O794">
        <f t="shared" si="65"/>
        <v>0</v>
      </c>
    </row>
    <row r="795" spans="1:15">
      <c r="A795">
        <v>1830</v>
      </c>
      <c r="B795" t="s">
        <v>348</v>
      </c>
      <c r="C795" s="1">
        <v>46179</v>
      </c>
      <c r="D795" s="1">
        <v>46179</v>
      </c>
      <c r="E795" s="1">
        <v>46184</v>
      </c>
      <c r="F795" s="1">
        <v>46183</v>
      </c>
      <c r="G795" s="1">
        <v>46183</v>
      </c>
      <c r="H795">
        <f t="shared" si="61"/>
        <v>0</v>
      </c>
      <c r="I795" t="str">
        <f t="shared" si="62"/>
        <v>MetroLogistics</v>
      </c>
      <c r="J795" t="str">
        <f>VLOOKUP(A795,Orders!$A$2:$D$1201,4,FALSE)</f>
        <v>Delivered</v>
      </c>
      <c r="K795" t="str">
        <f t="shared" si="63"/>
        <v>On time</v>
      </c>
      <c r="L795" t="str">
        <f t="shared" si="64"/>
        <v>On time</v>
      </c>
      <c r="O795">
        <f t="shared" si="65"/>
        <v>0</v>
      </c>
    </row>
    <row r="796" spans="1:15">
      <c r="A796">
        <v>1831</v>
      </c>
      <c r="B796" t="s">
        <v>346</v>
      </c>
      <c r="C796" s="1">
        <v>46055</v>
      </c>
      <c r="D796" s="1">
        <v>46057</v>
      </c>
      <c r="E796" s="1">
        <v>46060</v>
      </c>
      <c r="F796" s="1">
        <v>46058</v>
      </c>
      <c r="G796" s="1">
        <v>46058</v>
      </c>
      <c r="H796">
        <f t="shared" si="61"/>
        <v>0</v>
      </c>
      <c r="I796" t="str">
        <f t="shared" si="62"/>
        <v>SwiftShip</v>
      </c>
      <c r="J796" t="str">
        <f>VLOOKUP(A796,Orders!$A$2:$D$1201,4,FALSE)</f>
        <v>Delivered</v>
      </c>
      <c r="K796" t="str">
        <f t="shared" si="63"/>
        <v>On time</v>
      </c>
      <c r="L796" t="str">
        <f t="shared" si="64"/>
        <v>Late</v>
      </c>
      <c r="O796">
        <f t="shared" si="65"/>
        <v>0</v>
      </c>
    </row>
    <row r="797" spans="1:15">
      <c r="A797">
        <v>1832</v>
      </c>
      <c r="B797" t="s">
        <v>348</v>
      </c>
      <c r="C797" s="1">
        <v>46102</v>
      </c>
      <c r="D797" s="1">
        <v>46102</v>
      </c>
      <c r="E797" s="1">
        <v>46107</v>
      </c>
      <c r="F797" s="1">
        <v>46107</v>
      </c>
      <c r="G797" s="1">
        <v>46108</v>
      </c>
      <c r="H797">
        <f t="shared" si="61"/>
        <v>0</v>
      </c>
      <c r="I797" t="str">
        <f t="shared" si="62"/>
        <v>MetroLogistics</v>
      </c>
      <c r="J797" t="str">
        <f>VLOOKUP(A797,Orders!$A$2:$D$1201,4,FALSE)</f>
        <v>Delivered</v>
      </c>
      <c r="K797" t="str">
        <f t="shared" si="63"/>
        <v>On time</v>
      </c>
      <c r="L797" t="str">
        <f t="shared" si="64"/>
        <v>On time</v>
      </c>
      <c r="O797">
        <f t="shared" si="65"/>
        <v>1</v>
      </c>
    </row>
    <row r="798" spans="1:15">
      <c r="A798">
        <v>1834</v>
      </c>
      <c r="B798" t="s">
        <v>347</v>
      </c>
      <c r="C798" s="1">
        <v>46159</v>
      </c>
      <c r="D798" s="1">
        <v>46159</v>
      </c>
      <c r="E798" s="1">
        <v>46164</v>
      </c>
      <c r="H798">
        <f t="shared" si="61"/>
        <v>0</v>
      </c>
      <c r="I798" t="str">
        <f t="shared" si="62"/>
        <v>ParcelOne</v>
      </c>
      <c r="J798" t="str">
        <f>VLOOKUP(A798,Orders!$A$2:$D$1201,4,FALSE)</f>
        <v>Shipped</v>
      </c>
      <c r="K798" t="str">
        <f t="shared" si="63"/>
        <v>Not delivered</v>
      </c>
      <c r="L798" t="str">
        <f t="shared" si="64"/>
        <v>On time</v>
      </c>
      <c r="O798" t="str">
        <f t="shared" si="65"/>
        <v/>
      </c>
    </row>
    <row r="799" spans="1:15">
      <c r="A799">
        <v>1835</v>
      </c>
      <c r="B799" t="s">
        <v>348</v>
      </c>
      <c r="C799" s="1">
        <v>46099</v>
      </c>
      <c r="D799" s="1">
        <v>46099</v>
      </c>
      <c r="E799" s="1">
        <v>46104</v>
      </c>
      <c r="F799" s="1">
        <v>46104</v>
      </c>
      <c r="G799" s="1">
        <v>46104</v>
      </c>
      <c r="H799">
        <f t="shared" si="61"/>
        <v>0</v>
      </c>
      <c r="I799" t="str">
        <f t="shared" si="62"/>
        <v>MetroLogistics</v>
      </c>
      <c r="J799" t="str">
        <f>VLOOKUP(A799,Orders!$A$2:$D$1201,4,FALSE)</f>
        <v>Delivered</v>
      </c>
      <c r="K799" t="str">
        <f t="shared" si="63"/>
        <v>On time</v>
      </c>
      <c r="L799" t="str">
        <f t="shared" si="64"/>
        <v>On time</v>
      </c>
      <c r="O799">
        <f t="shared" si="65"/>
        <v>0</v>
      </c>
    </row>
    <row r="800" spans="1:15">
      <c r="A800">
        <v>1836</v>
      </c>
      <c r="B800" t="s">
        <v>348</v>
      </c>
      <c r="C800" s="1">
        <v>46044</v>
      </c>
      <c r="D800" s="1">
        <v>46044</v>
      </c>
      <c r="E800" s="1">
        <v>46049</v>
      </c>
      <c r="F800" s="1">
        <v>46047</v>
      </c>
      <c r="G800" s="1">
        <v>46047</v>
      </c>
      <c r="H800">
        <f t="shared" si="61"/>
        <v>0</v>
      </c>
      <c r="I800" t="str">
        <f t="shared" si="62"/>
        <v>MetroLogistics</v>
      </c>
      <c r="J800" t="str">
        <f>VLOOKUP(A800,Orders!$A$2:$D$1201,4,FALSE)</f>
        <v>Delivered</v>
      </c>
      <c r="K800" t="str">
        <f t="shared" si="63"/>
        <v>On time</v>
      </c>
      <c r="L800" t="str">
        <f t="shared" si="64"/>
        <v>On time</v>
      </c>
      <c r="O800">
        <f t="shared" si="65"/>
        <v>0</v>
      </c>
    </row>
    <row r="801" spans="1:15">
      <c r="A801">
        <v>1837</v>
      </c>
      <c r="B801" t="s">
        <v>347</v>
      </c>
      <c r="C801" s="1">
        <v>46203</v>
      </c>
      <c r="D801" s="1">
        <v>46204</v>
      </c>
      <c r="E801" s="1">
        <v>46208</v>
      </c>
      <c r="F801" s="1">
        <v>46208</v>
      </c>
      <c r="G801" s="1">
        <v>46208</v>
      </c>
      <c r="H801">
        <f t="shared" si="61"/>
        <v>0</v>
      </c>
      <c r="I801" t="str">
        <f t="shared" si="62"/>
        <v>ParcelOne</v>
      </c>
      <c r="J801" t="str">
        <f>VLOOKUP(A801,Orders!$A$2:$D$1201,4,FALSE)</f>
        <v>Delivered</v>
      </c>
      <c r="K801" t="str">
        <f t="shared" si="63"/>
        <v>On time</v>
      </c>
      <c r="L801" t="str">
        <f t="shared" si="64"/>
        <v>Late</v>
      </c>
      <c r="O801">
        <f t="shared" si="65"/>
        <v>0</v>
      </c>
    </row>
    <row r="802" spans="1:15">
      <c r="A802">
        <v>1838</v>
      </c>
      <c r="B802" t="s">
        <v>347</v>
      </c>
      <c r="C802" s="1">
        <v>46068</v>
      </c>
      <c r="D802" s="1">
        <v>46068</v>
      </c>
      <c r="E802" s="1">
        <v>46073</v>
      </c>
      <c r="F802" s="1">
        <v>46077</v>
      </c>
      <c r="G802" s="1">
        <v>46077</v>
      </c>
      <c r="H802">
        <f t="shared" si="61"/>
        <v>0</v>
      </c>
      <c r="I802" t="str">
        <f t="shared" si="62"/>
        <v>ParcelOne</v>
      </c>
      <c r="J802" t="str">
        <f>VLOOKUP(A802,Orders!$A$2:$D$1201,4,FALSE)</f>
        <v>Delivered</v>
      </c>
      <c r="K802" t="str">
        <f t="shared" si="63"/>
        <v>Late</v>
      </c>
      <c r="L802" t="str">
        <f t="shared" si="64"/>
        <v>On time</v>
      </c>
      <c r="O802">
        <f t="shared" si="65"/>
        <v>0</v>
      </c>
    </row>
    <row r="803" spans="1:15">
      <c r="A803">
        <v>1840</v>
      </c>
      <c r="B803" t="s">
        <v>347</v>
      </c>
      <c r="C803" s="1">
        <v>46186</v>
      </c>
      <c r="D803" s="1">
        <v>46186</v>
      </c>
      <c r="E803" s="1">
        <v>46191</v>
      </c>
      <c r="F803" s="1">
        <v>46191</v>
      </c>
      <c r="G803" s="1">
        <v>46191</v>
      </c>
      <c r="H803">
        <f t="shared" si="61"/>
        <v>0</v>
      </c>
      <c r="I803" t="str">
        <f t="shared" si="62"/>
        <v>ParcelOne</v>
      </c>
      <c r="J803" t="str">
        <f>VLOOKUP(A803,Orders!$A$2:$D$1201,4,FALSE)</f>
        <v>Delivered</v>
      </c>
      <c r="K803" t="str">
        <f t="shared" si="63"/>
        <v>On time</v>
      </c>
      <c r="L803" t="str">
        <f t="shared" si="64"/>
        <v>On time</v>
      </c>
      <c r="O803">
        <f t="shared" si="65"/>
        <v>0</v>
      </c>
    </row>
    <row r="804" spans="1:15">
      <c r="A804">
        <v>1841</v>
      </c>
      <c r="B804" t="s">
        <v>348</v>
      </c>
      <c r="C804" s="1">
        <v>46185</v>
      </c>
      <c r="D804" s="1">
        <v>46185</v>
      </c>
      <c r="E804" s="1">
        <v>46190</v>
      </c>
      <c r="F804" s="1">
        <v>46194</v>
      </c>
      <c r="G804" s="1">
        <v>46194</v>
      </c>
      <c r="H804">
        <f t="shared" si="61"/>
        <v>0</v>
      </c>
      <c r="I804" t="str">
        <f t="shared" si="62"/>
        <v>MetroLogistics</v>
      </c>
      <c r="J804" t="str">
        <f>VLOOKUP(A804,Orders!$A$2:$D$1201,4,FALSE)</f>
        <v>Delivered</v>
      </c>
      <c r="K804" t="str">
        <f t="shared" si="63"/>
        <v>Late</v>
      </c>
      <c r="L804" t="str">
        <f t="shared" si="64"/>
        <v>On time</v>
      </c>
      <c r="O804">
        <f t="shared" si="65"/>
        <v>0</v>
      </c>
    </row>
    <row r="805" spans="1:15">
      <c r="A805">
        <v>1842</v>
      </c>
      <c r="B805" t="s">
        <v>346</v>
      </c>
      <c r="C805" s="1">
        <v>46052</v>
      </c>
      <c r="D805" s="1">
        <v>46052</v>
      </c>
      <c r="E805" s="1">
        <v>46057</v>
      </c>
      <c r="F805" s="1">
        <v>46056</v>
      </c>
      <c r="G805" s="1">
        <v>46056</v>
      </c>
      <c r="H805">
        <f t="shared" si="61"/>
        <v>0</v>
      </c>
      <c r="I805" t="str">
        <f t="shared" si="62"/>
        <v>SwiftShip</v>
      </c>
      <c r="J805" t="str">
        <f>VLOOKUP(A805,Orders!$A$2:$D$1201,4,FALSE)</f>
        <v>Delivered</v>
      </c>
      <c r="K805" t="str">
        <f t="shared" si="63"/>
        <v>On time</v>
      </c>
      <c r="L805" t="str">
        <f t="shared" si="64"/>
        <v>On time</v>
      </c>
      <c r="O805">
        <f t="shared" si="65"/>
        <v>0</v>
      </c>
    </row>
    <row r="806" spans="1:15">
      <c r="A806">
        <v>1843</v>
      </c>
      <c r="B806" t="s">
        <v>347</v>
      </c>
      <c r="C806" s="1">
        <v>46064</v>
      </c>
      <c r="D806" s="1">
        <v>46064</v>
      </c>
      <c r="E806" s="1">
        <v>46069</v>
      </c>
      <c r="F806" s="1">
        <v>46068</v>
      </c>
      <c r="G806" s="1">
        <v>46069</v>
      </c>
      <c r="H806">
        <f t="shared" si="61"/>
        <v>0</v>
      </c>
      <c r="I806" t="str">
        <f t="shared" si="62"/>
        <v>ParcelOne</v>
      </c>
      <c r="J806" t="str">
        <f>VLOOKUP(A806,Orders!$A$2:$D$1201,4,FALSE)</f>
        <v>Delivered</v>
      </c>
      <c r="K806" t="str">
        <f t="shared" si="63"/>
        <v>On time</v>
      </c>
      <c r="L806" t="str">
        <f t="shared" si="64"/>
        <v>On time</v>
      </c>
      <c r="O806">
        <f t="shared" si="65"/>
        <v>1</v>
      </c>
    </row>
    <row r="807" spans="1:15">
      <c r="A807">
        <v>1844</v>
      </c>
      <c r="B807" t="s">
        <v>346</v>
      </c>
      <c r="C807" s="1">
        <v>46170</v>
      </c>
      <c r="D807" s="1">
        <v>46170</v>
      </c>
      <c r="E807" s="1">
        <v>46175</v>
      </c>
      <c r="F807" s="1">
        <v>46174</v>
      </c>
      <c r="G807" s="1">
        <v>46174</v>
      </c>
      <c r="H807">
        <f t="shared" si="61"/>
        <v>0</v>
      </c>
      <c r="I807" t="str">
        <f t="shared" si="62"/>
        <v>SwiftShip</v>
      </c>
      <c r="J807" t="str">
        <f>VLOOKUP(A807,Orders!$A$2:$D$1201,4,FALSE)</f>
        <v>Delivered</v>
      </c>
      <c r="K807" t="str">
        <f t="shared" si="63"/>
        <v>On time</v>
      </c>
      <c r="L807" t="str">
        <f t="shared" si="64"/>
        <v>On time</v>
      </c>
      <c r="O807">
        <f t="shared" si="65"/>
        <v>0</v>
      </c>
    </row>
    <row r="808" spans="1:15">
      <c r="A808">
        <v>1845</v>
      </c>
      <c r="B808" t="s">
        <v>346</v>
      </c>
      <c r="C808" s="1">
        <v>46087</v>
      </c>
      <c r="D808" s="1">
        <v>46087</v>
      </c>
      <c r="E808" s="1">
        <v>46092</v>
      </c>
      <c r="F808" s="1">
        <v>46093</v>
      </c>
      <c r="G808" s="1">
        <v>46093</v>
      </c>
      <c r="H808">
        <f t="shared" si="61"/>
        <v>0</v>
      </c>
      <c r="I808" t="str">
        <f t="shared" si="62"/>
        <v>SwiftShip</v>
      </c>
      <c r="J808" t="str">
        <f>VLOOKUP(A808,Orders!$A$2:$D$1201,4,FALSE)</f>
        <v>Delivered</v>
      </c>
      <c r="K808" t="str">
        <f t="shared" si="63"/>
        <v>Late</v>
      </c>
      <c r="L808" t="str">
        <f t="shared" si="64"/>
        <v>On time</v>
      </c>
      <c r="O808">
        <f t="shared" si="65"/>
        <v>0</v>
      </c>
    </row>
    <row r="809" spans="1:15">
      <c r="A809">
        <v>1846</v>
      </c>
      <c r="B809" t="s">
        <v>347</v>
      </c>
      <c r="C809" s="1">
        <v>46123</v>
      </c>
      <c r="D809" s="1">
        <v>46125</v>
      </c>
      <c r="E809" s="1">
        <v>46128</v>
      </c>
      <c r="F809" s="1">
        <v>46128</v>
      </c>
      <c r="G809" s="1">
        <v>46128</v>
      </c>
      <c r="H809">
        <f t="shared" si="61"/>
        <v>0</v>
      </c>
      <c r="I809" t="str">
        <f t="shared" si="62"/>
        <v>ParcelOne</v>
      </c>
      <c r="J809" t="str">
        <f>VLOOKUP(A809,Orders!$A$2:$D$1201,4,FALSE)</f>
        <v>Delivered</v>
      </c>
      <c r="K809" t="str">
        <f t="shared" si="63"/>
        <v>On time</v>
      </c>
      <c r="L809" t="str">
        <f t="shared" si="64"/>
        <v>Late</v>
      </c>
      <c r="O809">
        <f t="shared" si="65"/>
        <v>0</v>
      </c>
    </row>
    <row r="810" spans="1:15">
      <c r="A810">
        <v>1847</v>
      </c>
      <c r="B810" t="s">
        <v>348</v>
      </c>
      <c r="C810" s="1">
        <v>46052</v>
      </c>
      <c r="D810" s="1">
        <v>46052</v>
      </c>
      <c r="E810" s="1">
        <v>46057</v>
      </c>
      <c r="F810" s="1">
        <v>46057</v>
      </c>
      <c r="G810" s="1">
        <v>46057</v>
      </c>
      <c r="H810">
        <f t="shared" si="61"/>
        <v>0</v>
      </c>
      <c r="I810" t="str">
        <f t="shared" si="62"/>
        <v>MetroLogistics</v>
      </c>
      <c r="J810" t="str">
        <f>VLOOKUP(A810,Orders!$A$2:$D$1201,4,FALSE)</f>
        <v>Delivered</v>
      </c>
      <c r="K810" t="str">
        <f t="shared" si="63"/>
        <v>On time</v>
      </c>
      <c r="L810" t="str">
        <f t="shared" si="64"/>
        <v>On time</v>
      </c>
      <c r="O810">
        <f t="shared" si="65"/>
        <v>0</v>
      </c>
    </row>
    <row r="811" spans="1:15">
      <c r="A811">
        <v>1848</v>
      </c>
      <c r="B811" t="s">
        <v>346</v>
      </c>
      <c r="C811" s="1">
        <v>46202</v>
      </c>
      <c r="D811" s="1">
        <v>46202</v>
      </c>
      <c r="E811" s="1">
        <v>46207</v>
      </c>
      <c r="F811" s="1">
        <v>46207</v>
      </c>
      <c r="G811" s="1">
        <v>46207</v>
      </c>
      <c r="H811">
        <f t="shared" si="61"/>
        <v>0</v>
      </c>
      <c r="I811" t="str">
        <f t="shared" si="62"/>
        <v>SwiftShip</v>
      </c>
      <c r="J811" t="str">
        <f>VLOOKUP(A811,Orders!$A$2:$D$1201,4,FALSE)</f>
        <v>Delivered</v>
      </c>
      <c r="K811" t="str">
        <f t="shared" si="63"/>
        <v>On time</v>
      </c>
      <c r="L811" t="str">
        <f t="shared" si="64"/>
        <v>On time</v>
      </c>
      <c r="O811">
        <f t="shared" si="65"/>
        <v>0</v>
      </c>
    </row>
    <row r="812" spans="1:15">
      <c r="A812">
        <v>1849</v>
      </c>
      <c r="B812" t="s">
        <v>348</v>
      </c>
      <c r="C812" s="1">
        <v>46061</v>
      </c>
      <c r="D812" s="1">
        <v>46061</v>
      </c>
      <c r="E812" s="1">
        <v>46066</v>
      </c>
      <c r="F812" s="1">
        <v>46066</v>
      </c>
      <c r="G812" s="1">
        <v>46066</v>
      </c>
      <c r="H812">
        <f t="shared" si="61"/>
        <v>0</v>
      </c>
      <c r="I812" t="str">
        <f t="shared" si="62"/>
        <v>MetroLogistics</v>
      </c>
      <c r="J812" t="str">
        <f>VLOOKUP(A812,Orders!$A$2:$D$1201,4,FALSE)</f>
        <v>Delivered</v>
      </c>
      <c r="K812" t="str">
        <f t="shared" si="63"/>
        <v>On time</v>
      </c>
      <c r="L812" t="str">
        <f t="shared" si="64"/>
        <v>On time</v>
      </c>
      <c r="O812">
        <f t="shared" si="65"/>
        <v>0</v>
      </c>
    </row>
    <row r="813" spans="1:15">
      <c r="A813">
        <v>1850</v>
      </c>
      <c r="B813" t="s">
        <v>346</v>
      </c>
      <c r="C813" s="1">
        <v>46123</v>
      </c>
      <c r="D813" s="1">
        <v>46125</v>
      </c>
      <c r="E813" s="1">
        <v>46128</v>
      </c>
      <c r="F813" s="1">
        <v>46128</v>
      </c>
      <c r="G813" s="1">
        <v>46128</v>
      </c>
      <c r="H813">
        <f t="shared" si="61"/>
        <v>0</v>
      </c>
      <c r="I813" t="str">
        <f t="shared" si="62"/>
        <v>SwiftShip</v>
      </c>
      <c r="J813" t="str">
        <f>VLOOKUP(A813,Orders!$A$2:$D$1201,4,FALSE)</f>
        <v>Delivered</v>
      </c>
      <c r="K813" t="str">
        <f t="shared" si="63"/>
        <v>On time</v>
      </c>
      <c r="L813" t="str">
        <f t="shared" si="64"/>
        <v>Late</v>
      </c>
      <c r="O813">
        <f t="shared" si="65"/>
        <v>0</v>
      </c>
    </row>
    <row r="814" spans="1:15">
      <c r="A814">
        <v>1851</v>
      </c>
      <c r="B814" t="s">
        <v>348</v>
      </c>
      <c r="C814" s="1">
        <v>46055</v>
      </c>
      <c r="D814" s="1">
        <v>46055</v>
      </c>
      <c r="E814" s="1">
        <v>46060</v>
      </c>
      <c r="F814" s="1">
        <v>46060</v>
      </c>
      <c r="G814" s="1">
        <v>46060</v>
      </c>
      <c r="H814">
        <f t="shared" si="61"/>
        <v>0</v>
      </c>
      <c r="I814" t="str">
        <f t="shared" si="62"/>
        <v>MetroLogistics</v>
      </c>
      <c r="J814" t="str">
        <f>VLOOKUP(A814,Orders!$A$2:$D$1201,4,FALSE)</f>
        <v>Delivered</v>
      </c>
      <c r="K814" t="str">
        <f t="shared" si="63"/>
        <v>On time</v>
      </c>
      <c r="L814" t="str">
        <f t="shared" si="64"/>
        <v>On time</v>
      </c>
      <c r="O814">
        <f t="shared" si="65"/>
        <v>0</v>
      </c>
    </row>
    <row r="815" spans="1:15">
      <c r="A815">
        <v>1852</v>
      </c>
      <c r="B815" t="s">
        <v>347</v>
      </c>
      <c r="C815" s="1">
        <v>46133</v>
      </c>
      <c r="D815" s="1">
        <v>46135</v>
      </c>
      <c r="E815" s="1">
        <v>46138</v>
      </c>
      <c r="F815" s="1">
        <v>46139</v>
      </c>
      <c r="G815" s="1">
        <v>46139</v>
      </c>
      <c r="H815">
        <f t="shared" si="61"/>
        <v>0</v>
      </c>
      <c r="I815" t="str">
        <f t="shared" si="62"/>
        <v>ParcelOne</v>
      </c>
      <c r="J815" t="str">
        <f>VLOOKUP(A815,Orders!$A$2:$D$1201,4,FALSE)</f>
        <v>Delivered</v>
      </c>
      <c r="K815" t="str">
        <f t="shared" si="63"/>
        <v>Late</v>
      </c>
      <c r="L815" t="str">
        <f t="shared" si="64"/>
        <v>Late</v>
      </c>
      <c r="O815">
        <f t="shared" si="65"/>
        <v>0</v>
      </c>
    </row>
    <row r="816" spans="1:15">
      <c r="A816">
        <v>1854</v>
      </c>
      <c r="B816" t="s">
        <v>346</v>
      </c>
      <c r="C816" s="1">
        <v>46042</v>
      </c>
      <c r="D816" s="1">
        <v>46042</v>
      </c>
      <c r="E816" s="1">
        <v>46047</v>
      </c>
      <c r="F816" s="1">
        <v>46047</v>
      </c>
      <c r="G816" s="1">
        <v>46047</v>
      </c>
      <c r="H816">
        <f t="shared" si="61"/>
        <v>0</v>
      </c>
      <c r="I816" t="str">
        <f t="shared" si="62"/>
        <v>SwiftShip</v>
      </c>
      <c r="J816" t="str">
        <f>VLOOKUP(A816,Orders!$A$2:$D$1201,4,FALSE)</f>
        <v>Delivered</v>
      </c>
      <c r="K816" t="str">
        <f t="shared" si="63"/>
        <v>On time</v>
      </c>
      <c r="L816" t="str">
        <f t="shared" si="64"/>
        <v>On time</v>
      </c>
      <c r="O816">
        <f t="shared" si="65"/>
        <v>0</v>
      </c>
    </row>
    <row r="817" spans="1:15">
      <c r="A817">
        <v>1855</v>
      </c>
      <c r="B817" t="s">
        <v>346</v>
      </c>
      <c r="C817" s="1">
        <v>46202</v>
      </c>
      <c r="E817" s="1">
        <v>46207</v>
      </c>
      <c r="H817">
        <f t="shared" si="61"/>
        <v>0</v>
      </c>
      <c r="I817" t="str">
        <f t="shared" si="62"/>
        <v>SwiftShip</v>
      </c>
      <c r="J817" t="str">
        <f>VLOOKUP(A817,Orders!$A$2:$D$1201,4,FALSE)</f>
        <v>Pending</v>
      </c>
      <c r="K817" t="str">
        <f t="shared" si="63"/>
        <v>Not delivered</v>
      </c>
      <c r="L817" t="str">
        <f t="shared" si="64"/>
        <v>Not dispatched</v>
      </c>
      <c r="O817" t="str">
        <f t="shared" si="65"/>
        <v/>
      </c>
    </row>
    <row r="818" spans="1:15">
      <c r="A818">
        <v>1856</v>
      </c>
      <c r="B818" t="s">
        <v>348</v>
      </c>
      <c r="C818" s="1">
        <v>46132</v>
      </c>
      <c r="D818" s="1">
        <v>46132</v>
      </c>
      <c r="E818" s="1">
        <v>46137</v>
      </c>
      <c r="F818" s="1">
        <v>46137</v>
      </c>
      <c r="G818" s="1">
        <v>46137</v>
      </c>
      <c r="H818">
        <f t="shared" si="61"/>
        <v>0</v>
      </c>
      <c r="I818" t="str">
        <f t="shared" si="62"/>
        <v>MetroLogistics</v>
      </c>
      <c r="J818" t="str">
        <f>VLOOKUP(A818,Orders!$A$2:$D$1201,4,FALSE)</f>
        <v>Delivered</v>
      </c>
      <c r="K818" t="str">
        <f t="shared" si="63"/>
        <v>On time</v>
      </c>
      <c r="L818" t="str">
        <f t="shared" si="64"/>
        <v>On time</v>
      </c>
      <c r="O818">
        <f t="shared" si="65"/>
        <v>0</v>
      </c>
    </row>
    <row r="819" spans="1:15">
      <c r="A819">
        <v>1857</v>
      </c>
      <c r="B819" t="s">
        <v>347</v>
      </c>
      <c r="C819" s="1">
        <v>46081</v>
      </c>
      <c r="D819" s="1">
        <v>46081</v>
      </c>
      <c r="E819" s="1">
        <v>46086</v>
      </c>
      <c r="F819" s="1">
        <v>46090</v>
      </c>
      <c r="G819" s="1">
        <v>46092</v>
      </c>
      <c r="H819">
        <f t="shared" si="61"/>
        <v>0</v>
      </c>
      <c r="I819" t="str">
        <f t="shared" si="62"/>
        <v>ParcelOne</v>
      </c>
      <c r="J819" t="str">
        <f>VLOOKUP(A819,Orders!$A$2:$D$1201,4,FALSE)</f>
        <v>Delivered</v>
      </c>
      <c r="K819" t="str">
        <f t="shared" si="63"/>
        <v>Late</v>
      </c>
      <c r="L819" t="str">
        <f t="shared" si="64"/>
        <v>On time</v>
      </c>
      <c r="O819">
        <f t="shared" si="65"/>
        <v>2</v>
      </c>
    </row>
    <row r="820" spans="1:15">
      <c r="A820">
        <v>1858</v>
      </c>
      <c r="B820" t="s">
        <v>347</v>
      </c>
      <c r="C820" s="1">
        <v>46114</v>
      </c>
      <c r="D820" s="1">
        <v>46114</v>
      </c>
      <c r="E820" s="1">
        <v>46119</v>
      </c>
      <c r="F820" s="1">
        <v>46118</v>
      </c>
      <c r="G820" s="1">
        <v>46118</v>
      </c>
      <c r="H820">
        <f t="shared" si="61"/>
        <v>0</v>
      </c>
      <c r="I820" t="str">
        <f t="shared" si="62"/>
        <v>ParcelOne</v>
      </c>
      <c r="J820" t="str">
        <f>VLOOKUP(A820,Orders!$A$2:$D$1201,4,FALSE)</f>
        <v>Delivered</v>
      </c>
      <c r="K820" t="str">
        <f t="shared" si="63"/>
        <v>On time</v>
      </c>
      <c r="L820" t="str">
        <f t="shared" si="64"/>
        <v>On time</v>
      </c>
      <c r="O820">
        <f t="shared" si="65"/>
        <v>0</v>
      </c>
    </row>
    <row r="821" spans="1:15">
      <c r="A821">
        <v>1859</v>
      </c>
      <c r="B821" t="s">
        <v>347</v>
      </c>
      <c r="C821" s="1">
        <v>46203</v>
      </c>
      <c r="D821" s="1">
        <v>46203</v>
      </c>
      <c r="E821" s="1">
        <v>46208</v>
      </c>
      <c r="F821" s="1">
        <v>46208</v>
      </c>
      <c r="G821" s="1">
        <v>46208</v>
      </c>
      <c r="H821">
        <f t="shared" si="61"/>
        <v>0</v>
      </c>
      <c r="I821" t="str">
        <f t="shared" si="62"/>
        <v>ParcelOne</v>
      </c>
      <c r="J821" t="str">
        <f>VLOOKUP(A821,Orders!$A$2:$D$1201,4,FALSE)</f>
        <v>Delivered</v>
      </c>
      <c r="K821" t="str">
        <f t="shared" si="63"/>
        <v>On time</v>
      </c>
      <c r="L821" t="str">
        <f t="shared" si="64"/>
        <v>On time</v>
      </c>
      <c r="O821">
        <f t="shared" si="65"/>
        <v>0</v>
      </c>
    </row>
    <row r="822" spans="1:15">
      <c r="A822">
        <v>1860</v>
      </c>
      <c r="B822" t="s">
        <v>348</v>
      </c>
      <c r="C822" s="1">
        <v>46118</v>
      </c>
      <c r="D822" s="1">
        <v>46118</v>
      </c>
      <c r="E822" s="1">
        <v>46123</v>
      </c>
      <c r="F822" s="1">
        <v>46122</v>
      </c>
      <c r="G822" s="1">
        <v>46122</v>
      </c>
      <c r="H822">
        <f t="shared" si="61"/>
        <v>0</v>
      </c>
      <c r="I822" t="str">
        <f t="shared" si="62"/>
        <v>MetroLogistics</v>
      </c>
      <c r="J822" t="str">
        <f>VLOOKUP(A822,Orders!$A$2:$D$1201,4,FALSE)</f>
        <v>Delivered</v>
      </c>
      <c r="K822" t="str">
        <f t="shared" si="63"/>
        <v>On time</v>
      </c>
      <c r="L822" t="str">
        <f t="shared" si="64"/>
        <v>On time</v>
      </c>
      <c r="O822">
        <f t="shared" si="65"/>
        <v>0</v>
      </c>
    </row>
    <row r="823" spans="1:15">
      <c r="A823">
        <v>1861</v>
      </c>
      <c r="B823" t="s">
        <v>347</v>
      </c>
      <c r="C823" s="1">
        <v>46160</v>
      </c>
      <c r="D823" s="1">
        <v>46160</v>
      </c>
      <c r="E823" s="1">
        <v>46165</v>
      </c>
      <c r="F823" s="1">
        <v>46164</v>
      </c>
      <c r="G823" s="1">
        <v>46165</v>
      </c>
      <c r="H823">
        <f t="shared" si="61"/>
        <v>0</v>
      </c>
      <c r="I823" t="str">
        <f t="shared" si="62"/>
        <v>ParcelOne</v>
      </c>
      <c r="J823" t="str">
        <f>VLOOKUP(A823,Orders!$A$2:$D$1201,4,FALSE)</f>
        <v>Delivered</v>
      </c>
      <c r="K823" t="str">
        <f t="shared" si="63"/>
        <v>On time</v>
      </c>
      <c r="L823" t="str">
        <f t="shared" si="64"/>
        <v>On time</v>
      </c>
      <c r="O823">
        <f t="shared" si="65"/>
        <v>1</v>
      </c>
    </row>
    <row r="824" spans="1:15">
      <c r="A824">
        <v>1862</v>
      </c>
      <c r="B824" t="s">
        <v>348</v>
      </c>
      <c r="C824" s="1">
        <v>46179</v>
      </c>
      <c r="D824" s="1">
        <v>46180</v>
      </c>
      <c r="E824" s="1">
        <v>46184</v>
      </c>
      <c r="F824" s="1">
        <v>46185</v>
      </c>
      <c r="G824" s="1">
        <v>46186</v>
      </c>
      <c r="H824">
        <f t="shared" si="61"/>
        <v>0</v>
      </c>
      <c r="I824" t="str">
        <f t="shared" si="62"/>
        <v>MetroLogistics</v>
      </c>
      <c r="J824" t="str">
        <f>VLOOKUP(A824,Orders!$A$2:$D$1201,4,FALSE)</f>
        <v>Delivered</v>
      </c>
      <c r="K824" t="str">
        <f t="shared" si="63"/>
        <v>Late</v>
      </c>
      <c r="L824" t="str">
        <f t="shared" si="64"/>
        <v>Late</v>
      </c>
      <c r="O824">
        <f t="shared" si="65"/>
        <v>1</v>
      </c>
    </row>
    <row r="825" spans="1:15">
      <c r="A825">
        <v>1863</v>
      </c>
      <c r="B825" t="s">
        <v>347</v>
      </c>
      <c r="C825" s="1">
        <v>46091</v>
      </c>
      <c r="D825" s="1">
        <v>46091</v>
      </c>
      <c r="E825" s="1">
        <v>46096</v>
      </c>
      <c r="H825">
        <f t="shared" si="61"/>
        <v>0</v>
      </c>
      <c r="I825" t="str">
        <f t="shared" si="62"/>
        <v>ParcelOne</v>
      </c>
      <c r="J825" t="str">
        <f>VLOOKUP(A825,Orders!$A$2:$D$1201,4,FALSE)</f>
        <v>Shipped</v>
      </c>
      <c r="K825" t="str">
        <f t="shared" si="63"/>
        <v>Not delivered</v>
      </c>
      <c r="L825" t="str">
        <f t="shared" si="64"/>
        <v>On time</v>
      </c>
      <c r="O825" t="str">
        <f t="shared" si="65"/>
        <v/>
      </c>
    </row>
    <row r="826" spans="1:15">
      <c r="A826">
        <v>1864</v>
      </c>
      <c r="B826" t="s">
        <v>347</v>
      </c>
      <c r="C826" s="1">
        <v>46158</v>
      </c>
      <c r="D826" s="1">
        <v>46158</v>
      </c>
      <c r="E826" s="1">
        <v>46163</v>
      </c>
      <c r="F826" s="1">
        <v>46164</v>
      </c>
      <c r="G826" s="1">
        <v>46164</v>
      </c>
      <c r="H826">
        <f t="shared" si="61"/>
        <v>0</v>
      </c>
      <c r="I826" t="str">
        <f t="shared" si="62"/>
        <v>ParcelOne</v>
      </c>
      <c r="J826" t="str">
        <f>VLOOKUP(A826,Orders!$A$2:$D$1201,4,FALSE)</f>
        <v>Delivered</v>
      </c>
      <c r="K826" t="str">
        <f t="shared" si="63"/>
        <v>Late</v>
      </c>
      <c r="L826" t="str">
        <f t="shared" si="64"/>
        <v>On time</v>
      </c>
      <c r="O826">
        <f t="shared" si="65"/>
        <v>0</v>
      </c>
    </row>
    <row r="827" spans="1:15">
      <c r="A827">
        <v>1865</v>
      </c>
      <c r="B827" t="s">
        <v>347</v>
      </c>
      <c r="C827" s="1">
        <v>46202</v>
      </c>
      <c r="D827" s="1">
        <v>46202</v>
      </c>
      <c r="E827" s="1">
        <v>46207</v>
      </c>
      <c r="F827" s="1">
        <v>46206</v>
      </c>
      <c r="G827" s="1">
        <v>46206</v>
      </c>
      <c r="H827">
        <f t="shared" si="61"/>
        <v>0</v>
      </c>
      <c r="I827" t="str">
        <f t="shared" si="62"/>
        <v>ParcelOne</v>
      </c>
      <c r="J827" t="str">
        <f>VLOOKUP(A827,Orders!$A$2:$D$1201,4,FALSE)</f>
        <v>Delivered</v>
      </c>
      <c r="K827" t="str">
        <f t="shared" si="63"/>
        <v>On time</v>
      </c>
      <c r="L827" t="str">
        <f t="shared" si="64"/>
        <v>On time</v>
      </c>
      <c r="O827">
        <f t="shared" si="65"/>
        <v>0</v>
      </c>
    </row>
    <row r="828" spans="1:15">
      <c r="A828">
        <v>1866</v>
      </c>
      <c r="B828" t="s">
        <v>347</v>
      </c>
      <c r="C828" s="1">
        <v>46117</v>
      </c>
      <c r="D828" s="1">
        <v>46117</v>
      </c>
      <c r="E828" s="1">
        <v>46122</v>
      </c>
      <c r="F828" s="1">
        <v>46121</v>
      </c>
      <c r="G828" s="1">
        <v>46121</v>
      </c>
      <c r="H828">
        <f t="shared" si="61"/>
        <v>0</v>
      </c>
      <c r="I828" t="str">
        <f t="shared" si="62"/>
        <v>ParcelOne</v>
      </c>
      <c r="J828" t="str">
        <f>VLOOKUP(A828,Orders!$A$2:$D$1201,4,FALSE)</f>
        <v>Delivered</v>
      </c>
      <c r="K828" t="str">
        <f t="shared" si="63"/>
        <v>On time</v>
      </c>
      <c r="L828" t="str">
        <f t="shared" si="64"/>
        <v>On time</v>
      </c>
      <c r="O828">
        <f t="shared" si="65"/>
        <v>0</v>
      </c>
    </row>
    <row r="829" spans="1:15">
      <c r="A829">
        <v>1867</v>
      </c>
      <c r="B829" t="s">
        <v>347</v>
      </c>
      <c r="C829" s="1">
        <v>46104</v>
      </c>
      <c r="D829" s="1">
        <v>46104</v>
      </c>
      <c r="E829" s="1">
        <v>46109</v>
      </c>
      <c r="F829" s="1">
        <v>46109</v>
      </c>
      <c r="G829" s="1">
        <v>46111</v>
      </c>
      <c r="H829">
        <f t="shared" si="61"/>
        <v>0</v>
      </c>
      <c r="I829" t="str">
        <f t="shared" si="62"/>
        <v>ParcelOne</v>
      </c>
      <c r="J829" t="str">
        <f>VLOOKUP(A829,Orders!$A$2:$D$1201,4,FALSE)</f>
        <v>Delivered</v>
      </c>
      <c r="K829" t="str">
        <f t="shared" si="63"/>
        <v>On time</v>
      </c>
      <c r="L829" t="str">
        <f t="shared" si="64"/>
        <v>On time</v>
      </c>
      <c r="O829">
        <f t="shared" si="65"/>
        <v>2</v>
      </c>
    </row>
    <row r="830" spans="1:15">
      <c r="A830">
        <v>1868</v>
      </c>
      <c r="B830" t="s">
        <v>348</v>
      </c>
      <c r="C830" s="1">
        <v>46116</v>
      </c>
      <c r="D830" s="1">
        <v>46116</v>
      </c>
      <c r="E830" s="1">
        <v>46121</v>
      </c>
      <c r="F830" s="1">
        <v>46123</v>
      </c>
      <c r="G830" s="1">
        <v>46123</v>
      </c>
      <c r="H830">
        <f t="shared" si="61"/>
        <v>0</v>
      </c>
      <c r="I830" t="str">
        <f t="shared" si="62"/>
        <v>MetroLogistics</v>
      </c>
      <c r="J830" t="str">
        <f>VLOOKUP(A830,Orders!$A$2:$D$1201,4,FALSE)</f>
        <v>Delivered</v>
      </c>
      <c r="K830" t="str">
        <f t="shared" si="63"/>
        <v>Late</v>
      </c>
      <c r="L830" t="str">
        <f t="shared" si="64"/>
        <v>On time</v>
      </c>
      <c r="O830">
        <f t="shared" si="65"/>
        <v>0</v>
      </c>
    </row>
    <row r="831" spans="1:15">
      <c r="A831">
        <v>1869</v>
      </c>
      <c r="B831" t="s">
        <v>347</v>
      </c>
      <c r="C831" s="1">
        <v>46063</v>
      </c>
      <c r="D831" s="1">
        <v>46063</v>
      </c>
      <c r="E831" s="1">
        <v>46068</v>
      </c>
      <c r="F831" s="1">
        <v>46068</v>
      </c>
      <c r="G831" s="1">
        <v>46069</v>
      </c>
      <c r="H831">
        <f t="shared" si="61"/>
        <v>0</v>
      </c>
      <c r="I831" t="str">
        <f t="shared" si="62"/>
        <v>ParcelOne</v>
      </c>
      <c r="J831" t="str">
        <f>VLOOKUP(A831,Orders!$A$2:$D$1201,4,FALSE)</f>
        <v>Delivered</v>
      </c>
      <c r="K831" t="str">
        <f t="shared" si="63"/>
        <v>On time</v>
      </c>
      <c r="L831" t="str">
        <f t="shared" si="64"/>
        <v>On time</v>
      </c>
      <c r="O831">
        <f t="shared" si="65"/>
        <v>1</v>
      </c>
    </row>
    <row r="832" spans="1:15">
      <c r="A832">
        <v>1871</v>
      </c>
      <c r="B832" t="s">
        <v>347</v>
      </c>
      <c r="C832" s="1">
        <v>46111</v>
      </c>
      <c r="D832" s="1">
        <v>46111</v>
      </c>
      <c r="E832" s="1">
        <v>46116</v>
      </c>
      <c r="F832" s="1">
        <v>46120</v>
      </c>
      <c r="G832" s="1">
        <v>46120</v>
      </c>
      <c r="H832">
        <f t="shared" si="61"/>
        <v>0</v>
      </c>
      <c r="I832" t="str">
        <f t="shared" si="62"/>
        <v>ParcelOne</v>
      </c>
      <c r="J832" t="str">
        <f>VLOOKUP(A832,Orders!$A$2:$D$1201,4,FALSE)</f>
        <v>Delivered</v>
      </c>
      <c r="K832" t="str">
        <f t="shared" si="63"/>
        <v>Late</v>
      </c>
      <c r="L832" t="str">
        <f t="shared" si="64"/>
        <v>On time</v>
      </c>
      <c r="O832">
        <f t="shared" si="65"/>
        <v>0</v>
      </c>
    </row>
    <row r="833" spans="1:15">
      <c r="A833">
        <v>1872</v>
      </c>
      <c r="B833" t="s">
        <v>347</v>
      </c>
      <c r="C833" s="1">
        <v>46170</v>
      </c>
      <c r="D833" s="1">
        <v>46170</v>
      </c>
      <c r="E833" s="1">
        <v>46175</v>
      </c>
      <c r="F833" s="1">
        <v>46175</v>
      </c>
      <c r="G833" s="1">
        <v>46176</v>
      </c>
      <c r="H833">
        <f t="shared" si="61"/>
        <v>0</v>
      </c>
      <c r="I833" t="str">
        <f t="shared" si="62"/>
        <v>ParcelOne</v>
      </c>
      <c r="J833" t="str">
        <f>VLOOKUP(A833,Orders!$A$2:$D$1201,4,FALSE)</f>
        <v>Delivered</v>
      </c>
      <c r="K833" t="str">
        <f t="shared" si="63"/>
        <v>On time</v>
      </c>
      <c r="L833" t="str">
        <f t="shared" si="64"/>
        <v>On time</v>
      </c>
      <c r="O833">
        <f t="shared" si="65"/>
        <v>1</v>
      </c>
    </row>
    <row r="834" spans="1:15">
      <c r="A834">
        <v>1873</v>
      </c>
      <c r="B834" t="s">
        <v>347</v>
      </c>
      <c r="C834" s="1">
        <v>46152</v>
      </c>
      <c r="D834" s="1">
        <v>46152</v>
      </c>
      <c r="E834" s="1">
        <v>46157</v>
      </c>
      <c r="F834" s="1">
        <v>46157</v>
      </c>
      <c r="G834" s="1">
        <v>46157</v>
      </c>
      <c r="H834">
        <f t="shared" si="61"/>
        <v>0</v>
      </c>
      <c r="I834" t="str">
        <f t="shared" si="62"/>
        <v>ParcelOne</v>
      </c>
      <c r="J834" t="str">
        <f>VLOOKUP(A834,Orders!$A$2:$D$1201,4,FALSE)</f>
        <v>Delivered</v>
      </c>
      <c r="K834" t="str">
        <f t="shared" si="63"/>
        <v>On time</v>
      </c>
      <c r="L834" t="str">
        <f t="shared" si="64"/>
        <v>On time</v>
      </c>
      <c r="O834">
        <f t="shared" si="65"/>
        <v>0</v>
      </c>
    </row>
    <row r="835" spans="1:15">
      <c r="A835">
        <v>1874</v>
      </c>
      <c r="B835" t="s">
        <v>346</v>
      </c>
      <c r="C835" s="1">
        <v>46070</v>
      </c>
      <c r="D835" s="1">
        <v>46072</v>
      </c>
      <c r="E835" s="1">
        <v>46075</v>
      </c>
      <c r="F835" s="1">
        <v>46079</v>
      </c>
      <c r="G835" s="1">
        <v>46079</v>
      </c>
      <c r="H835">
        <f t="shared" ref="H835:H898" si="66">LEN(B835)-LEN(TRIM(B835))</f>
        <v>0</v>
      </c>
      <c r="I835" t="str">
        <f t="shared" ref="I835:I898" si="67">TRIM(B835)</f>
        <v>SwiftShip</v>
      </c>
      <c r="J835" t="str">
        <f>VLOOKUP(A835,Orders!$A$2:$D$1201,4,FALSE)</f>
        <v>Delivered</v>
      </c>
      <c r="K835" t="str">
        <f t="shared" ref="K835:K898" si="68">IF(J835&lt;&gt;"Delivered","Not delivered",IF(OR(E835="",F835=""),"Unknown",IF(F835&lt;=E835,"On time","Late")))</f>
        <v>Late</v>
      </c>
      <c r="L835" t="str">
        <f t="shared" ref="L835:L898" si="69">IF(D835="","Not dispatched",IF(C835="","Unknown",IF(D835&lt;=C835,"On time","Late")))</f>
        <v>Late</v>
      </c>
      <c r="O835">
        <f t="shared" ref="O835:O898" si="70">IF(OR(F835="",G835=""),"",G835-F835)</f>
        <v>0</v>
      </c>
    </row>
    <row r="836" spans="1:15">
      <c r="A836">
        <v>1875</v>
      </c>
      <c r="B836" t="s">
        <v>348</v>
      </c>
      <c r="C836" s="1">
        <v>46098</v>
      </c>
      <c r="D836" s="1">
        <v>46098</v>
      </c>
      <c r="E836" s="1">
        <v>46103</v>
      </c>
      <c r="F836" s="1">
        <v>46103</v>
      </c>
      <c r="G836" s="1">
        <v>46103</v>
      </c>
      <c r="H836">
        <f t="shared" si="66"/>
        <v>0</v>
      </c>
      <c r="I836" t="str">
        <f t="shared" si="67"/>
        <v>MetroLogistics</v>
      </c>
      <c r="J836" t="str">
        <f>VLOOKUP(A836,Orders!$A$2:$D$1201,4,FALSE)</f>
        <v>Delivered</v>
      </c>
      <c r="K836" t="str">
        <f t="shared" si="68"/>
        <v>On time</v>
      </c>
      <c r="L836" t="str">
        <f t="shared" si="69"/>
        <v>On time</v>
      </c>
      <c r="O836">
        <f t="shared" si="70"/>
        <v>0</v>
      </c>
    </row>
    <row r="837" spans="1:15">
      <c r="A837">
        <v>1876</v>
      </c>
      <c r="B837" t="s">
        <v>347</v>
      </c>
      <c r="C837" s="1">
        <v>46035</v>
      </c>
      <c r="D837" s="1">
        <v>46035</v>
      </c>
      <c r="E837" s="1">
        <v>46040</v>
      </c>
      <c r="F837" s="1">
        <v>46040</v>
      </c>
      <c r="G837" s="1">
        <v>46041</v>
      </c>
      <c r="H837">
        <f t="shared" si="66"/>
        <v>0</v>
      </c>
      <c r="I837" t="str">
        <f t="shared" si="67"/>
        <v>ParcelOne</v>
      </c>
      <c r="J837" t="str">
        <f>VLOOKUP(A837,Orders!$A$2:$D$1201,4,FALSE)</f>
        <v>Delivered</v>
      </c>
      <c r="K837" t="str">
        <f t="shared" si="68"/>
        <v>On time</v>
      </c>
      <c r="L837" t="str">
        <f t="shared" si="69"/>
        <v>On time</v>
      </c>
      <c r="O837">
        <f t="shared" si="70"/>
        <v>1</v>
      </c>
    </row>
    <row r="838" spans="1:15">
      <c r="A838">
        <v>1878</v>
      </c>
      <c r="B838" t="s">
        <v>347</v>
      </c>
      <c r="C838" s="1">
        <v>46046</v>
      </c>
      <c r="D838" s="1">
        <v>46046</v>
      </c>
      <c r="E838" s="1">
        <v>46051</v>
      </c>
      <c r="F838" s="1">
        <v>46051</v>
      </c>
      <c r="G838" s="1">
        <v>46051</v>
      </c>
      <c r="H838">
        <f t="shared" si="66"/>
        <v>0</v>
      </c>
      <c r="I838" t="str">
        <f t="shared" si="67"/>
        <v>ParcelOne</v>
      </c>
      <c r="J838" t="str">
        <f>VLOOKUP(A838,Orders!$A$2:$D$1201,4,FALSE)</f>
        <v>Delivered</v>
      </c>
      <c r="K838" t="str">
        <f t="shared" si="68"/>
        <v>On time</v>
      </c>
      <c r="L838" t="str">
        <f t="shared" si="69"/>
        <v>On time</v>
      </c>
      <c r="O838">
        <f t="shared" si="70"/>
        <v>0</v>
      </c>
    </row>
    <row r="839" spans="1:15">
      <c r="A839">
        <v>1879</v>
      </c>
      <c r="B839" t="s">
        <v>348</v>
      </c>
      <c r="C839" s="1">
        <v>46204</v>
      </c>
      <c r="D839" s="1">
        <v>46204</v>
      </c>
      <c r="E839" s="1">
        <v>46209</v>
      </c>
      <c r="F839" s="1">
        <v>46208</v>
      </c>
      <c r="G839" s="1">
        <v>46208</v>
      </c>
      <c r="H839">
        <f t="shared" si="66"/>
        <v>0</v>
      </c>
      <c r="I839" t="str">
        <f t="shared" si="67"/>
        <v>MetroLogistics</v>
      </c>
      <c r="J839" t="str">
        <f>VLOOKUP(A839,Orders!$A$2:$D$1201,4,FALSE)</f>
        <v>Delivered</v>
      </c>
      <c r="K839" t="str">
        <f t="shared" si="68"/>
        <v>On time</v>
      </c>
      <c r="L839" t="str">
        <f t="shared" si="69"/>
        <v>On time</v>
      </c>
      <c r="O839">
        <f t="shared" si="70"/>
        <v>0</v>
      </c>
    </row>
    <row r="840" spans="1:15">
      <c r="A840">
        <v>1880</v>
      </c>
      <c r="B840" t="s">
        <v>346</v>
      </c>
      <c r="C840" s="1">
        <v>46122</v>
      </c>
      <c r="D840" s="1">
        <v>46123</v>
      </c>
      <c r="E840" s="1">
        <v>46127</v>
      </c>
      <c r="F840" s="1">
        <v>46131</v>
      </c>
      <c r="G840" s="1">
        <v>46131</v>
      </c>
      <c r="H840">
        <f t="shared" si="66"/>
        <v>0</v>
      </c>
      <c r="I840" t="str">
        <f t="shared" si="67"/>
        <v>SwiftShip</v>
      </c>
      <c r="J840" t="str">
        <f>VLOOKUP(A840,Orders!$A$2:$D$1201,4,FALSE)</f>
        <v>Delivered</v>
      </c>
      <c r="K840" t="str">
        <f t="shared" si="68"/>
        <v>Late</v>
      </c>
      <c r="L840" t="str">
        <f t="shared" si="69"/>
        <v>Late</v>
      </c>
      <c r="O840">
        <f t="shared" si="70"/>
        <v>0</v>
      </c>
    </row>
    <row r="841" spans="1:15">
      <c r="A841">
        <v>1881</v>
      </c>
      <c r="B841" t="s">
        <v>346</v>
      </c>
      <c r="C841" s="1">
        <v>46089</v>
      </c>
      <c r="D841" s="1">
        <v>46089</v>
      </c>
      <c r="E841" s="1">
        <v>46094</v>
      </c>
      <c r="F841" s="1">
        <v>46094</v>
      </c>
      <c r="G841" s="1">
        <v>46094</v>
      </c>
      <c r="H841">
        <f t="shared" si="66"/>
        <v>0</v>
      </c>
      <c r="I841" t="str">
        <f t="shared" si="67"/>
        <v>SwiftShip</v>
      </c>
      <c r="J841" t="str">
        <f>VLOOKUP(A841,Orders!$A$2:$D$1201,4,FALSE)</f>
        <v>Delivered</v>
      </c>
      <c r="K841" t="str">
        <f t="shared" si="68"/>
        <v>On time</v>
      </c>
      <c r="L841" t="str">
        <f t="shared" si="69"/>
        <v>On time</v>
      </c>
      <c r="O841">
        <f t="shared" si="70"/>
        <v>0</v>
      </c>
    </row>
    <row r="842" spans="1:15">
      <c r="A842">
        <v>1882</v>
      </c>
      <c r="B842" t="s">
        <v>346</v>
      </c>
      <c r="C842" s="1">
        <v>46159</v>
      </c>
      <c r="D842" s="1">
        <v>46160</v>
      </c>
      <c r="E842" s="1">
        <v>46164</v>
      </c>
      <c r="F842" s="1">
        <v>46164</v>
      </c>
      <c r="G842" s="1">
        <v>46166</v>
      </c>
      <c r="H842">
        <f t="shared" si="66"/>
        <v>0</v>
      </c>
      <c r="I842" t="str">
        <f t="shared" si="67"/>
        <v>SwiftShip</v>
      </c>
      <c r="J842" t="str">
        <f>VLOOKUP(A842,Orders!$A$2:$D$1201,4,FALSE)</f>
        <v>Delivered</v>
      </c>
      <c r="K842" t="str">
        <f t="shared" si="68"/>
        <v>On time</v>
      </c>
      <c r="L842" t="str">
        <f t="shared" si="69"/>
        <v>Late</v>
      </c>
      <c r="O842">
        <f t="shared" si="70"/>
        <v>2</v>
      </c>
    </row>
    <row r="843" spans="1:15">
      <c r="A843">
        <v>1883</v>
      </c>
      <c r="B843" t="s">
        <v>347</v>
      </c>
      <c r="C843" s="1">
        <v>46067</v>
      </c>
      <c r="D843" s="1">
        <v>46067</v>
      </c>
      <c r="E843" s="1">
        <v>46072</v>
      </c>
      <c r="F843" s="1">
        <v>46073</v>
      </c>
      <c r="G843" s="1">
        <v>46073</v>
      </c>
      <c r="H843">
        <f t="shared" si="66"/>
        <v>0</v>
      </c>
      <c r="I843" t="str">
        <f t="shared" si="67"/>
        <v>ParcelOne</v>
      </c>
      <c r="J843" t="str">
        <f>VLOOKUP(A843,Orders!$A$2:$D$1201,4,FALSE)</f>
        <v>Delivered</v>
      </c>
      <c r="K843" t="str">
        <f t="shared" si="68"/>
        <v>Late</v>
      </c>
      <c r="L843" t="str">
        <f t="shared" si="69"/>
        <v>On time</v>
      </c>
      <c r="O843">
        <f t="shared" si="70"/>
        <v>0</v>
      </c>
    </row>
    <row r="844" spans="1:15">
      <c r="A844">
        <v>1884</v>
      </c>
      <c r="B844" t="s">
        <v>348</v>
      </c>
      <c r="C844" s="1">
        <v>46168</v>
      </c>
      <c r="D844" s="1">
        <v>46168</v>
      </c>
      <c r="E844" s="1">
        <v>46173</v>
      </c>
      <c r="F844" s="1">
        <v>46177</v>
      </c>
      <c r="G844" s="1">
        <v>46179</v>
      </c>
      <c r="H844">
        <f t="shared" si="66"/>
        <v>0</v>
      </c>
      <c r="I844" t="str">
        <f t="shared" si="67"/>
        <v>MetroLogistics</v>
      </c>
      <c r="J844" t="str">
        <f>VLOOKUP(A844,Orders!$A$2:$D$1201,4,FALSE)</f>
        <v>Delivered</v>
      </c>
      <c r="K844" t="str">
        <f t="shared" si="68"/>
        <v>Late</v>
      </c>
      <c r="L844" t="str">
        <f t="shared" si="69"/>
        <v>On time</v>
      </c>
      <c r="O844">
        <f t="shared" si="70"/>
        <v>2</v>
      </c>
    </row>
    <row r="845" spans="1:15">
      <c r="A845">
        <v>1885</v>
      </c>
      <c r="B845" t="s">
        <v>348</v>
      </c>
      <c r="C845" s="1">
        <v>46106</v>
      </c>
      <c r="D845" s="1">
        <v>46106</v>
      </c>
      <c r="E845" s="1">
        <v>46111</v>
      </c>
      <c r="F845" s="1">
        <v>46115</v>
      </c>
      <c r="G845" s="1">
        <v>46115</v>
      </c>
      <c r="H845">
        <f t="shared" si="66"/>
        <v>0</v>
      </c>
      <c r="I845" t="str">
        <f t="shared" si="67"/>
        <v>MetroLogistics</v>
      </c>
      <c r="J845" t="str">
        <f>VLOOKUP(A845,Orders!$A$2:$D$1201,4,FALSE)</f>
        <v>Delivered</v>
      </c>
      <c r="K845" t="str">
        <f t="shared" si="68"/>
        <v>Late</v>
      </c>
      <c r="L845" t="str">
        <f t="shared" si="69"/>
        <v>On time</v>
      </c>
      <c r="O845">
        <f t="shared" si="70"/>
        <v>0</v>
      </c>
    </row>
    <row r="846" spans="1:15">
      <c r="A846">
        <v>1886</v>
      </c>
      <c r="B846" t="s">
        <v>348</v>
      </c>
      <c r="C846" s="1">
        <v>46025</v>
      </c>
      <c r="E846" s="1">
        <v>46030</v>
      </c>
      <c r="H846">
        <f t="shared" si="66"/>
        <v>0</v>
      </c>
      <c r="I846" t="str">
        <f t="shared" si="67"/>
        <v>MetroLogistics</v>
      </c>
      <c r="J846" t="str">
        <f>VLOOKUP(A846,Orders!$A$2:$D$1201,4,FALSE)</f>
        <v>Pending</v>
      </c>
      <c r="K846" t="str">
        <f t="shared" si="68"/>
        <v>Not delivered</v>
      </c>
      <c r="L846" t="str">
        <f t="shared" si="69"/>
        <v>Not dispatched</v>
      </c>
      <c r="O846" t="str">
        <f t="shared" si="70"/>
        <v/>
      </c>
    </row>
    <row r="847" spans="1:15">
      <c r="A847">
        <v>1887</v>
      </c>
      <c r="B847" t="s">
        <v>348</v>
      </c>
      <c r="C847" s="1">
        <v>46073</v>
      </c>
      <c r="D847" s="1">
        <v>46073</v>
      </c>
      <c r="E847" s="1">
        <v>46078</v>
      </c>
      <c r="F847" s="1">
        <v>46077</v>
      </c>
      <c r="G847" s="1">
        <v>46077</v>
      </c>
      <c r="H847">
        <f t="shared" si="66"/>
        <v>0</v>
      </c>
      <c r="I847" t="str">
        <f t="shared" si="67"/>
        <v>MetroLogistics</v>
      </c>
      <c r="J847" t="str">
        <f>VLOOKUP(A847,Orders!$A$2:$D$1201,4,FALSE)</f>
        <v>Delivered</v>
      </c>
      <c r="K847" t="str">
        <f t="shared" si="68"/>
        <v>On time</v>
      </c>
      <c r="L847" t="str">
        <f t="shared" si="69"/>
        <v>On time</v>
      </c>
      <c r="O847">
        <f t="shared" si="70"/>
        <v>0</v>
      </c>
    </row>
    <row r="848" spans="1:15">
      <c r="A848">
        <v>1888</v>
      </c>
      <c r="B848" t="s">
        <v>348</v>
      </c>
      <c r="C848" s="1">
        <v>46172</v>
      </c>
      <c r="D848" s="1">
        <v>46172</v>
      </c>
      <c r="E848" s="1">
        <v>46177</v>
      </c>
      <c r="H848">
        <f t="shared" si="66"/>
        <v>0</v>
      </c>
      <c r="I848" t="str">
        <f t="shared" si="67"/>
        <v>MetroLogistics</v>
      </c>
      <c r="J848" t="str">
        <f>VLOOKUP(A848,Orders!$A$2:$D$1201,4,FALSE)</f>
        <v>Shipped</v>
      </c>
      <c r="K848" t="str">
        <f t="shared" si="68"/>
        <v>Not delivered</v>
      </c>
      <c r="L848" t="str">
        <f t="shared" si="69"/>
        <v>On time</v>
      </c>
      <c r="O848" t="str">
        <f t="shared" si="70"/>
        <v/>
      </c>
    </row>
    <row r="849" spans="1:15">
      <c r="A849">
        <v>1889</v>
      </c>
      <c r="B849" t="s">
        <v>348</v>
      </c>
      <c r="C849" s="1">
        <v>46141</v>
      </c>
      <c r="D849" s="1">
        <v>46143</v>
      </c>
      <c r="E849" s="1">
        <v>46146</v>
      </c>
      <c r="F849" s="1">
        <v>46146</v>
      </c>
      <c r="G849" s="1">
        <v>46146</v>
      </c>
      <c r="H849">
        <f t="shared" si="66"/>
        <v>0</v>
      </c>
      <c r="I849" t="str">
        <f t="shared" si="67"/>
        <v>MetroLogistics</v>
      </c>
      <c r="J849" t="str">
        <f>VLOOKUP(A849,Orders!$A$2:$D$1201,4,FALSE)</f>
        <v>Delivered</v>
      </c>
      <c r="K849" t="str">
        <f t="shared" si="68"/>
        <v>On time</v>
      </c>
      <c r="L849" t="str">
        <f t="shared" si="69"/>
        <v>Late</v>
      </c>
      <c r="O849">
        <f t="shared" si="70"/>
        <v>0</v>
      </c>
    </row>
    <row r="850" spans="1:15">
      <c r="A850">
        <v>1890</v>
      </c>
      <c r="B850" t="s">
        <v>347</v>
      </c>
      <c r="C850" s="1">
        <v>46177</v>
      </c>
      <c r="D850" s="1">
        <v>46177</v>
      </c>
      <c r="E850" s="1">
        <v>46182</v>
      </c>
      <c r="F850" s="1">
        <v>46186</v>
      </c>
      <c r="G850" s="1">
        <v>46188</v>
      </c>
      <c r="H850">
        <f t="shared" si="66"/>
        <v>0</v>
      </c>
      <c r="I850" t="str">
        <f t="shared" si="67"/>
        <v>ParcelOne</v>
      </c>
      <c r="J850" t="str">
        <f>VLOOKUP(A850,Orders!$A$2:$D$1201,4,FALSE)</f>
        <v>Delivered</v>
      </c>
      <c r="K850" t="str">
        <f t="shared" si="68"/>
        <v>Late</v>
      </c>
      <c r="L850" t="str">
        <f t="shared" si="69"/>
        <v>On time</v>
      </c>
      <c r="O850">
        <f t="shared" si="70"/>
        <v>2</v>
      </c>
    </row>
    <row r="851" spans="1:15">
      <c r="A851">
        <v>1891</v>
      </c>
      <c r="B851" t="s">
        <v>348</v>
      </c>
      <c r="C851" s="1">
        <v>46047</v>
      </c>
      <c r="D851" s="1">
        <v>46047</v>
      </c>
      <c r="E851" s="1">
        <v>46052</v>
      </c>
      <c r="F851" s="1">
        <v>46052</v>
      </c>
      <c r="G851" s="1">
        <v>46052</v>
      </c>
      <c r="H851">
        <f t="shared" si="66"/>
        <v>0</v>
      </c>
      <c r="I851" t="str">
        <f t="shared" si="67"/>
        <v>MetroLogistics</v>
      </c>
      <c r="J851" t="str">
        <f>VLOOKUP(A851,Orders!$A$2:$D$1201,4,FALSE)</f>
        <v>Delivered</v>
      </c>
      <c r="K851" t="str">
        <f t="shared" si="68"/>
        <v>On time</v>
      </c>
      <c r="L851" t="str">
        <f t="shared" si="69"/>
        <v>On time</v>
      </c>
      <c r="O851">
        <f t="shared" si="70"/>
        <v>0</v>
      </c>
    </row>
    <row r="852" spans="1:15">
      <c r="A852">
        <v>1892</v>
      </c>
      <c r="B852" t="s">
        <v>346</v>
      </c>
      <c r="C852" s="1">
        <v>46164</v>
      </c>
      <c r="D852" s="1">
        <v>46164</v>
      </c>
      <c r="E852" s="1">
        <v>46169</v>
      </c>
      <c r="F852" s="1">
        <v>46169</v>
      </c>
      <c r="G852" s="1">
        <v>46169</v>
      </c>
      <c r="H852">
        <f t="shared" si="66"/>
        <v>0</v>
      </c>
      <c r="I852" t="str">
        <f t="shared" si="67"/>
        <v>SwiftShip</v>
      </c>
      <c r="J852" t="str">
        <f>VLOOKUP(A852,Orders!$A$2:$D$1201,4,FALSE)</f>
        <v>Delivered</v>
      </c>
      <c r="K852" t="str">
        <f t="shared" si="68"/>
        <v>On time</v>
      </c>
      <c r="L852" t="str">
        <f t="shared" si="69"/>
        <v>On time</v>
      </c>
      <c r="O852">
        <f t="shared" si="70"/>
        <v>0</v>
      </c>
    </row>
    <row r="853" spans="1:15">
      <c r="A853">
        <v>1893</v>
      </c>
      <c r="B853" t="s">
        <v>348</v>
      </c>
      <c r="C853" s="1">
        <v>46056</v>
      </c>
      <c r="D853" s="1">
        <v>46056</v>
      </c>
      <c r="E853" s="1">
        <v>46061</v>
      </c>
      <c r="F853" s="1">
        <v>46061</v>
      </c>
      <c r="G853" s="1">
        <v>46061</v>
      </c>
      <c r="H853">
        <f t="shared" si="66"/>
        <v>0</v>
      </c>
      <c r="I853" t="str">
        <f t="shared" si="67"/>
        <v>MetroLogistics</v>
      </c>
      <c r="J853" t="str">
        <f>VLOOKUP(A853,Orders!$A$2:$D$1201,4,FALSE)</f>
        <v>Delivered</v>
      </c>
      <c r="K853" t="str">
        <f t="shared" si="68"/>
        <v>On time</v>
      </c>
      <c r="L853" t="str">
        <f t="shared" si="69"/>
        <v>On time</v>
      </c>
      <c r="O853">
        <f t="shared" si="70"/>
        <v>0</v>
      </c>
    </row>
    <row r="854" spans="1:15">
      <c r="A854">
        <v>1894</v>
      </c>
      <c r="B854" t="s">
        <v>348</v>
      </c>
      <c r="C854" s="1">
        <v>46092</v>
      </c>
      <c r="D854" s="1">
        <v>46092</v>
      </c>
      <c r="E854" s="1">
        <v>46097</v>
      </c>
      <c r="F854" s="1">
        <v>46097</v>
      </c>
      <c r="G854" s="1">
        <v>46098</v>
      </c>
      <c r="H854">
        <f t="shared" si="66"/>
        <v>0</v>
      </c>
      <c r="I854" t="str">
        <f t="shared" si="67"/>
        <v>MetroLogistics</v>
      </c>
      <c r="J854" t="str">
        <f>VLOOKUP(A854,Orders!$A$2:$D$1201,4,FALSE)</f>
        <v>Delivered</v>
      </c>
      <c r="K854" t="str">
        <f t="shared" si="68"/>
        <v>On time</v>
      </c>
      <c r="L854" t="str">
        <f t="shared" si="69"/>
        <v>On time</v>
      </c>
      <c r="O854">
        <f t="shared" si="70"/>
        <v>1</v>
      </c>
    </row>
    <row r="855" spans="1:15">
      <c r="A855">
        <v>1895</v>
      </c>
      <c r="B855" t="s">
        <v>347</v>
      </c>
      <c r="C855" s="1">
        <v>46178</v>
      </c>
      <c r="D855" s="1">
        <v>46179</v>
      </c>
      <c r="E855" s="1">
        <v>46183</v>
      </c>
      <c r="F855" s="1">
        <v>46184</v>
      </c>
      <c r="G855" s="1">
        <v>46184</v>
      </c>
      <c r="H855">
        <f t="shared" si="66"/>
        <v>0</v>
      </c>
      <c r="I855" t="str">
        <f t="shared" si="67"/>
        <v>ParcelOne</v>
      </c>
      <c r="J855" t="str">
        <f>VLOOKUP(A855,Orders!$A$2:$D$1201,4,FALSE)</f>
        <v>Delivered</v>
      </c>
      <c r="K855" t="str">
        <f t="shared" si="68"/>
        <v>Late</v>
      </c>
      <c r="L855" t="str">
        <f t="shared" si="69"/>
        <v>Late</v>
      </c>
      <c r="O855">
        <f t="shared" si="70"/>
        <v>0</v>
      </c>
    </row>
    <row r="856" spans="1:15">
      <c r="A856">
        <v>1896</v>
      </c>
      <c r="B856" t="s">
        <v>347</v>
      </c>
      <c r="C856" s="1">
        <v>46187</v>
      </c>
      <c r="D856" s="1">
        <v>46187</v>
      </c>
      <c r="E856" s="1">
        <v>46192</v>
      </c>
      <c r="F856" s="1">
        <v>46193</v>
      </c>
      <c r="G856" s="1">
        <v>46193</v>
      </c>
      <c r="H856">
        <f t="shared" si="66"/>
        <v>0</v>
      </c>
      <c r="I856" t="str">
        <f t="shared" si="67"/>
        <v>ParcelOne</v>
      </c>
      <c r="J856" t="str">
        <f>VLOOKUP(A856,Orders!$A$2:$D$1201,4,FALSE)</f>
        <v>Delivered</v>
      </c>
      <c r="K856" t="str">
        <f t="shared" si="68"/>
        <v>Late</v>
      </c>
      <c r="L856" t="str">
        <f t="shared" si="69"/>
        <v>On time</v>
      </c>
      <c r="O856">
        <f t="shared" si="70"/>
        <v>0</v>
      </c>
    </row>
    <row r="857" spans="1:15">
      <c r="A857">
        <v>1897</v>
      </c>
      <c r="B857" t="s">
        <v>348</v>
      </c>
      <c r="C857" s="1">
        <v>46186</v>
      </c>
      <c r="D857" s="1">
        <v>46186</v>
      </c>
      <c r="E857" s="1">
        <v>46191</v>
      </c>
      <c r="F857" s="1">
        <v>46191</v>
      </c>
      <c r="G857" s="1">
        <v>46191</v>
      </c>
      <c r="H857">
        <f t="shared" si="66"/>
        <v>0</v>
      </c>
      <c r="I857" t="str">
        <f t="shared" si="67"/>
        <v>MetroLogistics</v>
      </c>
      <c r="J857" t="str">
        <f>VLOOKUP(A857,Orders!$A$2:$D$1201,4,FALSE)</f>
        <v>Delivered</v>
      </c>
      <c r="K857" t="str">
        <f t="shared" si="68"/>
        <v>On time</v>
      </c>
      <c r="L857" t="str">
        <f t="shared" si="69"/>
        <v>On time</v>
      </c>
      <c r="O857">
        <f t="shared" si="70"/>
        <v>0</v>
      </c>
    </row>
    <row r="858" spans="1:15">
      <c r="A858">
        <v>1898</v>
      </c>
      <c r="B858" t="s">
        <v>348</v>
      </c>
      <c r="C858" s="1">
        <v>46064</v>
      </c>
      <c r="D858" s="1">
        <v>46064</v>
      </c>
      <c r="E858" s="1">
        <v>46069</v>
      </c>
      <c r="F858" s="1">
        <v>46070</v>
      </c>
      <c r="G858" s="1">
        <v>46072</v>
      </c>
      <c r="H858">
        <f t="shared" si="66"/>
        <v>0</v>
      </c>
      <c r="I858" t="str">
        <f t="shared" si="67"/>
        <v>MetroLogistics</v>
      </c>
      <c r="J858" t="str">
        <f>VLOOKUP(A858,Orders!$A$2:$D$1201,4,FALSE)</f>
        <v>Delivered</v>
      </c>
      <c r="K858" t="str">
        <f t="shared" si="68"/>
        <v>Late</v>
      </c>
      <c r="L858" t="str">
        <f t="shared" si="69"/>
        <v>On time</v>
      </c>
      <c r="O858">
        <f t="shared" si="70"/>
        <v>2</v>
      </c>
    </row>
    <row r="859" spans="1:15">
      <c r="A859">
        <v>1899</v>
      </c>
      <c r="B859" t="s">
        <v>346</v>
      </c>
      <c r="C859" s="1">
        <v>46186</v>
      </c>
      <c r="D859" s="1">
        <v>46186</v>
      </c>
      <c r="E859" s="1">
        <v>46191</v>
      </c>
      <c r="F859" s="1">
        <v>46191</v>
      </c>
      <c r="G859" s="1">
        <v>46191</v>
      </c>
      <c r="H859">
        <f t="shared" si="66"/>
        <v>0</v>
      </c>
      <c r="I859" t="str">
        <f t="shared" si="67"/>
        <v>SwiftShip</v>
      </c>
      <c r="J859" t="str">
        <f>VLOOKUP(A859,Orders!$A$2:$D$1201,4,FALSE)</f>
        <v>Delivered</v>
      </c>
      <c r="K859" t="str">
        <f t="shared" si="68"/>
        <v>On time</v>
      </c>
      <c r="L859" t="str">
        <f t="shared" si="69"/>
        <v>On time</v>
      </c>
      <c r="O859">
        <f t="shared" si="70"/>
        <v>0</v>
      </c>
    </row>
    <row r="860" spans="1:15">
      <c r="A860">
        <v>1900</v>
      </c>
      <c r="B860" t="s">
        <v>346</v>
      </c>
      <c r="C860" s="1">
        <v>46091</v>
      </c>
      <c r="D860" s="1">
        <v>46091</v>
      </c>
      <c r="E860" s="1">
        <v>46096</v>
      </c>
      <c r="F860" s="1">
        <v>46096</v>
      </c>
      <c r="G860" s="1">
        <v>46096</v>
      </c>
      <c r="H860">
        <f t="shared" si="66"/>
        <v>0</v>
      </c>
      <c r="I860" t="str">
        <f t="shared" si="67"/>
        <v>SwiftShip</v>
      </c>
      <c r="J860" t="str">
        <f>VLOOKUP(A860,Orders!$A$2:$D$1201,4,FALSE)</f>
        <v>Delivered</v>
      </c>
      <c r="K860" t="str">
        <f t="shared" si="68"/>
        <v>On time</v>
      </c>
      <c r="L860" t="str">
        <f t="shared" si="69"/>
        <v>On time</v>
      </c>
      <c r="O860">
        <f t="shared" si="70"/>
        <v>0</v>
      </c>
    </row>
    <row r="861" spans="1:15">
      <c r="A861">
        <v>1901</v>
      </c>
      <c r="B861" t="s">
        <v>346</v>
      </c>
      <c r="C861" s="1">
        <v>46177</v>
      </c>
      <c r="D861" s="1">
        <v>46177</v>
      </c>
      <c r="E861" s="1">
        <v>46182</v>
      </c>
      <c r="F861" s="1">
        <v>46182</v>
      </c>
      <c r="G861" s="1">
        <v>46183</v>
      </c>
      <c r="H861">
        <f t="shared" si="66"/>
        <v>0</v>
      </c>
      <c r="I861" t="str">
        <f t="shared" si="67"/>
        <v>SwiftShip</v>
      </c>
      <c r="J861" t="str">
        <f>VLOOKUP(A861,Orders!$A$2:$D$1201,4,FALSE)</f>
        <v>Delivered</v>
      </c>
      <c r="K861" t="str">
        <f t="shared" si="68"/>
        <v>On time</v>
      </c>
      <c r="L861" t="str">
        <f t="shared" si="69"/>
        <v>On time</v>
      </c>
      <c r="O861">
        <f t="shared" si="70"/>
        <v>1</v>
      </c>
    </row>
    <row r="862" spans="1:15">
      <c r="A862">
        <v>1902</v>
      </c>
      <c r="B862" t="s">
        <v>346</v>
      </c>
      <c r="C862" s="1">
        <v>46050</v>
      </c>
      <c r="D862" s="1">
        <v>46050</v>
      </c>
      <c r="E862" s="1">
        <v>46055</v>
      </c>
      <c r="F862" s="1">
        <v>46055</v>
      </c>
      <c r="G862" s="1">
        <v>46055</v>
      </c>
      <c r="H862">
        <f t="shared" si="66"/>
        <v>0</v>
      </c>
      <c r="I862" t="str">
        <f t="shared" si="67"/>
        <v>SwiftShip</v>
      </c>
      <c r="J862" t="str">
        <f>VLOOKUP(A862,Orders!$A$2:$D$1201,4,FALSE)</f>
        <v>Delivered</v>
      </c>
      <c r="K862" t="str">
        <f t="shared" si="68"/>
        <v>On time</v>
      </c>
      <c r="L862" t="str">
        <f t="shared" si="69"/>
        <v>On time</v>
      </c>
      <c r="O862">
        <f t="shared" si="70"/>
        <v>0</v>
      </c>
    </row>
    <row r="863" spans="1:15">
      <c r="A863">
        <v>1903</v>
      </c>
      <c r="B863" t="s">
        <v>348</v>
      </c>
      <c r="C863" s="1">
        <v>46066</v>
      </c>
      <c r="D863" s="1">
        <v>46066</v>
      </c>
      <c r="E863" s="1">
        <v>46071</v>
      </c>
      <c r="F863" s="1">
        <v>46071</v>
      </c>
      <c r="G863" s="1">
        <v>46071</v>
      </c>
      <c r="H863">
        <f t="shared" si="66"/>
        <v>0</v>
      </c>
      <c r="I863" t="str">
        <f t="shared" si="67"/>
        <v>MetroLogistics</v>
      </c>
      <c r="J863" t="str">
        <f>VLOOKUP(A863,Orders!$A$2:$D$1201,4,FALSE)</f>
        <v>Delivered</v>
      </c>
      <c r="K863" t="str">
        <f t="shared" si="68"/>
        <v>On time</v>
      </c>
      <c r="L863" t="str">
        <f t="shared" si="69"/>
        <v>On time</v>
      </c>
      <c r="O863">
        <f t="shared" si="70"/>
        <v>0</v>
      </c>
    </row>
    <row r="864" spans="1:15">
      <c r="A864">
        <v>1904</v>
      </c>
      <c r="B864" t="s">
        <v>346</v>
      </c>
      <c r="C864" s="1">
        <v>46178</v>
      </c>
      <c r="D864" s="1">
        <v>46178</v>
      </c>
      <c r="E864" s="1">
        <v>46183</v>
      </c>
      <c r="F864" s="1">
        <v>46184</v>
      </c>
      <c r="G864" s="1">
        <v>46184</v>
      </c>
      <c r="H864">
        <f t="shared" si="66"/>
        <v>0</v>
      </c>
      <c r="I864" t="str">
        <f t="shared" si="67"/>
        <v>SwiftShip</v>
      </c>
      <c r="J864" t="str">
        <f>VLOOKUP(A864,Orders!$A$2:$D$1201,4,FALSE)</f>
        <v>Delivered</v>
      </c>
      <c r="K864" t="str">
        <f t="shared" si="68"/>
        <v>Late</v>
      </c>
      <c r="L864" t="str">
        <f t="shared" si="69"/>
        <v>On time</v>
      </c>
      <c r="O864">
        <f t="shared" si="70"/>
        <v>0</v>
      </c>
    </row>
    <row r="865" spans="1:15">
      <c r="A865">
        <v>1906</v>
      </c>
      <c r="B865" t="s">
        <v>346</v>
      </c>
      <c r="C865" s="1">
        <v>46093</v>
      </c>
      <c r="D865" s="1">
        <v>46093</v>
      </c>
      <c r="E865" s="1">
        <v>46098</v>
      </c>
      <c r="F865" s="1">
        <v>46099</v>
      </c>
      <c r="G865" s="1">
        <v>46099</v>
      </c>
      <c r="H865">
        <f t="shared" si="66"/>
        <v>0</v>
      </c>
      <c r="I865" t="str">
        <f t="shared" si="67"/>
        <v>SwiftShip</v>
      </c>
      <c r="J865" t="str">
        <f>VLOOKUP(A865,Orders!$A$2:$D$1201,4,FALSE)</f>
        <v>Delivered</v>
      </c>
      <c r="K865" t="str">
        <f t="shared" si="68"/>
        <v>Late</v>
      </c>
      <c r="L865" t="str">
        <f t="shared" si="69"/>
        <v>On time</v>
      </c>
      <c r="O865">
        <f t="shared" si="70"/>
        <v>0</v>
      </c>
    </row>
    <row r="866" spans="1:15">
      <c r="A866">
        <v>1907</v>
      </c>
      <c r="B866" t="s">
        <v>346</v>
      </c>
      <c r="C866" s="1">
        <v>46074</v>
      </c>
      <c r="D866" s="1">
        <v>46074</v>
      </c>
      <c r="E866" s="1">
        <v>46079</v>
      </c>
      <c r="F866" s="1">
        <v>46083</v>
      </c>
      <c r="G866" s="1">
        <v>46083</v>
      </c>
      <c r="H866">
        <f t="shared" si="66"/>
        <v>0</v>
      </c>
      <c r="I866" t="str">
        <f t="shared" si="67"/>
        <v>SwiftShip</v>
      </c>
      <c r="J866" t="str">
        <f>VLOOKUP(A866,Orders!$A$2:$D$1201,4,FALSE)</f>
        <v>Delivered</v>
      </c>
      <c r="K866" t="str">
        <f t="shared" si="68"/>
        <v>Late</v>
      </c>
      <c r="L866" t="str">
        <f t="shared" si="69"/>
        <v>On time</v>
      </c>
      <c r="O866">
        <f t="shared" si="70"/>
        <v>0</v>
      </c>
    </row>
    <row r="867" spans="1:15">
      <c r="A867">
        <v>1908</v>
      </c>
      <c r="B867" t="s">
        <v>347</v>
      </c>
      <c r="C867" s="1">
        <v>46133</v>
      </c>
      <c r="D867" s="1">
        <v>46133</v>
      </c>
      <c r="E867" s="1">
        <v>46138</v>
      </c>
      <c r="F867" s="1">
        <v>46138</v>
      </c>
      <c r="G867" s="1">
        <v>46139</v>
      </c>
      <c r="H867">
        <f t="shared" si="66"/>
        <v>0</v>
      </c>
      <c r="I867" t="str">
        <f t="shared" si="67"/>
        <v>ParcelOne</v>
      </c>
      <c r="J867" t="str">
        <f>VLOOKUP(A867,Orders!$A$2:$D$1201,4,FALSE)</f>
        <v>Delivered</v>
      </c>
      <c r="K867" t="str">
        <f t="shared" si="68"/>
        <v>On time</v>
      </c>
      <c r="L867" t="str">
        <f t="shared" si="69"/>
        <v>On time</v>
      </c>
      <c r="O867">
        <f t="shared" si="70"/>
        <v>1</v>
      </c>
    </row>
    <row r="868" spans="1:15">
      <c r="A868">
        <v>1909</v>
      </c>
      <c r="B868" t="s">
        <v>347</v>
      </c>
      <c r="C868" s="1">
        <v>46140</v>
      </c>
      <c r="D868" s="1">
        <v>46140</v>
      </c>
      <c r="E868" s="1">
        <v>46145</v>
      </c>
      <c r="F868" s="1">
        <v>46144</v>
      </c>
      <c r="G868" s="1">
        <v>46144</v>
      </c>
      <c r="H868">
        <f t="shared" si="66"/>
        <v>0</v>
      </c>
      <c r="I868" t="str">
        <f t="shared" si="67"/>
        <v>ParcelOne</v>
      </c>
      <c r="J868" t="str">
        <f>VLOOKUP(A868,Orders!$A$2:$D$1201,4,FALSE)</f>
        <v>Delivered</v>
      </c>
      <c r="K868" t="str">
        <f t="shared" si="68"/>
        <v>On time</v>
      </c>
      <c r="L868" t="str">
        <f t="shared" si="69"/>
        <v>On time</v>
      </c>
      <c r="O868">
        <f t="shared" si="70"/>
        <v>0</v>
      </c>
    </row>
    <row r="869" spans="1:15">
      <c r="A869">
        <v>1910</v>
      </c>
      <c r="B869" t="s">
        <v>346</v>
      </c>
      <c r="C869" s="1">
        <v>46116</v>
      </c>
      <c r="D869" s="1">
        <v>46116</v>
      </c>
      <c r="E869" s="1">
        <v>46121</v>
      </c>
      <c r="F869" s="1">
        <v>46119</v>
      </c>
      <c r="G869" s="1">
        <v>46119</v>
      </c>
      <c r="H869">
        <f t="shared" si="66"/>
        <v>0</v>
      </c>
      <c r="I869" t="str">
        <f t="shared" si="67"/>
        <v>SwiftShip</v>
      </c>
      <c r="J869" t="str">
        <f>VLOOKUP(A869,Orders!$A$2:$D$1201,4,FALSE)</f>
        <v>Delivered</v>
      </c>
      <c r="K869" t="str">
        <f t="shared" si="68"/>
        <v>On time</v>
      </c>
      <c r="L869" t="str">
        <f t="shared" si="69"/>
        <v>On time</v>
      </c>
      <c r="O869">
        <f t="shared" si="70"/>
        <v>0</v>
      </c>
    </row>
    <row r="870" spans="1:15">
      <c r="A870">
        <v>1911</v>
      </c>
      <c r="B870" t="s">
        <v>348</v>
      </c>
      <c r="C870" s="1">
        <v>46170</v>
      </c>
      <c r="D870" s="1">
        <v>46170</v>
      </c>
      <c r="E870" s="1">
        <v>46175</v>
      </c>
      <c r="F870" s="1">
        <v>46176</v>
      </c>
      <c r="G870" s="1">
        <v>46178</v>
      </c>
      <c r="H870">
        <f t="shared" si="66"/>
        <v>0</v>
      </c>
      <c r="I870" t="str">
        <f t="shared" si="67"/>
        <v>MetroLogistics</v>
      </c>
      <c r="J870" t="str">
        <f>VLOOKUP(A870,Orders!$A$2:$D$1201,4,FALSE)</f>
        <v>Delivered</v>
      </c>
      <c r="K870" t="str">
        <f t="shared" si="68"/>
        <v>Late</v>
      </c>
      <c r="L870" t="str">
        <f t="shared" si="69"/>
        <v>On time</v>
      </c>
      <c r="O870">
        <f t="shared" si="70"/>
        <v>2</v>
      </c>
    </row>
    <row r="871" spans="1:15">
      <c r="A871">
        <v>1912</v>
      </c>
      <c r="B871" t="s">
        <v>346</v>
      </c>
      <c r="C871" s="1">
        <v>46044</v>
      </c>
      <c r="D871" s="1">
        <v>46045</v>
      </c>
      <c r="E871" s="1">
        <v>46049</v>
      </c>
      <c r="F871" s="1">
        <v>46049</v>
      </c>
      <c r="G871" s="1">
        <v>46051</v>
      </c>
      <c r="H871">
        <f t="shared" si="66"/>
        <v>0</v>
      </c>
      <c r="I871" t="str">
        <f t="shared" si="67"/>
        <v>SwiftShip</v>
      </c>
      <c r="J871" t="str">
        <f>VLOOKUP(A871,Orders!$A$2:$D$1201,4,FALSE)</f>
        <v>Delivered</v>
      </c>
      <c r="K871" t="str">
        <f t="shared" si="68"/>
        <v>On time</v>
      </c>
      <c r="L871" t="str">
        <f t="shared" si="69"/>
        <v>Late</v>
      </c>
      <c r="O871">
        <f t="shared" si="70"/>
        <v>2</v>
      </c>
    </row>
    <row r="872" spans="1:15">
      <c r="A872">
        <v>1913</v>
      </c>
      <c r="B872" t="s">
        <v>347</v>
      </c>
      <c r="C872" s="1">
        <v>46055</v>
      </c>
      <c r="D872" s="1">
        <v>46055</v>
      </c>
      <c r="E872" s="1">
        <v>46060</v>
      </c>
      <c r="F872" s="1">
        <v>46061</v>
      </c>
      <c r="G872" s="1">
        <v>46061</v>
      </c>
      <c r="H872">
        <f t="shared" si="66"/>
        <v>0</v>
      </c>
      <c r="I872" t="str">
        <f t="shared" si="67"/>
        <v>ParcelOne</v>
      </c>
      <c r="J872" t="str">
        <f>VLOOKUP(A872,Orders!$A$2:$D$1201,4,FALSE)</f>
        <v>Delivered</v>
      </c>
      <c r="K872" t="str">
        <f t="shared" si="68"/>
        <v>Late</v>
      </c>
      <c r="L872" t="str">
        <f t="shared" si="69"/>
        <v>On time</v>
      </c>
      <c r="O872">
        <f t="shared" si="70"/>
        <v>0</v>
      </c>
    </row>
    <row r="873" spans="1:15">
      <c r="A873">
        <v>1914</v>
      </c>
      <c r="B873" t="s">
        <v>346</v>
      </c>
      <c r="C873" s="1">
        <v>46143</v>
      </c>
      <c r="D873" s="1">
        <v>46143</v>
      </c>
      <c r="E873" s="1">
        <v>46148</v>
      </c>
      <c r="F873" s="1">
        <v>46146</v>
      </c>
      <c r="G873" s="1">
        <v>46146</v>
      </c>
      <c r="H873">
        <f t="shared" si="66"/>
        <v>0</v>
      </c>
      <c r="I873" t="str">
        <f t="shared" si="67"/>
        <v>SwiftShip</v>
      </c>
      <c r="J873" t="str">
        <f>VLOOKUP(A873,Orders!$A$2:$D$1201,4,FALSE)</f>
        <v>Delivered</v>
      </c>
      <c r="K873" t="str">
        <f t="shared" si="68"/>
        <v>On time</v>
      </c>
      <c r="L873" t="str">
        <f t="shared" si="69"/>
        <v>On time</v>
      </c>
      <c r="O873">
        <f t="shared" si="70"/>
        <v>0</v>
      </c>
    </row>
    <row r="874" spans="1:15">
      <c r="A874">
        <v>1915</v>
      </c>
      <c r="B874" t="s">
        <v>346</v>
      </c>
      <c r="C874" s="1">
        <v>46102</v>
      </c>
      <c r="D874" s="1">
        <v>46102</v>
      </c>
      <c r="E874" s="1">
        <v>46107</v>
      </c>
      <c r="F874" s="1">
        <v>46107</v>
      </c>
      <c r="G874" s="1">
        <v>46107</v>
      </c>
      <c r="H874">
        <f t="shared" si="66"/>
        <v>0</v>
      </c>
      <c r="I874" t="str">
        <f t="shared" si="67"/>
        <v>SwiftShip</v>
      </c>
      <c r="J874" t="str">
        <f>VLOOKUP(A874,Orders!$A$2:$D$1201,4,FALSE)</f>
        <v>Delivered</v>
      </c>
      <c r="K874" t="str">
        <f t="shared" si="68"/>
        <v>On time</v>
      </c>
      <c r="L874" t="str">
        <f t="shared" si="69"/>
        <v>On time</v>
      </c>
      <c r="O874">
        <f t="shared" si="70"/>
        <v>0</v>
      </c>
    </row>
    <row r="875" spans="1:15">
      <c r="A875">
        <v>1916</v>
      </c>
      <c r="B875" t="s">
        <v>346</v>
      </c>
      <c r="C875" s="1">
        <v>46151</v>
      </c>
      <c r="D875" s="1">
        <v>46151</v>
      </c>
      <c r="E875" s="1">
        <v>46156</v>
      </c>
      <c r="F875" s="1">
        <v>46154</v>
      </c>
      <c r="G875" s="1">
        <v>46154</v>
      </c>
      <c r="H875">
        <f t="shared" si="66"/>
        <v>0</v>
      </c>
      <c r="I875" t="str">
        <f t="shared" si="67"/>
        <v>SwiftShip</v>
      </c>
      <c r="J875" t="str">
        <f>VLOOKUP(A875,Orders!$A$2:$D$1201,4,FALSE)</f>
        <v>Delivered</v>
      </c>
      <c r="K875" t="str">
        <f t="shared" si="68"/>
        <v>On time</v>
      </c>
      <c r="L875" t="str">
        <f t="shared" si="69"/>
        <v>On time</v>
      </c>
      <c r="O875">
        <f t="shared" si="70"/>
        <v>0</v>
      </c>
    </row>
    <row r="876" spans="1:15">
      <c r="A876">
        <v>1917</v>
      </c>
      <c r="B876" t="s">
        <v>348</v>
      </c>
      <c r="C876" s="1">
        <v>46201</v>
      </c>
      <c r="D876" s="1">
        <v>46201</v>
      </c>
      <c r="E876" s="1">
        <v>46206</v>
      </c>
      <c r="F876" s="1">
        <v>46207</v>
      </c>
      <c r="G876" s="1">
        <v>46208</v>
      </c>
      <c r="H876">
        <f t="shared" si="66"/>
        <v>0</v>
      </c>
      <c r="I876" t="str">
        <f t="shared" si="67"/>
        <v>MetroLogistics</v>
      </c>
      <c r="J876" t="str">
        <f>VLOOKUP(A876,Orders!$A$2:$D$1201,4,FALSE)</f>
        <v>Delivered</v>
      </c>
      <c r="K876" t="str">
        <f t="shared" si="68"/>
        <v>Late</v>
      </c>
      <c r="L876" t="str">
        <f t="shared" si="69"/>
        <v>On time</v>
      </c>
      <c r="O876">
        <f t="shared" si="70"/>
        <v>1</v>
      </c>
    </row>
    <row r="877" spans="1:15">
      <c r="A877">
        <v>1918</v>
      </c>
      <c r="B877" t="s">
        <v>346</v>
      </c>
      <c r="C877" s="1">
        <v>46026</v>
      </c>
      <c r="D877" s="1">
        <v>46026</v>
      </c>
      <c r="E877" s="1">
        <v>46031</v>
      </c>
      <c r="H877">
        <f t="shared" si="66"/>
        <v>0</v>
      </c>
      <c r="I877" t="str">
        <f t="shared" si="67"/>
        <v>SwiftShip</v>
      </c>
      <c r="J877" t="str">
        <f>VLOOKUP(A877,Orders!$A$2:$D$1201,4,FALSE)</f>
        <v>Shipped</v>
      </c>
      <c r="K877" t="str">
        <f t="shared" si="68"/>
        <v>Not delivered</v>
      </c>
      <c r="L877" t="str">
        <f t="shared" si="69"/>
        <v>On time</v>
      </c>
      <c r="O877" t="str">
        <f t="shared" si="70"/>
        <v/>
      </c>
    </row>
    <row r="878" spans="1:15">
      <c r="A878">
        <v>1919</v>
      </c>
      <c r="B878" t="s">
        <v>348</v>
      </c>
      <c r="C878" s="1">
        <v>46201</v>
      </c>
      <c r="D878" s="1">
        <v>46201</v>
      </c>
      <c r="E878" s="1">
        <v>46206</v>
      </c>
      <c r="F878" s="1">
        <v>46206</v>
      </c>
      <c r="G878" s="1">
        <v>46206</v>
      </c>
      <c r="H878">
        <f t="shared" si="66"/>
        <v>0</v>
      </c>
      <c r="I878" t="str">
        <f t="shared" si="67"/>
        <v>MetroLogistics</v>
      </c>
      <c r="J878" t="str">
        <f>VLOOKUP(A878,Orders!$A$2:$D$1201,4,FALSE)</f>
        <v>Delivered</v>
      </c>
      <c r="K878" t="str">
        <f t="shared" si="68"/>
        <v>On time</v>
      </c>
      <c r="L878" t="str">
        <f t="shared" si="69"/>
        <v>On time</v>
      </c>
      <c r="O878">
        <f t="shared" si="70"/>
        <v>0</v>
      </c>
    </row>
    <row r="879" spans="1:15">
      <c r="A879">
        <v>1920</v>
      </c>
      <c r="B879" t="s">
        <v>346</v>
      </c>
      <c r="C879" s="1">
        <v>46130</v>
      </c>
      <c r="D879" s="1">
        <v>46130</v>
      </c>
      <c r="E879" s="1">
        <v>46135</v>
      </c>
      <c r="F879" s="1">
        <v>46136</v>
      </c>
      <c r="G879" s="1">
        <v>46136</v>
      </c>
      <c r="H879">
        <f t="shared" si="66"/>
        <v>0</v>
      </c>
      <c r="I879" t="str">
        <f t="shared" si="67"/>
        <v>SwiftShip</v>
      </c>
      <c r="J879" t="str">
        <f>VLOOKUP(A879,Orders!$A$2:$D$1201,4,FALSE)</f>
        <v>Delivered</v>
      </c>
      <c r="K879" t="str">
        <f t="shared" si="68"/>
        <v>Late</v>
      </c>
      <c r="L879" t="str">
        <f t="shared" si="69"/>
        <v>On time</v>
      </c>
      <c r="O879">
        <f t="shared" si="70"/>
        <v>0</v>
      </c>
    </row>
    <row r="880" spans="1:15">
      <c r="A880">
        <v>1921</v>
      </c>
      <c r="B880" t="s">
        <v>346</v>
      </c>
      <c r="C880" s="1">
        <v>46100</v>
      </c>
      <c r="D880" s="1">
        <v>46100</v>
      </c>
      <c r="E880" s="1">
        <v>46105</v>
      </c>
      <c r="F880" s="1">
        <v>46103</v>
      </c>
      <c r="G880" s="1">
        <v>46103</v>
      </c>
      <c r="H880">
        <f t="shared" si="66"/>
        <v>0</v>
      </c>
      <c r="I880" t="str">
        <f t="shared" si="67"/>
        <v>SwiftShip</v>
      </c>
      <c r="J880" t="str">
        <f>VLOOKUP(A880,Orders!$A$2:$D$1201,4,FALSE)</f>
        <v>Delivered</v>
      </c>
      <c r="K880" t="str">
        <f t="shared" si="68"/>
        <v>On time</v>
      </c>
      <c r="L880" t="str">
        <f t="shared" si="69"/>
        <v>On time</v>
      </c>
      <c r="O880">
        <f t="shared" si="70"/>
        <v>0</v>
      </c>
    </row>
    <row r="881" spans="1:15">
      <c r="A881">
        <v>1922</v>
      </c>
      <c r="B881" t="s">
        <v>347</v>
      </c>
      <c r="C881" s="1">
        <v>46073</v>
      </c>
      <c r="D881" s="1">
        <v>46073</v>
      </c>
      <c r="E881" s="1">
        <v>46078</v>
      </c>
      <c r="F881" s="1">
        <v>46078</v>
      </c>
      <c r="G881" s="1">
        <v>46078</v>
      </c>
      <c r="H881">
        <f t="shared" si="66"/>
        <v>0</v>
      </c>
      <c r="I881" t="str">
        <f t="shared" si="67"/>
        <v>ParcelOne</v>
      </c>
      <c r="J881" t="str">
        <f>VLOOKUP(A881,Orders!$A$2:$D$1201,4,FALSE)</f>
        <v>Delivered</v>
      </c>
      <c r="K881" t="str">
        <f t="shared" si="68"/>
        <v>On time</v>
      </c>
      <c r="L881" t="str">
        <f t="shared" si="69"/>
        <v>On time</v>
      </c>
      <c r="O881">
        <f t="shared" si="70"/>
        <v>0</v>
      </c>
    </row>
    <row r="882" spans="1:15">
      <c r="A882">
        <v>1923</v>
      </c>
      <c r="B882" t="s">
        <v>346</v>
      </c>
      <c r="C882" s="1">
        <v>46154</v>
      </c>
      <c r="D882" s="1">
        <v>46156</v>
      </c>
      <c r="E882" s="1">
        <v>46159</v>
      </c>
      <c r="F882" s="1">
        <v>46161</v>
      </c>
      <c r="G882" s="1">
        <v>46161</v>
      </c>
      <c r="H882">
        <f t="shared" si="66"/>
        <v>0</v>
      </c>
      <c r="I882" t="str">
        <f t="shared" si="67"/>
        <v>SwiftShip</v>
      </c>
      <c r="J882" t="str">
        <f>VLOOKUP(A882,Orders!$A$2:$D$1201,4,FALSE)</f>
        <v>Delivered</v>
      </c>
      <c r="K882" t="str">
        <f t="shared" si="68"/>
        <v>Late</v>
      </c>
      <c r="L882" t="str">
        <f t="shared" si="69"/>
        <v>Late</v>
      </c>
      <c r="O882">
        <f t="shared" si="70"/>
        <v>0</v>
      </c>
    </row>
    <row r="883" spans="1:15">
      <c r="A883">
        <v>1924</v>
      </c>
      <c r="B883" t="s">
        <v>346</v>
      </c>
      <c r="C883" s="1">
        <v>46073</v>
      </c>
      <c r="D883" s="1">
        <v>46075</v>
      </c>
      <c r="E883" s="1">
        <v>46078</v>
      </c>
      <c r="F883" s="1">
        <v>46078</v>
      </c>
      <c r="G883" s="1">
        <v>46078</v>
      </c>
      <c r="H883">
        <f t="shared" si="66"/>
        <v>0</v>
      </c>
      <c r="I883" t="str">
        <f t="shared" si="67"/>
        <v>SwiftShip</v>
      </c>
      <c r="J883" t="str">
        <f>VLOOKUP(A883,Orders!$A$2:$D$1201,4,FALSE)</f>
        <v>Delivered</v>
      </c>
      <c r="K883" t="str">
        <f t="shared" si="68"/>
        <v>On time</v>
      </c>
      <c r="L883" t="str">
        <f t="shared" si="69"/>
        <v>Late</v>
      </c>
      <c r="O883">
        <f t="shared" si="70"/>
        <v>0</v>
      </c>
    </row>
    <row r="884" spans="1:15">
      <c r="A884">
        <v>1925</v>
      </c>
      <c r="B884" t="s">
        <v>346</v>
      </c>
      <c r="C884" s="1">
        <v>46052</v>
      </c>
      <c r="D884" s="1">
        <v>46052</v>
      </c>
      <c r="E884" s="1">
        <v>46057</v>
      </c>
      <c r="F884" s="1">
        <v>46057</v>
      </c>
      <c r="G884" s="1">
        <v>46057</v>
      </c>
      <c r="H884">
        <f t="shared" si="66"/>
        <v>0</v>
      </c>
      <c r="I884" t="str">
        <f t="shared" si="67"/>
        <v>SwiftShip</v>
      </c>
      <c r="J884" t="str">
        <f>VLOOKUP(A884,Orders!$A$2:$D$1201,4,FALSE)</f>
        <v>Delivered</v>
      </c>
      <c r="K884" t="str">
        <f t="shared" si="68"/>
        <v>On time</v>
      </c>
      <c r="L884" t="str">
        <f t="shared" si="69"/>
        <v>On time</v>
      </c>
      <c r="O884">
        <f t="shared" si="70"/>
        <v>0</v>
      </c>
    </row>
    <row r="885" spans="1:15">
      <c r="A885">
        <v>1926</v>
      </c>
      <c r="B885" t="s">
        <v>346</v>
      </c>
      <c r="C885" s="1">
        <v>46092</v>
      </c>
      <c r="D885" s="1">
        <v>46092</v>
      </c>
      <c r="E885" s="1">
        <v>46097</v>
      </c>
      <c r="F885" s="1">
        <v>46097</v>
      </c>
      <c r="G885" s="1">
        <v>46097</v>
      </c>
      <c r="H885">
        <f t="shared" si="66"/>
        <v>0</v>
      </c>
      <c r="I885" t="str">
        <f t="shared" si="67"/>
        <v>SwiftShip</v>
      </c>
      <c r="J885" t="str">
        <f>VLOOKUP(A885,Orders!$A$2:$D$1201,4,FALSE)</f>
        <v>Delivered</v>
      </c>
      <c r="K885" t="str">
        <f t="shared" si="68"/>
        <v>On time</v>
      </c>
      <c r="L885" t="str">
        <f t="shared" si="69"/>
        <v>On time</v>
      </c>
      <c r="O885">
        <f t="shared" si="70"/>
        <v>0</v>
      </c>
    </row>
    <row r="886" spans="1:15">
      <c r="A886">
        <v>1927</v>
      </c>
      <c r="B886" t="s">
        <v>346</v>
      </c>
      <c r="C886" s="1">
        <v>46038</v>
      </c>
      <c r="D886" s="1">
        <v>46038</v>
      </c>
      <c r="E886" s="1">
        <v>46043</v>
      </c>
      <c r="F886" s="1">
        <v>46043</v>
      </c>
      <c r="G886" s="1">
        <v>46043</v>
      </c>
      <c r="H886">
        <f t="shared" si="66"/>
        <v>0</v>
      </c>
      <c r="I886" t="str">
        <f t="shared" si="67"/>
        <v>SwiftShip</v>
      </c>
      <c r="J886" t="str">
        <f>VLOOKUP(A886,Orders!$A$2:$D$1201,4,FALSE)</f>
        <v>Delivered</v>
      </c>
      <c r="K886" t="str">
        <f t="shared" si="68"/>
        <v>On time</v>
      </c>
      <c r="L886" t="str">
        <f t="shared" si="69"/>
        <v>On time</v>
      </c>
      <c r="O886">
        <f t="shared" si="70"/>
        <v>0</v>
      </c>
    </row>
    <row r="887" spans="1:15">
      <c r="A887">
        <v>1928</v>
      </c>
      <c r="B887" t="s">
        <v>347</v>
      </c>
      <c r="C887" s="1">
        <v>46070</v>
      </c>
      <c r="D887" s="1">
        <v>46072</v>
      </c>
      <c r="E887" s="1">
        <v>46075</v>
      </c>
      <c r="F887" s="1">
        <v>46074</v>
      </c>
      <c r="G887" s="1">
        <v>46074</v>
      </c>
      <c r="H887">
        <f t="shared" si="66"/>
        <v>0</v>
      </c>
      <c r="I887" t="str">
        <f t="shared" si="67"/>
        <v>ParcelOne</v>
      </c>
      <c r="J887" t="str">
        <f>VLOOKUP(A887,Orders!$A$2:$D$1201,4,FALSE)</f>
        <v>Delivered</v>
      </c>
      <c r="K887" t="str">
        <f t="shared" si="68"/>
        <v>On time</v>
      </c>
      <c r="L887" t="str">
        <f t="shared" si="69"/>
        <v>Late</v>
      </c>
      <c r="O887">
        <f t="shared" si="70"/>
        <v>0</v>
      </c>
    </row>
    <row r="888" spans="1:15">
      <c r="A888">
        <v>1929</v>
      </c>
      <c r="B888" t="s">
        <v>346</v>
      </c>
      <c r="C888" s="1">
        <v>46172</v>
      </c>
      <c r="D888" s="1">
        <v>46172</v>
      </c>
      <c r="E888" s="1">
        <v>46177</v>
      </c>
      <c r="F888" s="1">
        <v>46178</v>
      </c>
      <c r="G888" s="1">
        <v>46179</v>
      </c>
      <c r="H888">
        <f t="shared" si="66"/>
        <v>0</v>
      </c>
      <c r="I888" t="str">
        <f t="shared" si="67"/>
        <v>SwiftShip</v>
      </c>
      <c r="J888" t="str">
        <f>VLOOKUP(A888,Orders!$A$2:$D$1201,4,FALSE)</f>
        <v>Delivered</v>
      </c>
      <c r="K888" t="str">
        <f t="shared" si="68"/>
        <v>Late</v>
      </c>
      <c r="L888" t="str">
        <f t="shared" si="69"/>
        <v>On time</v>
      </c>
      <c r="O888">
        <f t="shared" si="70"/>
        <v>1</v>
      </c>
    </row>
    <row r="889" spans="1:15">
      <c r="A889">
        <v>1930</v>
      </c>
      <c r="B889" t="s">
        <v>346</v>
      </c>
      <c r="C889" s="1">
        <v>46151</v>
      </c>
      <c r="D889" s="1">
        <v>46151</v>
      </c>
      <c r="E889" s="1">
        <v>46156</v>
      </c>
      <c r="F889" s="1">
        <v>46156</v>
      </c>
      <c r="G889" s="1">
        <v>46156</v>
      </c>
      <c r="H889">
        <f t="shared" si="66"/>
        <v>0</v>
      </c>
      <c r="I889" t="str">
        <f t="shared" si="67"/>
        <v>SwiftShip</v>
      </c>
      <c r="J889" t="str">
        <f>VLOOKUP(A889,Orders!$A$2:$D$1201,4,FALSE)</f>
        <v>Delivered</v>
      </c>
      <c r="K889" t="str">
        <f t="shared" si="68"/>
        <v>On time</v>
      </c>
      <c r="L889" t="str">
        <f t="shared" si="69"/>
        <v>On time</v>
      </c>
      <c r="O889">
        <f t="shared" si="70"/>
        <v>0</v>
      </c>
    </row>
    <row r="890" spans="1:15">
      <c r="A890">
        <v>1932</v>
      </c>
      <c r="B890" t="s">
        <v>347</v>
      </c>
      <c r="C890" s="1">
        <v>46067</v>
      </c>
      <c r="D890" s="1">
        <v>46067</v>
      </c>
      <c r="E890" s="1">
        <v>46072</v>
      </c>
      <c r="F890" s="1">
        <v>46070</v>
      </c>
      <c r="G890" s="1">
        <v>46072</v>
      </c>
      <c r="H890">
        <f t="shared" si="66"/>
        <v>0</v>
      </c>
      <c r="I890" t="str">
        <f t="shared" si="67"/>
        <v>ParcelOne</v>
      </c>
      <c r="J890" t="str">
        <f>VLOOKUP(A890,Orders!$A$2:$D$1201,4,FALSE)</f>
        <v>Delivered</v>
      </c>
      <c r="K890" t="str">
        <f t="shared" si="68"/>
        <v>On time</v>
      </c>
      <c r="L890" t="str">
        <f t="shared" si="69"/>
        <v>On time</v>
      </c>
      <c r="O890">
        <f t="shared" si="70"/>
        <v>2</v>
      </c>
    </row>
    <row r="891" spans="1:15">
      <c r="A891">
        <v>1933</v>
      </c>
      <c r="B891" t="s">
        <v>348</v>
      </c>
      <c r="C891" s="1">
        <v>46068</v>
      </c>
      <c r="D891" s="1">
        <v>46068</v>
      </c>
      <c r="E891" s="1">
        <v>46073</v>
      </c>
      <c r="F891" s="1">
        <v>46071</v>
      </c>
      <c r="G891" s="1">
        <v>46071</v>
      </c>
      <c r="H891">
        <f t="shared" si="66"/>
        <v>0</v>
      </c>
      <c r="I891" t="str">
        <f t="shared" si="67"/>
        <v>MetroLogistics</v>
      </c>
      <c r="J891" t="str">
        <f>VLOOKUP(A891,Orders!$A$2:$D$1201,4,FALSE)</f>
        <v>Delivered</v>
      </c>
      <c r="K891" t="str">
        <f t="shared" si="68"/>
        <v>On time</v>
      </c>
      <c r="L891" t="str">
        <f t="shared" si="69"/>
        <v>On time</v>
      </c>
      <c r="O891">
        <f t="shared" si="70"/>
        <v>0</v>
      </c>
    </row>
    <row r="892" spans="1:15">
      <c r="A892">
        <v>1934</v>
      </c>
      <c r="B892" t="s">
        <v>346</v>
      </c>
      <c r="C892" s="1">
        <v>46099</v>
      </c>
      <c r="D892" s="1">
        <v>46099</v>
      </c>
      <c r="E892" s="1">
        <v>46104</v>
      </c>
      <c r="F892" s="1">
        <v>46105</v>
      </c>
      <c r="G892" s="1">
        <v>46107</v>
      </c>
      <c r="H892">
        <f t="shared" si="66"/>
        <v>0</v>
      </c>
      <c r="I892" t="str">
        <f t="shared" si="67"/>
        <v>SwiftShip</v>
      </c>
      <c r="J892" t="str">
        <f>VLOOKUP(A892,Orders!$A$2:$D$1201,4,FALSE)</f>
        <v>Delivered</v>
      </c>
      <c r="K892" t="str">
        <f t="shared" si="68"/>
        <v>Late</v>
      </c>
      <c r="L892" t="str">
        <f t="shared" si="69"/>
        <v>On time</v>
      </c>
      <c r="O892">
        <f t="shared" si="70"/>
        <v>2</v>
      </c>
    </row>
    <row r="893" spans="1:15">
      <c r="A893">
        <v>1935</v>
      </c>
      <c r="B893" t="s">
        <v>348</v>
      </c>
      <c r="C893" s="1">
        <v>46194</v>
      </c>
      <c r="D893" s="1">
        <v>46195</v>
      </c>
      <c r="E893" s="1">
        <v>46199</v>
      </c>
      <c r="F893" s="1">
        <v>46200</v>
      </c>
      <c r="G893" s="1">
        <v>46201</v>
      </c>
      <c r="H893">
        <f t="shared" si="66"/>
        <v>0</v>
      </c>
      <c r="I893" t="str">
        <f t="shared" si="67"/>
        <v>MetroLogistics</v>
      </c>
      <c r="J893" t="str">
        <f>VLOOKUP(A893,Orders!$A$2:$D$1201,4,FALSE)</f>
        <v>Delivered</v>
      </c>
      <c r="K893" t="str">
        <f t="shared" si="68"/>
        <v>Late</v>
      </c>
      <c r="L893" t="str">
        <f t="shared" si="69"/>
        <v>Late</v>
      </c>
      <c r="O893">
        <f t="shared" si="70"/>
        <v>1</v>
      </c>
    </row>
    <row r="894" spans="1:15">
      <c r="A894">
        <v>1936</v>
      </c>
      <c r="B894" t="s">
        <v>348</v>
      </c>
      <c r="C894" s="1">
        <v>46148</v>
      </c>
      <c r="D894" s="1">
        <v>46148</v>
      </c>
      <c r="E894" s="1">
        <v>46153</v>
      </c>
      <c r="F894" s="1">
        <v>46151</v>
      </c>
      <c r="G894" s="1">
        <v>46151</v>
      </c>
      <c r="H894">
        <f t="shared" si="66"/>
        <v>0</v>
      </c>
      <c r="I894" t="str">
        <f t="shared" si="67"/>
        <v>MetroLogistics</v>
      </c>
      <c r="J894" t="str">
        <f>VLOOKUP(A894,Orders!$A$2:$D$1201,4,FALSE)</f>
        <v>Delivered</v>
      </c>
      <c r="K894" t="str">
        <f t="shared" si="68"/>
        <v>On time</v>
      </c>
      <c r="L894" t="str">
        <f t="shared" si="69"/>
        <v>On time</v>
      </c>
      <c r="O894">
        <f t="shared" si="70"/>
        <v>0</v>
      </c>
    </row>
    <row r="895" spans="1:15">
      <c r="A895">
        <v>1937</v>
      </c>
      <c r="B895" t="s">
        <v>346</v>
      </c>
      <c r="C895" s="1">
        <v>46135</v>
      </c>
      <c r="D895" s="1">
        <v>46137</v>
      </c>
      <c r="E895" s="1">
        <v>46140</v>
      </c>
      <c r="F895" s="1">
        <v>46142</v>
      </c>
      <c r="G895" s="1">
        <v>46142</v>
      </c>
      <c r="H895">
        <f t="shared" si="66"/>
        <v>0</v>
      </c>
      <c r="I895" t="str">
        <f t="shared" si="67"/>
        <v>SwiftShip</v>
      </c>
      <c r="J895" t="str">
        <f>VLOOKUP(A895,Orders!$A$2:$D$1201,4,FALSE)</f>
        <v>Delivered</v>
      </c>
      <c r="K895" t="str">
        <f t="shared" si="68"/>
        <v>Late</v>
      </c>
      <c r="L895" t="str">
        <f t="shared" si="69"/>
        <v>Late</v>
      </c>
      <c r="O895">
        <f t="shared" si="70"/>
        <v>0</v>
      </c>
    </row>
    <row r="896" spans="1:15">
      <c r="A896">
        <v>1938</v>
      </c>
      <c r="B896" t="s">
        <v>346</v>
      </c>
      <c r="C896" s="1">
        <v>46159</v>
      </c>
      <c r="D896" s="1">
        <v>46159</v>
      </c>
      <c r="E896" s="1">
        <v>46164</v>
      </c>
      <c r="F896" s="1">
        <v>46162</v>
      </c>
      <c r="G896" s="1">
        <v>46162</v>
      </c>
      <c r="H896">
        <f t="shared" si="66"/>
        <v>0</v>
      </c>
      <c r="I896" t="str">
        <f t="shared" si="67"/>
        <v>SwiftShip</v>
      </c>
      <c r="J896" t="str">
        <f>VLOOKUP(A896,Orders!$A$2:$D$1201,4,FALSE)</f>
        <v>Delivered</v>
      </c>
      <c r="K896" t="str">
        <f t="shared" si="68"/>
        <v>On time</v>
      </c>
      <c r="L896" t="str">
        <f t="shared" si="69"/>
        <v>On time</v>
      </c>
      <c r="O896">
        <f t="shared" si="70"/>
        <v>0</v>
      </c>
    </row>
    <row r="897" spans="1:15">
      <c r="A897">
        <v>1939</v>
      </c>
      <c r="B897" t="s">
        <v>348</v>
      </c>
      <c r="C897" s="1">
        <v>46181</v>
      </c>
      <c r="D897" s="1">
        <v>46181</v>
      </c>
      <c r="E897" s="1">
        <v>46186</v>
      </c>
      <c r="F897" s="1">
        <v>46185</v>
      </c>
      <c r="G897" s="1">
        <v>46187</v>
      </c>
      <c r="H897">
        <f t="shared" si="66"/>
        <v>0</v>
      </c>
      <c r="I897" t="str">
        <f t="shared" si="67"/>
        <v>MetroLogistics</v>
      </c>
      <c r="J897" t="str">
        <f>VLOOKUP(A897,Orders!$A$2:$D$1201,4,FALSE)</f>
        <v>Delivered</v>
      </c>
      <c r="K897" t="str">
        <f t="shared" si="68"/>
        <v>On time</v>
      </c>
      <c r="L897" t="str">
        <f t="shared" si="69"/>
        <v>On time</v>
      </c>
      <c r="O897">
        <f t="shared" si="70"/>
        <v>2</v>
      </c>
    </row>
    <row r="898" spans="1:15">
      <c r="A898">
        <v>1940</v>
      </c>
      <c r="B898" t="s">
        <v>347</v>
      </c>
      <c r="C898" s="1">
        <v>46167</v>
      </c>
      <c r="D898" s="1">
        <v>46167</v>
      </c>
      <c r="E898" s="1">
        <v>46172</v>
      </c>
      <c r="F898" s="1">
        <v>46171</v>
      </c>
      <c r="G898" s="1">
        <v>46172</v>
      </c>
      <c r="H898">
        <f t="shared" si="66"/>
        <v>0</v>
      </c>
      <c r="I898" t="str">
        <f t="shared" si="67"/>
        <v>ParcelOne</v>
      </c>
      <c r="J898" t="str">
        <f>VLOOKUP(A898,Orders!$A$2:$D$1201,4,FALSE)</f>
        <v>Delivered</v>
      </c>
      <c r="K898" t="str">
        <f t="shared" si="68"/>
        <v>On time</v>
      </c>
      <c r="L898" t="str">
        <f t="shared" si="69"/>
        <v>On time</v>
      </c>
      <c r="O898">
        <f t="shared" si="70"/>
        <v>1</v>
      </c>
    </row>
    <row r="899" spans="1:15">
      <c r="A899">
        <v>1941</v>
      </c>
      <c r="B899" t="s">
        <v>348</v>
      </c>
      <c r="C899" s="1">
        <v>46038</v>
      </c>
      <c r="D899" s="1">
        <v>46038</v>
      </c>
      <c r="E899" s="1">
        <v>46043</v>
      </c>
      <c r="F899" s="1">
        <v>46043</v>
      </c>
      <c r="G899" s="1">
        <v>46043</v>
      </c>
      <c r="H899">
        <f t="shared" ref="H899:H962" si="71">LEN(B899)-LEN(TRIM(B899))</f>
        <v>0</v>
      </c>
      <c r="I899" t="str">
        <f t="shared" ref="I899:I962" si="72">TRIM(B899)</f>
        <v>MetroLogistics</v>
      </c>
      <c r="J899" t="str">
        <f>VLOOKUP(A899,Orders!$A$2:$D$1201,4,FALSE)</f>
        <v>Delivered</v>
      </c>
      <c r="K899" t="str">
        <f t="shared" ref="K899:K962" si="73">IF(J899&lt;&gt;"Delivered","Not delivered",IF(OR(E899="",F899=""),"Unknown",IF(F899&lt;=E899,"On time","Late")))</f>
        <v>On time</v>
      </c>
      <c r="L899" t="str">
        <f t="shared" ref="L899:L962" si="74">IF(D899="","Not dispatched",IF(C899="","Unknown",IF(D899&lt;=C899,"On time","Late")))</f>
        <v>On time</v>
      </c>
      <c r="O899">
        <f t="shared" ref="O899:O962" si="75">IF(OR(F899="",G899=""),"",G899-F899)</f>
        <v>0</v>
      </c>
    </row>
    <row r="900" spans="1:15">
      <c r="A900">
        <v>1942</v>
      </c>
      <c r="B900" t="s">
        <v>348</v>
      </c>
      <c r="C900" s="1">
        <v>46195</v>
      </c>
      <c r="D900" s="1">
        <v>46195</v>
      </c>
      <c r="E900" s="1">
        <v>46200</v>
      </c>
      <c r="H900">
        <f t="shared" si="71"/>
        <v>0</v>
      </c>
      <c r="I900" t="str">
        <f t="shared" si="72"/>
        <v>MetroLogistics</v>
      </c>
      <c r="J900" t="str">
        <f>VLOOKUP(A900,Orders!$A$2:$D$1201,4,FALSE)</f>
        <v>Shipped</v>
      </c>
      <c r="K900" t="str">
        <f t="shared" si="73"/>
        <v>Not delivered</v>
      </c>
      <c r="L900" t="str">
        <f t="shared" si="74"/>
        <v>On time</v>
      </c>
      <c r="O900" t="str">
        <f t="shared" si="75"/>
        <v/>
      </c>
    </row>
    <row r="901" spans="1:15">
      <c r="A901">
        <v>1943</v>
      </c>
      <c r="B901" t="s">
        <v>346</v>
      </c>
      <c r="C901" s="1">
        <v>46075</v>
      </c>
      <c r="D901" s="1">
        <v>46075</v>
      </c>
      <c r="E901" s="1">
        <v>46080</v>
      </c>
      <c r="F901" s="1">
        <v>46081</v>
      </c>
      <c r="G901" s="1">
        <v>46081</v>
      </c>
      <c r="H901">
        <f t="shared" si="71"/>
        <v>0</v>
      </c>
      <c r="I901" t="str">
        <f t="shared" si="72"/>
        <v>SwiftShip</v>
      </c>
      <c r="J901" t="str">
        <f>VLOOKUP(A901,Orders!$A$2:$D$1201,4,FALSE)</f>
        <v>Delivered</v>
      </c>
      <c r="K901" t="str">
        <f t="shared" si="73"/>
        <v>Late</v>
      </c>
      <c r="L901" t="str">
        <f t="shared" si="74"/>
        <v>On time</v>
      </c>
      <c r="O901">
        <f t="shared" si="75"/>
        <v>0</v>
      </c>
    </row>
    <row r="902" spans="1:15">
      <c r="A902">
        <v>1945</v>
      </c>
      <c r="B902" t="s">
        <v>348</v>
      </c>
      <c r="C902" s="1">
        <v>46199</v>
      </c>
      <c r="D902" s="1">
        <v>46199</v>
      </c>
      <c r="E902" s="1">
        <v>46204</v>
      </c>
      <c r="F902" s="1">
        <v>46203</v>
      </c>
      <c r="G902" s="1">
        <v>46203</v>
      </c>
      <c r="H902">
        <f t="shared" si="71"/>
        <v>0</v>
      </c>
      <c r="I902" t="str">
        <f t="shared" si="72"/>
        <v>MetroLogistics</v>
      </c>
      <c r="J902" t="str">
        <f>VLOOKUP(A902,Orders!$A$2:$D$1201,4,FALSE)</f>
        <v>Delivered</v>
      </c>
      <c r="K902" t="str">
        <f t="shared" si="73"/>
        <v>On time</v>
      </c>
      <c r="L902" t="str">
        <f t="shared" si="74"/>
        <v>On time</v>
      </c>
      <c r="O902">
        <f t="shared" si="75"/>
        <v>0</v>
      </c>
    </row>
    <row r="903" spans="1:15">
      <c r="A903">
        <v>1946</v>
      </c>
      <c r="B903" t="s">
        <v>346</v>
      </c>
      <c r="C903" s="1">
        <v>46143</v>
      </c>
      <c r="D903" s="1">
        <v>46143</v>
      </c>
      <c r="E903" s="1">
        <v>46148</v>
      </c>
      <c r="F903" s="1">
        <v>46149</v>
      </c>
      <c r="G903" s="1">
        <v>46149</v>
      </c>
      <c r="H903">
        <f t="shared" si="71"/>
        <v>0</v>
      </c>
      <c r="I903" t="str">
        <f t="shared" si="72"/>
        <v>SwiftShip</v>
      </c>
      <c r="J903" t="str">
        <f>VLOOKUP(A903,Orders!$A$2:$D$1201,4,FALSE)</f>
        <v>Delivered</v>
      </c>
      <c r="K903" t="str">
        <f t="shared" si="73"/>
        <v>Late</v>
      </c>
      <c r="L903" t="str">
        <f t="shared" si="74"/>
        <v>On time</v>
      </c>
      <c r="O903">
        <f t="shared" si="75"/>
        <v>0</v>
      </c>
    </row>
    <row r="904" spans="1:15">
      <c r="A904">
        <v>1947</v>
      </c>
      <c r="B904" t="s">
        <v>347</v>
      </c>
      <c r="C904" s="1">
        <v>46134</v>
      </c>
      <c r="D904" s="1">
        <v>46134</v>
      </c>
      <c r="E904" s="1">
        <v>46139</v>
      </c>
      <c r="F904" s="1">
        <v>46138</v>
      </c>
      <c r="G904" s="1">
        <v>46140</v>
      </c>
      <c r="H904">
        <f t="shared" si="71"/>
        <v>0</v>
      </c>
      <c r="I904" t="str">
        <f t="shared" si="72"/>
        <v>ParcelOne</v>
      </c>
      <c r="J904" t="str">
        <f>VLOOKUP(A904,Orders!$A$2:$D$1201,4,FALSE)</f>
        <v>Delivered</v>
      </c>
      <c r="K904" t="str">
        <f t="shared" si="73"/>
        <v>On time</v>
      </c>
      <c r="L904" t="str">
        <f t="shared" si="74"/>
        <v>On time</v>
      </c>
      <c r="O904">
        <f t="shared" si="75"/>
        <v>2</v>
      </c>
    </row>
    <row r="905" spans="1:15">
      <c r="A905">
        <v>1948</v>
      </c>
      <c r="B905" t="s">
        <v>348</v>
      </c>
      <c r="C905" s="1">
        <v>46173</v>
      </c>
      <c r="D905" s="1">
        <v>46173</v>
      </c>
      <c r="E905" s="1">
        <v>46178</v>
      </c>
      <c r="F905" s="1">
        <v>46176</v>
      </c>
      <c r="G905" s="1">
        <v>46177</v>
      </c>
      <c r="H905">
        <f t="shared" si="71"/>
        <v>0</v>
      </c>
      <c r="I905" t="str">
        <f t="shared" si="72"/>
        <v>MetroLogistics</v>
      </c>
      <c r="J905" t="str">
        <f>VLOOKUP(A905,Orders!$A$2:$D$1201,4,FALSE)</f>
        <v>Delivered</v>
      </c>
      <c r="K905" t="str">
        <f t="shared" si="73"/>
        <v>On time</v>
      </c>
      <c r="L905" t="str">
        <f t="shared" si="74"/>
        <v>On time</v>
      </c>
      <c r="O905">
        <f t="shared" si="75"/>
        <v>1</v>
      </c>
    </row>
    <row r="906" spans="1:15">
      <c r="A906">
        <v>1949</v>
      </c>
      <c r="B906" t="s">
        <v>346</v>
      </c>
      <c r="C906" s="1">
        <v>46142</v>
      </c>
      <c r="D906" s="1">
        <v>46142</v>
      </c>
      <c r="E906" s="1">
        <v>46147</v>
      </c>
      <c r="F906" s="1">
        <v>46146</v>
      </c>
      <c r="G906" s="1">
        <v>46146</v>
      </c>
      <c r="H906">
        <f t="shared" si="71"/>
        <v>0</v>
      </c>
      <c r="I906" t="str">
        <f t="shared" si="72"/>
        <v>SwiftShip</v>
      </c>
      <c r="J906" t="str">
        <f>VLOOKUP(A906,Orders!$A$2:$D$1201,4,FALSE)</f>
        <v>Delivered</v>
      </c>
      <c r="K906" t="str">
        <f t="shared" si="73"/>
        <v>On time</v>
      </c>
      <c r="L906" t="str">
        <f t="shared" si="74"/>
        <v>On time</v>
      </c>
      <c r="O906">
        <f t="shared" si="75"/>
        <v>0</v>
      </c>
    </row>
    <row r="907" spans="1:15">
      <c r="A907">
        <v>1950</v>
      </c>
      <c r="B907" t="s">
        <v>346</v>
      </c>
      <c r="C907" s="1">
        <v>46201</v>
      </c>
      <c r="D907" s="1">
        <v>46201</v>
      </c>
      <c r="E907" s="1">
        <v>46206</v>
      </c>
      <c r="F907" s="1">
        <v>46206</v>
      </c>
      <c r="G907" s="1">
        <v>46206</v>
      </c>
      <c r="H907">
        <f t="shared" si="71"/>
        <v>0</v>
      </c>
      <c r="I907" t="str">
        <f t="shared" si="72"/>
        <v>SwiftShip</v>
      </c>
      <c r="J907" t="str">
        <f>VLOOKUP(A907,Orders!$A$2:$D$1201,4,FALSE)</f>
        <v>Delivered</v>
      </c>
      <c r="K907" t="str">
        <f t="shared" si="73"/>
        <v>On time</v>
      </c>
      <c r="L907" t="str">
        <f t="shared" si="74"/>
        <v>On time</v>
      </c>
      <c r="O907">
        <f t="shared" si="75"/>
        <v>0</v>
      </c>
    </row>
    <row r="908" spans="1:15">
      <c r="A908">
        <v>1951</v>
      </c>
      <c r="B908" t="s">
        <v>347</v>
      </c>
      <c r="C908" s="1">
        <v>46059</v>
      </c>
      <c r="D908" s="1">
        <v>46059</v>
      </c>
      <c r="E908" s="1">
        <v>46064</v>
      </c>
      <c r="F908" s="1">
        <v>46063</v>
      </c>
      <c r="G908" s="1">
        <v>46063</v>
      </c>
      <c r="H908">
        <f t="shared" si="71"/>
        <v>0</v>
      </c>
      <c r="I908" t="str">
        <f t="shared" si="72"/>
        <v>ParcelOne</v>
      </c>
      <c r="J908" t="str">
        <f>VLOOKUP(A908,Orders!$A$2:$D$1201,4,FALSE)</f>
        <v>Delivered</v>
      </c>
      <c r="K908" t="str">
        <f t="shared" si="73"/>
        <v>On time</v>
      </c>
      <c r="L908" t="str">
        <f t="shared" si="74"/>
        <v>On time</v>
      </c>
      <c r="O908">
        <f t="shared" si="75"/>
        <v>0</v>
      </c>
    </row>
    <row r="909" spans="1:15">
      <c r="A909">
        <v>1953</v>
      </c>
      <c r="B909" t="s">
        <v>348</v>
      </c>
      <c r="C909" s="1">
        <v>46051</v>
      </c>
      <c r="D909" s="1">
        <v>46051</v>
      </c>
      <c r="E909" s="1">
        <v>46056</v>
      </c>
      <c r="F909" s="1">
        <v>46060</v>
      </c>
      <c r="G909" s="1">
        <v>46061</v>
      </c>
      <c r="H909">
        <f t="shared" si="71"/>
        <v>0</v>
      </c>
      <c r="I909" t="str">
        <f t="shared" si="72"/>
        <v>MetroLogistics</v>
      </c>
      <c r="J909" t="str">
        <f>VLOOKUP(A909,Orders!$A$2:$D$1201,4,FALSE)</f>
        <v>Delivered</v>
      </c>
      <c r="K909" t="str">
        <f t="shared" si="73"/>
        <v>Late</v>
      </c>
      <c r="L909" t="str">
        <f t="shared" si="74"/>
        <v>On time</v>
      </c>
      <c r="O909">
        <f t="shared" si="75"/>
        <v>1</v>
      </c>
    </row>
    <row r="910" spans="1:15">
      <c r="A910">
        <v>1954</v>
      </c>
      <c r="B910" t="s">
        <v>348</v>
      </c>
      <c r="C910" s="1">
        <v>46091</v>
      </c>
      <c r="D910" s="1">
        <v>46091</v>
      </c>
      <c r="E910" s="1">
        <v>46096</v>
      </c>
      <c r="F910" s="1">
        <v>46097</v>
      </c>
      <c r="G910" s="1">
        <v>46097</v>
      </c>
      <c r="H910">
        <f t="shared" si="71"/>
        <v>0</v>
      </c>
      <c r="I910" t="str">
        <f t="shared" si="72"/>
        <v>MetroLogistics</v>
      </c>
      <c r="J910" t="str">
        <f>VLOOKUP(A910,Orders!$A$2:$D$1201,4,FALSE)</f>
        <v>Delivered</v>
      </c>
      <c r="K910" t="str">
        <f t="shared" si="73"/>
        <v>Late</v>
      </c>
      <c r="L910" t="str">
        <f t="shared" si="74"/>
        <v>On time</v>
      </c>
      <c r="O910">
        <f t="shared" si="75"/>
        <v>0</v>
      </c>
    </row>
    <row r="911" spans="1:15">
      <c r="A911">
        <v>1955</v>
      </c>
      <c r="B911" t="s">
        <v>347</v>
      </c>
      <c r="C911" s="1">
        <v>46204</v>
      </c>
      <c r="D911" s="1">
        <v>46204</v>
      </c>
      <c r="E911" s="1">
        <v>46209</v>
      </c>
      <c r="F911" s="1">
        <v>46209</v>
      </c>
      <c r="G911" s="1">
        <v>46209</v>
      </c>
      <c r="H911">
        <f t="shared" si="71"/>
        <v>0</v>
      </c>
      <c r="I911" t="str">
        <f t="shared" si="72"/>
        <v>ParcelOne</v>
      </c>
      <c r="J911" t="str">
        <f>VLOOKUP(A911,Orders!$A$2:$D$1201,4,FALSE)</f>
        <v>Delivered</v>
      </c>
      <c r="K911" t="str">
        <f t="shared" si="73"/>
        <v>On time</v>
      </c>
      <c r="L911" t="str">
        <f t="shared" si="74"/>
        <v>On time</v>
      </c>
      <c r="O911">
        <f t="shared" si="75"/>
        <v>0</v>
      </c>
    </row>
    <row r="912" spans="1:15">
      <c r="A912">
        <v>1956</v>
      </c>
      <c r="B912" t="s">
        <v>346</v>
      </c>
      <c r="C912" s="1">
        <v>46143</v>
      </c>
      <c r="D912" s="1">
        <v>46143</v>
      </c>
      <c r="E912" s="1">
        <v>46148</v>
      </c>
      <c r="F912" s="1">
        <v>46148</v>
      </c>
      <c r="G912" s="1">
        <v>46148</v>
      </c>
      <c r="H912">
        <f t="shared" si="71"/>
        <v>0</v>
      </c>
      <c r="I912" t="str">
        <f t="shared" si="72"/>
        <v>SwiftShip</v>
      </c>
      <c r="J912" t="str">
        <f>VLOOKUP(A912,Orders!$A$2:$D$1201,4,FALSE)</f>
        <v>Delivered</v>
      </c>
      <c r="K912" t="str">
        <f t="shared" si="73"/>
        <v>On time</v>
      </c>
      <c r="L912" t="str">
        <f t="shared" si="74"/>
        <v>On time</v>
      </c>
      <c r="O912">
        <f t="shared" si="75"/>
        <v>0</v>
      </c>
    </row>
    <row r="913" spans="1:15">
      <c r="A913">
        <v>1957</v>
      </c>
      <c r="B913" t="s">
        <v>347</v>
      </c>
      <c r="C913" s="1">
        <v>46033</v>
      </c>
      <c r="D913" s="1">
        <v>46033</v>
      </c>
      <c r="E913" s="1">
        <v>46038</v>
      </c>
      <c r="F913" s="1">
        <v>46039</v>
      </c>
      <c r="G913" s="1">
        <v>46039</v>
      </c>
      <c r="H913">
        <f t="shared" si="71"/>
        <v>0</v>
      </c>
      <c r="I913" t="str">
        <f t="shared" si="72"/>
        <v>ParcelOne</v>
      </c>
      <c r="J913" t="str">
        <f>VLOOKUP(A913,Orders!$A$2:$D$1201,4,FALSE)</f>
        <v>Delivered</v>
      </c>
      <c r="K913" t="str">
        <f t="shared" si="73"/>
        <v>Late</v>
      </c>
      <c r="L913" t="str">
        <f t="shared" si="74"/>
        <v>On time</v>
      </c>
      <c r="O913">
        <f t="shared" si="75"/>
        <v>0</v>
      </c>
    </row>
    <row r="914" spans="1:15">
      <c r="A914">
        <v>1958</v>
      </c>
      <c r="B914" t="s">
        <v>348</v>
      </c>
      <c r="C914" s="1">
        <v>46116</v>
      </c>
      <c r="D914" s="1">
        <v>46116</v>
      </c>
      <c r="E914" s="1">
        <v>46121</v>
      </c>
      <c r="F914" s="1">
        <v>46120</v>
      </c>
      <c r="G914" s="1">
        <v>46120</v>
      </c>
      <c r="H914">
        <f t="shared" si="71"/>
        <v>0</v>
      </c>
      <c r="I914" t="str">
        <f t="shared" si="72"/>
        <v>MetroLogistics</v>
      </c>
      <c r="J914" t="str">
        <f>VLOOKUP(A914,Orders!$A$2:$D$1201,4,FALSE)</f>
        <v>Delivered</v>
      </c>
      <c r="K914" t="str">
        <f t="shared" si="73"/>
        <v>On time</v>
      </c>
      <c r="L914" t="str">
        <f t="shared" si="74"/>
        <v>On time</v>
      </c>
      <c r="O914">
        <f t="shared" si="75"/>
        <v>0</v>
      </c>
    </row>
    <row r="915" spans="1:15">
      <c r="A915">
        <v>1959</v>
      </c>
      <c r="B915" t="s">
        <v>346</v>
      </c>
      <c r="C915" s="1">
        <v>46169</v>
      </c>
      <c r="D915" s="1">
        <v>46171</v>
      </c>
      <c r="E915" s="1">
        <v>46174</v>
      </c>
      <c r="F915" s="1">
        <v>46174</v>
      </c>
      <c r="G915" s="1">
        <v>46174</v>
      </c>
      <c r="H915">
        <f t="shared" si="71"/>
        <v>0</v>
      </c>
      <c r="I915" t="str">
        <f t="shared" si="72"/>
        <v>SwiftShip</v>
      </c>
      <c r="J915" t="str">
        <f>VLOOKUP(A915,Orders!$A$2:$D$1201,4,FALSE)</f>
        <v>Delivered</v>
      </c>
      <c r="K915" t="str">
        <f t="shared" si="73"/>
        <v>On time</v>
      </c>
      <c r="L915" t="str">
        <f t="shared" si="74"/>
        <v>Late</v>
      </c>
      <c r="O915">
        <f t="shared" si="75"/>
        <v>0</v>
      </c>
    </row>
    <row r="916" spans="1:15">
      <c r="A916">
        <v>1960</v>
      </c>
      <c r="B916" t="s">
        <v>346</v>
      </c>
      <c r="C916" s="1">
        <v>46180</v>
      </c>
      <c r="D916" s="1">
        <v>46180</v>
      </c>
      <c r="E916" s="1">
        <v>46185</v>
      </c>
      <c r="F916" s="1">
        <v>46185</v>
      </c>
      <c r="G916" s="1">
        <v>46185</v>
      </c>
      <c r="H916">
        <f t="shared" si="71"/>
        <v>0</v>
      </c>
      <c r="I916" t="str">
        <f t="shared" si="72"/>
        <v>SwiftShip</v>
      </c>
      <c r="J916" t="str">
        <f>VLOOKUP(A916,Orders!$A$2:$D$1201,4,FALSE)</f>
        <v>Delivered</v>
      </c>
      <c r="K916" t="str">
        <f t="shared" si="73"/>
        <v>On time</v>
      </c>
      <c r="L916" t="str">
        <f t="shared" si="74"/>
        <v>On time</v>
      </c>
      <c r="O916">
        <f t="shared" si="75"/>
        <v>0</v>
      </c>
    </row>
    <row r="917" spans="1:15">
      <c r="A917">
        <v>1961</v>
      </c>
      <c r="B917" t="s">
        <v>347</v>
      </c>
      <c r="C917" s="1">
        <v>46042</v>
      </c>
      <c r="D917" s="1">
        <v>46042</v>
      </c>
      <c r="E917" s="1">
        <v>46047</v>
      </c>
      <c r="F917" s="1">
        <v>46048</v>
      </c>
      <c r="G917" s="1">
        <v>46048</v>
      </c>
      <c r="H917">
        <f t="shared" si="71"/>
        <v>0</v>
      </c>
      <c r="I917" t="str">
        <f t="shared" si="72"/>
        <v>ParcelOne</v>
      </c>
      <c r="J917" t="str">
        <f>VLOOKUP(A917,Orders!$A$2:$D$1201,4,FALSE)</f>
        <v>Delivered</v>
      </c>
      <c r="K917" t="str">
        <f t="shared" si="73"/>
        <v>Late</v>
      </c>
      <c r="L917" t="str">
        <f t="shared" si="74"/>
        <v>On time</v>
      </c>
      <c r="O917">
        <f t="shared" si="75"/>
        <v>0</v>
      </c>
    </row>
    <row r="918" spans="1:15">
      <c r="A918">
        <v>1962</v>
      </c>
      <c r="B918" t="s">
        <v>346</v>
      </c>
      <c r="C918" s="1">
        <v>46085</v>
      </c>
      <c r="D918" s="1">
        <v>46085</v>
      </c>
      <c r="E918" s="1">
        <v>46090</v>
      </c>
      <c r="F918" s="1">
        <v>46091</v>
      </c>
      <c r="G918" s="1">
        <v>46091</v>
      </c>
      <c r="H918">
        <f t="shared" si="71"/>
        <v>0</v>
      </c>
      <c r="I918" t="str">
        <f t="shared" si="72"/>
        <v>SwiftShip</v>
      </c>
      <c r="J918" t="str">
        <f>VLOOKUP(A918,Orders!$A$2:$D$1201,4,FALSE)</f>
        <v>Delivered</v>
      </c>
      <c r="K918" t="str">
        <f t="shared" si="73"/>
        <v>Late</v>
      </c>
      <c r="L918" t="str">
        <f t="shared" si="74"/>
        <v>On time</v>
      </c>
      <c r="O918">
        <f t="shared" si="75"/>
        <v>0</v>
      </c>
    </row>
    <row r="919" spans="1:15">
      <c r="A919">
        <v>1963</v>
      </c>
      <c r="B919" t="s">
        <v>348</v>
      </c>
      <c r="C919" s="1">
        <v>46180</v>
      </c>
      <c r="D919" s="1">
        <v>46180</v>
      </c>
      <c r="E919" s="1">
        <v>46185</v>
      </c>
      <c r="F919" s="1">
        <v>46185</v>
      </c>
      <c r="G919" s="1">
        <v>46187</v>
      </c>
      <c r="H919">
        <f t="shared" si="71"/>
        <v>0</v>
      </c>
      <c r="I919" t="str">
        <f t="shared" si="72"/>
        <v>MetroLogistics</v>
      </c>
      <c r="J919" t="str">
        <f>VLOOKUP(A919,Orders!$A$2:$D$1201,4,FALSE)</f>
        <v>Delivered</v>
      </c>
      <c r="K919" t="str">
        <f t="shared" si="73"/>
        <v>On time</v>
      </c>
      <c r="L919" t="str">
        <f t="shared" si="74"/>
        <v>On time</v>
      </c>
      <c r="O919">
        <f t="shared" si="75"/>
        <v>2</v>
      </c>
    </row>
    <row r="920" spans="1:15">
      <c r="A920">
        <v>1964</v>
      </c>
      <c r="B920" t="s">
        <v>347</v>
      </c>
      <c r="C920" s="1">
        <v>46167</v>
      </c>
      <c r="D920" s="1">
        <v>46167</v>
      </c>
      <c r="E920" s="1">
        <v>46172</v>
      </c>
      <c r="F920" s="1">
        <v>46171</v>
      </c>
      <c r="G920" s="1">
        <v>46172</v>
      </c>
      <c r="H920">
        <f t="shared" si="71"/>
        <v>0</v>
      </c>
      <c r="I920" t="str">
        <f t="shared" si="72"/>
        <v>ParcelOne</v>
      </c>
      <c r="J920" t="str">
        <f>VLOOKUP(A920,Orders!$A$2:$D$1201,4,FALSE)</f>
        <v>Delivered</v>
      </c>
      <c r="K920" t="str">
        <f t="shared" si="73"/>
        <v>On time</v>
      </c>
      <c r="L920" t="str">
        <f t="shared" si="74"/>
        <v>On time</v>
      </c>
      <c r="O920">
        <f t="shared" si="75"/>
        <v>1</v>
      </c>
    </row>
    <row r="921" spans="1:15">
      <c r="A921">
        <v>1965</v>
      </c>
      <c r="B921" t="s">
        <v>348</v>
      </c>
      <c r="C921" s="1">
        <v>46047</v>
      </c>
      <c r="D921" s="1">
        <v>46048</v>
      </c>
      <c r="E921" s="1">
        <v>46052</v>
      </c>
      <c r="F921" s="1">
        <v>46052</v>
      </c>
      <c r="G921" s="1">
        <v>46052</v>
      </c>
      <c r="H921">
        <f t="shared" si="71"/>
        <v>0</v>
      </c>
      <c r="I921" t="str">
        <f t="shared" si="72"/>
        <v>MetroLogistics</v>
      </c>
      <c r="J921" t="str">
        <f>VLOOKUP(A921,Orders!$A$2:$D$1201,4,FALSE)</f>
        <v>Delivered</v>
      </c>
      <c r="K921" t="str">
        <f t="shared" si="73"/>
        <v>On time</v>
      </c>
      <c r="L921" t="str">
        <f t="shared" si="74"/>
        <v>Late</v>
      </c>
      <c r="O921">
        <f t="shared" si="75"/>
        <v>0</v>
      </c>
    </row>
    <row r="922" spans="1:15">
      <c r="A922">
        <v>1966</v>
      </c>
      <c r="B922" t="s">
        <v>347</v>
      </c>
      <c r="C922" s="1">
        <v>46043</v>
      </c>
      <c r="D922" s="1">
        <v>46043</v>
      </c>
      <c r="E922" s="1">
        <v>46048</v>
      </c>
      <c r="F922" s="1">
        <v>46050</v>
      </c>
      <c r="G922" s="1">
        <v>46051</v>
      </c>
      <c r="H922">
        <f t="shared" si="71"/>
        <v>0</v>
      </c>
      <c r="I922" t="str">
        <f t="shared" si="72"/>
        <v>ParcelOne</v>
      </c>
      <c r="J922" t="str">
        <f>VLOOKUP(A922,Orders!$A$2:$D$1201,4,FALSE)</f>
        <v>Delivered</v>
      </c>
      <c r="K922" t="str">
        <f t="shared" si="73"/>
        <v>Late</v>
      </c>
      <c r="L922" t="str">
        <f t="shared" si="74"/>
        <v>On time</v>
      </c>
      <c r="O922">
        <f t="shared" si="75"/>
        <v>1</v>
      </c>
    </row>
    <row r="923" spans="1:15">
      <c r="A923">
        <v>1967</v>
      </c>
      <c r="B923" t="s">
        <v>346</v>
      </c>
      <c r="C923" s="1">
        <v>46137</v>
      </c>
      <c r="D923" s="1">
        <v>46137</v>
      </c>
      <c r="E923" s="1">
        <v>46142</v>
      </c>
      <c r="F923" s="1">
        <v>46142</v>
      </c>
      <c r="G923" s="1">
        <v>46142</v>
      </c>
      <c r="H923">
        <f t="shared" si="71"/>
        <v>0</v>
      </c>
      <c r="I923" t="str">
        <f t="shared" si="72"/>
        <v>SwiftShip</v>
      </c>
      <c r="J923" t="str">
        <f>VLOOKUP(A923,Orders!$A$2:$D$1201,4,FALSE)</f>
        <v>Delivered</v>
      </c>
      <c r="K923" t="str">
        <f t="shared" si="73"/>
        <v>On time</v>
      </c>
      <c r="L923" t="str">
        <f t="shared" si="74"/>
        <v>On time</v>
      </c>
      <c r="O923">
        <f t="shared" si="75"/>
        <v>0</v>
      </c>
    </row>
    <row r="924" spans="1:15">
      <c r="A924">
        <v>1968</v>
      </c>
      <c r="B924" t="s">
        <v>347</v>
      </c>
      <c r="C924" s="1">
        <v>46084</v>
      </c>
      <c r="D924" s="1">
        <v>46084</v>
      </c>
      <c r="E924" s="1">
        <v>46089</v>
      </c>
      <c r="F924" s="1">
        <v>46089</v>
      </c>
      <c r="G924" s="1">
        <v>46090</v>
      </c>
      <c r="H924">
        <f t="shared" si="71"/>
        <v>0</v>
      </c>
      <c r="I924" t="str">
        <f t="shared" si="72"/>
        <v>ParcelOne</v>
      </c>
      <c r="J924" t="str">
        <f>VLOOKUP(A924,Orders!$A$2:$D$1201,4,FALSE)</f>
        <v>Delivered</v>
      </c>
      <c r="K924" t="str">
        <f t="shared" si="73"/>
        <v>On time</v>
      </c>
      <c r="L924" t="str">
        <f t="shared" si="74"/>
        <v>On time</v>
      </c>
      <c r="O924">
        <f t="shared" si="75"/>
        <v>1</v>
      </c>
    </row>
    <row r="925" spans="1:15">
      <c r="A925">
        <v>1969</v>
      </c>
      <c r="B925" t="s">
        <v>347</v>
      </c>
      <c r="C925" s="1">
        <v>46098</v>
      </c>
      <c r="D925" s="1">
        <v>46098</v>
      </c>
      <c r="E925" s="1">
        <v>46103</v>
      </c>
      <c r="F925" s="1">
        <v>46101</v>
      </c>
      <c r="G925" s="1">
        <v>46101</v>
      </c>
      <c r="H925">
        <f t="shared" si="71"/>
        <v>0</v>
      </c>
      <c r="I925" t="str">
        <f t="shared" si="72"/>
        <v>ParcelOne</v>
      </c>
      <c r="J925" t="str">
        <f>VLOOKUP(A925,Orders!$A$2:$D$1201,4,FALSE)</f>
        <v>Delivered</v>
      </c>
      <c r="K925" t="str">
        <f t="shared" si="73"/>
        <v>On time</v>
      </c>
      <c r="L925" t="str">
        <f t="shared" si="74"/>
        <v>On time</v>
      </c>
      <c r="O925">
        <f t="shared" si="75"/>
        <v>0</v>
      </c>
    </row>
    <row r="926" spans="1:15">
      <c r="A926">
        <v>1970</v>
      </c>
      <c r="B926" t="s">
        <v>348</v>
      </c>
      <c r="C926" s="1">
        <v>46174</v>
      </c>
      <c r="D926" s="1">
        <v>46174</v>
      </c>
      <c r="E926" s="1">
        <v>46179</v>
      </c>
      <c r="F926" s="1">
        <v>46180</v>
      </c>
      <c r="G926" s="1">
        <v>46180</v>
      </c>
      <c r="H926">
        <f t="shared" si="71"/>
        <v>0</v>
      </c>
      <c r="I926" t="str">
        <f t="shared" si="72"/>
        <v>MetroLogistics</v>
      </c>
      <c r="J926" t="str">
        <f>VLOOKUP(A926,Orders!$A$2:$D$1201,4,FALSE)</f>
        <v>Delivered</v>
      </c>
      <c r="K926" t="str">
        <f t="shared" si="73"/>
        <v>Late</v>
      </c>
      <c r="L926" t="str">
        <f t="shared" si="74"/>
        <v>On time</v>
      </c>
      <c r="O926">
        <f t="shared" si="75"/>
        <v>0</v>
      </c>
    </row>
    <row r="927" spans="1:15">
      <c r="A927">
        <v>1971</v>
      </c>
      <c r="B927" t="s">
        <v>348</v>
      </c>
      <c r="C927" s="1">
        <v>46109</v>
      </c>
      <c r="D927" s="1">
        <v>46110</v>
      </c>
      <c r="E927" s="1">
        <v>46114</v>
      </c>
      <c r="H927">
        <f t="shared" si="71"/>
        <v>0</v>
      </c>
      <c r="I927" t="str">
        <f t="shared" si="72"/>
        <v>MetroLogistics</v>
      </c>
      <c r="J927" t="str">
        <f>VLOOKUP(A927,Orders!$A$2:$D$1201,4,FALSE)</f>
        <v>Shipped</v>
      </c>
      <c r="K927" t="str">
        <f t="shared" si="73"/>
        <v>Not delivered</v>
      </c>
      <c r="L927" t="str">
        <f t="shared" si="74"/>
        <v>Late</v>
      </c>
      <c r="O927" t="str">
        <f t="shared" si="75"/>
        <v/>
      </c>
    </row>
    <row r="928" spans="1:15">
      <c r="A928">
        <v>1972</v>
      </c>
      <c r="B928" t="s">
        <v>347</v>
      </c>
      <c r="C928" s="1">
        <v>46181</v>
      </c>
      <c r="D928" s="1">
        <v>46183</v>
      </c>
      <c r="E928" s="1">
        <v>46186</v>
      </c>
      <c r="F928" s="1">
        <v>46186</v>
      </c>
      <c r="G928" s="1">
        <v>46186</v>
      </c>
      <c r="H928">
        <f t="shared" si="71"/>
        <v>0</v>
      </c>
      <c r="I928" t="str">
        <f t="shared" si="72"/>
        <v>ParcelOne</v>
      </c>
      <c r="J928" t="str">
        <f>VLOOKUP(A928,Orders!$A$2:$D$1201,4,FALSE)</f>
        <v>Delivered</v>
      </c>
      <c r="K928" t="str">
        <f t="shared" si="73"/>
        <v>On time</v>
      </c>
      <c r="L928" t="str">
        <f t="shared" si="74"/>
        <v>Late</v>
      </c>
      <c r="O928">
        <f t="shared" si="75"/>
        <v>0</v>
      </c>
    </row>
    <row r="929" spans="1:15">
      <c r="A929">
        <v>1973</v>
      </c>
      <c r="B929" t="s">
        <v>347</v>
      </c>
      <c r="C929" s="1">
        <v>46152</v>
      </c>
      <c r="D929" s="1">
        <v>46154</v>
      </c>
      <c r="E929" s="1">
        <v>46157</v>
      </c>
      <c r="F929" s="1">
        <v>46155</v>
      </c>
      <c r="G929" s="1">
        <v>46155</v>
      </c>
      <c r="H929">
        <f t="shared" si="71"/>
        <v>0</v>
      </c>
      <c r="I929" t="str">
        <f t="shared" si="72"/>
        <v>ParcelOne</v>
      </c>
      <c r="J929" t="str">
        <f>VLOOKUP(A929,Orders!$A$2:$D$1201,4,FALSE)</f>
        <v>Delivered</v>
      </c>
      <c r="K929" t="str">
        <f t="shared" si="73"/>
        <v>On time</v>
      </c>
      <c r="L929" t="str">
        <f t="shared" si="74"/>
        <v>Late</v>
      </c>
      <c r="O929">
        <f t="shared" si="75"/>
        <v>0</v>
      </c>
    </row>
    <row r="930" spans="1:15">
      <c r="A930">
        <v>1974</v>
      </c>
      <c r="B930" t="s">
        <v>346</v>
      </c>
      <c r="C930" s="1">
        <v>46161</v>
      </c>
      <c r="D930" s="1">
        <v>46161</v>
      </c>
      <c r="E930" s="1">
        <v>46166</v>
      </c>
      <c r="F930" s="1">
        <v>46167</v>
      </c>
      <c r="G930" s="1">
        <v>46167</v>
      </c>
      <c r="H930">
        <f t="shared" si="71"/>
        <v>0</v>
      </c>
      <c r="I930" t="str">
        <f t="shared" si="72"/>
        <v>SwiftShip</v>
      </c>
      <c r="J930" t="str">
        <f>VLOOKUP(A930,Orders!$A$2:$D$1201,4,FALSE)</f>
        <v>Delivered</v>
      </c>
      <c r="K930" t="str">
        <f t="shared" si="73"/>
        <v>Late</v>
      </c>
      <c r="L930" t="str">
        <f t="shared" si="74"/>
        <v>On time</v>
      </c>
      <c r="O930">
        <f t="shared" si="75"/>
        <v>0</v>
      </c>
    </row>
    <row r="931" spans="1:15">
      <c r="A931">
        <v>1975</v>
      </c>
      <c r="B931" t="s">
        <v>347</v>
      </c>
      <c r="C931" s="1">
        <v>46165</v>
      </c>
      <c r="D931" s="1">
        <v>46165</v>
      </c>
      <c r="E931" s="1">
        <v>46170</v>
      </c>
      <c r="F931" s="1">
        <v>46170</v>
      </c>
      <c r="G931" s="1">
        <v>46172</v>
      </c>
      <c r="H931">
        <f t="shared" si="71"/>
        <v>0</v>
      </c>
      <c r="I931" t="str">
        <f t="shared" si="72"/>
        <v>ParcelOne</v>
      </c>
      <c r="J931" t="str">
        <f>VLOOKUP(A931,Orders!$A$2:$D$1201,4,FALSE)</f>
        <v>Delivered</v>
      </c>
      <c r="K931" t="str">
        <f t="shared" si="73"/>
        <v>On time</v>
      </c>
      <c r="L931" t="str">
        <f t="shared" si="74"/>
        <v>On time</v>
      </c>
      <c r="O931">
        <f t="shared" si="75"/>
        <v>2</v>
      </c>
    </row>
    <row r="932" spans="1:15">
      <c r="A932">
        <v>1976</v>
      </c>
      <c r="B932" t="s">
        <v>347</v>
      </c>
      <c r="C932" s="1">
        <v>46084</v>
      </c>
      <c r="D932" s="1">
        <v>46086</v>
      </c>
      <c r="E932" s="1">
        <v>46089</v>
      </c>
      <c r="F932" s="1">
        <v>46087</v>
      </c>
      <c r="G932" s="1">
        <v>46087</v>
      </c>
      <c r="H932">
        <f t="shared" si="71"/>
        <v>0</v>
      </c>
      <c r="I932" t="str">
        <f t="shared" si="72"/>
        <v>ParcelOne</v>
      </c>
      <c r="J932" t="str">
        <f>VLOOKUP(A932,Orders!$A$2:$D$1201,4,FALSE)</f>
        <v>Delivered</v>
      </c>
      <c r="K932" t="str">
        <f t="shared" si="73"/>
        <v>On time</v>
      </c>
      <c r="L932" t="str">
        <f t="shared" si="74"/>
        <v>Late</v>
      </c>
      <c r="O932">
        <f t="shared" si="75"/>
        <v>0</v>
      </c>
    </row>
    <row r="933" spans="1:15">
      <c r="A933">
        <v>1977</v>
      </c>
      <c r="B933" t="s">
        <v>346</v>
      </c>
      <c r="C933" s="1">
        <v>46044</v>
      </c>
      <c r="D933" s="1">
        <v>46044</v>
      </c>
      <c r="E933" s="1">
        <v>46049</v>
      </c>
      <c r="F933" s="1">
        <v>46049</v>
      </c>
      <c r="G933" s="1">
        <v>46050</v>
      </c>
      <c r="H933">
        <f t="shared" si="71"/>
        <v>0</v>
      </c>
      <c r="I933" t="str">
        <f t="shared" si="72"/>
        <v>SwiftShip</v>
      </c>
      <c r="J933" t="str">
        <f>VLOOKUP(A933,Orders!$A$2:$D$1201,4,FALSE)</f>
        <v>Delivered</v>
      </c>
      <c r="K933" t="str">
        <f t="shared" si="73"/>
        <v>On time</v>
      </c>
      <c r="L933" t="str">
        <f t="shared" si="74"/>
        <v>On time</v>
      </c>
      <c r="O933">
        <f t="shared" si="75"/>
        <v>1</v>
      </c>
    </row>
    <row r="934" spans="1:15">
      <c r="A934">
        <v>1978</v>
      </c>
      <c r="B934" t="s">
        <v>347</v>
      </c>
      <c r="C934" s="1">
        <v>46058</v>
      </c>
      <c r="D934" s="1">
        <v>46058</v>
      </c>
      <c r="E934" s="1">
        <v>46063</v>
      </c>
      <c r="F934" s="1">
        <v>46064</v>
      </c>
      <c r="G934" s="1">
        <v>46064</v>
      </c>
      <c r="H934">
        <f t="shared" si="71"/>
        <v>0</v>
      </c>
      <c r="I934" t="str">
        <f t="shared" si="72"/>
        <v>ParcelOne</v>
      </c>
      <c r="J934" t="str">
        <f>VLOOKUP(A934,Orders!$A$2:$D$1201,4,FALSE)</f>
        <v>Delivered</v>
      </c>
      <c r="K934" t="str">
        <f t="shared" si="73"/>
        <v>Late</v>
      </c>
      <c r="L934" t="str">
        <f t="shared" si="74"/>
        <v>On time</v>
      </c>
      <c r="O934">
        <f t="shared" si="75"/>
        <v>0</v>
      </c>
    </row>
    <row r="935" spans="1:15">
      <c r="A935">
        <v>1979</v>
      </c>
      <c r="B935" t="s">
        <v>348</v>
      </c>
      <c r="C935" s="1">
        <v>46138</v>
      </c>
      <c r="D935" s="1">
        <v>46138</v>
      </c>
      <c r="E935" s="1">
        <v>46143</v>
      </c>
      <c r="F935" s="1">
        <v>46145</v>
      </c>
      <c r="G935" s="1">
        <v>46145</v>
      </c>
      <c r="H935">
        <f t="shared" si="71"/>
        <v>0</v>
      </c>
      <c r="I935" t="str">
        <f t="shared" si="72"/>
        <v>MetroLogistics</v>
      </c>
      <c r="J935" t="str">
        <f>VLOOKUP(A935,Orders!$A$2:$D$1201,4,FALSE)</f>
        <v>Delivered</v>
      </c>
      <c r="K935" t="str">
        <f t="shared" si="73"/>
        <v>Late</v>
      </c>
      <c r="L935" t="str">
        <f t="shared" si="74"/>
        <v>On time</v>
      </c>
      <c r="O935">
        <f t="shared" si="75"/>
        <v>0</v>
      </c>
    </row>
    <row r="936" spans="1:15">
      <c r="A936">
        <v>1980</v>
      </c>
      <c r="B936" t="s">
        <v>348</v>
      </c>
      <c r="C936" s="1">
        <v>46149</v>
      </c>
      <c r="D936" s="1">
        <v>46149</v>
      </c>
      <c r="E936" s="1">
        <v>46154</v>
      </c>
      <c r="F936" s="1">
        <v>46154</v>
      </c>
      <c r="G936" s="1">
        <v>46154</v>
      </c>
      <c r="H936">
        <f t="shared" si="71"/>
        <v>0</v>
      </c>
      <c r="I936" t="str">
        <f t="shared" si="72"/>
        <v>MetroLogistics</v>
      </c>
      <c r="J936" t="str">
        <f>VLOOKUP(A936,Orders!$A$2:$D$1201,4,FALSE)</f>
        <v>Delivered</v>
      </c>
      <c r="K936" t="str">
        <f t="shared" si="73"/>
        <v>On time</v>
      </c>
      <c r="L936" t="str">
        <f t="shared" si="74"/>
        <v>On time</v>
      </c>
      <c r="O936">
        <f t="shared" si="75"/>
        <v>0</v>
      </c>
    </row>
    <row r="937" spans="1:15">
      <c r="A937">
        <v>1981</v>
      </c>
      <c r="B937" t="s">
        <v>346</v>
      </c>
      <c r="C937" s="1">
        <v>46061</v>
      </c>
      <c r="D937" s="1">
        <v>46062</v>
      </c>
      <c r="E937" s="1">
        <v>46066</v>
      </c>
      <c r="F937" s="1">
        <v>46066</v>
      </c>
      <c r="G937" s="1">
        <v>46066</v>
      </c>
      <c r="H937">
        <f t="shared" si="71"/>
        <v>0</v>
      </c>
      <c r="I937" t="str">
        <f t="shared" si="72"/>
        <v>SwiftShip</v>
      </c>
      <c r="J937" t="str">
        <f>VLOOKUP(A937,Orders!$A$2:$D$1201,4,FALSE)</f>
        <v>Delivered</v>
      </c>
      <c r="K937" t="str">
        <f t="shared" si="73"/>
        <v>On time</v>
      </c>
      <c r="L937" t="str">
        <f t="shared" si="74"/>
        <v>Late</v>
      </c>
      <c r="O937">
        <f t="shared" si="75"/>
        <v>0</v>
      </c>
    </row>
    <row r="938" spans="1:15">
      <c r="A938">
        <v>1982</v>
      </c>
      <c r="B938" t="s">
        <v>346</v>
      </c>
      <c r="C938" s="1">
        <v>46046</v>
      </c>
      <c r="D938" s="1">
        <v>46046</v>
      </c>
      <c r="E938" s="1">
        <v>46051</v>
      </c>
      <c r="F938" s="1">
        <v>46050</v>
      </c>
      <c r="G938" s="1">
        <v>46050</v>
      </c>
      <c r="H938">
        <f t="shared" si="71"/>
        <v>0</v>
      </c>
      <c r="I938" t="str">
        <f t="shared" si="72"/>
        <v>SwiftShip</v>
      </c>
      <c r="J938" t="str">
        <f>VLOOKUP(A938,Orders!$A$2:$D$1201,4,FALSE)</f>
        <v>Delivered</v>
      </c>
      <c r="K938" t="str">
        <f t="shared" si="73"/>
        <v>On time</v>
      </c>
      <c r="L938" t="str">
        <f t="shared" si="74"/>
        <v>On time</v>
      </c>
      <c r="O938">
        <f t="shared" si="75"/>
        <v>0</v>
      </c>
    </row>
    <row r="939" spans="1:15">
      <c r="A939">
        <v>1983</v>
      </c>
      <c r="B939" t="s">
        <v>346</v>
      </c>
      <c r="C939" s="1">
        <v>46161</v>
      </c>
      <c r="D939" s="1">
        <v>46163</v>
      </c>
      <c r="E939" s="1">
        <v>46166</v>
      </c>
      <c r="F939" s="1">
        <v>46168</v>
      </c>
      <c r="G939" s="1">
        <v>46168</v>
      </c>
      <c r="H939">
        <f t="shared" si="71"/>
        <v>0</v>
      </c>
      <c r="I939" t="str">
        <f t="shared" si="72"/>
        <v>SwiftShip</v>
      </c>
      <c r="J939" t="str">
        <f>VLOOKUP(A939,Orders!$A$2:$D$1201,4,FALSE)</f>
        <v>Delivered</v>
      </c>
      <c r="K939" t="str">
        <f t="shared" si="73"/>
        <v>Late</v>
      </c>
      <c r="L939" t="str">
        <f t="shared" si="74"/>
        <v>Late</v>
      </c>
      <c r="O939">
        <f t="shared" si="75"/>
        <v>0</v>
      </c>
    </row>
    <row r="940" spans="1:15">
      <c r="A940">
        <v>1984</v>
      </c>
      <c r="B940" t="s">
        <v>347</v>
      </c>
      <c r="C940" s="1">
        <v>46092</v>
      </c>
      <c r="D940" s="1">
        <v>46093</v>
      </c>
      <c r="E940" s="1">
        <v>46097</v>
      </c>
      <c r="F940" s="1">
        <v>46098</v>
      </c>
      <c r="G940" s="1">
        <v>46100</v>
      </c>
      <c r="H940">
        <f t="shared" si="71"/>
        <v>0</v>
      </c>
      <c r="I940" t="str">
        <f t="shared" si="72"/>
        <v>ParcelOne</v>
      </c>
      <c r="J940" t="str">
        <f>VLOOKUP(A940,Orders!$A$2:$D$1201,4,FALSE)</f>
        <v>Delivered</v>
      </c>
      <c r="K940" t="str">
        <f t="shared" si="73"/>
        <v>Late</v>
      </c>
      <c r="L940" t="str">
        <f t="shared" si="74"/>
        <v>Late</v>
      </c>
      <c r="O940">
        <f t="shared" si="75"/>
        <v>2</v>
      </c>
    </row>
    <row r="941" spans="1:15">
      <c r="A941">
        <v>1985</v>
      </c>
      <c r="B941" t="s">
        <v>347</v>
      </c>
      <c r="C941" s="1">
        <v>46052</v>
      </c>
      <c r="D941" s="1">
        <v>46052</v>
      </c>
      <c r="E941" s="1">
        <v>46057</v>
      </c>
      <c r="F941" s="1">
        <v>46061</v>
      </c>
      <c r="G941" s="1">
        <v>46061</v>
      </c>
      <c r="H941">
        <f t="shared" si="71"/>
        <v>0</v>
      </c>
      <c r="I941" t="str">
        <f t="shared" si="72"/>
        <v>ParcelOne</v>
      </c>
      <c r="J941" t="str">
        <f>VLOOKUP(A941,Orders!$A$2:$D$1201,4,FALSE)</f>
        <v>Delivered</v>
      </c>
      <c r="K941" t="str">
        <f t="shared" si="73"/>
        <v>Late</v>
      </c>
      <c r="L941" t="str">
        <f t="shared" si="74"/>
        <v>On time</v>
      </c>
      <c r="O941">
        <f t="shared" si="75"/>
        <v>0</v>
      </c>
    </row>
    <row r="942" spans="1:15">
      <c r="A942">
        <v>1986</v>
      </c>
      <c r="B942" t="s">
        <v>346</v>
      </c>
      <c r="C942" s="1">
        <v>46096</v>
      </c>
      <c r="D942" s="1">
        <v>46096</v>
      </c>
      <c r="E942" s="1">
        <v>46101</v>
      </c>
      <c r="F942" s="1">
        <v>46101</v>
      </c>
      <c r="G942" s="1">
        <v>46101</v>
      </c>
      <c r="H942">
        <f t="shared" si="71"/>
        <v>0</v>
      </c>
      <c r="I942" t="str">
        <f t="shared" si="72"/>
        <v>SwiftShip</v>
      </c>
      <c r="J942" t="str">
        <f>VLOOKUP(A942,Orders!$A$2:$D$1201,4,FALSE)</f>
        <v>Delivered</v>
      </c>
      <c r="K942" t="str">
        <f t="shared" si="73"/>
        <v>On time</v>
      </c>
      <c r="L942" t="str">
        <f t="shared" si="74"/>
        <v>On time</v>
      </c>
      <c r="O942">
        <f t="shared" si="75"/>
        <v>0</v>
      </c>
    </row>
    <row r="943" spans="1:15">
      <c r="A943">
        <v>1987</v>
      </c>
      <c r="B943" t="s">
        <v>347</v>
      </c>
      <c r="C943" s="1">
        <v>46093</v>
      </c>
      <c r="D943" s="1">
        <v>46094</v>
      </c>
      <c r="E943" s="1">
        <v>46098</v>
      </c>
      <c r="F943" s="1">
        <v>46100</v>
      </c>
      <c r="G943" s="1">
        <v>46100</v>
      </c>
      <c r="H943">
        <f t="shared" si="71"/>
        <v>0</v>
      </c>
      <c r="I943" t="str">
        <f t="shared" si="72"/>
        <v>ParcelOne</v>
      </c>
      <c r="J943" t="str">
        <f>VLOOKUP(A943,Orders!$A$2:$D$1201,4,FALSE)</f>
        <v>Delivered</v>
      </c>
      <c r="K943" t="str">
        <f t="shared" si="73"/>
        <v>Late</v>
      </c>
      <c r="L943" t="str">
        <f t="shared" si="74"/>
        <v>Late</v>
      </c>
      <c r="O943">
        <f t="shared" si="75"/>
        <v>0</v>
      </c>
    </row>
    <row r="944" spans="1:15">
      <c r="A944">
        <v>1988</v>
      </c>
      <c r="B944" t="s">
        <v>348</v>
      </c>
      <c r="C944" s="1">
        <v>46137</v>
      </c>
      <c r="D944" s="1">
        <v>46137</v>
      </c>
      <c r="E944" s="1">
        <v>46142</v>
      </c>
      <c r="F944" s="1">
        <v>46146</v>
      </c>
      <c r="G944" s="1">
        <v>46146</v>
      </c>
      <c r="H944">
        <f t="shared" si="71"/>
        <v>0</v>
      </c>
      <c r="I944" t="str">
        <f t="shared" si="72"/>
        <v>MetroLogistics</v>
      </c>
      <c r="J944" t="str">
        <f>VLOOKUP(A944,Orders!$A$2:$D$1201,4,FALSE)</f>
        <v>Delivered</v>
      </c>
      <c r="K944" t="str">
        <f t="shared" si="73"/>
        <v>Late</v>
      </c>
      <c r="L944" t="str">
        <f t="shared" si="74"/>
        <v>On time</v>
      </c>
      <c r="O944">
        <f t="shared" si="75"/>
        <v>0</v>
      </c>
    </row>
    <row r="945" spans="1:15">
      <c r="A945">
        <v>1989</v>
      </c>
      <c r="B945" t="s">
        <v>347</v>
      </c>
      <c r="C945" s="1">
        <v>46166</v>
      </c>
      <c r="D945" s="1">
        <v>46167</v>
      </c>
      <c r="E945" s="1">
        <v>46171</v>
      </c>
      <c r="F945" s="1">
        <v>46170</v>
      </c>
      <c r="G945" s="1">
        <v>46170</v>
      </c>
      <c r="H945">
        <f t="shared" si="71"/>
        <v>0</v>
      </c>
      <c r="I945" t="str">
        <f t="shared" si="72"/>
        <v>ParcelOne</v>
      </c>
      <c r="J945" t="str">
        <f>VLOOKUP(A945,Orders!$A$2:$D$1201,4,FALSE)</f>
        <v>Delivered</v>
      </c>
      <c r="K945" t="str">
        <f t="shared" si="73"/>
        <v>On time</v>
      </c>
      <c r="L945" t="str">
        <f t="shared" si="74"/>
        <v>Late</v>
      </c>
      <c r="O945">
        <f t="shared" si="75"/>
        <v>0</v>
      </c>
    </row>
    <row r="946" spans="1:15">
      <c r="A946">
        <v>1990</v>
      </c>
      <c r="B946" t="s">
        <v>346</v>
      </c>
      <c r="C946" s="1">
        <v>46183</v>
      </c>
      <c r="D946" s="1">
        <v>46183</v>
      </c>
      <c r="E946" s="1">
        <v>46188</v>
      </c>
      <c r="F946" s="1">
        <v>46188</v>
      </c>
      <c r="G946" s="1">
        <v>46188</v>
      </c>
      <c r="H946">
        <f t="shared" si="71"/>
        <v>0</v>
      </c>
      <c r="I946" t="str">
        <f t="shared" si="72"/>
        <v>SwiftShip</v>
      </c>
      <c r="J946" t="str">
        <f>VLOOKUP(A946,Orders!$A$2:$D$1201,4,FALSE)</f>
        <v>Delivered</v>
      </c>
      <c r="K946" t="str">
        <f t="shared" si="73"/>
        <v>On time</v>
      </c>
      <c r="L946" t="str">
        <f t="shared" si="74"/>
        <v>On time</v>
      </c>
      <c r="O946">
        <f t="shared" si="75"/>
        <v>0</v>
      </c>
    </row>
    <row r="947" spans="1:15">
      <c r="A947">
        <v>1991</v>
      </c>
      <c r="B947" t="s">
        <v>346</v>
      </c>
      <c r="C947" s="1">
        <v>46035</v>
      </c>
      <c r="D947" s="1">
        <v>46037</v>
      </c>
      <c r="E947" s="1">
        <v>46040</v>
      </c>
      <c r="F947" s="1">
        <v>46038</v>
      </c>
      <c r="G947" s="1">
        <v>46039</v>
      </c>
      <c r="H947">
        <f t="shared" si="71"/>
        <v>0</v>
      </c>
      <c r="I947" t="str">
        <f t="shared" si="72"/>
        <v>SwiftShip</v>
      </c>
      <c r="J947" t="str">
        <f>VLOOKUP(A947,Orders!$A$2:$D$1201,4,FALSE)</f>
        <v>Delivered</v>
      </c>
      <c r="K947" t="str">
        <f t="shared" si="73"/>
        <v>On time</v>
      </c>
      <c r="L947" t="str">
        <f t="shared" si="74"/>
        <v>Late</v>
      </c>
      <c r="O947">
        <f t="shared" si="75"/>
        <v>1</v>
      </c>
    </row>
    <row r="948" spans="1:15">
      <c r="A948">
        <v>1992</v>
      </c>
      <c r="B948" t="s">
        <v>346</v>
      </c>
      <c r="C948" s="1">
        <v>46163</v>
      </c>
      <c r="D948" s="1">
        <v>46163</v>
      </c>
      <c r="E948" s="1">
        <v>46168</v>
      </c>
      <c r="F948" s="1">
        <v>46167</v>
      </c>
      <c r="G948" s="1">
        <v>46167</v>
      </c>
      <c r="H948">
        <f t="shared" si="71"/>
        <v>0</v>
      </c>
      <c r="I948" t="str">
        <f t="shared" si="72"/>
        <v>SwiftShip</v>
      </c>
      <c r="J948" t="str">
        <f>VLOOKUP(A948,Orders!$A$2:$D$1201,4,FALSE)</f>
        <v>Delivered</v>
      </c>
      <c r="K948" t="str">
        <f t="shared" si="73"/>
        <v>On time</v>
      </c>
      <c r="L948" t="str">
        <f t="shared" si="74"/>
        <v>On time</v>
      </c>
      <c r="O948">
        <f t="shared" si="75"/>
        <v>0</v>
      </c>
    </row>
    <row r="949" spans="1:15">
      <c r="A949">
        <v>1993</v>
      </c>
      <c r="B949" t="s">
        <v>346</v>
      </c>
      <c r="C949" s="1">
        <v>46199</v>
      </c>
      <c r="D949" s="1">
        <v>46199</v>
      </c>
      <c r="E949" s="1">
        <v>46204</v>
      </c>
      <c r="F949" s="1">
        <v>46204</v>
      </c>
      <c r="G949" s="1">
        <v>46204</v>
      </c>
      <c r="H949">
        <f t="shared" si="71"/>
        <v>0</v>
      </c>
      <c r="I949" t="str">
        <f t="shared" si="72"/>
        <v>SwiftShip</v>
      </c>
      <c r="J949" t="str">
        <f>VLOOKUP(A949,Orders!$A$2:$D$1201,4,FALSE)</f>
        <v>Delivered</v>
      </c>
      <c r="K949" t="str">
        <f t="shared" si="73"/>
        <v>On time</v>
      </c>
      <c r="L949" t="str">
        <f t="shared" si="74"/>
        <v>On time</v>
      </c>
      <c r="O949">
        <f t="shared" si="75"/>
        <v>0</v>
      </c>
    </row>
    <row r="950" spans="1:15">
      <c r="A950">
        <v>1994</v>
      </c>
      <c r="B950" t="s">
        <v>348</v>
      </c>
      <c r="C950" s="1">
        <v>46100</v>
      </c>
      <c r="D950" s="1">
        <v>46100</v>
      </c>
      <c r="E950" s="1">
        <v>46105</v>
      </c>
      <c r="F950" s="1">
        <v>46104</v>
      </c>
      <c r="G950" s="1">
        <v>46104</v>
      </c>
      <c r="H950">
        <f t="shared" si="71"/>
        <v>0</v>
      </c>
      <c r="I950" t="str">
        <f t="shared" si="72"/>
        <v>MetroLogistics</v>
      </c>
      <c r="J950" t="str">
        <f>VLOOKUP(A950,Orders!$A$2:$D$1201,4,FALSE)</f>
        <v>Delivered</v>
      </c>
      <c r="K950" t="str">
        <f t="shared" si="73"/>
        <v>On time</v>
      </c>
      <c r="L950" t="str">
        <f t="shared" si="74"/>
        <v>On time</v>
      </c>
      <c r="O950">
        <f t="shared" si="75"/>
        <v>0</v>
      </c>
    </row>
    <row r="951" spans="1:15">
      <c r="A951">
        <v>1995</v>
      </c>
      <c r="B951" t="s">
        <v>348</v>
      </c>
      <c r="C951" s="1">
        <v>46155</v>
      </c>
      <c r="D951" s="1">
        <v>46155</v>
      </c>
      <c r="E951" s="1">
        <v>46160</v>
      </c>
      <c r="F951" s="1">
        <v>46159</v>
      </c>
      <c r="G951" s="1">
        <v>46159</v>
      </c>
      <c r="H951">
        <f t="shared" si="71"/>
        <v>0</v>
      </c>
      <c r="I951" t="str">
        <f t="shared" si="72"/>
        <v>MetroLogistics</v>
      </c>
      <c r="J951" t="str">
        <f>VLOOKUP(A951,Orders!$A$2:$D$1201,4,FALSE)</f>
        <v>Delivered</v>
      </c>
      <c r="K951" t="str">
        <f t="shared" si="73"/>
        <v>On time</v>
      </c>
      <c r="L951" t="str">
        <f t="shared" si="74"/>
        <v>On time</v>
      </c>
      <c r="O951">
        <f t="shared" si="75"/>
        <v>0</v>
      </c>
    </row>
    <row r="952" spans="1:15">
      <c r="A952">
        <v>1996</v>
      </c>
      <c r="B952" t="s">
        <v>348</v>
      </c>
      <c r="C952" s="1">
        <v>46045</v>
      </c>
      <c r="D952" s="1">
        <v>46045</v>
      </c>
      <c r="E952" s="1">
        <v>46050</v>
      </c>
      <c r="H952">
        <f t="shared" si="71"/>
        <v>0</v>
      </c>
      <c r="I952" t="str">
        <f t="shared" si="72"/>
        <v>MetroLogistics</v>
      </c>
      <c r="J952" t="str">
        <f>VLOOKUP(A952,Orders!$A$2:$D$1201,4,FALSE)</f>
        <v>Shipped</v>
      </c>
      <c r="K952" t="str">
        <f t="shared" si="73"/>
        <v>Not delivered</v>
      </c>
      <c r="L952" t="str">
        <f t="shared" si="74"/>
        <v>On time</v>
      </c>
      <c r="O952" t="str">
        <f t="shared" si="75"/>
        <v/>
      </c>
    </row>
    <row r="953" spans="1:15">
      <c r="A953">
        <v>1997</v>
      </c>
      <c r="B953" t="s">
        <v>347</v>
      </c>
      <c r="C953" s="1">
        <v>46159</v>
      </c>
      <c r="D953" s="1">
        <v>46159</v>
      </c>
      <c r="E953" s="1">
        <v>46164</v>
      </c>
      <c r="F953" s="1">
        <v>46165</v>
      </c>
      <c r="G953" s="1">
        <v>46167</v>
      </c>
      <c r="H953">
        <f t="shared" si="71"/>
        <v>0</v>
      </c>
      <c r="I953" t="str">
        <f t="shared" si="72"/>
        <v>ParcelOne</v>
      </c>
      <c r="J953" t="str">
        <f>VLOOKUP(A953,Orders!$A$2:$D$1201,4,FALSE)</f>
        <v>Delivered</v>
      </c>
      <c r="K953" t="str">
        <f t="shared" si="73"/>
        <v>Late</v>
      </c>
      <c r="L953" t="str">
        <f t="shared" si="74"/>
        <v>On time</v>
      </c>
      <c r="O953">
        <f t="shared" si="75"/>
        <v>2</v>
      </c>
    </row>
    <row r="954" spans="1:15">
      <c r="A954">
        <v>1998</v>
      </c>
      <c r="B954" t="s">
        <v>346</v>
      </c>
      <c r="C954" s="1">
        <v>46141</v>
      </c>
      <c r="D954" s="1">
        <v>46141</v>
      </c>
      <c r="E954" s="1">
        <v>46146</v>
      </c>
      <c r="F954" s="1">
        <v>46144</v>
      </c>
      <c r="G954" s="1">
        <v>46144</v>
      </c>
      <c r="H954">
        <f t="shared" si="71"/>
        <v>0</v>
      </c>
      <c r="I954" t="str">
        <f t="shared" si="72"/>
        <v>SwiftShip</v>
      </c>
      <c r="J954" t="str">
        <f>VLOOKUP(A954,Orders!$A$2:$D$1201,4,FALSE)</f>
        <v>Delivered</v>
      </c>
      <c r="K954" t="str">
        <f t="shared" si="73"/>
        <v>On time</v>
      </c>
      <c r="L954" t="str">
        <f t="shared" si="74"/>
        <v>On time</v>
      </c>
      <c r="O954">
        <f t="shared" si="75"/>
        <v>0</v>
      </c>
    </row>
    <row r="955" spans="1:15">
      <c r="A955">
        <v>1999</v>
      </c>
      <c r="B955" t="s">
        <v>348</v>
      </c>
      <c r="C955" s="1">
        <v>46179</v>
      </c>
      <c r="D955" s="1">
        <v>46181</v>
      </c>
      <c r="E955" s="1">
        <v>46184</v>
      </c>
      <c r="F955" s="1">
        <v>46183</v>
      </c>
      <c r="G955" s="1">
        <v>46185</v>
      </c>
      <c r="H955">
        <f t="shared" si="71"/>
        <v>0</v>
      </c>
      <c r="I955" t="str">
        <f t="shared" si="72"/>
        <v>MetroLogistics</v>
      </c>
      <c r="J955" t="str">
        <f>VLOOKUP(A955,Orders!$A$2:$D$1201,4,FALSE)</f>
        <v>Delivered</v>
      </c>
      <c r="K955" t="str">
        <f t="shared" si="73"/>
        <v>On time</v>
      </c>
      <c r="L955" t="str">
        <f t="shared" si="74"/>
        <v>Late</v>
      </c>
      <c r="O955">
        <f t="shared" si="75"/>
        <v>2</v>
      </c>
    </row>
    <row r="956" spans="1:15">
      <c r="A956">
        <v>2000</v>
      </c>
      <c r="B956" t="s">
        <v>346</v>
      </c>
      <c r="C956" s="1">
        <v>46174</v>
      </c>
      <c r="D956" s="1">
        <v>46174</v>
      </c>
      <c r="E956" s="1">
        <v>46179</v>
      </c>
      <c r="F956" s="1">
        <v>46179</v>
      </c>
      <c r="G956" s="1">
        <v>46179</v>
      </c>
      <c r="H956">
        <f t="shared" si="71"/>
        <v>0</v>
      </c>
      <c r="I956" t="str">
        <f t="shared" si="72"/>
        <v>SwiftShip</v>
      </c>
      <c r="J956" t="str">
        <f>VLOOKUP(A956,Orders!$A$2:$D$1201,4,FALSE)</f>
        <v>Delivered</v>
      </c>
      <c r="K956" t="str">
        <f t="shared" si="73"/>
        <v>On time</v>
      </c>
      <c r="L956" t="str">
        <f t="shared" si="74"/>
        <v>On time</v>
      </c>
      <c r="O956">
        <f t="shared" si="75"/>
        <v>0</v>
      </c>
    </row>
    <row r="957" spans="1:15">
      <c r="A957">
        <v>2002</v>
      </c>
      <c r="B957" t="s">
        <v>348</v>
      </c>
      <c r="C957" s="1">
        <v>46067</v>
      </c>
      <c r="D957" s="1">
        <v>46067</v>
      </c>
      <c r="E957" s="1">
        <v>46072</v>
      </c>
      <c r="F957" s="1">
        <v>46071</v>
      </c>
      <c r="G957" s="1">
        <v>46071</v>
      </c>
      <c r="H957">
        <f t="shared" si="71"/>
        <v>0</v>
      </c>
      <c r="I957" t="str">
        <f t="shared" si="72"/>
        <v>MetroLogistics</v>
      </c>
      <c r="J957" t="str">
        <f>VLOOKUP(A957,Orders!$A$2:$D$1201,4,FALSE)</f>
        <v>Delivered</v>
      </c>
      <c r="K957" t="str">
        <f t="shared" si="73"/>
        <v>On time</v>
      </c>
      <c r="L957" t="str">
        <f t="shared" si="74"/>
        <v>On time</v>
      </c>
      <c r="O957">
        <f t="shared" si="75"/>
        <v>0</v>
      </c>
    </row>
    <row r="958" spans="1:15">
      <c r="A958">
        <v>2003</v>
      </c>
      <c r="B958" t="s">
        <v>346</v>
      </c>
      <c r="C958" s="1">
        <v>46160</v>
      </c>
      <c r="D958" s="1">
        <v>46160</v>
      </c>
      <c r="E958" s="1">
        <v>46165</v>
      </c>
      <c r="H958">
        <f t="shared" si="71"/>
        <v>0</v>
      </c>
      <c r="I958" t="str">
        <f t="shared" si="72"/>
        <v>SwiftShip</v>
      </c>
      <c r="J958" t="str">
        <f>VLOOKUP(A958,Orders!$A$2:$D$1201,4,FALSE)</f>
        <v>Shipped</v>
      </c>
      <c r="K958" t="str">
        <f t="shared" si="73"/>
        <v>Not delivered</v>
      </c>
      <c r="L958" t="str">
        <f t="shared" si="74"/>
        <v>On time</v>
      </c>
      <c r="O958" t="str">
        <f t="shared" si="75"/>
        <v/>
      </c>
    </row>
    <row r="959" spans="1:15">
      <c r="A959">
        <v>2004</v>
      </c>
      <c r="B959" t="s">
        <v>348</v>
      </c>
      <c r="C959" s="1">
        <v>46176</v>
      </c>
      <c r="D959" s="1">
        <v>46176</v>
      </c>
      <c r="E959" s="1">
        <v>46181</v>
      </c>
      <c r="F959" s="1">
        <v>46181</v>
      </c>
      <c r="G959" s="1">
        <v>46181</v>
      </c>
      <c r="H959">
        <f t="shared" si="71"/>
        <v>0</v>
      </c>
      <c r="I959" t="str">
        <f t="shared" si="72"/>
        <v>MetroLogistics</v>
      </c>
      <c r="J959" t="str">
        <f>VLOOKUP(A959,Orders!$A$2:$D$1201,4,FALSE)</f>
        <v>Delivered</v>
      </c>
      <c r="K959" t="str">
        <f t="shared" si="73"/>
        <v>On time</v>
      </c>
      <c r="L959" t="str">
        <f t="shared" si="74"/>
        <v>On time</v>
      </c>
      <c r="O959">
        <f t="shared" si="75"/>
        <v>0</v>
      </c>
    </row>
    <row r="960" spans="1:15">
      <c r="A960">
        <v>2005</v>
      </c>
      <c r="B960" t="s">
        <v>346</v>
      </c>
      <c r="C960" s="1">
        <v>46059</v>
      </c>
      <c r="D960" s="1">
        <v>46059</v>
      </c>
      <c r="E960" s="1">
        <v>46064</v>
      </c>
      <c r="F960" s="1">
        <v>46064</v>
      </c>
      <c r="G960" s="1">
        <v>46064</v>
      </c>
      <c r="H960">
        <f t="shared" si="71"/>
        <v>0</v>
      </c>
      <c r="I960" t="str">
        <f t="shared" si="72"/>
        <v>SwiftShip</v>
      </c>
      <c r="J960" t="str">
        <f>VLOOKUP(A960,Orders!$A$2:$D$1201,4,FALSE)</f>
        <v>Delivered</v>
      </c>
      <c r="K960" t="str">
        <f t="shared" si="73"/>
        <v>On time</v>
      </c>
      <c r="L960" t="str">
        <f t="shared" si="74"/>
        <v>On time</v>
      </c>
      <c r="O960">
        <f t="shared" si="75"/>
        <v>0</v>
      </c>
    </row>
    <row r="961" spans="1:15">
      <c r="A961">
        <v>2006</v>
      </c>
      <c r="B961" t="s">
        <v>348</v>
      </c>
      <c r="C961" s="1">
        <v>46107</v>
      </c>
      <c r="D961" s="1">
        <v>46107</v>
      </c>
      <c r="E961" s="1">
        <v>46112</v>
      </c>
      <c r="F961" s="1">
        <v>46112</v>
      </c>
      <c r="G961" s="1">
        <v>46113</v>
      </c>
      <c r="H961">
        <f t="shared" si="71"/>
        <v>0</v>
      </c>
      <c r="I961" t="str">
        <f t="shared" si="72"/>
        <v>MetroLogistics</v>
      </c>
      <c r="J961" t="str">
        <f>VLOOKUP(A961,Orders!$A$2:$D$1201,4,FALSE)</f>
        <v>Delivered</v>
      </c>
      <c r="K961" t="str">
        <f t="shared" si="73"/>
        <v>On time</v>
      </c>
      <c r="L961" t="str">
        <f t="shared" si="74"/>
        <v>On time</v>
      </c>
      <c r="O961">
        <f t="shared" si="75"/>
        <v>1</v>
      </c>
    </row>
    <row r="962" spans="1:15">
      <c r="A962">
        <v>2007</v>
      </c>
      <c r="B962" t="s">
        <v>348</v>
      </c>
      <c r="C962" s="1">
        <v>46155</v>
      </c>
      <c r="D962" s="1">
        <v>46157</v>
      </c>
      <c r="E962" s="1">
        <v>46160</v>
      </c>
      <c r="F962" s="1">
        <v>46158</v>
      </c>
      <c r="G962" s="1">
        <v>46160</v>
      </c>
      <c r="H962">
        <f t="shared" si="71"/>
        <v>0</v>
      </c>
      <c r="I962" t="str">
        <f t="shared" si="72"/>
        <v>MetroLogistics</v>
      </c>
      <c r="J962" t="str">
        <f>VLOOKUP(A962,Orders!$A$2:$D$1201,4,FALSE)</f>
        <v>Delivered</v>
      </c>
      <c r="K962" t="str">
        <f t="shared" si="73"/>
        <v>On time</v>
      </c>
      <c r="L962" t="str">
        <f t="shared" si="74"/>
        <v>Late</v>
      </c>
      <c r="O962">
        <f t="shared" si="75"/>
        <v>2</v>
      </c>
    </row>
    <row r="963" spans="1:15">
      <c r="A963">
        <v>2008</v>
      </c>
      <c r="B963" t="s">
        <v>347</v>
      </c>
      <c r="C963" s="1">
        <v>46078</v>
      </c>
      <c r="D963" s="1">
        <v>46078</v>
      </c>
      <c r="E963" s="1">
        <v>46083</v>
      </c>
      <c r="F963" s="1">
        <v>46083</v>
      </c>
      <c r="G963" s="1">
        <v>46083</v>
      </c>
      <c r="H963">
        <f t="shared" ref="H963:H1026" si="76">LEN(B963)-LEN(TRIM(B963))</f>
        <v>0</v>
      </c>
      <c r="I963" t="str">
        <f t="shared" ref="I963:I1026" si="77">TRIM(B963)</f>
        <v>ParcelOne</v>
      </c>
      <c r="J963" t="str">
        <f>VLOOKUP(A963,Orders!$A$2:$D$1201,4,FALSE)</f>
        <v>Delivered</v>
      </c>
      <c r="K963" t="str">
        <f t="shared" ref="K963:K1026" si="78">IF(J963&lt;&gt;"Delivered","Not delivered",IF(OR(E963="",F963=""),"Unknown",IF(F963&lt;=E963,"On time","Late")))</f>
        <v>On time</v>
      </c>
      <c r="L963" t="str">
        <f t="shared" ref="L963:L1026" si="79">IF(D963="","Not dispatched",IF(C963="","Unknown",IF(D963&lt;=C963,"On time","Late")))</f>
        <v>On time</v>
      </c>
      <c r="O963">
        <f t="shared" ref="O963:O1026" si="80">IF(OR(F963="",G963=""),"",G963-F963)</f>
        <v>0</v>
      </c>
    </row>
    <row r="964" spans="1:15">
      <c r="A964">
        <v>2009</v>
      </c>
      <c r="B964" t="s">
        <v>348</v>
      </c>
      <c r="C964" s="1">
        <v>46098</v>
      </c>
      <c r="D964" s="1">
        <v>46098</v>
      </c>
      <c r="E964" s="1">
        <v>46103</v>
      </c>
      <c r="H964">
        <f t="shared" si="76"/>
        <v>0</v>
      </c>
      <c r="I964" t="str">
        <f t="shared" si="77"/>
        <v>MetroLogistics</v>
      </c>
      <c r="J964" t="str">
        <f>VLOOKUP(A964,Orders!$A$2:$D$1201,4,FALSE)</f>
        <v>Shipped</v>
      </c>
      <c r="K964" t="str">
        <f t="shared" si="78"/>
        <v>Not delivered</v>
      </c>
      <c r="L964" t="str">
        <f t="shared" si="79"/>
        <v>On time</v>
      </c>
      <c r="O964" t="str">
        <f t="shared" si="80"/>
        <v/>
      </c>
    </row>
    <row r="965" spans="1:15">
      <c r="A965">
        <v>2010</v>
      </c>
      <c r="B965" t="s">
        <v>348</v>
      </c>
      <c r="C965" s="1">
        <v>46068</v>
      </c>
      <c r="D965" s="1">
        <v>46068</v>
      </c>
      <c r="E965" s="1">
        <v>46073</v>
      </c>
      <c r="F965" s="1">
        <v>46077</v>
      </c>
      <c r="G965" s="1">
        <v>46077</v>
      </c>
      <c r="H965">
        <f t="shared" si="76"/>
        <v>0</v>
      </c>
      <c r="I965" t="str">
        <f t="shared" si="77"/>
        <v>MetroLogistics</v>
      </c>
      <c r="J965" t="str">
        <f>VLOOKUP(A965,Orders!$A$2:$D$1201,4,FALSE)</f>
        <v>Delivered</v>
      </c>
      <c r="K965" t="str">
        <f t="shared" si="78"/>
        <v>Late</v>
      </c>
      <c r="L965" t="str">
        <f t="shared" si="79"/>
        <v>On time</v>
      </c>
      <c r="O965">
        <f t="shared" si="80"/>
        <v>0</v>
      </c>
    </row>
    <row r="966" spans="1:15">
      <c r="A966">
        <v>2011</v>
      </c>
      <c r="B966" t="s">
        <v>346</v>
      </c>
      <c r="C966" s="1">
        <v>46138</v>
      </c>
      <c r="D966" s="1">
        <v>46138</v>
      </c>
      <c r="E966" s="1">
        <v>46143</v>
      </c>
      <c r="F966" s="1">
        <v>46142</v>
      </c>
      <c r="G966" s="1">
        <v>46142</v>
      </c>
      <c r="H966">
        <f t="shared" si="76"/>
        <v>0</v>
      </c>
      <c r="I966" t="str">
        <f t="shared" si="77"/>
        <v>SwiftShip</v>
      </c>
      <c r="J966" t="str">
        <f>VLOOKUP(A966,Orders!$A$2:$D$1201,4,FALSE)</f>
        <v>Delivered</v>
      </c>
      <c r="K966" t="str">
        <f t="shared" si="78"/>
        <v>On time</v>
      </c>
      <c r="L966" t="str">
        <f t="shared" si="79"/>
        <v>On time</v>
      </c>
      <c r="O966">
        <f t="shared" si="80"/>
        <v>0</v>
      </c>
    </row>
    <row r="967" spans="1:15">
      <c r="A967">
        <v>2012</v>
      </c>
      <c r="B967" t="s">
        <v>346</v>
      </c>
      <c r="C967" s="1">
        <v>46196</v>
      </c>
      <c r="D967" s="1">
        <v>46196</v>
      </c>
      <c r="E967" s="1">
        <v>46201</v>
      </c>
      <c r="F967" s="1">
        <v>46201</v>
      </c>
      <c r="G967" s="1">
        <v>46201</v>
      </c>
      <c r="H967">
        <f t="shared" si="76"/>
        <v>0</v>
      </c>
      <c r="I967" t="str">
        <f t="shared" si="77"/>
        <v>SwiftShip</v>
      </c>
      <c r="J967" t="str">
        <f>VLOOKUP(A967,Orders!$A$2:$D$1201,4,FALSE)</f>
        <v>Delivered</v>
      </c>
      <c r="K967" t="str">
        <f t="shared" si="78"/>
        <v>On time</v>
      </c>
      <c r="L967" t="str">
        <f t="shared" si="79"/>
        <v>On time</v>
      </c>
      <c r="O967">
        <f t="shared" si="80"/>
        <v>0</v>
      </c>
    </row>
    <row r="968" spans="1:15">
      <c r="A968">
        <v>2013</v>
      </c>
      <c r="B968" t="s">
        <v>348</v>
      </c>
      <c r="C968" s="1">
        <v>46141</v>
      </c>
      <c r="D968" s="1">
        <v>46141</v>
      </c>
      <c r="E968" s="1">
        <v>46146</v>
      </c>
      <c r="F968" s="1">
        <v>46146</v>
      </c>
      <c r="G968" s="1">
        <v>46147</v>
      </c>
      <c r="H968">
        <f t="shared" si="76"/>
        <v>0</v>
      </c>
      <c r="I968" t="str">
        <f t="shared" si="77"/>
        <v>MetroLogistics</v>
      </c>
      <c r="J968" t="str">
        <f>VLOOKUP(A968,Orders!$A$2:$D$1201,4,FALSE)</f>
        <v>Delivered</v>
      </c>
      <c r="K968" t="str">
        <f t="shared" si="78"/>
        <v>On time</v>
      </c>
      <c r="L968" t="str">
        <f t="shared" si="79"/>
        <v>On time</v>
      </c>
      <c r="O968">
        <f t="shared" si="80"/>
        <v>1</v>
      </c>
    </row>
    <row r="969" spans="1:15">
      <c r="A969">
        <v>2014</v>
      </c>
      <c r="B969" t="s">
        <v>347</v>
      </c>
      <c r="C969" s="1">
        <v>46034</v>
      </c>
      <c r="D969" s="1">
        <v>46035</v>
      </c>
      <c r="E969" s="1">
        <v>46039</v>
      </c>
      <c r="H969">
        <f t="shared" si="76"/>
        <v>0</v>
      </c>
      <c r="I969" t="str">
        <f t="shared" si="77"/>
        <v>ParcelOne</v>
      </c>
      <c r="J969" t="str">
        <f>VLOOKUP(A969,Orders!$A$2:$D$1201,4,FALSE)</f>
        <v>Shipped</v>
      </c>
      <c r="K969" t="str">
        <f t="shared" si="78"/>
        <v>Not delivered</v>
      </c>
      <c r="L969" t="str">
        <f t="shared" si="79"/>
        <v>Late</v>
      </c>
      <c r="O969" t="str">
        <f t="shared" si="80"/>
        <v/>
      </c>
    </row>
    <row r="970" spans="1:15">
      <c r="A970">
        <v>2015</v>
      </c>
      <c r="B970" t="s">
        <v>347</v>
      </c>
      <c r="C970" s="1">
        <v>46197</v>
      </c>
      <c r="D970" s="1">
        <v>46197</v>
      </c>
      <c r="E970" s="1">
        <v>46202</v>
      </c>
      <c r="F970" s="1">
        <v>46202</v>
      </c>
      <c r="G970" s="1">
        <v>46202</v>
      </c>
      <c r="H970">
        <f t="shared" si="76"/>
        <v>0</v>
      </c>
      <c r="I970" t="str">
        <f t="shared" si="77"/>
        <v>ParcelOne</v>
      </c>
      <c r="J970" t="str">
        <f>VLOOKUP(A970,Orders!$A$2:$D$1201,4,FALSE)</f>
        <v>Delivered</v>
      </c>
      <c r="K970" t="str">
        <f t="shared" si="78"/>
        <v>On time</v>
      </c>
      <c r="L970" t="str">
        <f t="shared" si="79"/>
        <v>On time</v>
      </c>
      <c r="O970">
        <f t="shared" si="80"/>
        <v>0</v>
      </c>
    </row>
    <row r="971" spans="1:15">
      <c r="A971">
        <v>2017</v>
      </c>
      <c r="B971" t="s">
        <v>347</v>
      </c>
      <c r="C971" s="1">
        <v>46150</v>
      </c>
      <c r="D971" s="1">
        <v>46150</v>
      </c>
      <c r="E971" s="1">
        <v>46155</v>
      </c>
      <c r="F971" s="1">
        <v>46155</v>
      </c>
      <c r="G971" s="1">
        <v>46155</v>
      </c>
      <c r="H971">
        <f t="shared" si="76"/>
        <v>0</v>
      </c>
      <c r="I971" t="str">
        <f t="shared" si="77"/>
        <v>ParcelOne</v>
      </c>
      <c r="J971" t="str">
        <f>VLOOKUP(A971,Orders!$A$2:$D$1201,4,FALSE)</f>
        <v>Delivered</v>
      </c>
      <c r="K971" t="str">
        <f t="shared" si="78"/>
        <v>On time</v>
      </c>
      <c r="L971" t="str">
        <f t="shared" si="79"/>
        <v>On time</v>
      </c>
      <c r="O971">
        <f t="shared" si="80"/>
        <v>0</v>
      </c>
    </row>
    <row r="972" spans="1:15">
      <c r="A972">
        <v>2018</v>
      </c>
      <c r="B972" t="s">
        <v>346</v>
      </c>
      <c r="C972" s="1">
        <v>46101</v>
      </c>
      <c r="D972" s="1">
        <v>46101</v>
      </c>
      <c r="E972" s="1">
        <v>46106</v>
      </c>
      <c r="F972" s="1">
        <v>46105</v>
      </c>
      <c r="G972" s="1">
        <v>46106</v>
      </c>
      <c r="H972">
        <f t="shared" si="76"/>
        <v>0</v>
      </c>
      <c r="I972" t="str">
        <f t="shared" si="77"/>
        <v>SwiftShip</v>
      </c>
      <c r="J972" t="str">
        <f>VLOOKUP(A972,Orders!$A$2:$D$1201,4,FALSE)</f>
        <v>Delivered</v>
      </c>
      <c r="K972" t="str">
        <f t="shared" si="78"/>
        <v>On time</v>
      </c>
      <c r="L972" t="str">
        <f t="shared" si="79"/>
        <v>On time</v>
      </c>
      <c r="O972">
        <f t="shared" si="80"/>
        <v>1</v>
      </c>
    </row>
    <row r="973" spans="1:15">
      <c r="A973">
        <v>2019</v>
      </c>
      <c r="B973" t="s">
        <v>346</v>
      </c>
      <c r="C973" s="1">
        <v>46132</v>
      </c>
      <c r="D973" s="1">
        <v>46132</v>
      </c>
      <c r="E973" s="1">
        <v>46137</v>
      </c>
      <c r="H973">
        <f t="shared" si="76"/>
        <v>0</v>
      </c>
      <c r="I973" t="str">
        <f t="shared" si="77"/>
        <v>SwiftShip</v>
      </c>
      <c r="J973" t="str">
        <f>VLOOKUP(A973,Orders!$A$2:$D$1201,4,FALSE)</f>
        <v>Shipped</v>
      </c>
      <c r="K973" t="str">
        <f t="shared" si="78"/>
        <v>Not delivered</v>
      </c>
      <c r="L973" t="str">
        <f t="shared" si="79"/>
        <v>On time</v>
      </c>
      <c r="O973" t="str">
        <f t="shared" si="80"/>
        <v/>
      </c>
    </row>
    <row r="974" spans="1:15">
      <c r="A974">
        <v>2020</v>
      </c>
      <c r="B974" t="s">
        <v>346</v>
      </c>
      <c r="C974" s="1">
        <v>46106</v>
      </c>
      <c r="D974" s="1">
        <v>46106</v>
      </c>
      <c r="E974" s="1">
        <v>46111</v>
      </c>
      <c r="F974" s="1">
        <v>46111</v>
      </c>
      <c r="G974" s="1">
        <v>46111</v>
      </c>
      <c r="H974">
        <f t="shared" si="76"/>
        <v>0</v>
      </c>
      <c r="I974" t="str">
        <f t="shared" si="77"/>
        <v>SwiftShip</v>
      </c>
      <c r="J974" t="str">
        <f>VLOOKUP(A974,Orders!$A$2:$D$1201,4,FALSE)</f>
        <v>Delivered</v>
      </c>
      <c r="K974" t="str">
        <f t="shared" si="78"/>
        <v>On time</v>
      </c>
      <c r="L974" t="str">
        <f t="shared" si="79"/>
        <v>On time</v>
      </c>
      <c r="O974">
        <f t="shared" si="80"/>
        <v>0</v>
      </c>
    </row>
    <row r="975" spans="1:15">
      <c r="A975">
        <v>2021</v>
      </c>
      <c r="B975" t="s">
        <v>347</v>
      </c>
      <c r="C975" s="1">
        <v>46040</v>
      </c>
      <c r="D975" s="1">
        <v>46041</v>
      </c>
      <c r="E975" s="1">
        <v>46045</v>
      </c>
      <c r="F975" s="1">
        <v>46045</v>
      </c>
      <c r="G975" s="1">
        <v>46045</v>
      </c>
      <c r="H975">
        <f t="shared" si="76"/>
        <v>0</v>
      </c>
      <c r="I975" t="str">
        <f t="shared" si="77"/>
        <v>ParcelOne</v>
      </c>
      <c r="J975" t="str">
        <f>VLOOKUP(A975,Orders!$A$2:$D$1201,4,FALSE)</f>
        <v>Delivered</v>
      </c>
      <c r="K975" t="str">
        <f t="shared" si="78"/>
        <v>On time</v>
      </c>
      <c r="L975" t="str">
        <f t="shared" si="79"/>
        <v>Late</v>
      </c>
      <c r="O975">
        <f t="shared" si="80"/>
        <v>0</v>
      </c>
    </row>
    <row r="976" spans="1:15">
      <c r="A976">
        <v>2022</v>
      </c>
      <c r="B976" t="s">
        <v>347</v>
      </c>
      <c r="C976" s="1">
        <v>46093</v>
      </c>
      <c r="D976" s="1">
        <v>46093</v>
      </c>
      <c r="E976" s="1">
        <v>46098</v>
      </c>
      <c r="F976" s="1">
        <v>46098</v>
      </c>
      <c r="G976" s="1">
        <v>46098</v>
      </c>
      <c r="H976">
        <f t="shared" si="76"/>
        <v>0</v>
      </c>
      <c r="I976" t="str">
        <f t="shared" si="77"/>
        <v>ParcelOne</v>
      </c>
      <c r="J976" t="str">
        <f>VLOOKUP(A976,Orders!$A$2:$D$1201,4,FALSE)</f>
        <v>Delivered</v>
      </c>
      <c r="K976" t="str">
        <f t="shared" si="78"/>
        <v>On time</v>
      </c>
      <c r="L976" t="str">
        <f t="shared" si="79"/>
        <v>On time</v>
      </c>
      <c r="O976">
        <f t="shared" si="80"/>
        <v>0</v>
      </c>
    </row>
    <row r="977" spans="1:15">
      <c r="A977">
        <v>2023</v>
      </c>
      <c r="B977" t="s">
        <v>348</v>
      </c>
      <c r="C977" s="1">
        <v>46185</v>
      </c>
      <c r="D977" s="1">
        <v>46187</v>
      </c>
      <c r="E977" s="1">
        <v>46190</v>
      </c>
      <c r="F977" s="1">
        <v>46188</v>
      </c>
      <c r="G977" s="1">
        <v>46188</v>
      </c>
      <c r="H977">
        <f t="shared" si="76"/>
        <v>0</v>
      </c>
      <c r="I977" t="str">
        <f t="shared" si="77"/>
        <v>MetroLogistics</v>
      </c>
      <c r="J977" t="str">
        <f>VLOOKUP(A977,Orders!$A$2:$D$1201,4,FALSE)</f>
        <v>Delivered</v>
      </c>
      <c r="K977" t="str">
        <f t="shared" si="78"/>
        <v>On time</v>
      </c>
      <c r="L977" t="str">
        <f t="shared" si="79"/>
        <v>Late</v>
      </c>
      <c r="O977">
        <f t="shared" si="80"/>
        <v>0</v>
      </c>
    </row>
    <row r="978" spans="1:15">
      <c r="A978">
        <v>2024</v>
      </c>
      <c r="B978" t="s">
        <v>346</v>
      </c>
      <c r="C978" s="1">
        <v>46110</v>
      </c>
      <c r="D978" s="1">
        <v>46110</v>
      </c>
      <c r="E978" s="1">
        <v>46115</v>
      </c>
      <c r="H978">
        <f t="shared" si="76"/>
        <v>0</v>
      </c>
      <c r="I978" t="str">
        <f t="shared" si="77"/>
        <v>SwiftShip</v>
      </c>
      <c r="J978" t="str">
        <f>VLOOKUP(A978,Orders!$A$2:$D$1201,4,FALSE)</f>
        <v>Shipped</v>
      </c>
      <c r="K978" t="str">
        <f t="shared" si="78"/>
        <v>Not delivered</v>
      </c>
      <c r="L978" t="str">
        <f t="shared" si="79"/>
        <v>On time</v>
      </c>
      <c r="O978" t="str">
        <f t="shared" si="80"/>
        <v/>
      </c>
    </row>
    <row r="979" spans="1:15">
      <c r="A979">
        <v>2025</v>
      </c>
      <c r="B979" t="s">
        <v>347</v>
      </c>
      <c r="C979" s="1">
        <v>46162</v>
      </c>
      <c r="D979" s="1">
        <v>46162</v>
      </c>
      <c r="E979" s="1">
        <v>46167</v>
      </c>
      <c r="F979" s="1">
        <v>46167</v>
      </c>
      <c r="G979" s="1">
        <v>46167</v>
      </c>
      <c r="H979">
        <f t="shared" si="76"/>
        <v>0</v>
      </c>
      <c r="I979" t="str">
        <f t="shared" si="77"/>
        <v>ParcelOne</v>
      </c>
      <c r="J979" t="str">
        <f>VLOOKUP(A979,Orders!$A$2:$D$1201,4,FALSE)</f>
        <v>Delivered</v>
      </c>
      <c r="K979" t="str">
        <f t="shared" si="78"/>
        <v>On time</v>
      </c>
      <c r="L979" t="str">
        <f t="shared" si="79"/>
        <v>On time</v>
      </c>
      <c r="O979">
        <f t="shared" si="80"/>
        <v>0</v>
      </c>
    </row>
    <row r="980" spans="1:15">
      <c r="A980">
        <v>2026</v>
      </c>
      <c r="B980" t="s">
        <v>347</v>
      </c>
      <c r="C980" s="1">
        <v>46034</v>
      </c>
      <c r="D980" s="1">
        <v>46034</v>
      </c>
      <c r="E980" s="1">
        <v>46039</v>
      </c>
      <c r="F980" s="1">
        <v>46037</v>
      </c>
      <c r="G980" s="1">
        <v>46037</v>
      </c>
      <c r="H980">
        <f t="shared" si="76"/>
        <v>0</v>
      </c>
      <c r="I980" t="str">
        <f t="shared" si="77"/>
        <v>ParcelOne</v>
      </c>
      <c r="J980" t="str">
        <f>VLOOKUP(A980,Orders!$A$2:$D$1201,4,FALSE)</f>
        <v>Delivered</v>
      </c>
      <c r="K980" t="str">
        <f t="shared" si="78"/>
        <v>On time</v>
      </c>
      <c r="L980" t="str">
        <f t="shared" si="79"/>
        <v>On time</v>
      </c>
      <c r="O980">
        <f t="shared" si="80"/>
        <v>0</v>
      </c>
    </row>
    <row r="981" spans="1:15">
      <c r="A981">
        <v>2027</v>
      </c>
      <c r="B981" t="s">
        <v>348</v>
      </c>
      <c r="C981" s="1">
        <v>46083</v>
      </c>
      <c r="D981" s="1">
        <v>46084</v>
      </c>
      <c r="E981" s="1">
        <v>46088</v>
      </c>
      <c r="F981" s="1">
        <v>46088</v>
      </c>
      <c r="G981" s="1">
        <v>46088</v>
      </c>
      <c r="H981">
        <f t="shared" si="76"/>
        <v>0</v>
      </c>
      <c r="I981" t="str">
        <f t="shared" si="77"/>
        <v>MetroLogistics</v>
      </c>
      <c r="J981" t="str">
        <f>VLOOKUP(A981,Orders!$A$2:$D$1201,4,FALSE)</f>
        <v>Delivered</v>
      </c>
      <c r="K981" t="str">
        <f t="shared" si="78"/>
        <v>On time</v>
      </c>
      <c r="L981" t="str">
        <f t="shared" si="79"/>
        <v>Late</v>
      </c>
      <c r="O981">
        <f t="shared" si="80"/>
        <v>0</v>
      </c>
    </row>
    <row r="982" spans="1:15">
      <c r="A982">
        <v>2029</v>
      </c>
      <c r="B982" t="s">
        <v>346</v>
      </c>
      <c r="C982" s="1">
        <v>46030</v>
      </c>
      <c r="D982" s="1">
        <v>46030</v>
      </c>
      <c r="E982" s="1">
        <v>46035</v>
      </c>
      <c r="F982" s="1">
        <v>46035</v>
      </c>
      <c r="G982" s="1">
        <v>46035</v>
      </c>
      <c r="H982">
        <f t="shared" si="76"/>
        <v>0</v>
      </c>
      <c r="I982" t="str">
        <f t="shared" si="77"/>
        <v>SwiftShip</v>
      </c>
      <c r="J982" t="str">
        <f>VLOOKUP(A982,Orders!$A$2:$D$1201,4,FALSE)</f>
        <v>Delivered</v>
      </c>
      <c r="K982" t="str">
        <f t="shared" si="78"/>
        <v>On time</v>
      </c>
      <c r="L982" t="str">
        <f t="shared" si="79"/>
        <v>On time</v>
      </c>
      <c r="O982">
        <f t="shared" si="80"/>
        <v>0</v>
      </c>
    </row>
    <row r="983" spans="1:15">
      <c r="A983">
        <v>2030</v>
      </c>
      <c r="B983" t="s">
        <v>348</v>
      </c>
      <c r="C983" s="1">
        <v>46095</v>
      </c>
      <c r="D983" s="1">
        <v>46095</v>
      </c>
      <c r="E983" s="1">
        <v>46100</v>
      </c>
      <c r="F983" s="1">
        <v>46099</v>
      </c>
      <c r="G983" s="1">
        <v>46101</v>
      </c>
      <c r="H983">
        <f t="shared" si="76"/>
        <v>0</v>
      </c>
      <c r="I983" t="str">
        <f t="shared" si="77"/>
        <v>MetroLogistics</v>
      </c>
      <c r="J983" t="str">
        <f>VLOOKUP(A983,Orders!$A$2:$D$1201,4,FALSE)</f>
        <v>Delivered</v>
      </c>
      <c r="K983" t="str">
        <f t="shared" si="78"/>
        <v>On time</v>
      </c>
      <c r="L983" t="str">
        <f t="shared" si="79"/>
        <v>On time</v>
      </c>
      <c r="O983">
        <f t="shared" si="80"/>
        <v>2</v>
      </c>
    </row>
    <row r="984" spans="1:15">
      <c r="A984">
        <v>2031</v>
      </c>
      <c r="B984" t="s">
        <v>348</v>
      </c>
      <c r="C984" s="1">
        <v>46096</v>
      </c>
      <c r="D984" s="1">
        <v>46096</v>
      </c>
      <c r="E984" s="1">
        <v>46101</v>
      </c>
      <c r="F984" s="1">
        <v>46102</v>
      </c>
      <c r="G984" s="1">
        <v>46102</v>
      </c>
      <c r="H984">
        <f t="shared" si="76"/>
        <v>0</v>
      </c>
      <c r="I984" t="str">
        <f t="shared" si="77"/>
        <v>MetroLogistics</v>
      </c>
      <c r="J984" t="str">
        <f>VLOOKUP(A984,Orders!$A$2:$D$1201,4,FALSE)</f>
        <v>Delivered</v>
      </c>
      <c r="K984" t="str">
        <f t="shared" si="78"/>
        <v>Late</v>
      </c>
      <c r="L984" t="str">
        <f t="shared" si="79"/>
        <v>On time</v>
      </c>
      <c r="O984">
        <f t="shared" si="80"/>
        <v>0</v>
      </c>
    </row>
    <row r="985" spans="1:15">
      <c r="A985">
        <v>2032</v>
      </c>
      <c r="B985" t="s">
        <v>347</v>
      </c>
      <c r="C985" s="1">
        <v>46031</v>
      </c>
      <c r="D985" s="1">
        <v>46031</v>
      </c>
      <c r="E985" s="1">
        <v>46036</v>
      </c>
      <c r="F985" s="1">
        <v>46037</v>
      </c>
      <c r="G985" s="1">
        <v>46039</v>
      </c>
      <c r="H985">
        <f t="shared" si="76"/>
        <v>0</v>
      </c>
      <c r="I985" t="str">
        <f t="shared" si="77"/>
        <v>ParcelOne</v>
      </c>
      <c r="J985" t="str">
        <f>VLOOKUP(A985,Orders!$A$2:$D$1201,4,FALSE)</f>
        <v>Delivered</v>
      </c>
      <c r="K985" t="str">
        <f t="shared" si="78"/>
        <v>Late</v>
      </c>
      <c r="L985" t="str">
        <f t="shared" si="79"/>
        <v>On time</v>
      </c>
      <c r="O985">
        <f t="shared" si="80"/>
        <v>2</v>
      </c>
    </row>
    <row r="986" spans="1:15">
      <c r="A986">
        <v>2033</v>
      </c>
      <c r="B986" t="s">
        <v>348</v>
      </c>
      <c r="C986" s="1">
        <v>46168</v>
      </c>
      <c r="D986" s="1">
        <v>46168</v>
      </c>
      <c r="E986" s="1">
        <v>46173</v>
      </c>
      <c r="F986" s="1">
        <v>46173</v>
      </c>
      <c r="G986" s="1">
        <v>46173</v>
      </c>
      <c r="H986">
        <f t="shared" si="76"/>
        <v>0</v>
      </c>
      <c r="I986" t="str">
        <f t="shared" si="77"/>
        <v>MetroLogistics</v>
      </c>
      <c r="J986" t="str">
        <f>VLOOKUP(A986,Orders!$A$2:$D$1201,4,FALSE)</f>
        <v>Delivered</v>
      </c>
      <c r="K986" t="str">
        <f t="shared" si="78"/>
        <v>On time</v>
      </c>
      <c r="L986" t="str">
        <f t="shared" si="79"/>
        <v>On time</v>
      </c>
      <c r="O986">
        <f t="shared" si="80"/>
        <v>0</v>
      </c>
    </row>
    <row r="987" spans="1:15">
      <c r="A987">
        <v>2034</v>
      </c>
      <c r="B987" t="s">
        <v>346</v>
      </c>
      <c r="C987" s="1">
        <v>46111</v>
      </c>
      <c r="D987" s="1">
        <v>46111</v>
      </c>
      <c r="E987" s="1">
        <v>46116</v>
      </c>
      <c r="F987" s="1">
        <v>46115</v>
      </c>
      <c r="G987" s="1">
        <v>46115</v>
      </c>
      <c r="H987">
        <f t="shared" si="76"/>
        <v>0</v>
      </c>
      <c r="I987" t="str">
        <f t="shared" si="77"/>
        <v>SwiftShip</v>
      </c>
      <c r="J987" t="str">
        <f>VLOOKUP(A987,Orders!$A$2:$D$1201,4,FALSE)</f>
        <v>Delivered</v>
      </c>
      <c r="K987" t="str">
        <f t="shared" si="78"/>
        <v>On time</v>
      </c>
      <c r="L987" t="str">
        <f t="shared" si="79"/>
        <v>On time</v>
      </c>
      <c r="O987">
        <f t="shared" si="80"/>
        <v>0</v>
      </c>
    </row>
    <row r="988" spans="1:15">
      <c r="A988">
        <v>2035</v>
      </c>
      <c r="B988" t="s">
        <v>347</v>
      </c>
      <c r="C988" s="1">
        <v>46164</v>
      </c>
      <c r="D988" s="1">
        <v>46164</v>
      </c>
      <c r="E988" s="1">
        <v>46169</v>
      </c>
      <c r="F988" s="1">
        <v>46167</v>
      </c>
      <c r="G988" s="1">
        <v>46167</v>
      </c>
      <c r="H988">
        <f t="shared" si="76"/>
        <v>0</v>
      </c>
      <c r="I988" t="str">
        <f t="shared" si="77"/>
        <v>ParcelOne</v>
      </c>
      <c r="J988" t="str">
        <f>VLOOKUP(A988,Orders!$A$2:$D$1201,4,FALSE)</f>
        <v>Delivered</v>
      </c>
      <c r="K988" t="str">
        <f t="shared" si="78"/>
        <v>On time</v>
      </c>
      <c r="L988" t="str">
        <f t="shared" si="79"/>
        <v>On time</v>
      </c>
      <c r="O988">
        <f t="shared" si="80"/>
        <v>0</v>
      </c>
    </row>
    <row r="989" spans="1:15">
      <c r="A989">
        <v>2036</v>
      </c>
      <c r="B989" t="s">
        <v>346</v>
      </c>
      <c r="C989" s="1">
        <v>46066</v>
      </c>
      <c r="D989" s="1">
        <v>46067</v>
      </c>
      <c r="E989" s="1">
        <v>46071</v>
      </c>
      <c r="F989" s="1">
        <v>46070</v>
      </c>
      <c r="G989" s="1">
        <v>46071</v>
      </c>
      <c r="H989">
        <f t="shared" si="76"/>
        <v>0</v>
      </c>
      <c r="I989" t="str">
        <f t="shared" si="77"/>
        <v>SwiftShip</v>
      </c>
      <c r="J989" t="str">
        <f>VLOOKUP(A989,Orders!$A$2:$D$1201,4,FALSE)</f>
        <v>Delivered</v>
      </c>
      <c r="K989" t="str">
        <f t="shared" si="78"/>
        <v>On time</v>
      </c>
      <c r="L989" t="str">
        <f t="shared" si="79"/>
        <v>Late</v>
      </c>
      <c r="O989">
        <f t="shared" si="80"/>
        <v>1</v>
      </c>
    </row>
    <row r="990" spans="1:15">
      <c r="A990">
        <v>2037</v>
      </c>
      <c r="B990" t="s">
        <v>348</v>
      </c>
      <c r="C990" s="1">
        <v>46068</v>
      </c>
      <c r="D990" s="1">
        <v>46068</v>
      </c>
      <c r="E990" s="1">
        <v>46073</v>
      </c>
      <c r="F990" s="1">
        <v>46072</v>
      </c>
      <c r="G990" s="1">
        <v>46074</v>
      </c>
      <c r="H990">
        <f t="shared" si="76"/>
        <v>0</v>
      </c>
      <c r="I990" t="str">
        <f t="shared" si="77"/>
        <v>MetroLogistics</v>
      </c>
      <c r="J990" t="str">
        <f>VLOOKUP(A990,Orders!$A$2:$D$1201,4,FALSE)</f>
        <v>Delivered</v>
      </c>
      <c r="K990" t="str">
        <f t="shared" si="78"/>
        <v>On time</v>
      </c>
      <c r="L990" t="str">
        <f t="shared" si="79"/>
        <v>On time</v>
      </c>
      <c r="O990">
        <f t="shared" si="80"/>
        <v>2</v>
      </c>
    </row>
    <row r="991" spans="1:15">
      <c r="A991">
        <v>2038</v>
      </c>
      <c r="B991" t="s">
        <v>348</v>
      </c>
      <c r="C991" s="1">
        <v>46198</v>
      </c>
      <c r="D991" s="1">
        <v>46199</v>
      </c>
      <c r="E991" s="1">
        <v>46203</v>
      </c>
      <c r="F991" s="1">
        <v>46207</v>
      </c>
      <c r="G991" s="1">
        <v>46207</v>
      </c>
      <c r="H991">
        <f t="shared" si="76"/>
        <v>0</v>
      </c>
      <c r="I991" t="str">
        <f t="shared" si="77"/>
        <v>MetroLogistics</v>
      </c>
      <c r="J991" t="str">
        <f>VLOOKUP(A991,Orders!$A$2:$D$1201,4,FALSE)</f>
        <v>Delivered</v>
      </c>
      <c r="K991" t="str">
        <f t="shared" si="78"/>
        <v>Late</v>
      </c>
      <c r="L991" t="str">
        <f t="shared" si="79"/>
        <v>Late</v>
      </c>
      <c r="O991">
        <f t="shared" si="80"/>
        <v>0</v>
      </c>
    </row>
    <row r="992" spans="1:15">
      <c r="A992">
        <v>2039</v>
      </c>
      <c r="B992" t="s">
        <v>347</v>
      </c>
      <c r="C992" s="1">
        <v>46089</v>
      </c>
      <c r="D992" s="1">
        <v>46089</v>
      </c>
      <c r="E992" s="1">
        <v>46094</v>
      </c>
      <c r="F992" s="1">
        <v>46094</v>
      </c>
      <c r="G992" s="1">
        <v>46094</v>
      </c>
      <c r="H992">
        <f t="shared" si="76"/>
        <v>0</v>
      </c>
      <c r="I992" t="str">
        <f t="shared" si="77"/>
        <v>ParcelOne</v>
      </c>
      <c r="J992" t="str">
        <f>VLOOKUP(A992,Orders!$A$2:$D$1201,4,FALSE)</f>
        <v>Delivered</v>
      </c>
      <c r="K992" t="str">
        <f t="shared" si="78"/>
        <v>On time</v>
      </c>
      <c r="L992" t="str">
        <f t="shared" si="79"/>
        <v>On time</v>
      </c>
      <c r="O992">
        <f t="shared" si="80"/>
        <v>0</v>
      </c>
    </row>
    <row r="993" spans="1:15">
      <c r="A993">
        <v>2040</v>
      </c>
      <c r="B993" t="s">
        <v>346</v>
      </c>
      <c r="C993" s="1">
        <v>46026</v>
      </c>
      <c r="D993" s="1">
        <v>46026</v>
      </c>
      <c r="E993" s="1">
        <v>46031</v>
      </c>
      <c r="F993" s="1">
        <v>46031</v>
      </c>
      <c r="G993" s="1">
        <v>46031</v>
      </c>
      <c r="H993">
        <f t="shared" si="76"/>
        <v>0</v>
      </c>
      <c r="I993" t="str">
        <f t="shared" si="77"/>
        <v>SwiftShip</v>
      </c>
      <c r="J993" t="str">
        <f>VLOOKUP(A993,Orders!$A$2:$D$1201,4,FALSE)</f>
        <v>Delivered</v>
      </c>
      <c r="K993" t="str">
        <f t="shared" si="78"/>
        <v>On time</v>
      </c>
      <c r="L993" t="str">
        <f t="shared" si="79"/>
        <v>On time</v>
      </c>
      <c r="O993">
        <f t="shared" si="80"/>
        <v>0</v>
      </c>
    </row>
    <row r="994" spans="1:15">
      <c r="A994">
        <v>2041</v>
      </c>
      <c r="B994" t="s">
        <v>348</v>
      </c>
      <c r="C994" s="1">
        <v>46177</v>
      </c>
      <c r="D994" s="1">
        <v>46177</v>
      </c>
      <c r="E994" s="1">
        <v>46182</v>
      </c>
      <c r="F994" s="1">
        <v>46184</v>
      </c>
      <c r="G994" s="1">
        <v>46184</v>
      </c>
      <c r="H994">
        <f t="shared" si="76"/>
        <v>0</v>
      </c>
      <c r="I994" t="str">
        <f t="shared" si="77"/>
        <v>MetroLogistics</v>
      </c>
      <c r="J994" t="str">
        <f>VLOOKUP(A994,Orders!$A$2:$D$1201,4,FALSE)</f>
        <v>Delivered</v>
      </c>
      <c r="K994" t="str">
        <f t="shared" si="78"/>
        <v>Late</v>
      </c>
      <c r="L994" t="str">
        <f t="shared" si="79"/>
        <v>On time</v>
      </c>
      <c r="O994">
        <f t="shared" si="80"/>
        <v>0</v>
      </c>
    </row>
    <row r="995" spans="1:15">
      <c r="A995">
        <v>2042</v>
      </c>
      <c r="B995" t="s">
        <v>347</v>
      </c>
      <c r="C995" s="1">
        <v>46103</v>
      </c>
      <c r="D995" s="1">
        <v>46103</v>
      </c>
      <c r="E995" s="1">
        <v>46108</v>
      </c>
      <c r="F995" s="1">
        <v>46107</v>
      </c>
      <c r="G995" s="1">
        <v>46107</v>
      </c>
      <c r="H995">
        <f t="shared" si="76"/>
        <v>0</v>
      </c>
      <c r="I995" t="str">
        <f t="shared" si="77"/>
        <v>ParcelOne</v>
      </c>
      <c r="J995" t="str">
        <f>VLOOKUP(A995,Orders!$A$2:$D$1201,4,FALSE)</f>
        <v>Delivered</v>
      </c>
      <c r="K995" t="str">
        <f t="shared" si="78"/>
        <v>On time</v>
      </c>
      <c r="L995" t="str">
        <f t="shared" si="79"/>
        <v>On time</v>
      </c>
      <c r="O995">
        <f t="shared" si="80"/>
        <v>0</v>
      </c>
    </row>
    <row r="996" spans="1:15">
      <c r="A996">
        <v>2043</v>
      </c>
      <c r="B996" t="s">
        <v>347</v>
      </c>
      <c r="C996" s="1">
        <v>46092</v>
      </c>
      <c r="D996" s="1">
        <v>46092</v>
      </c>
      <c r="E996" s="1">
        <v>46097</v>
      </c>
      <c r="F996" s="1">
        <v>46095</v>
      </c>
      <c r="G996" s="1">
        <v>46095</v>
      </c>
      <c r="H996">
        <f t="shared" si="76"/>
        <v>0</v>
      </c>
      <c r="I996" t="str">
        <f t="shared" si="77"/>
        <v>ParcelOne</v>
      </c>
      <c r="J996" t="str">
        <f>VLOOKUP(A996,Orders!$A$2:$D$1201,4,FALSE)</f>
        <v>Delivered</v>
      </c>
      <c r="K996" t="str">
        <f t="shared" si="78"/>
        <v>On time</v>
      </c>
      <c r="L996" t="str">
        <f t="shared" si="79"/>
        <v>On time</v>
      </c>
      <c r="O996">
        <f t="shared" si="80"/>
        <v>0</v>
      </c>
    </row>
    <row r="997" spans="1:15">
      <c r="A997">
        <v>2044</v>
      </c>
      <c r="B997" t="s">
        <v>346</v>
      </c>
      <c r="C997" s="1">
        <v>46048</v>
      </c>
      <c r="D997" s="1">
        <v>46049</v>
      </c>
      <c r="E997" s="1">
        <v>46053</v>
      </c>
      <c r="H997">
        <f t="shared" si="76"/>
        <v>0</v>
      </c>
      <c r="I997" t="str">
        <f t="shared" si="77"/>
        <v>SwiftShip</v>
      </c>
      <c r="J997" t="str">
        <f>VLOOKUP(A997,Orders!$A$2:$D$1201,4,FALSE)</f>
        <v>Shipped</v>
      </c>
      <c r="K997" t="str">
        <f t="shared" si="78"/>
        <v>Not delivered</v>
      </c>
      <c r="L997" t="str">
        <f t="shared" si="79"/>
        <v>Late</v>
      </c>
      <c r="O997" t="str">
        <f t="shared" si="80"/>
        <v/>
      </c>
    </row>
    <row r="998" spans="1:15">
      <c r="A998">
        <v>2046</v>
      </c>
      <c r="B998" t="s">
        <v>346</v>
      </c>
      <c r="C998" s="1">
        <v>46133</v>
      </c>
      <c r="D998" s="1">
        <v>46133</v>
      </c>
      <c r="E998" s="1">
        <v>46138</v>
      </c>
      <c r="F998" s="1">
        <v>46138</v>
      </c>
      <c r="G998" s="1">
        <v>46138</v>
      </c>
      <c r="H998">
        <f t="shared" si="76"/>
        <v>0</v>
      </c>
      <c r="I998" t="str">
        <f t="shared" si="77"/>
        <v>SwiftShip</v>
      </c>
      <c r="J998" t="str">
        <f>VLOOKUP(A998,Orders!$A$2:$D$1201,4,FALSE)</f>
        <v>Delivered</v>
      </c>
      <c r="K998" t="str">
        <f t="shared" si="78"/>
        <v>On time</v>
      </c>
      <c r="L998" t="str">
        <f t="shared" si="79"/>
        <v>On time</v>
      </c>
      <c r="O998">
        <f t="shared" si="80"/>
        <v>0</v>
      </c>
    </row>
    <row r="999" spans="1:15">
      <c r="A999">
        <v>2047</v>
      </c>
      <c r="B999" t="s">
        <v>348</v>
      </c>
      <c r="C999" s="1">
        <v>46158</v>
      </c>
      <c r="D999" s="1">
        <v>46158</v>
      </c>
      <c r="E999" s="1">
        <v>46163</v>
      </c>
      <c r="F999" s="1">
        <v>46164</v>
      </c>
      <c r="G999" s="1">
        <v>46164</v>
      </c>
      <c r="H999">
        <f t="shared" si="76"/>
        <v>0</v>
      </c>
      <c r="I999" t="str">
        <f t="shared" si="77"/>
        <v>MetroLogistics</v>
      </c>
      <c r="J999" t="str">
        <f>VLOOKUP(A999,Orders!$A$2:$D$1201,4,FALSE)</f>
        <v>Delivered</v>
      </c>
      <c r="K999" t="str">
        <f t="shared" si="78"/>
        <v>Late</v>
      </c>
      <c r="L999" t="str">
        <f t="shared" si="79"/>
        <v>On time</v>
      </c>
      <c r="O999">
        <f t="shared" si="80"/>
        <v>0</v>
      </c>
    </row>
    <row r="1000" spans="1:15">
      <c r="A1000">
        <v>2048</v>
      </c>
      <c r="B1000" t="s">
        <v>348</v>
      </c>
      <c r="C1000" s="1">
        <v>46136</v>
      </c>
      <c r="D1000" s="1">
        <v>46136</v>
      </c>
      <c r="E1000" s="1">
        <v>46141</v>
      </c>
      <c r="F1000" s="1">
        <v>46141</v>
      </c>
      <c r="G1000" s="1">
        <v>46141</v>
      </c>
      <c r="H1000">
        <f t="shared" si="76"/>
        <v>0</v>
      </c>
      <c r="I1000" t="str">
        <f t="shared" si="77"/>
        <v>MetroLogistics</v>
      </c>
      <c r="J1000" t="str">
        <f>VLOOKUP(A1000,Orders!$A$2:$D$1201,4,FALSE)</f>
        <v>Delivered</v>
      </c>
      <c r="K1000" t="str">
        <f t="shared" si="78"/>
        <v>On time</v>
      </c>
      <c r="L1000" t="str">
        <f t="shared" si="79"/>
        <v>On time</v>
      </c>
      <c r="O1000">
        <f t="shared" si="80"/>
        <v>0</v>
      </c>
    </row>
    <row r="1001" spans="1:15">
      <c r="A1001">
        <v>2050</v>
      </c>
      <c r="B1001" t="s">
        <v>348</v>
      </c>
      <c r="C1001" s="1">
        <v>46138</v>
      </c>
      <c r="D1001" s="1">
        <v>46138</v>
      </c>
      <c r="E1001" s="1">
        <v>46143</v>
      </c>
      <c r="F1001" s="1">
        <v>46145</v>
      </c>
      <c r="G1001" s="1">
        <v>46147</v>
      </c>
      <c r="H1001">
        <f t="shared" si="76"/>
        <v>0</v>
      </c>
      <c r="I1001" t="str">
        <f t="shared" si="77"/>
        <v>MetroLogistics</v>
      </c>
      <c r="J1001" t="str">
        <f>VLOOKUP(A1001,Orders!$A$2:$D$1201,4,FALSE)</f>
        <v>Delivered</v>
      </c>
      <c r="K1001" t="str">
        <f t="shared" si="78"/>
        <v>Late</v>
      </c>
      <c r="L1001" t="str">
        <f t="shared" si="79"/>
        <v>On time</v>
      </c>
      <c r="O1001">
        <f t="shared" si="80"/>
        <v>2</v>
      </c>
    </row>
    <row r="1002" spans="1:15">
      <c r="A1002">
        <v>2051</v>
      </c>
      <c r="B1002" t="s">
        <v>347</v>
      </c>
      <c r="C1002" s="1">
        <v>46028</v>
      </c>
      <c r="D1002" s="1">
        <v>46028</v>
      </c>
      <c r="E1002" s="1">
        <v>46033</v>
      </c>
      <c r="F1002" s="1">
        <v>46031</v>
      </c>
      <c r="G1002" s="1">
        <v>46031</v>
      </c>
      <c r="H1002">
        <f t="shared" si="76"/>
        <v>0</v>
      </c>
      <c r="I1002" t="str">
        <f t="shared" si="77"/>
        <v>ParcelOne</v>
      </c>
      <c r="J1002" t="str">
        <f>VLOOKUP(A1002,Orders!$A$2:$D$1201,4,FALSE)</f>
        <v>Delivered</v>
      </c>
      <c r="K1002" t="str">
        <f t="shared" si="78"/>
        <v>On time</v>
      </c>
      <c r="L1002" t="str">
        <f t="shared" si="79"/>
        <v>On time</v>
      </c>
      <c r="O1002">
        <f t="shared" si="80"/>
        <v>0</v>
      </c>
    </row>
    <row r="1003" spans="1:15">
      <c r="A1003">
        <v>2052</v>
      </c>
      <c r="B1003" t="s">
        <v>346</v>
      </c>
      <c r="C1003" s="1">
        <v>46145</v>
      </c>
      <c r="E1003" s="1">
        <v>46150</v>
      </c>
      <c r="H1003">
        <f t="shared" si="76"/>
        <v>0</v>
      </c>
      <c r="I1003" t="str">
        <f t="shared" si="77"/>
        <v>SwiftShip</v>
      </c>
      <c r="J1003" t="str">
        <f>VLOOKUP(A1003,Orders!$A$2:$D$1201,4,FALSE)</f>
        <v>Pending</v>
      </c>
      <c r="K1003" t="str">
        <f t="shared" si="78"/>
        <v>Not delivered</v>
      </c>
      <c r="L1003" t="str">
        <f t="shared" si="79"/>
        <v>Not dispatched</v>
      </c>
      <c r="O1003" t="str">
        <f t="shared" si="80"/>
        <v/>
      </c>
    </row>
    <row r="1004" spans="1:15">
      <c r="A1004">
        <v>2053</v>
      </c>
      <c r="B1004" t="s">
        <v>347</v>
      </c>
      <c r="C1004" s="1">
        <v>46032</v>
      </c>
      <c r="D1004" s="1">
        <v>46032</v>
      </c>
      <c r="E1004" s="1">
        <v>46037</v>
      </c>
      <c r="F1004" s="1">
        <v>46037</v>
      </c>
      <c r="G1004" s="1">
        <v>46037</v>
      </c>
      <c r="H1004">
        <f t="shared" si="76"/>
        <v>0</v>
      </c>
      <c r="I1004" t="str">
        <f t="shared" si="77"/>
        <v>ParcelOne</v>
      </c>
      <c r="J1004" t="str">
        <f>VLOOKUP(A1004,Orders!$A$2:$D$1201,4,FALSE)</f>
        <v>Delivered</v>
      </c>
      <c r="K1004" t="str">
        <f t="shared" si="78"/>
        <v>On time</v>
      </c>
      <c r="L1004" t="str">
        <f t="shared" si="79"/>
        <v>On time</v>
      </c>
      <c r="O1004">
        <f t="shared" si="80"/>
        <v>0</v>
      </c>
    </row>
    <row r="1005" spans="1:15">
      <c r="A1005">
        <v>2054</v>
      </c>
      <c r="B1005" t="s">
        <v>348</v>
      </c>
      <c r="C1005" s="1">
        <v>46164</v>
      </c>
      <c r="D1005" s="1">
        <v>46164</v>
      </c>
      <c r="E1005" s="1">
        <v>46169</v>
      </c>
      <c r="F1005" s="1">
        <v>46173</v>
      </c>
      <c r="G1005" s="1">
        <v>46173</v>
      </c>
      <c r="H1005">
        <f t="shared" si="76"/>
        <v>0</v>
      </c>
      <c r="I1005" t="str">
        <f t="shared" si="77"/>
        <v>MetroLogistics</v>
      </c>
      <c r="J1005" t="str">
        <f>VLOOKUP(A1005,Orders!$A$2:$D$1201,4,FALSE)</f>
        <v>Delivered</v>
      </c>
      <c r="K1005" t="str">
        <f t="shared" si="78"/>
        <v>Late</v>
      </c>
      <c r="L1005" t="str">
        <f t="shared" si="79"/>
        <v>On time</v>
      </c>
      <c r="O1005">
        <f t="shared" si="80"/>
        <v>0</v>
      </c>
    </row>
    <row r="1006" spans="1:15">
      <c r="A1006">
        <v>2055</v>
      </c>
      <c r="B1006" t="s">
        <v>347</v>
      </c>
      <c r="C1006" s="1">
        <v>46196</v>
      </c>
      <c r="D1006" s="1">
        <v>46196</v>
      </c>
      <c r="E1006" s="1">
        <v>46201</v>
      </c>
      <c r="F1006" s="1">
        <v>46200</v>
      </c>
      <c r="G1006" s="1">
        <v>46200</v>
      </c>
      <c r="H1006">
        <f t="shared" si="76"/>
        <v>0</v>
      </c>
      <c r="I1006" t="str">
        <f t="shared" si="77"/>
        <v>ParcelOne</v>
      </c>
      <c r="J1006" t="str">
        <f>VLOOKUP(A1006,Orders!$A$2:$D$1201,4,FALSE)</f>
        <v>Delivered</v>
      </c>
      <c r="K1006" t="str">
        <f t="shared" si="78"/>
        <v>On time</v>
      </c>
      <c r="L1006" t="str">
        <f t="shared" si="79"/>
        <v>On time</v>
      </c>
      <c r="O1006">
        <f t="shared" si="80"/>
        <v>0</v>
      </c>
    </row>
    <row r="1007" spans="1:15">
      <c r="A1007">
        <v>2056</v>
      </c>
      <c r="B1007" t="s">
        <v>348</v>
      </c>
      <c r="C1007" s="1">
        <v>46187</v>
      </c>
      <c r="D1007" s="1">
        <v>46187</v>
      </c>
      <c r="E1007" s="1">
        <v>46192</v>
      </c>
      <c r="F1007" s="1">
        <v>46192</v>
      </c>
      <c r="G1007" s="1">
        <v>46192</v>
      </c>
      <c r="H1007">
        <f t="shared" si="76"/>
        <v>0</v>
      </c>
      <c r="I1007" t="str">
        <f t="shared" si="77"/>
        <v>MetroLogistics</v>
      </c>
      <c r="J1007" t="str">
        <f>VLOOKUP(A1007,Orders!$A$2:$D$1201,4,FALSE)</f>
        <v>Delivered</v>
      </c>
      <c r="K1007" t="str">
        <f t="shared" si="78"/>
        <v>On time</v>
      </c>
      <c r="L1007" t="str">
        <f t="shared" si="79"/>
        <v>On time</v>
      </c>
      <c r="O1007">
        <f t="shared" si="80"/>
        <v>0</v>
      </c>
    </row>
    <row r="1008" spans="1:15">
      <c r="A1008">
        <v>2057</v>
      </c>
      <c r="B1008" t="s">
        <v>347</v>
      </c>
      <c r="C1008" s="1">
        <v>46143</v>
      </c>
      <c r="D1008" s="1">
        <v>46143</v>
      </c>
      <c r="E1008" s="1">
        <v>46148</v>
      </c>
      <c r="F1008" s="1">
        <v>46148</v>
      </c>
      <c r="G1008" s="1">
        <v>46150</v>
      </c>
      <c r="H1008">
        <f t="shared" si="76"/>
        <v>0</v>
      </c>
      <c r="I1008" t="str">
        <f t="shared" si="77"/>
        <v>ParcelOne</v>
      </c>
      <c r="J1008" t="str">
        <f>VLOOKUP(A1008,Orders!$A$2:$D$1201,4,FALSE)</f>
        <v>Delivered</v>
      </c>
      <c r="K1008" t="str">
        <f t="shared" si="78"/>
        <v>On time</v>
      </c>
      <c r="L1008" t="str">
        <f t="shared" si="79"/>
        <v>On time</v>
      </c>
      <c r="O1008">
        <f t="shared" si="80"/>
        <v>2</v>
      </c>
    </row>
    <row r="1009" spans="1:15">
      <c r="A1009">
        <v>2058</v>
      </c>
      <c r="B1009" t="s">
        <v>346</v>
      </c>
      <c r="C1009" s="1">
        <v>46027</v>
      </c>
      <c r="D1009" s="1">
        <v>46027</v>
      </c>
      <c r="E1009" s="1">
        <v>46032</v>
      </c>
      <c r="F1009" s="1">
        <v>46033</v>
      </c>
      <c r="G1009" s="1">
        <v>46033</v>
      </c>
      <c r="H1009">
        <f t="shared" si="76"/>
        <v>0</v>
      </c>
      <c r="I1009" t="str">
        <f t="shared" si="77"/>
        <v>SwiftShip</v>
      </c>
      <c r="J1009" t="str">
        <f>VLOOKUP(A1009,Orders!$A$2:$D$1201,4,FALSE)</f>
        <v>Delivered</v>
      </c>
      <c r="K1009" t="str">
        <f t="shared" si="78"/>
        <v>Late</v>
      </c>
      <c r="L1009" t="str">
        <f t="shared" si="79"/>
        <v>On time</v>
      </c>
      <c r="O1009">
        <f t="shared" si="80"/>
        <v>0</v>
      </c>
    </row>
    <row r="1010" spans="1:15">
      <c r="A1010">
        <v>2059</v>
      </c>
      <c r="B1010" t="s">
        <v>347</v>
      </c>
      <c r="C1010" s="1">
        <v>46205</v>
      </c>
      <c r="D1010" s="1">
        <v>46205</v>
      </c>
      <c r="E1010" s="1">
        <v>46210</v>
      </c>
      <c r="F1010" s="1">
        <v>46212</v>
      </c>
      <c r="G1010" s="1">
        <v>46212</v>
      </c>
      <c r="H1010">
        <f t="shared" si="76"/>
        <v>0</v>
      </c>
      <c r="I1010" t="str">
        <f t="shared" si="77"/>
        <v>ParcelOne</v>
      </c>
      <c r="J1010" t="str">
        <f>VLOOKUP(A1010,Orders!$A$2:$D$1201,4,FALSE)</f>
        <v>Delivered</v>
      </c>
      <c r="K1010" t="str">
        <f t="shared" si="78"/>
        <v>Late</v>
      </c>
      <c r="L1010" t="str">
        <f t="shared" si="79"/>
        <v>On time</v>
      </c>
      <c r="O1010">
        <f t="shared" si="80"/>
        <v>0</v>
      </c>
    </row>
    <row r="1011" spans="1:15">
      <c r="A1011">
        <v>2060</v>
      </c>
      <c r="B1011" t="s">
        <v>346</v>
      </c>
      <c r="C1011" s="1">
        <v>46070</v>
      </c>
      <c r="E1011" s="1">
        <v>46075</v>
      </c>
      <c r="H1011">
        <f t="shared" si="76"/>
        <v>0</v>
      </c>
      <c r="I1011" t="str">
        <f t="shared" si="77"/>
        <v>SwiftShip</v>
      </c>
      <c r="J1011" t="str">
        <f>VLOOKUP(A1011,Orders!$A$2:$D$1201,4,FALSE)</f>
        <v>Pending</v>
      </c>
      <c r="K1011" t="str">
        <f t="shared" si="78"/>
        <v>Not delivered</v>
      </c>
      <c r="L1011" t="str">
        <f t="shared" si="79"/>
        <v>Not dispatched</v>
      </c>
      <c r="O1011" t="str">
        <f t="shared" si="80"/>
        <v/>
      </c>
    </row>
    <row r="1012" spans="1:15">
      <c r="A1012">
        <v>2061</v>
      </c>
      <c r="B1012" t="s">
        <v>346</v>
      </c>
      <c r="C1012" s="1">
        <v>46189</v>
      </c>
      <c r="D1012" s="1">
        <v>46189</v>
      </c>
      <c r="E1012" s="1">
        <v>46194</v>
      </c>
      <c r="F1012" s="1">
        <v>46194</v>
      </c>
      <c r="G1012" s="1">
        <v>46196</v>
      </c>
      <c r="H1012">
        <f t="shared" si="76"/>
        <v>0</v>
      </c>
      <c r="I1012" t="str">
        <f t="shared" si="77"/>
        <v>SwiftShip</v>
      </c>
      <c r="J1012" t="str">
        <f>VLOOKUP(A1012,Orders!$A$2:$D$1201,4,FALSE)</f>
        <v>Delivered</v>
      </c>
      <c r="K1012" t="str">
        <f t="shared" si="78"/>
        <v>On time</v>
      </c>
      <c r="L1012" t="str">
        <f t="shared" si="79"/>
        <v>On time</v>
      </c>
      <c r="O1012">
        <f t="shared" si="80"/>
        <v>2</v>
      </c>
    </row>
    <row r="1013" spans="1:15">
      <c r="A1013">
        <v>2062</v>
      </c>
      <c r="B1013" t="s">
        <v>346</v>
      </c>
      <c r="C1013" s="1">
        <v>46113</v>
      </c>
      <c r="D1013" s="1">
        <v>46113</v>
      </c>
      <c r="E1013" s="1">
        <v>46118</v>
      </c>
      <c r="F1013" s="1">
        <v>46119</v>
      </c>
      <c r="G1013" s="1">
        <v>46119</v>
      </c>
      <c r="H1013">
        <f t="shared" si="76"/>
        <v>0</v>
      </c>
      <c r="I1013" t="str">
        <f t="shared" si="77"/>
        <v>SwiftShip</v>
      </c>
      <c r="J1013" t="str">
        <f>VLOOKUP(A1013,Orders!$A$2:$D$1201,4,FALSE)</f>
        <v>Delivered</v>
      </c>
      <c r="K1013" t="str">
        <f t="shared" si="78"/>
        <v>Late</v>
      </c>
      <c r="L1013" t="str">
        <f t="shared" si="79"/>
        <v>On time</v>
      </c>
      <c r="O1013">
        <f t="shared" si="80"/>
        <v>0</v>
      </c>
    </row>
    <row r="1014" spans="1:15">
      <c r="A1014">
        <v>2063</v>
      </c>
      <c r="B1014" t="s">
        <v>348</v>
      </c>
      <c r="C1014" s="1">
        <v>46091</v>
      </c>
      <c r="D1014" s="1">
        <v>46091</v>
      </c>
      <c r="E1014" s="1">
        <v>46096</v>
      </c>
      <c r="F1014" s="1">
        <v>46096</v>
      </c>
      <c r="G1014" s="1">
        <v>46096</v>
      </c>
      <c r="H1014">
        <f t="shared" si="76"/>
        <v>0</v>
      </c>
      <c r="I1014" t="str">
        <f t="shared" si="77"/>
        <v>MetroLogistics</v>
      </c>
      <c r="J1014" t="str">
        <f>VLOOKUP(A1014,Orders!$A$2:$D$1201,4,FALSE)</f>
        <v>Delivered</v>
      </c>
      <c r="K1014" t="str">
        <f t="shared" si="78"/>
        <v>On time</v>
      </c>
      <c r="L1014" t="str">
        <f t="shared" si="79"/>
        <v>On time</v>
      </c>
      <c r="O1014">
        <f t="shared" si="80"/>
        <v>0</v>
      </c>
    </row>
    <row r="1015" spans="1:15">
      <c r="A1015">
        <v>2064</v>
      </c>
      <c r="B1015" t="s">
        <v>346</v>
      </c>
      <c r="C1015" s="1">
        <v>46033</v>
      </c>
      <c r="D1015" s="1">
        <v>46033</v>
      </c>
      <c r="E1015" s="1">
        <v>46038</v>
      </c>
      <c r="F1015" s="1">
        <v>46040</v>
      </c>
      <c r="G1015" s="1">
        <v>46040</v>
      </c>
      <c r="H1015">
        <f t="shared" si="76"/>
        <v>0</v>
      </c>
      <c r="I1015" t="str">
        <f t="shared" si="77"/>
        <v>SwiftShip</v>
      </c>
      <c r="J1015" t="str">
        <f>VLOOKUP(A1015,Orders!$A$2:$D$1201,4,FALSE)</f>
        <v>Delivered</v>
      </c>
      <c r="K1015" t="str">
        <f t="shared" si="78"/>
        <v>Late</v>
      </c>
      <c r="L1015" t="str">
        <f t="shared" si="79"/>
        <v>On time</v>
      </c>
      <c r="O1015">
        <f t="shared" si="80"/>
        <v>0</v>
      </c>
    </row>
    <row r="1016" spans="1:15">
      <c r="A1016">
        <v>2065</v>
      </c>
      <c r="B1016" t="s">
        <v>346</v>
      </c>
      <c r="C1016" s="1">
        <v>46103</v>
      </c>
      <c r="D1016" s="1">
        <v>46104</v>
      </c>
      <c r="E1016" s="1">
        <v>46108</v>
      </c>
      <c r="F1016" s="1">
        <v>46108</v>
      </c>
      <c r="G1016" s="1">
        <v>46108</v>
      </c>
      <c r="H1016">
        <f t="shared" si="76"/>
        <v>0</v>
      </c>
      <c r="I1016" t="str">
        <f t="shared" si="77"/>
        <v>SwiftShip</v>
      </c>
      <c r="J1016" t="str">
        <f>VLOOKUP(A1016,Orders!$A$2:$D$1201,4,FALSE)</f>
        <v>Delivered</v>
      </c>
      <c r="K1016" t="str">
        <f t="shared" si="78"/>
        <v>On time</v>
      </c>
      <c r="L1016" t="str">
        <f t="shared" si="79"/>
        <v>Late</v>
      </c>
      <c r="O1016">
        <f t="shared" si="80"/>
        <v>0</v>
      </c>
    </row>
    <row r="1017" spans="1:15">
      <c r="A1017">
        <v>2066</v>
      </c>
      <c r="B1017" t="s">
        <v>347</v>
      </c>
      <c r="C1017" s="1">
        <v>46127</v>
      </c>
      <c r="D1017" s="1">
        <v>46127</v>
      </c>
      <c r="E1017" s="1">
        <v>46132</v>
      </c>
      <c r="F1017" s="1">
        <v>46132</v>
      </c>
      <c r="G1017" s="1">
        <v>46134</v>
      </c>
      <c r="H1017">
        <f t="shared" si="76"/>
        <v>0</v>
      </c>
      <c r="I1017" t="str">
        <f t="shared" si="77"/>
        <v>ParcelOne</v>
      </c>
      <c r="J1017" t="str">
        <f>VLOOKUP(A1017,Orders!$A$2:$D$1201,4,FALSE)</f>
        <v>Delivered</v>
      </c>
      <c r="K1017" t="str">
        <f t="shared" si="78"/>
        <v>On time</v>
      </c>
      <c r="L1017" t="str">
        <f t="shared" si="79"/>
        <v>On time</v>
      </c>
      <c r="O1017">
        <f t="shared" si="80"/>
        <v>2</v>
      </c>
    </row>
    <row r="1018" spans="1:15">
      <c r="A1018">
        <v>2067</v>
      </c>
      <c r="B1018" t="s">
        <v>348</v>
      </c>
      <c r="C1018" s="1">
        <v>46154</v>
      </c>
      <c r="D1018" s="1">
        <v>46154</v>
      </c>
      <c r="E1018" s="1">
        <v>46159</v>
      </c>
      <c r="F1018" s="1">
        <v>46163</v>
      </c>
      <c r="G1018" s="1">
        <v>46164</v>
      </c>
      <c r="H1018">
        <f t="shared" si="76"/>
        <v>0</v>
      </c>
      <c r="I1018" t="str">
        <f t="shared" si="77"/>
        <v>MetroLogistics</v>
      </c>
      <c r="J1018" t="str">
        <f>VLOOKUP(A1018,Orders!$A$2:$D$1201,4,FALSE)</f>
        <v>Delivered</v>
      </c>
      <c r="K1018" t="str">
        <f t="shared" si="78"/>
        <v>Late</v>
      </c>
      <c r="L1018" t="str">
        <f t="shared" si="79"/>
        <v>On time</v>
      </c>
      <c r="O1018">
        <f t="shared" si="80"/>
        <v>1</v>
      </c>
    </row>
    <row r="1019" spans="1:15">
      <c r="A1019">
        <v>2068</v>
      </c>
      <c r="B1019" t="s">
        <v>347</v>
      </c>
      <c r="C1019" s="1">
        <v>46159</v>
      </c>
      <c r="D1019" s="1">
        <v>46159</v>
      </c>
      <c r="E1019" s="1">
        <v>46164</v>
      </c>
      <c r="F1019" s="1">
        <v>46162</v>
      </c>
      <c r="G1019" s="1">
        <v>46162</v>
      </c>
      <c r="H1019">
        <f t="shared" si="76"/>
        <v>0</v>
      </c>
      <c r="I1019" t="str">
        <f t="shared" si="77"/>
        <v>ParcelOne</v>
      </c>
      <c r="J1019" t="str">
        <f>VLOOKUP(A1019,Orders!$A$2:$D$1201,4,FALSE)</f>
        <v>Delivered</v>
      </c>
      <c r="K1019" t="str">
        <f t="shared" si="78"/>
        <v>On time</v>
      </c>
      <c r="L1019" t="str">
        <f t="shared" si="79"/>
        <v>On time</v>
      </c>
      <c r="O1019">
        <f t="shared" si="80"/>
        <v>0</v>
      </c>
    </row>
    <row r="1020" spans="1:15">
      <c r="A1020">
        <v>2069</v>
      </c>
      <c r="B1020" t="s">
        <v>347</v>
      </c>
      <c r="C1020" s="1">
        <v>46113</v>
      </c>
      <c r="D1020" s="1">
        <v>46114</v>
      </c>
      <c r="E1020" s="1">
        <v>46118</v>
      </c>
      <c r="F1020" s="1">
        <v>46118</v>
      </c>
      <c r="G1020" s="1">
        <v>46118</v>
      </c>
      <c r="H1020">
        <f t="shared" si="76"/>
        <v>0</v>
      </c>
      <c r="I1020" t="str">
        <f t="shared" si="77"/>
        <v>ParcelOne</v>
      </c>
      <c r="J1020" t="str">
        <f>VLOOKUP(A1020,Orders!$A$2:$D$1201,4,FALSE)</f>
        <v>Delivered</v>
      </c>
      <c r="K1020" t="str">
        <f t="shared" si="78"/>
        <v>On time</v>
      </c>
      <c r="L1020" t="str">
        <f t="shared" si="79"/>
        <v>Late</v>
      </c>
      <c r="O1020">
        <f t="shared" si="80"/>
        <v>0</v>
      </c>
    </row>
    <row r="1021" spans="1:15">
      <c r="A1021">
        <v>2070</v>
      </c>
      <c r="B1021" t="s">
        <v>348</v>
      </c>
      <c r="C1021" s="1">
        <v>46077</v>
      </c>
      <c r="D1021" s="1">
        <v>46077</v>
      </c>
      <c r="E1021" s="1">
        <v>46082</v>
      </c>
      <c r="F1021" s="1">
        <v>46081</v>
      </c>
      <c r="G1021" s="1">
        <v>46081</v>
      </c>
      <c r="H1021">
        <f t="shared" si="76"/>
        <v>0</v>
      </c>
      <c r="I1021" t="str">
        <f t="shared" si="77"/>
        <v>MetroLogistics</v>
      </c>
      <c r="J1021" t="str">
        <f>VLOOKUP(A1021,Orders!$A$2:$D$1201,4,FALSE)</f>
        <v>Delivered</v>
      </c>
      <c r="K1021" t="str">
        <f t="shared" si="78"/>
        <v>On time</v>
      </c>
      <c r="L1021" t="str">
        <f t="shared" si="79"/>
        <v>On time</v>
      </c>
      <c r="O1021">
        <f t="shared" si="80"/>
        <v>0</v>
      </c>
    </row>
    <row r="1022" spans="1:15">
      <c r="A1022">
        <v>2071</v>
      </c>
      <c r="B1022" t="s">
        <v>347</v>
      </c>
      <c r="C1022" s="1">
        <v>46200</v>
      </c>
      <c r="D1022" s="1">
        <v>46200</v>
      </c>
      <c r="E1022" s="1">
        <v>46205</v>
      </c>
      <c r="F1022" s="1">
        <v>46204</v>
      </c>
      <c r="G1022" s="1">
        <v>46204</v>
      </c>
      <c r="H1022">
        <f t="shared" si="76"/>
        <v>0</v>
      </c>
      <c r="I1022" t="str">
        <f t="shared" si="77"/>
        <v>ParcelOne</v>
      </c>
      <c r="J1022" t="str">
        <f>VLOOKUP(A1022,Orders!$A$2:$D$1201,4,FALSE)</f>
        <v>Delivered</v>
      </c>
      <c r="K1022" t="str">
        <f t="shared" si="78"/>
        <v>On time</v>
      </c>
      <c r="L1022" t="str">
        <f t="shared" si="79"/>
        <v>On time</v>
      </c>
      <c r="O1022">
        <f t="shared" si="80"/>
        <v>0</v>
      </c>
    </row>
    <row r="1023" spans="1:15">
      <c r="A1023">
        <v>2072</v>
      </c>
      <c r="B1023" t="s">
        <v>347</v>
      </c>
      <c r="C1023" s="1">
        <v>46127</v>
      </c>
      <c r="D1023" s="1">
        <v>46127</v>
      </c>
      <c r="E1023" s="1">
        <v>46132</v>
      </c>
      <c r="F1023" s="1">
        <v>46133</v>
      </c>
      <c r="G1023" s="1">
        <v>46133</v>
      </c>
      <c r="H1023">
        <f t="shared" si="76"/>
        <v>0</v>
      </c>
      <c r="I1023" t="str">
        <f t="shared" si="77"/>
        <v>ParcelOne</v>
      </c>
      <c r="J1023" t="str">
        <f>VLOOKUP(A1023,Orders!$A$2:$D$1201,4,FALSE)</f>
        <v>Delivered</v>
      </c>
      <c r="K1023" t="str">
        <f t="shared" si="78"/>
        <v>Late</v>
      </c>
      <c r="L1023" t="str">
        <f t="shared" si="79"/>
        <v>On time</v>
      </c>
      <c r="O1023">
        <f t="shared" si="80"/>
        <v>0</v>
      </c>
    </row>
    <row r="1024" spans="1:15">
      <c r="A1024">
        <v>2073</v>
      </c>
      <c r="B1024" t="s">
        <v>347</v>
      </c>
      <c r="C1024" s="1">
        <v>46180</v>
      </c>
      <c r="D1024" s="1">
        <v>46182</v>
      </c>
      <c r="E1024" s="1">
        <v>46185</v>
      </c>
      <c r="F1024" s="1">
        <v>46185</v>
      </c>
      <c r="G1024" s="1">
        <v>46185</v>
      </c>
      <c r="H1024">
        <f t="shared" si="76"/>
        <v>0</v>
      </c>
      <c r="I1024" t="str">
        <f t="shared" si="77"/>
        <v>ParcelOne</v>
      </c>
      <c r="J1024" t="str">
        <f>VLOOKUP(A1024,Orders!$A$2:$D$1201,4,FALSE)</f>
        <v>Delivered</v>
      </c>
      <c r="K1024" t="str">
        <f t="shared" si="78"/>
        <v>On time</v>
      </c>
      <c r="L1024" t="str">
        <f t="shared" si="79"/>
        <v>Late</v>
      </c>
      <c r="O1024">
        <f t="shared" si="80"/>
        <v>0</v>
      </c>
    </row>
    <row r="1025" spans="1:15">
      <c r="A1025">
        <v>2074</v>
      </c>
      <c r="B1025" t="s">
        <v>346</v>
      </c>
      <c r="C1025" s="1">
        <v>46036</v>
      </c>
      <c r="D1025" s="1">
        <v>46036</v>
      </c>
      <c r="E1025" s="1">
        <v>46041</v>
      </c>
      <c r="F1025" s="1">
        <v>46041</v>
      </c>
      <c r="G1025" s="1">
        <v>46041</v>
      </c>
      <c r="H1025">
        <f t="shared" si="76"/>
        <v>0</v>
      </c>
      <c r="I1025" t="str">
        <f t="shared" si="77"/>
        <v>SwiftShip</v>
      </c>
      <c r="J1025" t="str">
        <f>VLOOKUP(A1025,Orders!$A$2:$D$1201,4,FALSE)</f>
        <v>Delivered</v>
      </c>
      <c r="K1025" t="str">
        <f t="shared" si="78"/>
        <v>On time</v>
      </c>
      <c r="L1025" t="str">
        <f t="shared" si="79"/>
        <v>On time</v>
      </c>
      <c r="O1025">
        <f t="shared" si="80"/>
        <v>0</v>
      </c>
    </row>
    <row r="1026" spans="1:15">
      <c r="A1026">
        <v>2075</v>
      </c>
      <c r="B1026" t="s">
        <v>347</v>
      </c>
      <c r="C1026" s="1">
        <v>46197</v>
      </c>
      <c r="D1026" s="1">
        <v>46197</v>
      </c>
      <c r="E1026" s="1">
        <v>46202</v>
      </c>
      <c r="F1026" s="1">
        <v>46204</v>
      </c>
      <c r="G1026" s="1">
        <v>46204</v>
      </c>
      <c r="H1026">
        <f t="shared" si="76"/>
        <v>0</v>
      </c>
      <c r="I1026" t="str">
        <f t="shared" si="77"/>
        <v>ParcelOne</v>
      </c>
      <c r="J1026" t="str">
        <f>VLOOKUP(A1026,Orders!$A$2:$D$1201,4,FALSE)</f>
        <v>Delivered</v>
      </c>
      <c r="K1026" t="str">
        <f t="shared" si="78"/>
        <v>Late</v>
      </c>
      <c r="L1026" t="str">
        <f t="shared" si="79"/>
        <v>On time</v>
      </c>
      <c r="O1026">
        <f t="shared" si="80"/>
        <v>0</v>
      </c>
    </row>
    <row r="1027" spans="1:15">
      <c r="A1027">
        <v>2076</v>
      </c>
      <c r="B1027" t="s">
        <v>348</v>
      </c>
      <c r="C1027" s="1">
        <v>46113</v>
      </c>
      <c r="D1027" s="1">
        <v>46113</v>
      </c>
      <c r="E1027" s="1">
        <v>46118</v>
      </c>
      <c r="F1027" s="1">
        <v>46116</v>
      </c>
      <c r="G1027" s="1">
        <v>46116</v>
      </c>
      <c r="H1027">
        <f t="shared" ref="H1027:H1090" si="81">LEN(B1027)-LEN(TRIM(B1027))</f>
        <v>0</v>
      </c>
      <c r="I1027" t="str">
        <f t="shared" ref="I1027:I1090" si="82">TRIM(B1027)</f>
        <v>MetroLogistics</v>
      </c>
      <c r="J1027" t="str">
        <f>VLOOKUP(A1027,Orders!$A$2:$D$1201,4,FALSE)</f>
        <v>Delivered</v>
      </c>
      <c r="K1027" t="str">
        <f t="shared" ref="K1027:K1090" si="83">IF(J1027&lt;&gt;"Delivered","Not delivered",IF(OR(E1027="",F1027=""),"Unknown",IF(F1027&lt;=E1027,"On time","Late")))</f>
        <v>On time</v>
      </c>
      <c r="L1027" t="str">
        <f t="shared" ref="L1027:L1090" si="84">IF(D1027="","Not dispatched",IF(C1027="","Unknown",IF(D1027&lt;=C1027,"On time","Late")))</f>
        <v>On time</v>
      </c>
      <c r="O1027">
        <f t="shared" ref="O1027:O1090" si="85">IF(OR(F1027="",G1027=""),"",G1027-F1027)</f>
        <v>0</v>
      </c>
    </row>
    <row r="1028" spans="1:15">
      <c r="A1028">
        <v>2077</v>
      </c>
      <c r="B1028" t="s">
        <v>348</v>
      </c>
      <c r="C1028" s="1">
        <v>46127</v>
      </c>
      <c r="D1028" s="1">
        <v>46127</v>
      </c>
      <c r="E1028" s="1">
        <v>46132</v>
      </c>
      <c r="F1028" s="1">
        <v>46133</v>
      </c>
      <c r="G1028" s="1">
        <v>46133</v>
      </c>
      <c r="H1028">
        <f t="shared" si="81"/>
        <v>0</v>
      </c>
      <c r="I1028" t="str">
        <f t="shared" si="82"/>
        <v>MetroLogistics</v>
      </c>
      <c r="J1028" t="str">
        <f>VLOOKUP(A1028,Orders!$A$2:$D$1201,4,FALSE)</f>
        <v>Delivered</v>
      </c>
      <c r="K1028" t="str">
        <f t="shared" si="83"/>
        <v>Late</v>
      </c>
      <c r="L1028" t="str">
        <f t="shared" si="84"/>
        <v>On time</v>
      </c>
      <c r="O1028">
        <f t="shared" si="85"/>
        <v>0</v>
      </c>
    </row>
    <row r="1029" spans="1:15">
      <c r="A1029">
        <v>2078</v>
      </c>
      <c r="B1029" t="s">
        <v>346</v>
      </c>
      <c r="C1029" s="1">
        <v>46118</v>
      </c>
      <c r="D1029" s="1">
        <v>46118</v>
      </c>
      <c r="E1029" s="1">
        <v>46123</v>
      </c>
      <c r="F1029" s="1">
        <v>46127</v>
      </c>
      <c r="G1029" s="1">
        <v>46127</v>
      </c>
      <c r="H1029">
        <f t="shared" si="81"/>
        <v>0</v>
      </c>
      <c r="I1029" t="str">
        <f t="shared" si="82"/>
        <v>SwiftShip</v>
      </c>
      <c r="J1029" t="str">
        <f>VLOOKUP(A1029,Orders!$A$2:$D$1201,4,FALSE)</f>
        <v>Delivered</v>
      </c>
      <c r="K1029" t="str">
        <f t="shared" si="83"/>
        <v>Late</v>
      </c>
      <c r="L1029" t="str">
        <f t="shared" si="84"/>
        <v>On time</v>
      </c>
      <c r="O1029">
        <f t="shared" si="85"/>
        <v>0</v>
      </c>
    </row>
    <row r="1030" spans="1:15">
      <c r="A1030">
        <v>2079</v>
      </c>
      <c r="B1030" t="s">
        <v>348</v>
      </c>
      <c r="C1030" s="1">
        <v>46075</v>
      </c>
      <c r="D1030" s="1">
        <v>46075</v>
      </c>
      <c r="E1030" s="1">
        <v>46080</v>
      </c>
      <c r="F1030" s="1">
        <v>46080</v>
      </c>
      <c r="G1030" s="1">
        <v>46080</v>
      </c>
      <c r="H1030">
        <f t="shared" si="81"/>
        <v>0</v>
      </c>
      <c r="I1030" t="str">
        <f t="shared" si="82"/>
        <v>MetroLogistics</v>
      </c>
      <c r="J1030" t="str">
        <f>VLOOKUP(A1030,Orders!$A$2:$D$1201,4,FALSE)</f>
        <v>Delivered</v>
      </c>
      <c r="K1030" t="str">
        <f t="shared" si="83"/>
        <v>On time</v>
      </c>
      <c r="L1030" t="str">
        <f t="shared" si="84"/>
        <v>On time</v>
      </c>
      <c r="O1030">
        <f t="shared" si="85"/>
        <v>0</v>
      </c>
    </row>
    <row r="1031" spans="1:15">
      <c r="A1031">
        <v>2080</v>
      </c>
      <c r="B1031" t="s">
        <v>346</v>
      </c>
      <c r="C1031" s="1">
        <v>46200</v>
      </c>
      <c r="D1031" s="1">
        <v>46200</v>
      </c>
      <c r="E1031" s="1">
        <v>46205</v>
      </c>
      <c r="F1031" s="1">
        <v>46205</v>
      </c>
      <c r="G1031" s="1">
        <v>46205</v>
      </c>
      <c r="H1031">
        <f t="shared" si="81"/>
        <v>0</v>
      </c>
      <c r="I1031" t="str">
        <f t="shared" si="82"/>
        <v>SwiftShip</v>
      </c>
      <c r="J1031" t="str">
        <f>VLOOKUP(A1031,Orders!$A$2:$D$1201,4,FALSE)</f>
        <v>Delivered</v>
      </c>
      <c r="K1031" t="str">
        <f t="shared" si="83"/>
        <v>On time</v>
      </c>
      <c r="L1031" t="str">
        <f t="shared" si="84"/>
        <v>On time</v>
      </c>
      <c r="O1031">
        <f t="shared" si="85"/>
        <v>0</v>
      </c>
    </row>
    <row r="1032" spans="1:15">
      <c r="A1032">
        <v>2081</v>
      </c>
      <c r="B1032" t="s">
        <v>347</v>
      </c>
      <c r="C1032" s="1">
        <v>46101</v>
      </c>
      <c r="D1032" s="1">
        <v>46101</v>
      </c>
      <c r="E1032" s="1">
        <v>46106</v>
      </c>
      <c r="F1032" s="1">
        <v>46106</v>
      </c>
      <c r="G1032" s="1">
        <v>46106</v>
      </c>
      <c r="H1032">
        <f t="shared" si="81"/>
        <v>0</v>
      </c>
      <c r="I1032" t="str">
        <f t="shared" si="82"/>
        <v>ParcelOne</v>
      </c>
      <c r="J1032" t="str">
        <f>VLOOKUP(A1032,Orders!$A$2:$D$1201,4,FALSE)</f>
        <v>Delivered</v>
      </c>
      <c r="K1032" t="str">
        <f t="shared" si="83"/>
        <v>On time</v>
      </c>
      <c r="L1032" t="str">
        <f t="shared" si="84"/>
        <v>On time</v>
      </c>
      <c r="O1032">
        <f t="shared" si="85"/>
        <v>0</v>
      </c>
    </row>
    <row r="1033" spans="1:15">
      <c r="A1033">
        <v>2082</v>
      </c>
      <c r="B1033" t="s">
        <v>348</v>
      </c>
      <c r="C1033" s="1">
        <v>46187</v>
      </c>
      <c r="D1033" s="1">
        <v>46187</v>
      </c>
      <c r="E1033" s="1">
        <v>46192</v>
      </c>
      <c r="F1033" s="1">
        <v>46192</v>
      </c>
      <c r="G1033" s="1">
        <v>46192</v>
      </c>
      <c r="H1033">
        <f t="shared" si="81"/>
        <v>0</v>
      </c>
      <c r="I1033" t="str">
        <f t="shared" si="82"/>
        <v>MetroLogistics</v>
      </c>
      <c r="J1033" t="str">
        <f>VLOOKUP(A1033,Orders!$A$2:$D$1201,4,FALSE)</f>
        <v>Delivered</v>
      </c>
      <c r="K1033" t="str">
        <f t="shared" si="83"/>
        <v>On time</v>
      </c>
      <c r="L1033" t="str">
        <f t="shared" si="84"/>
        <v>On time</v>
      </c>
      <c r="O1033">
        <f t="shared" si="85"/>
        <v>0</v>
      </c>
    </row>
    <row r="1034" spans="1:15">
      <c r="A1034">
        <v>2083</v>
      </c>
      <c r="B1034" t="s">
        <v>346</v>
      </c>
      <c r="C1034" s="1">
        <v>46188</v>
      </c>
      <c r="D1034" s="1">
        <v>46188</v>
      </c>
      <c r="E1034" s="1">
        <v>46193</v>
      </c>
      <c r="F1034" s="1">
        <v>46191</v>
      </c>
      <c r="G1034" s="1">
        <v>46193</v>
      </c>
      <c r="H1034">
        <f t="shared" si="81"/>
        <v>0</v>
      </c>
      <c r="I1034" t="str">
        <f t="shared" si="82"/>
        <v>SwiftShip</v>
      </c>
      <c r="J1034" t="str">
        <f>VLOOKUP(A1034,Orders!$A$2:$D$1201,4,FALSE)</f>
        <v>Delivered</v>
      </c>
      <c r="K1034" t="str">
        <f t="shared" si="83"/>
        <v>On time</v>
      </c>
      <c r="L1034" t="str">
        <f t="shared" si="84"/>
        <v>On time</v>
      </c>
      <c r="O1034">
        <f t="shared" si="85"/>
        <v>2</v>
      </c>
    </row>
    <row r="1035" spans="1:15">
      <c r="A1035">
        <v>2084</v>
      </c>
      <c r="B1035" t="s">
        <v>348</v>
      </c>
      <c r="C1035" s="1">
        <v>46192</v>
      </c>
      <c r="D1035" s="1">
        <v>46192</v>
      </c>
      <c r="E1035" s="1">
        <v>46197</v>
      </c>
      <c r="F1035" s="1">
        <v>46197</v>
      </c>
      <c r="G1035" s="1">
        <v>46197</v>
      </c>
      <c r="H1035">
        <f t="shared" si="81"/>
        <v>0</v>
      </c>
      <c r="I1035" t="str">
        <f t="shared" si="82"/>
        <v>MetroLogistics</v>
      </c>
      <c r="J1035" t="str">
        <f>VLOOKUP(A1035,Orders!$A$2:$D$1201,4,FALSE)</f>
        <v>Delivered</v>
      </c>
      <c r="K1035" t="str">
        <f t="shared" si="83"/>
        <v>On time</v>
      </c>
      <c r="L1035" t="str">
        <f t="shared" si="84"/>
        <v>On time</v>
      </c>
      <c r="O1035">
        <f t="shared" si="85"/>
        <v>0</v>
      </c>
    </row>
    <row r="1036" spans="1:15">
      <c r="A1036">
        <v>2085</v>
      </c>
      <c r="B1036" t="s">
        <v>348</v>
      </c>
      <c r="C1036" s="1">
        <v>46037</v>
      </c>
      <c r="D1036" s="1">
        <v>46037</v>
      </c>
      <c r="E1036" s="1">
        <v>46042</v>
      </c>
      <c r="F1036" s="1">
        <v>46043</v>
      </c>
      <c r="G1036" s="1">
        <v>46043</v>
      </c>
      <c r="H1036">
        <f t="shared" si="81"/>
        <v>0</v>
      </c>
      <c r="I1036" t="str">
        <f t="shared" si="82"/>
        <v>MetroLogistics</v>
      </c>
      <c r="J1036" t="str">
        <f>VLOOKUP(A1036,Orders!$A$2:$D$1201,4,FALSE)</f>
        <v>Delivered</v>
      </c>
      <c r="K1036" t="str">
        <f t="shared" si="83"/>
        <v>Late</v>
      </c>
      <c r="L1036" t="str">
        <f t="shared" si="84"/>
        <v>On time</v>
      </c>
      <c r="O1036">
        <f t="shared" si="85"/>
        <v>0</v>
      </c>
    </row>
    <row r="1037" spans="1:15">
      <c r="A1037">
        <v>2086</v>
      </c>
      <c r="B1037" t="s">
        <v>346</v>
      </c>
      <c r="C1037" s="1">
        <v>46036</v>
      </c>
      <c r="D1037" s="1">
        <v>46036</v>
      </c>
      <c r="E1037" s="1">
        <v>46041</v>
      </c>
      <c r="F1037" s="1">
        <v>46041</v>
      </c>
      <c r="G1037" s="1">
        <v>46041</v>
      </c>
      <c r="H1037">
        <f t="shared" si="81"/>
        <v>0</v>
      </c>
      <c r="I1037" t="str">
        <f t="shared" si="82"/>
        <v>SwiftShip</v>
      </c>
      <c r="J1037" t="str">
        <f>VLOOKUP(A1037,Orders!$A$2:$D$1201,4,FALSE)</f>
        <v>Delivered</v>
      </c>
      <c r="K1037" t="str">
        <f t="shared" si="83"/>
        <v>On time</v>
      </c>
      <c r="L1037" t="str">
        <f t="shared" si="84"/>
        <v>On time</v>
      </c>
      <c r="O1037">
        <f t="shared" si="85"/>
        <v>0</v>
      </c>
    </row>
    <row r="1038" spans="1:15">
      <c r="A1038">
        <v>2087</v>
      </c>
      <c r="B1038" t="s">
        <v>346</v>
      </c>
      <c r="C1038" s="1">
        <v>46178</v>
      </c>
      <c r="D1038" s="1">
        <v>46178</v>
      </c>
      <c r="E1038" s="1">
        <v>46183</v>
      </c>
      <c r="F1038" s="1">
        <v>46183</v>
      </c>
      <c r="G1038" s="1">
        <v>46183</v>
      </c>
      <c r="H1038">
        <f t="shared" si="81"/>
        <v>0</v>
      </c>
      <c r="I1038" t="str">
        <f t="shared" si="82"/>
        <v>SwiftShip</v>
      </c>
      <c r="J1038" t="str">
        <f>VLOOKUP(A1038,Orders!$A$2:$D$1201,4,FALSE)</f>
        <v>Delivered</v>
      </c>
      <c r="K1038" t="str">
        <f t="shared" si="83"/>
        <v>On time</v>
      </c>
      <c r="L1038" t="str">
        <f t="shared" si="84"/>
        <v>On time</v>
      </c>
      <c r="O1038">
        <f t="shared" si="85"/>
        <v>0</v>
      </c>
    </row>
    <row r="1039" spans="1:15">
      <c r="A1039">
        <v>2088</v>
      </c>
      <c r="B1039" t="s">
        <v>347</v>
      </c>
      <c r="C1039" s="1">
        <v>46180</v>
      </c>
      <c r="D1039" s="1">
        <v>46180</v>
      </c>
      <c r="E1039" s="1">
        <v>46185</v>
      </c>
      <c r="F1039" s="1">
        <v>46185</v>
      </c>
      <c r="G1039" s="1">
        <v>46186</v>
      </c>
      <c r="H1039">
        <f t="shared" si="81"/>
        <v>0</v>
      </c>
      <c r="I1039" t="str">
        <f t="shared" si="82"/>
        <v>ParcelOne</v>
      </c>
      <c r="J1039" t="str">
        <f>VLOOKUP(A1039,Orders!$A$2:$D$1201,4,FALSE)</f>
        <v>Delivered</v>
      </c>
      <c r="K1039" t="str">
        <f t="shared" si="83"/>
        <v>On time</v>
      </c>
      <c r="L1039" t="str">
        <f t="shared" si="84"/>
        <v>On time</v>
      </c>
      <c r="O1039">
        <f t="shared" si="85"/>
        <v>1</v>
      </c>
    </row>
    <row r="1040" spans="1:15">
      <c r="A1040">
        <v>2090</v>
      </c>
      <c r="B1040" t="s">
        <v>347</v>
      </c>
      <c r="C1040" s="1">
        <v>46197</v>
      </c>
      <c r="D1040" s="1">
        <v>46197</v>
      </c>
      <c r="E1040" s="1">
        <v>46202</v>
      </c>
      <c r="F1040" s="1">
        <v>46202</v>
      </c>
      <c r="G1040" s="1">
        <v>46202</v>
      </c>
      <c r="H1040">
        <f t="shared" si="81"/>
        <v>0</v>
      </c>
      <c r="I1040" t="str">
        <f t="shared" si="82"/>
        <v>ParcelOne</v>
      </c>
      <c r="J1040" t="str">
        <f>VLOOKUP(A1040,Orders!$A$2:$D$1201,4,FALSE)</f>
        <v>Delivered</v>
      </c>
      <c r="K1040" t="str">
        <f t="shared" si="83"/>
        <v>On time</v>
      </c>
      <c r="L1040" t="str">
        <f t="shared" si="84"/>
        <v>On time</v>
      </c>
      <c r="O1040">
        <f t="shared" si="85"/>
        <v>0</v>
      </c>
    </row>
    <row r="1041" spans="1:15">
      <c r="A1041">
        <v>2091</v>
      </c>
      <c r="B1041" t="s">
        <v>348</v>
      </c>
      <c r="C1041" s="1">
        <v>46160</v>
      </c>
      <c r="D1041" s="1">
        <v>46160</v>
      </c>
      <c r="E1041" s="1">
        <v>46165</v>
      </c>
      <c r="F1041" s="1">
        <v>46165</v>
      </c>
      <c r="G1041" s="1">
        <v>46165</v>
      </c>
      <c r="H1041">
        <f t="shared" si="81"/>
        <v>0</v>
      </c>
      <c r="I1041" t="str">
        <f t="shared" si="82"/>
        <v>MetroLogistics</v>
      </c>
      <c r="J1041" t="str">
        <f>VLOOKUP(A1041,Orders!$A$2:$D$1201,4,FALSE)</f>
        <v>Delivered</v>
      </c>
      <c r="K1041" t="str">
        <f t="shared" si="83"/>
        <v>On time</v>
      </c>
      <c r="L1041" t="str">
        <f t="shared" si="84"/>
        <v>On time</v>
      </c>
      <c r="O1041">
        <f t="shared" si="85"/>
        <v>0</v>
      </c>
    </row>
    <row r="1042" spans="1:15">
      <c r="A1042">
        <v>2092</v>
      </c>
      <c r="B1042" t="s">
        <v>347</v>
      </c>
      <c r="C1042" s="1">
        <v>46135</v>
      </c>
      <c r="D1042" s="1">
        <v>46137</v>
      </c>
      <c r="E1042" s="1">
        <v>46140</v>
      </c>
      <c r="F1042" s="1">
        <v>46139</v>
      </c>
      <c r="G1042" s="1">
        <v>46139</v>
      </c>
      <c r="H1042">
        <f t="shared" si="81"/>
        <v>0</v>
      </c>
      <c r="I1042" t="str">
        <f t="shared" si="82"/>
        <v>ParcelOne</v>
      </c>
      <c r="J1042" t="str">
        <f>VLOOKUP(A1042,Orders!$A$2:$D$1201,4,FALSE)</f>
        <v>Delivered</v>
      </c>
      <c r="K1042" t="str">
        <f t="shared" si="83"/>
        <v>On time</v>
      </c>
      <c r="L1042" t="str">
        <f t="shared" si="84"/>
        <v>Late</v>
      </c>
      <c r="O1042">
        <f t="shared" si="85"/>
        <v>0</v>
      </c>
    </row>
    <row r="1043" spans="1:15">
      <c r="A1043">
        <v>2093</v>
      </c>
      <c r="B1043" t="s">
        <v>348</v>
      </c>
      <c r="C1043" s="1">
        <v>46049</v>
      </c>
      <c r="D1043" s="1">
        <v>46049</v>
      </c>
      <c r="E1043" s="1">
        <v>46054</v>
      </c>
      <c r="F1043" s="1">
        <v>46053</v>
      </c>
      <c r="G1043" s="1">
        <v>46053</v>
      </c>
      <c r="H1043">
        <f t="shared" si="81"/>
        <v>0</v>
      </c>
      <c r="I1043" t="str">
        <f t="shared" si="82"/>
        <v>MetroLogistics</v>
      </c>
      <c r="J1043" t="str">
        <f>VLOOKUP(A1043,Orders!$A$2:$D$1201,4,FALSE)</f>
        <v>Delivered</v>
      </c>
      <c r="K1043" t="str">
        <f t="shared" si="83"/>
        <v>On time</v>
      </c>
      <c r="L1043" t="str">
        <f t="shared" si="84"/>
        <v>On time</v>
      </c>
      <c r="O1043">
        <f t="shared" si="85"/>
        <v>0</v>
      </c>
    </row>
    <row r="1044" spans="1:15">
      <c r="A1044">
        <v>2094</v>
      </c>
      <c r="B1044" t="s">
        <v>348</v>
      </c>
      <c r="C1044" s="1">
        <v>46127</v>
      </c>
      <c r="D1044" s="1">
        <v>46127</v>
      </c>
      <c r="E1044" s="1">
        <v>46132</v>
      </c>
      <c r="F1044" s="1">
        <v>46132</v>
      </c>
      <c r="G1044" s="1">
        <v>46132</v>
      </c>
      <c r="H1044">
        <f t="shared" si="81"/>
        <v>0</v>
      </c>
      <c r="I1044" t="str">
        <f t="shared" si="82"/>
        <v>MetroLogistics</v>
      </c>
      <c r="J1044" t="str">
        <f>VLOOKUP(A1044,Orders!$A$2:$D$1201,4,FALSE)</f>
        <v>Delivered</v>
      </c>
      <c r="K1044" t="str">
        <f t="shared" si="83"/>
        <v>On time</v>
      </c>
      <c r="L1044" t="str">
        <f t="shared" si="84"/>
        <v>On time</v>
      </c>
      <c r="O1044">
        <f t="shared" si="85"/>
        <v>0</v>
      </c>
    </row>
    <row r="1045" spans="1:15">
      <c r="A1045">
        <v>2095</v>
      </c>
      <c r="B1045" t="s">
        <v>347</v>
      </c>
      <c r="C1045" s="1">
        <v>46187</v>
      </c>
      <c r="D1045" s="1">
        <v>46187</v>
      </c>
      <c r="E1045" s="1">
        <v>46192</v>
      </c>
      <c r="F1045" s="1">
        <v>46192</v>
      </c>
      <c r="G1045" s="1">
        <v>46194</v>
      </c>
      <c r="H1045">
        <f t="shared" si="81"/>
        <v>0</v>
      </c>
      <c r="I1045" t="str">
        <f t="shared" si="82"/>
        <v>ParcelOne</v>
      </c>
      <c r="J1045" t="str">
        <f>VLOOKUP(A1045,Orders!$A$2:$D$1201,4,FALSE)</f>
        <v>Delivered</v>
      </c>
      <c r="K1045" t="str">
        <f t="shared" si="83"/>
        <v>On time</v>
      </c>
      <c r="L1045" t="str">
        <f t="shared" si="84"/>
        <v>On time</v>
      </c>
      <c r="O1045">
        <f t="shared" si="85"/>
        <v>2</v>
      </c>
    </row>
    <row r="1046" spans="1:15">
      <c r="A1046">
        <v>2096</v>
      </c>
      <c r="B1046" t="s">
        <v>348</v>
      </c>
      <c r="C1046" s="1">
        <v>46070</v>
      </c>
      <c r="D1046" s="1">
        <v>46072</v>
      </c>
      <c r="E1046" s="1">
        <v>46075</v>
      </c>
      <c r="F1046" s="1">
        <v>46075</v>
      </c>
      <c r="G1046" s="1">
        <v>46075</v>
      </c>
      <c r="H1046">
        <f t="shared" si="81"/>
        <v>0</v>
      </c>
      <c r="I1046" t="str">
        <f t="shared" si="82"/>
        <v>MetroLogistics</v>
      </c>
      <c r="J1046" t="str">
        <f>VLOOKUP(A1046,Orders!$A$2:$D$1201,4,FALSE)</f>
        <v>Delivered</v>
      </c>
      <c r="K1046" t="str">
        <f t="shared" si="83"/>
        <v>On time</v>
      </c>
      <c r="L1046" t="str">
        <f t="shared" si="84"/>
        <v>Late</v>
      </c>
      <c r="O1046">
        <f t="shared" si="85"/>
        <v>0</v>
      </c>
    </row>
    <row r="1047" spans="1:15">
      <c r="A1047">
        <v>2097</v>
      </c>
      <c r="B1047" t="s">
        <v>348</v>
      </c>
      <c r="C1047" s="1">
        <v>46082</v>
      </c>
      <c r="D1047" s="1">
        <v>46084</v>
      </c>
      <c r="E1047" s="1">
        <v>46087</v>
      </c>
      <c r="F1047" s="1">
        <v>46087</v>
      </c>
      <c r="G1047" s="1">
        <v>46087</v>
      </c>
      <c r="H1047">
        <f t="shared" si="81"/>
        <v>0</v>
      </c>
      <c r="I1047" t="str">
        <f t="shared" si="82"/>
        <v>MetroLogistics</v>
      </c>
      <c r="J1047" t="str">
        <f>VLOOKUP(A1047,Orders!$A$2:$D$1201,4,FALSE)</f>
        <v>Delivered</v>
      </c>
      <c r="K1047" t="str">
        <f t="shared" si="83"/>
        <v>On time</v>
      </c>
      <c r="L1047" t="str">
        <f t="shared" si="84"/>
        <v>Late</v>
      </c>
      <c r="O1047">
        <f t="shared" si="85"/>
        <v>0</v>
      </c>
    </row>
    <row r="1048" spans="1:15">
      <c r="A1048">
        <v>2098</v>
      </c>
      <c r="B1048" t="s">
        <v>347</v>
      </c>
      <c r="C1048" s="1">
        <v>46185</v>
      </c>
      <c r="D1048" s="1">
        <v>46186</v>
      </c>
      <c r="E1048" s="1">
        <v>46190</v>
      </c>
      <c r="F1048" s="1">
        <v>46189</v>
      </c>
      <c r="G1048" s="1">
        <v>46189</v>
      </c>
      <c r="H1048">
        <f t="shared" si="81"/>
        <v>0</v>
      </c>
      <c r="I1048" t="str">
        <f t="shared" si="82"/>
        <v>ParcelOne</v>
      </c>
      <c r="J1048" t="str">
        <f>VLOOKUP(A1048,Orders!$A$2:$D$1201,4,FALSE)</f>
        <v>Delivered</v>
      </c>
      <c r="K1048" t="str">
        <f t="shared" si="83"/>
        <v>On time</v>
      </c>
      <c r="L1048" t="str">
        <f t="shared" si="84"/>
        <v>Late</v>
      </c>
      <c r="O1048">
        <f t="shared" si="85"/>
        <v>0</v>
      </c>
    </row>
    <row r="1049" spans="1:15">
      <c r="A1049">
        <v>2099</v>
      </c>
      <c r="B1049" t="s">
        <v>348</v>
      </c>
      <c r="C1049" s="1">
        <v>46069</v>
      </c>
      <c r="D1049" s="1">
        <v>46069</v>
      </c>
      <c r="E1049" s="1">
        <v>46074</v>
      </c>
      <c r="F1049" s="1">
        <v>46074</v>
      </c>
      <c r="G1049" s="1">
        <v>46074</v>
      </c>
      <c r="H1049">
        <f t="shared" si="81"/>
        <v>0</v>
      </c>
      <c r="I1049" t="str">
        <f t="shared" si="82"/>
        <v>MetroLogistics</v>
      </c>
      <c r="J1049" t="str">
        <f>VLOOKUP(A1049,Orders!$A$2:$D$1201,4,FALSE)</f>
        <v>Delivered</v>
      </c>
      <c r="K1049" t="str">
        <f t="shared" si="83"/>
        <v>On time</v>
      </c>
      <c r="L1049" t="str">
        <f t="shared" si="84"/>
        <v>On time</v>
      </c>
      <c r="O1049">
        <f t="shared" si="85"/>
        <v>0</v>
      </c>
    </row>
    <row r="1050" spans="1:15">
      <c r="A1050">
        <v>2100</v>
      </c>
      <c r="B1050" t="s">
        <v>347</v>
      </c>
      <c r="C1050" s="1">
        <v>46138</v>
      </c>
      <c r="E1050" s="1">
        <v>46143</v>
      </c>
      <c r="H1050">
        <f t="shared" si="81"/>
        <v>0</v>
      </c>
      <c r="I1050" t="str">
        <f t="shared" si="82"/>
        <v>ParcelOne</v>
      </c>
      <c r="J1050" t="str">
        <f>VLOOKUP(A1050,Orders!$A$2:$D$1201,4,FALSE)</f>
        <v>Pending</v>
      </c>
      <c r="K1050" t="str">
        <f t="shared" si="83"/>
        <v>Not delivered</v>
      </c>
      <c r="L1050" t="str">
        <f t="shared" si="84"/>
        <v>Not dispatched</v>
      </c>
      <c r="O1050" t="str">
        <f t="shared" si="85"/>
        <v/>
      </c>
    </row>
    <row r="1051" spans="1:15">
      <c r="A1051">
        <v>2101</v>
      </c>
      <c r="B1051" t="s">
        <v>346</v>
      </c>
      <c r="C1051" s="1">
        <v>46087</v>
      </c>
      <c r="D1051" s="1">
        <v>46087</v>
      </c>
      <c r="E1051" s="1">
        <v>46092</v>
      </c>
      <c r="F1051" s="1">
        <v>46092</v>
      </c>
      <c r="G1051" s="1">
        <v>46092</v>
      </c>
      <c r="H1051">
        <f t="shared" si="81"/>
        <v>0</v>
      </c>
      <c r="I1051" t="str">
        <f t="shared" si="82"/>
        <v>SwiftShip</v>
      </c>
      <c r="J1051" t="str">
        <f>VLOOKUP(A1051,Orders!$A$2:$D$1201,4,FALSE)</f>
        <v>Delivered</v>
      </c>
      <c r="K1051" t="str">
        <f t="shared" si="83"/>
        <v>On time</v>
      </c>
      <c r="L1051" t="str">
        <f t="shared" si="84"/>
        <v>On time</v>
      </c>
      <c r="O1051">
        <f t="shared" si="85"/>
        <v>0</v>
      </c>
    </row>
    <row r="1052" spans="1:15">
      <c r="A1052">
        <v>2102</v>
      </c>
      <c r="B1052" t="s">
        <v>346</v>
      </c>
      <c r="C1052" s="1">
        <v>46123</v>
      </c>
      <c r="D1052" s="1">
        <v>46123</v>
      </c>
      <c r="E1052" s="1">
        <v>46128</v>
      </c>
      <c r="F1052" s="1">
        <v>46129</v>
      </c>
      <c r="G1052" s="1">
        <v>46129</v>
      </c>
      <c r="H1052">
        <f t="shared" si="81"/>
        <v>0</v>
      </c>
      <c r="I1052" t="str">
        <f t="shared" si="82"/>
        <v>SwiftShip</v>
      </c>
      <c r="J1052" t="str">
        <f>VLOOKUP(A1052,Orders!$A$2:$D$1201,4,FALSE)</f>
        <v>Delivered</v>
      </c>
      <c r="K1052" t="str">
        <f t="shared" si="83"/>
        <v>Late</v>
      </c>
      <c r="L1052" t="str">
        <f t="shared" si="84"/>
        <v>On time</v>
      </c>
      <c r="O1052">
        <f t="shared" si="85"/>
        <v>0</v>
      </c>
    </row>
    <row r="1053" spans="1:15">
      <c r="A1053">
        <v>2103</v>
      </c>
      <c r="B1053" t="s">
        <v>347</v>
      </c>
      <c r="C1053" s="1">
        <v>46035</v>
      </c>
      <c r="D1053" s="1">
        <v>46036</v>
      </c>
      <c r="E1053" s="1">
        <v>46040</v>
      </c>
      <c r="F1053" s="1">
        <v>46041</v>
      </c>
      <c r="G1053" s="1">
        <v>46041</v>
      </c>
      <c r="H1053">
        <f t="shared" si="81"/>
        <v>0</v>
      </c>
      <c r="I1053" t="str">
        <f t="shared" si="82"/>
        <v>ParcelOne</v>
      </c>
      <c r="J1053" t="str">
        <f>VLOOKUP(A1053,Orders!$A$2:$D$1201,4,FALSE)</f>
        <v>Delivered</v>
      </c>
      <c r="K1053" t="str">
        <f t="shared" si="83"/>
        <v>Late</v>
      </c>
      <c r="L1053" t="str">
        <f t="shared" si="84"/>
        <v>Late</v>
      </c>
      <c r="O1053">
        <f t="shared" si="85"/>
        <v>0</v>
      </c>
    </row>
    <row r="1054" spans="1:15">
      <c r="A1054">
        <v>2104</v>
      </c>
      <c r="B1054" t="s">
        <v>347</v>
      </c>
      <c r="C1054" s="1">
        <v>46068</v>
      </c>
      <c r="D1054" s="1">
        <v>46068</v>
      </c>
      <c r="E1054" s="1">
        <v>46073</v>
      </c>
      <c r="F1054" s="1">
        <v>46072</v>
      </c>
      <c r="G1054" s="1">
        <v>46072</v>
      </c>
      <c r="H1054">
        <f t="shared" si="81"/>
        <v>0</v>
      </c>
      <c r="I1054" t="str">
        <f t="shared" si="82"/>
        <v>ParcelOne</v>
      </c>
      <c r="J1054" t="str">
        <f>VLOOKUP(A1054,Orders!$A$2:$D$1201,4,FALSE)</f>
        <v>Delivered</v>
      </c>
      <c r="K1054" t="str">
        <f t="shared" si="83"/>
        <v>On time</v>
      </c>
      <c r="L1054" t="str">
        <f t="shared" si="84"/>
        <v>On time</v>
      </c>
      <c r="O1054">
        <f t="shared" si="85"/>
        <v>0</v>
      </c>
    </row>
    <row r="1055" spans="1:15">
      <c r="A1055">
        <v>2106</v>
      </c>
      <c r="B1055" t="s">
        <v>347</v>
      </c>
      <c r="C1055" s="1">
        <v>46100</v>
      </c>
      <c r="D1055" s="1">
        <v>46100</v>
      </c>
      <c r="E1055" s="1">
        <v>46105</v>
      </c>
      <c r="F1055" s="1">
        <v>46104</v>
      </c>
      <c r="G1055" s="1">
        <v>46104</v>
      </c>
      <c r="H1055">
        <f t="shared" si="81"/>
        <v>0</v>
      </c>
      <c r="I1055" t="str">
        <f t="shared" si="82"/>
        <v>ParcelOne</v>
      </c>
      <c r="J1055" t="str">
        <f>VLOOKUP(A1055,Orders!$A$2:$D$1201,4,FALSE)</f>
        <v>Delivered</v>
      </c>
      <c r="K1055" t="str">
        <f t="shared" si="83"/>
        <v>On time</v>
      </c>
      <c r="L1055" t="str">
        <f t="shared" si="84"/>
        <v>On time</v>
      </c>
      <c r="O1055">
        <f t="shared" si="85"/>
        <v>0</v>
      </c>
    </row>
    <row r="1056" spans="1:15">
      <c r="A1056">
        <v>2107</v>
      </c>
      <c r="B1056" t="s">
        <v>348</v>
      </c>
      <c r="C1056" s="1">
        <v>46119</v>
      </c>
      <c r="D1056" s="1">
        <v>46119</v>
      </c>
      <c r="E1056" s="1">
        <v>46124</v>
      </c>
      <c r="F1056" s="1">
        <v>46125</v>
      </c>
      <c r="G1056" s="1">
        <v>46125</v>
      </c>
      <c r="H1056">
        <f t="shared" si="81"/>
        <v>0</v>
      </c>
      <c r="I1056" t="str">
        <f t="shared" si="82"/>
        <v>MetroLogistics</v>
      </c>
      <c r="J1056" t="str">
        <f>VLOOKUP(A1056,Orders!$A$2:$D$1201,4,FALSE)</f>
        <v>Delivered</v>
      </c>
      <c r="K1056" t="str">
        <f t="shared" si="83"/>
        <v>Late</v>
      </c>
      <c r="L1056" t="str">
        <f t="shared" si="84"/>
        <v>On time</v>
      </c>
      <c r="O1056">
        <f t="shared" si="85"/>
        <v>0</v>
      </c>
    </row>
    <row r="1057" spans="1:15">
      <c r="A1057">
        <v>2108</v>
      </c>
      <c r="B1057" t="s">
        <v>347</v>
      </c>
      <c r="C1057" s="1">
        <v>46057</v>
      </c>
      <c r="D1057" s="1">
        <v>46058</v>
      </c>
      <c r="E1057" s="1">
        <v>46062</v>
      </c>
      <c r="F1057" s="1">
        <v>46062</v>
      </c>
      <c r="G1057" s="1">
        <v>46062</v>
      </c>
      <c r="H1057">
        <f t="shared" si="81"/>
        <v>0</v>
      </c>
      <c r="I1057" t="str">
        <f t="shared" si="82"/>
        <v>ParcelOne</v>
      </c>
      <c r="J1057" t="str">
        <f>VLOOKUP(A1057,Orders!$A$2:$D$1201,4,FALSE)</f>
        <v>Delivered</v>
      </c>
      <c r="K1057" t="str">
        <f t="shared" si="83"/>
        <v>On time</v>
      </c>
      <c r="L1057" t="str">
        <f t="shared" si="84"/>
        <v>Late</v>
      </c>
      <c r="O1057">
        <f t="shared" si="85"/>
        <v>0</v>
      </c>
    </row>
    <row r="1058" spans="1:15">
      <c r="A1058">
        <v>2109</v>
      </c>
      <c r="B1058" t="s">
        <v>346</v>
      </c>
      <c r="C1058" s="1">
        <v>46091</v>
      </c>
      <c r="D1058" s="1">
        <v>46091</v>
      </c>
      <c r="E1058" s="1">
        <v>46096</v>
      </c>
      <c r="F1058" s="1">
        <v>46096</v>
      </c>
      <c r="G1058" s="1">
        <v>46096</v>
      </c>
      <c r="H1058">
        <f t="shared" si="81"/>
        <v>0</v>
      </c>
      <c r="I1058" t="str">
        <f t="shared" si="82"/>
        <v>SwiftShip</v>
      </c>
      <c r="J1058" t="str">
        <f>VLOOKUP(A1058,Orders!$A$2:$D$1201,4,FALSE)</f>
        <v>Delivered</v>
      </c>
      <c r="K1058" t="str">
        <f t="shared" si="83"/>
        <v>On time</v>
      </c>
      <c r="L1058" t="str">
        <f t="shared" si="84"/>
        <v>On time</v>
      </c>
      <c r="O1058">
        <f t="shared" si="85"/>
        <v>0</v>
      </c>
    </row>
    <row r="1059" spans="1:15">
      <c r="A1059">
        <v>2110</v>
      </c>
      <c r="B1059" t="s">
        <v>347</v>
      </c>
      <c r="C1059" s="1">
        <v>46149</v>
      </c>
      <c r="D1059" s="1">
        <v>46149</v>
      </c>
      <c r="E1059" s="1">
        <v>46154</v>
      </c>
      <c r="F1059" s="1">
        <v>46152</v>
      </c>
      <c r="G1059" s="1">
        <v>46152</v>
      </c>
      <c r="H1059">
        <f t="shared" si="81"/>
        <v>0</v>
      </c>
      <c r="I1059" t="str">
        <f t="shared" si="82"/>
        <v>ParcelOne</v>
      </c>
      <c r="J1059" t="str">
        <f>VLOOKUP(A1059,Orders!$A$2:$D$1201,4,FALSE)</f>
        <v>Delivered</v>
      </c>
      <c r="K1059" t="str">
        <f t="shared" si="83"/>
        <v>On time</v>
      </c>
      <c r="L1059" t="str">
        <f t="shared" si="84"/>
        <v>On time</v>
      </c>
      <c r="O1059">
        <f t="shared" si="85"/>
        <v>0</v>
      </c>
    </row>
    <row r="1060" spans="1:15">
      <c r="A1060">
        <v>2111</v>
      </c>
      <c r="B1060" t="s">
        <v>348</v>
      </c>
      <c r="C1060" s="1">
        <v>46082</v>
      </c>
      <c r="D1060" s="1">
        <v>46082</v>
      </c>
      <c r="E1060" s="1">
        <v>46087</v>
      </c>
      <c r="F1060" s="1">
        <v>46087</v>
      </c>
      <c r="G1060" s="1">
        <v>46087</v>
      </c>
      <c r="H1060">
        <f t="shared" si="81"/>
        <v>0</v>
      </c>
      <c r="I1060" t="str">
        <f t="shared" si="82"/>
        <v>MetroLogistics</v>
      </c>
      <c r="J1060" t="str">
        <f>VLOOKUP(A1060,Orders!$A$2:$D$1201,4,FALSE)</f>
        <v>Delivered</v>
      </c>
      <c r="K1060" t="str">
        <f t="shared" si="83"/>
        <v>On time</v>
      </c>
      <c r="L1060" t="str">
        <f t="shared" si="84"/>
        <v>On time</v>
      </c>
      <c r="O1060">
        <f t="shared" si="85"/>
        <v>0</v>
      </c>
    </row>
    <row r="1061" spans="1:15">
      <c r="A1061">
        <v>2112</v>
      </c>
      <c r="B1061" t="s">
        <v>347</v>
      </c>
      <c r="C1061" s="1">
        <v>46050</v>
      </c>
      <c r="D1061" s="1">
        <v>46052</v>
      </c>
      <c r="E1061" s="1">
        <v>46055</v>
      </c>
      <c r="H1061">
        <f t="shared" si="81"/>
        <v>0</v>
      </c>
      <c r="I1061" t="str">
        <f t="shared" si="82"/>
        <v>ParcelOne</v>
      </c>
      <c r="J1061" t="str">
        <f>VLOOKUP(A1061,Orders!$A$2:$D$1201,4,FALSE)</f>
        <v>Shipped</v>
      </c>
      <c r="K1061" t="str">
        <f t="shared" si="83"/>
        <v>Not delivered</v>
      </c>
      <c r="L1061" t="str">
        <f t="shared" si="84"/>
        <v>Late</v>
      </c>
      <c r="O1061" t="str">
        <f t="shared" si="85"/>
        <v/>
      </c>
    </row>
    <row r="1062" spans="1:15">
      <c r="A1062">
        <v>2113</v>
      </c>
      <c r="B1062" t="s">
        <v>348</v>
      </c>
      <c r="C1062" s="1">
        <v>46139</v>
      </c>
      <c r="D1062" s="1">
        <v>46139</v>
      </c>
      <c r="E1062" s="1">
        <v>46144</v>
      </c>
      <c r="F1062" s="1">
        <v>46144</v>
      </c>
      <c r="G1062" s="1">
        <v>46144</v>
      </c>
      <c r="H1062">
        <f t="shared" si="81"/>
        <v>0</v>
      </c>
      <c r="I1062" t="str">
        <f t="shared" si="82"/>
        <v>MetroLogistics</v>
      </c>
      <c r="J1062" t="str">
        <f>VLOOKUP(A1062,Orders!$A$2:$D$1201,4,FALSE)</f>
        <v>Delivered</v>
      </c>
      <c r="K1062" t="str">
        <f t="shared" si="83"/>
        <v>On time</v>
      </c>
      <c r="L1062" t="str">
        <f t="shared" si="84"/>
        <v>On time</v>
      </c>
      <c r="O1062">
        <f t="shared" si="85"/>
        <v>0</v>
      </c>
    </row>
    <row r="1063" spans="1:15">
      <c r="A1063">
        <v>2114</v>
      </c>
      <c r="B1063" t="s">
        <v>348</v>
      </c>
      <c r="C1063" s="1">
        <v>46141</v>
      </c>
      <c r="D1063" s="1">
        <v>46141</v>
      </c>
      <c r="E1063" s="1">
        <v>46146</v>
      </c>
      <c r="F1063" s="1">
        <v>46145</v>
      </c>
      <c r="G1063" s="1">
        <v>46145</v>
      </c>
      <c r="H1063">
        <f t="shared" si="81"/>
        <v>0</v>
      </c>
      <c r="I1063" t="str">
        <f t="shared" si="82"/>
        <v>MetroLogistics</v>
      </c>
      <c r="J1063" t="str">
        <f>VLOOKUP(A1063,Orders!$A$2:$D$1201,4,FALSE)</f>
        <v>Delivered</v>
      </c>
      <c r="K1063" t="str">
        <f t="shared" si="83"/>
        <v>On time</v>
      </c>
      <c r="L1063" t="str">
        <f t="shared" si="84"/>
        <v>On time</v>
      </c>
      <c r="O1063">
        <f t="shared" si="85"/>
        <v>0</v>
      </c>
    </row>
    <row r="1064" spans="1:15">
      <c r="A1064">
        <v>2115</v>
      </c>
      <c r="B1064" t="s">
        <v>347</v>
      </c>
      <c r="C1064" s="1">
        <v>46147</v>
      </c>
      <c r="D1064" s="1">
        <v>46147</v>
      </c>
      <c r="E1064" s="1">
        <v>46152</v>
      </c>
      <c r="F1064" s="1">
        <v>46151</v>
      </c>
      <c r="G1064" s="1">
        <v>46151</v>
      </c>
      <c r="H1064">
        <f t="shared" si="81"/>
        <v>0</v>
      </c>
      <c r="I1064" t="str">
        <f t="shared" si="82"/>
        <v>ParcelOne</v>
      </c>
      <c r="J1064" t="str">
        <f>VLOOKUP(A1064,Orders!$A$2:$D$1201,4,FALSE)</f>
        <v>Delivered</v>
      </c>
      <c r="K1064" t="str">
        <f t="shared" si="83"/>
        <v>On time</v>
      </c>
      <c r="L1064" t="str">
        <f t="shared" si="84"/>
        <v>On time</v>
      </c>
      <c r="O1064">
        <f t="shared" si="85"/>
        <v>0</v>
      </c>
    </row>
    <row r="1065" spans="1:15">
      <c r="A1065">
        <v>2116</v>
      </c>
      <c r="B1065" t="s">
        <v>348</v>
      </c>
      <c r="C1065" s="1">
        <v>46050</v>
      </c>
      <c r="D1065" s="1">
        <v>46050</v>
      </c>
      <c r="E1065" s="1">
        <v>46055</v>
      </c>
      <c r="F1065" s="1">
        <v>46055</v>
      </c>
      <c r="G1065" s="1">
        <v>46055</v>
      </c>
      <c r="H1065">
        <f t="shared" si="81"/>
        <v>0</v>
      </c>
      <c r="I1065" t="str">
        <f t="shared" si="82"/>
        <v>MetroLogistics</v>
      </c>
      <c r="J1065" t="str">
        <f>VLOOKUP(A1065,Orders!$A$2:$D$1201,4,FALSE)</f>
        <v>Delivered</v>
      </c>
      <c r="K1065" t="str">
        <f t="shared" si="83"/>
        <v>On time</v>
      </c>
      <c r="L1065" t="str">
        <f t="shared" si="84"/>
        <v>On time</v>
      </c>
      <c r="O1065">
        <f t="shared" si="85"/>
        <v>0</v>
      </c>
    </row>
    <row r="1066" spans="1:15">
      <c r="A1066">
        <v>2117</v>
      </c>
      <c r="B1066" t="s">
        <v>348</v>
      </c>
      <c r="C1066" s="1">
        <v>46187</v>
      </c>
      <c r="D1066" s="1">
        <v>46187</v>
      </c>
      <c r="E1066" s="1">
        <v>46192</v>
      </c>
      <c r="F1066" s="1">
        <v>46192</v>
      </c>
      <c r="G1066" s="1">
        <v>46192</v>
      </c>
      <c r="H1066">
        <f t="shared" si="81"/>
        <v>0</v>
      </c>
      <c r="I1066" t="str">
        <f t="shared" si="82"/>
        <v>MetroLogistics</v>
      </c>
      <c r="J1066" t="str">
        <f>VLOOKUP(A1066,Orders!$A$2:$D$1201,4,FALSE)</f>
        <v>Delivered</v>
      </c>
      <c r="K1066" t="str">
        <f t="shared" si="83"/>
        <v>On time</v>
      </c>
      <c r="L1066" t="str">
        <f t="shared" si="84"/>
        <v>On time</v>
      </c>
      <c r="O1066">
        <f t="shared" si="85"/>
        <v>0</v>
      </c>
    </row>
    <row r="1067" spans="1:15">
      <c r="A1067">
        <v>2118</v>
      </c>
      <c r="B1067" t="s">
        <v>347</v>
      </c>
      <c r="C1067" s="1">
        <v>46148</v>
      </c>
      <c r="D1067" s="1">
        <v>46148</v>
      </c>
      <c r="E1067" s="1">
        <v>46153</v>
      </c>
      <c r="F1067" s="1">
        <v>46153</v>
      </c>
      <c r="G1067" s="1">
        <v>46153</v>
      </c>
      <c r="H1067">
        <f t="shared" si="81"/>
        <v>0</v>
      </c>
      <c r="I1067" t="str">
        <f t="shared" si="82"/>
        <v>ParcelOne</v>
      </c>
      <c r="J1067" t="str">
        <f>VLOOKUP(A1067,Orders!$A$2:$D$1201,4,FALSE)</f>
        <v>Delivered</v>
      </c>
      <c r="K1067" t="str">
        <f t="shared" si="83"/>
        <v>On time</v>
      </c>
      <c r="L1067" t="str">
        <f t="shared" si="84"/>
        <v>On time</v>
      </c>
      <c r="O1067">
        <f t="shared" si="85"/>
        <v>0</v>
      </c>
    </row>
    <row r="1068" spans="1:15">
      <c r="A1068">
        <v>2119</v>
      </c>
      <c r="B1068" t="s">
        <v>346</v>
      </c>
      <c r="C1068" s="1">
        <v>46071</v>
      </c>
      <c r="D1068" s="1">
        <v>46071</v>
      </c>
      <c r="E1068" s="1">
        <v>46076</v>
      </c>
      <c r="F1068" s="1">
        <v>46075</v>
      </c>
      <c r="G1068" s="1">
        <v>46076</v>
      </c>
      <c r="H1068">
        <f t="shared" si="81"/>
        <v>0</v>
      </c>
      <c r="I1068" t="str">
        <f t="shared" si="82"/>
        <v>SwiftShip</v>
      </c>
      <c r="J1068" t="str">
        <f>VLOOKUP(A1068,Orders!$A$2:$D$1201,4,FALSE)</f>
        <v>Delivered</v>
      </c>
      <c r="K1068" t="str">
        <f t="shared" si="83"/>
        <v>On time</v>
      </c>
      <c r="L1068" t="str">
        <f t="shared" si="84"/>
        <v>On time</v>
      </c>
      <c r="O1068">
        <f t="shared" si="85"/>
        <v>1</v>
      </c>
    </row>
    <row r="1069" spans="1:15">
      <c r="A1069">
        <v>2120</v>
      </c>
      <c r="B1069" t="s">
        <v>348</v>
      </c>
      <c r="C1069" s="1">
        <v>46188</v>
      </c>
      <c r="D1069" s="1">
        <v>46188</v>
      </c>
      <c r="E1069" s="1">
        <v>46193</v>
      </c>
      <c r="F1069" s="1">
        <v>46193</v>
      </c>
      <c r="G1069" s="1">
        <v>46193</v>
      </c>
      <c r="H1069">
        <f t="shared" si="81"/>
        <v>0</v>
      </c>
      <c r="I1069" t="str">
        <f t="shared" si="82"/>
        <v>MetroLogistics</v>
      </c>
      <c r="J1069" t="str">
        <f>VLOOKUP(A1069,Orders!$A$2:$D$1201,4,FALSE)</f>
        <v>Delivered</v>
      </c>
      <c r="K1069" t="str">
        <f t="shared" si="83"/>
        <v>On time</v>
      </c>
      <c r="L1069" t="str">
        <f t="shared" si="84"/>
        <v>On time</v>
      </c>
      <c r="O1069">
        <f t="shared" si="85"/>
        <v>0</v>
      </c>
    </row>
    <row r="1070" spans="1:15">
      <c r="A1070">
        <v>2121</v>
      </c>
      <c r="B1070" t="s">
        <v>348</v>
      </c>
      <c r="C1070" s="1">
        <v>46145</v>
      </c>
      <c r="D1070" s="1">
        <v>46145</v>
      </c>
      <c r="E1070" s="1">
        <v>46150</v>
      </c>
      <c r="F1070" s="1">
        <v>46151</v>
      </c>
      <c r="G1070" s="1">
        <v>46152</v>
      </c>
      <c r="H1070">
        <f t="shared" si="81"/>
        <v>0</v>
      </c>
      <c r="I1070" t="str">
        <f t="shared" si="82"/>
        <v>MetroLogistics</v>
      </c>
      <c r="J1070" t="str">
        <f>VLOOKUP(A1070,Orders!$A$2:$D$1201,4,FALSE)</f>
        <v>Delivered</v>
      </c>
      <c r="K1070" t="str">
        <f t="shared" si="83"/>
        <v>Late</v>
      </c>
      <c r="L1070" t="str">
        <f t="shared" si="84"/>
        <v>On time</v>
      </c>
      <c r="O1070">
        <f t="shared" si="85"/>
        <v>1</v>
      </c>
    </row>
    <row r="1071" spans="1:15">
      <c r="A1071">
        <v>2122</v>
      </c>
      <c r="B1071" t="s">
        <v>346</v>
      </c>
      <c r="C1071" s="1">
        <v>46194</v>
      </c>
      <c r="D1071" s="1">
        <v>46194</v>
      </c>
      <c r="E1071" s="1">
        <v>46199</v>
      </c>
      <c r="F1071" s="1">
        <v>46199</v>
      </c>
      <c r="G1071" s="1">
        <v>46201</v>
      </c>
      <c r="H1071">
        <f t="shared" si="81"/>
        <v>0</v>
      </c>
      <c r="I1071" t="str">
        <f t="shared" si="82"/>
        <v>SwiftShip</v>
      </c>
      <c r="J1071" t="str">
        <f>VLOOKUP(A1071,Orders!$A$2:$D$1201,4,FALSE)</f>
        <v>Delivered</v>
      </c>
      <c r="K1071" t="str">
        <f t="shared" si="83"/>
        <v>On time</v>
      </c>
      <c r="L1071" t="str">
        <f t="shared" si="84"/>
        <v>On time</v>
      </c>
      <c r="O1071">
        <f t="shared" si="85"/>
        <v>2</v>
      </c>
    </row>
    <row r="1072" spans="1:15">
      <c r="A1072">
        <v>2123</v>
      </c>
      <c r="B1072" t="s">
        <v>347</v>
      </c>
      <c r="C1072" s="1">
        <v>46119</v>
      </c>
      <c r="D1072" s="1">
        <v>46119</v>
      </c>
      <c r="E1072" s="1">
        <v>46124</v>
      </c>
      <c r="F1072" s="1">
        <v>46122</v>
      </c>
      <c r="G1072" s="1">
        <v>46124</v>
      </c>
      <c r="H1072">
        <f t="shared" si="81"/>
        <v>0</v>
      </c>
      <c r="I1072" t="str">
        <f t="shared" si="82"/>
        <v>ParcelOne</v>
      </c>
      <c r="J1072" t="str">
        <f>VLOOKUP(A1072,Orders!$A$2:$D$1201,4,FALSE)</f>
        <v>Delivered</v>
      </c>
      <c r="K1072" t="str">
        <f t="shared" si="83"/>
        <v>On time</v>
      </c>
      <c r="L1072" t="str">
        <f t="shared" si="84"/>
        <v>On time</v>
      </c>
      <c r="O1072">
        <f t="shared" si="85"/>
        <v>2</v>
      </c>
    </row>
    <row r="1073" spans="1:15">
      <c r="A1073">
        <v>2124</v>
      </c>
      <c r="B1073" t="s">
        <v>347</v>
      </c>
      <c r="C1073" s="1">
        <v>46129</v>
      </c>
      <c r="D1073" s="1">
        <v>46129</v>
      </c>
      <c r="E1073" s="1">
        <v>46134</v>
      </c>
      <c r="F1073" s="1">
        <v>46134</v>
      </c>
      <c r="G1073" s="1">
        <v>46135</v>
      </c>
      <c r="H1073">
        <f t="shared" si="81"/>
        <v>0</v>
      </c>
      <c r="I1073" t="str">
        <f t="shared" si="82"/>
        <v>ParcelOne</v>
      </c>
      <c r="J1073" t="str">
        <f>VLOOKUP(A1073,Orders!$A$2:$D$1201,4,FALSE)</f>
        <v>Delivered</v>
      </c>
      <c r="K1073" t="str">
        <f t="shared" si="83"/>
        <v>On time</v>
      </c>
      <c r="L1073" t="str">
        <f t="shared" si="84"/>
        <v>On time</v>
      </c>
      <c r="O1073">
        <f t="shared" si="85"/>
        <v>1</v>
      </c>
    </row>
    <row r="1074" spans="1:15">
      <c r="A1074">
        <v>2125</v>
      </c>
      <c r="B1074" t="s">
        <v>347</v>
      </c>
      <c r="C1074" s="1">
        <v>46107</v>
      </c>
      <c r="D1074" s="1">
        <v>46107</v>
      </c>
      <c r="E1074" s="1">
        <v>46112</v>
      </c>
      <c r="F1074" s="1">
        <v>46112</v>
      </c>
      <c r="G1074" s="1">
        <v>46112</v>
      </c>
      <c r="H1074">
        <f t="shared" si="81"/>
        <v>0</v>
      </c>
      <c r="I1074" t="str">
        <f t="shared" si="82"/>
        <v>ParcelOne</v>
      </c>
      <c r="J1074" t="str">
        <f>VLOOKUP(A1074,Orders!$A$2:$D$1201,4,FALSE)</f>
        <v>Delivered</v>
      </c>
      <c r="K1074" t="str">
        <f t="shared" si="83"/>
        <v>On time</v>
      </c>
      <c r="L1074" t="str">
        <f t="shared" si="84"/>
        <v>On time</v>
      </c>
      <c r="O1074">
        <f t="shared" si="85"/>
        <v>0</v>
      </c>
    </row>
    <row r="1075" spans="1:15">
      <c r="A1075">
        <v>2126</v>
      </c>
      <c r="B1075" t="s">
        <v>347</v>
      </c>
      <c r="C1075" s="1">
        <v>46087</v>
      </c>
      <c r="D1075" s="1">
        <v>46087</v>
      </c>
      <c r="E1075" s="1">
        <v>46092</v>
      </c>
      <c r="F1075" s="1">
        <v>46092</v>
      </c>
      <c r="G1075" s="1">
        <v>46092</v>
      </c>
      <c r="H1075">
        <f t="shared" si="81"/>
        <v>0</v>
      </c>
      <c r="I1075" t="str">
        <f t="shared" si="82"/>
        <v>ParcelOne</v>
      </c>
      <c r="J1075" t="str">
        <f>VLOOKUP(A1075,Orders!$A$2:$D$1201,4,FALSE)</f>
        <v>Delivered</v>
      </c>
      <c r="K1075" t="str">
        <f t="shared" si="83"/>
        <v>On time</v>
      </c>
      <c r="L1075" t="str">
        <f t="shared" si="84"/>
        <v>On time</v>
      </c>
      <c r="O1075">
        <f t="shared" si="85"/>
        <v>0</v>
      </c>
    </row>
    <row r="1076" spans="1:15">
      <c r="A1076">
        <v>2127</v>
      </c>
      <c r="B1076" t="s">
        <v>348</v>
      </c>
      <c r="C1076" s="1">
        <v>46039</v>
      </c>
      <c r="D1076" s="1">
        <v>46040</v>
      </c>
      <c r="E1076" s="1">
        <v>46044</v>
      </c>
      <c r="F1076" s="1">
        <v>46042</v>
      </c>
      <c r="G1076" s="1">
        <v>46044</v>
      </c>
      <c r="H1076">
        <f t="shared" si="81"/>
        <v>0</v>
      </c>
      <c r="I1076" t="str">
        <f t="shared" si="82"/>
        <v>MetroLogistics</v>
      </c>
      <c r="J1076" t="str">
        <f>VLOOKUP(A1076,Orders!$A$2:$D$1201,4,FALSE)</f>
        <v>Delivered</v>
      </c>
      <c r="K1076" t="str">
        <f t="shared" si="83"/>
        <v>On time</v>
      </c>
      <c r="L1076" t="str">
        <f t="shared" si="84"/>
        <v>Late</v>
      </c>
      <c r="O1076">
        <f t="shared" si="85"/>
        <v>2</v>
      </c>
    </row>
    <row r="1077" spans="1:15">
      <c r="A1077">
        <v>2128</v>
      </c>
      <c r="B1077" t="s">
        <v>348</v>
      </c>
      <c r="C1077" s="1">
        <v>46130</v>
      </c>
      <c r="D1077" s="1">
        <v>46130</v>
      </c>
      <c r="E1077" s="1">
        <v>46135</v>
      </c>
      <c r="F1077" s="1">
        <v>46135</v>
      </c>
      <c r="G1077" s="1">
        <v>46135</v>
      </c>
      <c r="H1077">
        <f t="shared" si="81"/>
        <v>0</v>
      </c>
      <c r="I1077" t="str">
        <f t="shared" si="82"/>
        <v>MetroLogistics</v>
      </c>
      <c r="J1077" t="str">
        <f>VLOOKUP(A1077,Orders!$A$2:$D$1201,4,FALSE)</f>
        <v>Delivered</v>
      </c>
      <c r="K1077" t="str">
        <f t="shared" si="83"/>
        <v>On time</v>
      </c>
      <c r="L1077" t="str">
        <f t="shared" si="84"/>
        <v>On time</v>
      </c>
      <c r="O1077">
        <f t="shared" si="85"/>
        <v>0</v>
      </c>
    </row>
    <row r="1078" spans="1:15">
      <c r="A1078">
        <v>2129</v>
      </c>
      <c r="B1078" t="s">
        <v>348</v>
      </c>
      <c r="C1078" s="1">
        <v>46160</v>
      </c>
      <c r="D1078" s="1">
        <v>46162</v>
      </c>
      <c r="E1078" s="1">
        <v>46165</v>
      </c>
      <c r="F1078" s="1">
        <v>46165</v>
      </c>
      <c r="G1078" s="1">
        <v>46165</v>
      </c>
      <c r="H1078">
        <f t="shared" si="81"/>
        <v>0</v>
      </c>
      <c r="I1078" t="str">
        <f t="shared" si="82"/>
        <v>MetroLogistics</v>
      </c>
      <c r="J1078" t="str">
        <f>VLOOKUP(A1078,Orders!$A$2:$D$1201,4,FALSE)</f>
        <v>Delivered</v>
      </c>
      <c r="K1078" t="str">
        <f t="shared" si="83"/>
        <v>On time</v>
      </c>
      <c r="L1078" t="str">
        <f t="shared" si="84"/>
        <v>Late</v>
      </c>
      <c r="O1078">
        <f t="shared" si="85"/>
        <v>0</v>
      </c>
    </row>
    <row r="1079" spans="1:15">
      <c r="A1079">
        <v>2130</v>
      </c>
      <c r="B1079" t="s">
        <v>346</v>
      </c>
      <c r="C1079" s="1">
        <v>46079</v>
      </c>
      <c r="D1079" s="1">
        <v>46079</v>
      </c>
      <c r="E1079" s="1">
        <v>46084</v>
      </c>
      <c r="F1079" s="1">
        <v>46085</v>
      </c>
      <c r="G1079" s="1">
        <v>46085</v>
      </c>
      <c r="H1079">
        <f t="shared" si="81"/>
        <v>0</v>
      </c>
      <c r="I1079" t="str">
        <f t="shared" si="82"/>
        <v>SwiftShip</v>
      </c>
      <c r="J1079" t="str">
        <f>VLOOKUP(A1079,Orders!$A$2:$D$1201,4,FALSE)</f>
        <v>Delivered</v>
      </c>
      <c r="K1079" t="str">
        <f t="shared" si="83"/>
        <v>Late</v>
      </c>
      <c r="L1079" t="str">
        <f t="shared" si="84"/>
        <v>On time</v>
      </c>
      <c r="O1079">
        <f t="shared" si="85"/>
        <v>0</v>
      </c>
    </row>
    <row r="1080" spans="1:15">
      <c r="A1080">
        <v>2131</v>
      </c>
      <c r="B1080" t="s">
        <v>348</v>
      </c>
      <c r="C1080" s="1">
        <v>46179</v>
      </c>
      <c r="D1080" s="1">
        <v>46179</v>
      </c>
      <c r="E1080" s="1">
        <v>46184</v>
      </c>
      <c r="F1080" s="1">
        <v>46185</v>
      </c>
      <c r="G1080" s="1">
        <v>46185</v>
      </c>
      <c r="H1080">
        <f t="shared" si="81"/>
        <v>0</v>
      </c>
      <c r="I1080" t="str">
        <f t="shared" si="82"/>
        <v>MetroLogistics</v>
      </c>
      <c r="J1080" t="str">
        <f>VLOOKUP(A1080,Orders!$A$2:$D$1201,4,FALSE)</f>
        <v>Delivered</v>
      </c>
      <c r="K1080" t="str">
        <f t="shared" si="83"/>
        <v>Late</v>
      </c>
      <c r="L1080" t="str">
        <f t="shared" si="84"/>
        <v>On time</v>
      </c>
      <c r="O1080">
        <f t="shared" si="85"/>
        <v>0</v>
      </c>
    </row>
    <row r="1081" spans="1:15">
      <c r="A1081">
        <v>2132</v>
      </c>
      <c r="B1081" t="s">
        <v>346</v>
      </c>
      <c r="C1081" s="1">
        <v>46040</v>
      </c>
      <c r="D1081" s="1">
        <v>46042</v>
      </c>
      <c r="E1081" s="1">
        <v>46045</v>
      </c>
      <c r="H1081">
        <f t="shared" si="81"/>
        <v>0</v>
      </c>
      <c r="I1081" t="str">
        <f t="shared" si="82"/>
        <v>SwiftShip</v>
      </c>
      <c r="J1081" t="str">
        <f>VLOOKUP(A1081,Orders!$A$2:$D$1201,4,FALSE)</f>
        <v>Shipped</v>
      </c>
      <c r="K1081" t="str">
        <f t="shared" si="83"/>
        <v>Not delivered</v>
      </c>
      <c r="L1081" t="str">
        <f t="shared" si="84"/>
        <v>Late</v>
      </c>
      <c r="O1081" t="str">
        <f t="shared" si="85"/>
        <v/>
      </c>
    </row>
    <row r="1082" spans="1:15">
      <c r="A1082">
        <v>2133</v>
      </c>
      <c r="B1082" t="s">
        <v>348</v>
      </c>
      <c r="C1082" s="1">
        <v>46162</v>
      </c>
      <c r="D1082" s="1">
        <v>46164</v>
      </c>
      <c r="E1082" s="1">
        <v>46167</v>
      </c>
      <c r="F1082" s="1">
        <v>46168</v>
      </c>
      <c r="G1082" s="1">
        <v>46168</v>
      </c>
      <c r="H1082">
        <f t="shared" si="81"/>
        <v>0</v>
      </c>
      <c r="I1082" t="str">
        <f t="shared" si="82"/>
        <v>MetroLogistics</v>
      </c>
      <c r="J1082" t="str">
        <f>VLOOKUP(A1082,Orders!$A$2:$D$1201,4,FALSE)</f>
        <v>Delivered</v>
      </c>
      <c r="K1082" t="str">
        <f t="shared" si="83"/>
        <v>Late</v>
      </c>
      <c r="L1082" t="str">
        <f t="shared" si="84"/>
        <v>Late</v>
      </c>
      <c r="O1082">
        <f t="shared" si="85"/>
        <v>0</v>
      </c>
    </row>
    <row r="1083" spans="1:15">
      <c r="A1083">
        <v>2134</v>
      </c>
      <c r="B1083" t="s">
        <v>348</v>
      </c>
      <c r="C1083" s="1">
        <v>46047</v>
      </c>
      <c r="D1083" s="1">
        <v>46047</v>
      </c>
      <c r="E1083" s="1">
        <v>46052</v>
      </c>
      <c r="F1083" s="1">
        <v>46054</v>
      </c>
      <c r="G1083" s="1">
        <v>46054</v>
      </c>
      <c r="H1083">
        <f t="shared" si="81"/>
        <v>0</v>
      </c>
      <c r="I1083" t="str">
        <f t="shared" si="82"/>
        <v>MetroLogistics</v>
      </c>
      <c r="J1083" t="str">
        <f>VLOOKUP(A1083,Orders!$A$2:$D$1201,4,FALSE)</f>
        <v>Delivered</v>
      </c>
      <c r="K1083" t="str">
        <f t="shared" si="83"/>
        <v>Late</v>
      </c>
      <c r="L1083" t="str">
        <f t="shared" si="84"/>
        <v>On time</v>
      </c>
      <c r="O1083">
        <f t="shared" si="85"/>
        <v>0</v>
      </c>
    </row>
    <row r="1084" spans="1:15">
      <c r="A1084">
        <v>2135</v>
      </c>
      <c r="B1084" t="s">
        <v>346</v>
      </c>
      <c r="C1084" s="1">
        <v>46109</v>
      </c>
      <c r="D1084" s="1">
        <v>46109</v>
      </c>
      <c r="E1084" s="1">
        <v>46114</v>
      </c>
      <c r="F1084" s="1">
        <v>46114</v>
      </c>
      <c r="G1084" s="1">
        <v>46114</v>
      </c>
      <c r="H1084">
        <f t="shared" si="81"/>
        <v>0</v>
      </c>
      <c r="I1084" t="str">
        <f t="shared" si="82"/>
        <v>SwiftShip</v>
      </c>
      <c r="J1084" t="str">
        <f>VLOOKUP(A1084,Orders!$A$2:$D$1201,4,FALSE)</f>
        <v>Delivered</v>
      </c>
      <c r="K1084" t="str">
        <f t="shared" si="83"/>
        <v>On time</v>
      </c>
      <c r="L1084" t="str">
        <f t="shared" si="84"/>
        <v>On time</v>
      </c>
      <c r="O1084">
        <f t="shared" si="85"/>
        <v>0</v>
      </c>
    </row>
    <row r="1085" spans="1:15">
      <c r="A1085">
        <v>2136</v>
      </c>
      <c r="B1085" t="s">
        <v>348</v>
      </c>
      <c r="C1085" s="1">
        <v>46029</v>
      </c>
      <c r="D1085" s="1">
        <v>46029</v>
      </c>
      <c r="E1085" s="1">
        <v>46034</v>
      </c>
      <c r="F1085" s="1">
        <v>46034</v>
      </c>
      <c r="G1085" s="1">
        <v>46034</v>
      </c>
      <c r="H1085">
        <f t="shared" si="81"/>
        <v>0</v>
      </c>
      <c r="I1085" t="str">
        <f t="shared" si="82"/>
        <v>MetroLogistics</v>
      </c>
      <c r="J1085" t="str">
        <f>VLOOKUP(A1085,Orders!$A$2:$D$1201,4,FALSE)</f>
        <v>Delivered</v>
      </c>
      <c r="K1085" t="str">
        <f t="shared" si="83"/>
        <v>On time</v>
      </c>
      <c r="L1085" t="str">
        <f t="shared" si="84"/>
        <v>On time</v>
      </c>
      <c r="O1085">
        <f t="shared" si="85"/>
        <v>0</v>
      </c>
    </row>
    <row r="1086" spans="1:15">
      <c r="A1086">
        <v>2138</v>
      </c>
      <c r="B1086" t="s">
        <v>346</v>
      </c>
      <c r="C1086" s="1">
        <v>46077</v>
      </c>
      <c r="D1086" s="1">
        <v>46077</v>
      </c>
      <c r="E1086" s="1">
        <v>46082</v>
      </c>
      <c r="F1086" s="1">
        <v>46082</v>
      </c>
      <c r="G1086" s="1">
        <v>46084</v>
      </c>
      <c r="H1086">
        <f t="shared" si="81"/>
        <v>0</v>
      </c>
      <c r="I1086" t="str">
        <f t="shared" si="82"/>
        <v>SwiftShip</v>
      </c>
      <c r="J1086" t="str">
        <f>VLOOKUP(A1086,Orders!$A$2:$D$1201,4,FALSE)</f>
        <v>Delivered</v>
      </c>
      <c r="K1086" t="str">
        <f t="shared" si="83"/>
        <v>On time</v>
      </c>
      <c r="L1086" t="str">
        <f t="shared" si="84"/>
        <v>On time</v>
      </c>
      <c r="O1086">
        <f t="shared" si="85"/>
        <v>2</v>
      </c>
    </row>
    <row r="1087" spans="1:15">
      <c r="A1087">
        <v>2139</v>
      </c>
      <c r="B1087" t="s">
        <v>346</v>
      </c>
      <c r="C1087" s="1">
        <v>46105</v>
      </c>
      <c r="D1087" s="1">
        <v>46105</v>
      </c>
      <c r="E1087" s="1">
        <v>46110</v>
      </c>
      <c r="H1087">
        <f t="shared" si="81"/>
        <v>0</v>
      </c>
      <c r="I1087" t="str">
        <f t="shared" si="82"/>
        <v>SwiftShip</v>
      </c>
      <c r="J1087" t="str">
        <f>VLOOKUP(A1087,Orders!$A$2:$D$1201,4,FALSE)</f>
        <v>Shipped</v>
      </c>
      <c r="K1087" t="str">
        <f t="shared" si="83"/>
        <v>Not delivered</v>
      </c>
      <c r="L1087" t="str">
        <f t="shared" si="84"/>
        <v>On time</v>
      </c>
      <c r="O1087" t="str">
        <f t="shared" si="85"/>
        <v/>
      </c>
    </row>
    <row r="1088" spans="1:15">
      <c r="A1088">
        <v>2140</v>
      </c>
      <c r="B1088" t="s">
        <v>346</v>
      </c>
      <c r="C1088" s="1">
        <v>46084</v>
      </c>
      <c r="D1088" s="1">
        <v>46085</v>
      </c>
      <c r="E1088" s="1">
        <v>46089</v>
      </c>
      <c r="H1088">
        <f t="shared" si="81"/>
        <v>0</v>
      </c>
      <c r="I1088" t="str">
        <f t="shared" si="82"/>
        <v>SwiftShip</v>
      </c>
      <c r="J1088" t="str">
        <f>VLOOKUP(A1088,Orders!$A$2:$D$1201,4,FALSE)</f>
        <v>Shipped</v>
      </c>
      <c r="K1088" t="str">
        <f t="shared" si="83"/>
        <v>Not delivered</v>
      </c>
      <c r="L1088" t="str">
        <f t="shared" si="84"/>
        <v>Late</v>
      </c>
      <c r="O1088" t="str">
        <f t="shared" si="85"/>
        <v/>
      </c>
    </row>
    <row r="1089" spans="1:15">
      <c r="A1089">
        <v>2141</v>
      </c>
      <c r="B1089" t="s">
        <v>347</v>
      </c>
      <c r="C1089" s="1">
        <v>46031</v>
      </c>
      <c r="D1089" s="1">
        <v>46031</v>
      </c>
      <c r="E1089" s="1">
        <v>46036</v>
      </c>
      <c r="F1089" s="1">
        <v>46037</v>
      </c>
      <c r="G1089" s="1">
        <v>46037</v>
      </c>
      <c r="H1089">
        <f t="shared" si="81"/>
        <v>0</v>
      </c>
      <c r="I1089" t="str">
        <f t="shared" si="82"/>
        <v>ParcelOne</v>
      </c>
      <c r="J1089" t="str">
        <f>VLOOKUP(A1089,Orders!$A$2:$D$1201,4,FALSE)</f>
        <v>Delivered</v>
      </c>
      <c r="K1089" t="str">
        <f t="shared" si="83"/>
        <v>Late</v>
      </c>
      <c r="L1089" t="str">
        <f t="shared" si="84"/>
        <v>On time</v>
      </c>
      <c r="O1089">
        <f t="shared" si="85"/>
        <v>0</v>
      </c>
    </row>
    <row r="1090" spans="1:15">
      <c r="A1090">
        <v>2142</v>
      </c>
      <c r="B1090" t="s">
        <v>348</v>
      </c>
      <c r="C1090" s="1">
        <v>46048</v>
      </c>
      <c r="D1090" s="1">
        <v>46050</v>
      </c>
      <c r="E1090" s="1">
        <v>46053</v>
      </c>
      <c r="H1090">
        <f t="shared" si="81"/>
        <v>0</v>
      </c>
      <c r="I1090" t="str">
        <f t="shared" si="82"/>
        <v>MetroLogistics</v>
      </c>
      <c r="J1090" t="str">
        <f>VLOOKUP(A1090,Orders!$A$2:$D$1201,4,FALSE)</f>
        <v>Shipped</v>
      </c>
      <c r="K1090" t="str">
        <f t="shared" si="83"/>
        <v>Not delivered</v>
      </c>
      <c r="L1090" t="str">
        <f t="shared" si="84"/>
        <v>Late</v>
      </c>
      <c r="O1090" t="str">
        <f t="shared" si="85"/>
        <v/>
      </c>
    </row>
    <row r="1091" spans="1:15">
      <c r="A1091">
        <v>2143</v>
      </c>
      <c r="B1091" t="s">
        <v>347</v>
      </c>
      <c r="C1091" s="1">
        <v>46179</v>
      </c>
      <c r="D1091" s="1">
        <v>46179</v>
      </c>
      <c r="E1091" s="1">
        <v>46184</v>
      </c>
      <c r="F1091" s="1">
        <v>46184</v>
      </c>
      <c r="G1091" s="1">
        <v>46186</v>
      </c>
      <c r="H1091">
        <f t="shared" ref="H1091:H1146" si="86">LEN(B1091)-LEN(TRIM(B1091))</f>
        <v>0</v>
      </c>
      <c r="I1091" t="str">
        <f t="shared" ref="I1091:I1146" si="87">TRIM(B1091)</f>
        <v>ParcelOne</v>
      </c>
      <c r="J1091" t="str">
        <f>VLOOKUP(A1091,Orders!$A$2:$D$1201,4,FALSE)</f>
        <v>Delivered</v>
      </c>
      <c r="K1091" t="str">
        <f t="shared" ref="K1091:K1146" si="88">IF(J1091&lt;&gt;"Delivered","Not delivered",IF(OR(E1091="",F1091=""),"Unknown",IF(F1091&lt;=E1091,"On time","Late")))</f>
        <v>On time</v>
      </c>
      <c r="L1091" t="str">
        <f t="shared" ref="L1091:L1146" si="89">IF(D1091="","Not dispatched",IF(C1091="","Unknown",IF(D1091&lt;=C1091,"On time","Late")))</f>
        <v>On time</v>
      </c>
      <c r="O1091">
        <f t="shared" ref="O1091:O1146" si="90">IF(OR(F1091="",G1091=""),"",G1091-F1091)</f>
        <v>2</v>
      </c>
    </row>
    <row r="1092" spans="1:15">
      <c r="A1092">
        <v>2144</v>
      </c>
      <c r="B1092" t="s">
        <v>346</v>
      </c>
      <c r="C1092" s="1">
        <v>46026</v>
      </c>
      <c r="D1092" s="1">
        <v>46027</v>
      </c>
      <c r="E1092" s="1">
        <v>46031</v>
      </c>
      <c r="F1092" s="1">
        <v>46031</v>
      </c>
      <c r="G1092" s="1">
        <v>46032</v>
      </c>
      <c r="H1092">
        <f t="shared" si="86"/>
        <v>0</v>
      </c>
      <c r="I1092" t="str">
        <f t="shared" si="87"/>
        <v>SwiftShip</v>
      </c>
      <c r="J1092" t="str">
        <f>VLOOKUP(A1092,Orders!$A$2:$D$1201,4,FALSE)</f>
        <v>Delivered</v>
      </c>
      <c r="K1092" t="str">
        <f t="shared" si="88"/>
        <v>On time</v>
      </c>
      <c r="L1092" t="str">
        <f t="shared" si="89"/>
        <v>Late</v>
      </c>
      <c r="O1092">
        <f t="shared" si="90"/>
        <v>1</v>
      </c>
    </row>
    <row r="1093" spans="1:15">
      <c r="A1093">
        <v>2145</v>
      </c>
      <c r="B1093" t="s">
        <v>347</v>
      </c>
      <c r="C1093" s="1">
        <v>46083</v>
      </c>
      <c r="E1093" s="1">
        <v>46088</v>
      </c>
      <c r="H1093">
        <f t="shared" si="86"/>
        <v>0</v>
      </c>
      <c r="I1093" t="str">
        <f t="shared" si="87"/>
        <v>ParcelOne</v>
      </c>
      <c r="J1093" t="str">
        <f>VLOOKUP(A1093,Orders!$A$2:$D$1201,4,FALSE)</f>
        <v>Pending</v>
      </c>
      <c r="K1093" t="str">
        <f t="shared" si="88"/>
        <v>Not delivered</v>
      </c>
      <c r="L1093" t="str">
        <f t="shared" si="89"/>
        <v>Not dispatched</v>
      </c>
      <c r="O1093" t="str">
        <f t="shared" si="90"/>
        <v/>
      </c>
    </row>
    <row r="1094" spans="1:15">
      <c r="A1094">
        <v>2146</v>
      </c>
      <c r="B1094" t="s">
        <v>348</v>
      </c>
      <c r="C1094" s="1">
        <v>46061</v>
      </c>
      <c r="D1094" s="1">
        <v>46061</v>
      </c>
      <c r="E1094" s="1">
        <v>46066</v>
      </c>
      <c r="F1094" s="1">
        <v>46064</v>
      </c>
      <c r="G1094" s="1">
        <v>46065</v>
      </c>
      <c r="H1094">
        <f t="shared" si="86"/>
        <v>0</v>
      </c>
      <c r="I1094" t="str">
        <f t="shared" si="87"/>
        <v>MetroLogistics</v>
      </c>
      <c r="J1094" t="str">
        <f>VLOOKUP(A1094,Orders!$A$2:$D$1201,4,FALSE)</f>
        <v>Delivered</v>
      </c>
      <c r="K1094" t="str">
        <f t="shared" si="88"/>
        <v>On time</v>
      </c>
      <c r="L1094" t="str">
        <f t="shared" si="89"/>
        <v>On time</v>
      </c>
      <c r="O1094">
        <f t="shared" si="90"/>
        <v>1</v>
      </c>
    </row>
    <row r="1095" spans="1:15">
      <c r="A1095">
        <v>2147</v>
      </c>
      <c r="B1095" t="s">
        <v>348</v>
      </c>
      <c r="C1095" s="1">
        <v>46194</v>
      </c>
      <c r="D1095" s="1">
        <v>46194</v>
      </c>
      <c r="E1095" s="1">
        <v>46199</v>
      </c>
      <c r="F1095" s="1">
        <v>46199</v>
      </c>
      <c r="G1095" s="1">
        <v>46199</v>
      </c>
      <c r="H1095">
        <f t="shared" si="86"/>
        <v>0</v>
      </c>
      <c r="I1095" t="str">
        <f t="shared" si="87"/>
        <v>MetroLogistics</v>
      </c>
      <c r="J1095" t="str">
        <f>VLOOKUP(A1095,Orders!$A$2:$D$1201,4,FALSE)</f>
        <v>Delivered</v>
      </c>
      <c r="K1095" t="str">
        <f t="shared" si="88"/>
        <v>On time</v>
      </c>
      <c r="L1095" t="str">
        <f t="shared" si="89"/>
        <v>On time</v>
      </c>
      <c r="O1095">
        <f t="shared" si="90"/>
        <v>0</v>
      </c>
    </row>
    <row r="1096" spans="1:15">
      <c r="A1096">
        <v>2148</v>
      </c>
      <c r="B1096" t="s">
        <v>346</v>
      </c>
      <c r="C1096" s="1">
        <v>46071</v>
      </c>
      <c r="D1096" s="1">
        <v>46071</v>
      </c>
      <c r="E1096" s="1">
        <v>46076</v>
      </c>
      <c r="F1096" s="1">
        <v>46076</v>
      </c>
      <c r="G1096" s="1">
        <v>46076</v>
      </c>
      <c r="H1096">
        <f t="shared" si="86"/>
        <v>0</v>
      </c>
      <c r="I1096" t="str">
        <f t="shared" si="87"/>
        <v>SwiftShip</v>
      </c>
      <c r="J1096" t="str">
        <f>VLOOKUP(A1096,Orders!$A$2:$D$1201,4,FALSE)</f>
        <v>Delivered</v>
      </c>
      <c r="K1096" t="str">
        <f t="shared" si="88"/>
        <v>On time</v>
      </c>
      <c r="L1096" t="str">
        <f t="shared" si="89"/>
        <v>On time</v>
      </c>
      <c r="O1096">
        <f t="shared" si="90"/>
        <v>0</v>
      </c>
    </row>
    <row r="1097" spans="1:15">
      <c r="A1097">
        <v>2149</v>
      </c>
      <c r="B1097" t="s">
        <v>348</v>
      </c>
      <c r="C1097" s="1">
        <v>46184</v>
      </c>
      <c r="D1097" s="1">
        <v>46186</v>
      </c>
      <c r="E1097" s="1">
        <v>46189</v>
      </c>
      <c r="F1097" s="1">
        <v>46187</v>
      </c>
      <c r="G1097" s="1">
        <v>46187</v>
      </c>
      <c r="H1097">
        <f t="shared" si="86"/>
        <v>0</v>
      </c>
      <c r="I1097" t="str">
        <f t="shared" si="87"/>
        <v>MetroLogistics</v>
      </c>
      <c r="J1097" t="str">
        <f>VLOOKUP(A1097,Orders!$A$2:$D$1201,4,FALSE)</f>
        <v>Delivered</v>
      </c>
      <c r="K1097" t="str">
        <f t="shared" si="88"/>
        <v>On time</v>
      </c>
      <c r="L1097" t="str">
        <f t="shared" si="89"/>
        <v>Late</v>
      </c>
      <c r="O1097">
        <f t="shared" si="90"/>
        <v>0</v>
      </c>
    </row>
    <row r="1098" spans="1:15">
      <c r="A1098">
        <v>2150</v>
      </c>
      <c r="B1098" t="s">
        <v>346</v>
      </c>
      <c r="C1098" s="1">
        <v>46159</v>
      </c>
      <c r="D1098" s="1">
        <v>46159</v>
      </c>
      <c r="E1098" s="1">
        <v>46164</v>
      </c>
      <c r="F1098" s="1">
        <v>46168</v>
      </c>
      <c r="G1098" s="1">
        <v>46168</v>
      </c>
      <c r="H1098">
        <f t="shared" si="86"/>
        <v>0</v>
      </c>
      <c r="I1098" t="str">
        <f t="shared" si="87"/>
        <v>SwiftShip</v>
      </c>
      <c r="J1098" t="str">
        <f>VLOOKUP(A1098,Orders!$A$2:$D$1201,4,FALSE)</f>
        <v>Delivered</v>
      </c>
      <c r="K1098" t="str">
        <f t="shared" si="88"/>
        <v>Late</v>
      </c>
      <c r="L1098" t="str">
        <f t="shared" si="89"/>
        <v>On time</v>
      </c>
      <c r="O1098">
        <f t="shared" si="90"/>
        <v>0</v>
      </c>
    </row>
    <row r="1099" spans="1:15">
      <c r="A1099">
        <v>2151</v>
      </c>
      <c r="B1099" t="s">
        <v>346</v>
      </c>
      <c r="C1099" s="1">
        <v>46143</v>
      </c>
      <c r="E1099" s="1">
        <v>46148</v>
      </c>
      <c r="H1099">
        <f t="shared" si="86"/>
        <v>0</v>
      </c>
      <c r="I1099" t="str">
        <f t="shared" si="87"/>
        <v>SwiftShip</v>
      </c>
      <c r="J1099" t="str">
        <f>VLOOKUP(A1099,Orders!$A$2:$D$1201,4,FALSE)</f>
        <v>Pending</v>
      </c>
      <c r="K1099" t="str">
        <f t="shared" si="88"/>
        <v>Not delivered</v>
      </c>
      <c r="L1099" t="str">
        <f t="shared" si="89"/>
        <v>Not dispatched</v>
      </c>
      <c r="O1099" t="str">
        <f t="shared" si="90"/>
        <v/>
      </c>
    </row>
    <row r="1100" spans="1:15">
      <c r="A1100">
        <v>2153</v>
      </c>
      <c r="B1100" t="s">
        <v>347</v>
      </c>
      <c r="C1100" s="1">
        <v>46182</v>
      </c>
      <c r="D1100" s="1">
        <v>46182</v>
      </c>
      <c r="E1100" s="1">
        <v>46187</v>
      </c>
      <c r="F1100" s="1">
        <v>46186</v>
      </c>
      <c r="G1100" s="1">
        <v>46188</v>
      </c>
      <c r="H1100">
        <f t="shared" si="86"/>
        <v>0</v>
      </c>
      <c r="I1100" t="str">
        <f t="shared" si="87"/>
        <v>ParcelOne</v>
      </c>
      <c r="J1100" t="str">
        <f>VLOOKUP(A1100,Orders!$A$2:$D$1201,4,FALSE)</f>
        <v>Delivered</v>
      </c>
      <c r="K1100" t="str">
        <f t="shared" si="88"/>
        <v>On time</v>
      </c>
      <c r="L1100" t="str">
        <f t="shared" si="89"/>
        <v>On time</v>
      </c>
      <c r="O1100">
        <f t="shared" si="90"/>
        <v>2</v>
      </c>
    </row>
    <row r="1101" spans="1:15">
      <c r="A1101">
        <v>2154</v>
      </c>
      <c r="B1101" t="s">
        <v>348</v>
      </c>
      <c r="C1101" s="1">
        <v>46193</v>
      </c>
      <c r="D1101" s="1">
        <v>46193</v>
      </c>
      <c r="E1101" s="1">
        <v>46198</v>
      </c>
      <c r="F1101" s="1">
        <v>46199</v>
      </c>
      <c r="G1101" s="1">
        <v>46199</v>
      </c>
      <c r="H1101">
        <f t="shared" si="86"/>
        <v>0</v>
      </c>
      <c r="I1101" t="str">
        <f t="shared" si="87"/>
        <v>MetroLogistics</v>
      </c>
      <c r="J1101" t="str">
        <f>VLOOKUP(A1101,Orders!$A$2:$D$1201,4,FALSE)</f>
        <v>Delivered</v>
      </c>
      <c r="K1101" t="str">
        <f t="shared" si="88"/>
        <v>Late</v>
      </c>
      <c r="L1101" t="str">
        <f t="shared" si="89"/>
        <v>On time</v>
      </c>
      <c r="O1101">
        <f t="shared" si="90"/>
        <v>0</v>
      </c>
    </row>
    <row r="1102" spans="1:15">
      <c r="A1102">
        <v>2155</v>
      </c>
      <c r="B1102" t="s">
        <v>347</v>
      </c>
      <c r="C1102" s="1">
        <v>46143</v>
      </c>
      <c r="D1102" s="1">
        <v>46143</v>
      </c>
      <c r="E1102" s="1">
        <v>46148</v>
      </c>
      <c r="F1102" s="1">
        <v>46148</v>
      </c>
      <c r="G1102" s="1">
        <v>46150</v>
      </c>
      <c r="H1102">
        <f t="shared" si="86"/>
        <v>0</v>
      </c>
      <c r="I1102" t="str">
        <f t="shared" si="87"/>
        <v>ParcelOne</v>
      </c>
      <c r="J1102" t="str">
        <f>VLOOKUP(A1102,Orders!$A$2:$D$1201,4,FALSE)</f>
        <v>Delivered</v>
      </c>
      <c r="K1102" t="str">
        <f t="shared" si="88"/>
        <v>On time</v>
      </c>
      <c r="L1102" t="str">
        <f t="shared" si="89"/>
        <v>On time</v>
      </c>
      <c r="O1102">
        <f t="shared" si="90"/>
        <v>2</v>
      </c>
    </row>
    <row r="1103" spans="1:15">
      <c r="A1103">
        <v>2156</v>
      </c>
      <c r="B1103" t="s">
        <v>346</v>
      </c>
      <c r="C1103" s="1">
        <v>46123</v>
      </c>
      <c r="D1103" s="1">
        <v>46123</v>
      </c>
      <c r="E1103" s="1">
        <v>46128</v>
      </c>
      <c r="F1103" s="1">
        <v>46130</v>
      </c>
      <c r="G1103" s="1">
        <v>46130</v>
      </c>
      <c r="H1103">
        <f t="shared" si="86"/>
        <v>0</v>
      </c>
      <c r="I1103" t="str">
        <f t="shared" si="87"/>
        <v>SwiftShip</v>
      </c>
      <c r="J1103" t="str">
        <f>VLOOKUP(A1103,Orders!$A$2:$D$1201,4,FALSE)</f>
        <v>Delivered</v>
      </c>
      <c r="K1103" t="str">
        <f t="shared" si="88"/>
        <v>Late</v>
      </c>
      <c r="L1103" t="str">
        <f t="shared" si="89"/>
        <v>On time</v>
      </c>
      <c r="O1103">
        <f t="shared" si="90"/>
        <v>0</v>
      </c>
    </row>
    <row r="1104" spans="1:15">
      <c r="A1104">
        <v>2157</v>
      </c>
      <c r="B1104" t="s">
        <v>346</v>
      </c>
      <c r="C1104" s="1">
        <v>46107</v>
      </c>
      <c r="D1104" s="1">
        <v>46109</v>
      </c>
      <c r="E1104" s="1">
        <v>46112</v>
      </c>
      <c r="F1104" s="1">
        <v>46112</v>
      </c>
      <c r="G1104" s="1">
        <v>46112</v>
      </c>
      <c r="H1104">
        <f t="shared" si="86"/>
        <v>0</v>
      </c>
      <c r="I1104" t="str">
        <f t="shared" si="87"/>
        <v>SwiftShip</v>
      </c>
      <c r="J1104" t="str">
        <f>VLOOKUP(A1104,Orders!$A$2:$D$1201,4,FALSE)</f>
        <v>Delivered</v>
      </c>
      <c r="K1104" t="str">
        <f t="shared" si="88"/>
        <v>On time</v>
      </c>
      <c r="L1104" t="str">
        <f t="shared" si="89"/>
        <v>Late</v>
      </c>
      <c r="O1104">
        <f t="shared" si="90"/>
        <v>0</v>
      </c>
    </row>
    <row r="1105" spans="1:15">
      <c r="A1105">
        <v>2158</v>
      </c>
      <c r="B1105" t="s">
        <v>348</v>
      </c>
      <c r="C1105" s="1">
        <v>46055</v>
      </c>
      <c r="D1105" s="1">
        <v>46056</v>
      </c>
      <c r="E1105" s="1">
        <v>46060</v>
      </c>
      <c r="F1105" s="1">
        <v>46060</v>
      </c>
      <c r="G1105" s="1">
        <v>46060</v>
      </c>
      <c r="H1105">
        <f t="shared" si="86"/>
        <v>0</v>
      </c>
      <c r="I1105" t="str">
        <f t="shared" si="87"/>
        <v>MetroLogistics</v>
      </c>
      <c r="J1105" t="str">
        <f>VLOOKUP(A1105,Orders!$A$2:$D$1201,4,FALSE)</f>
        <v>Delivered</v>
      </c>
      <c r="K1105" t="str">
        <f t="shared" si="88"/>
        <v>On time</v>
      </c>
      <c r="L1105" t="str">
        <f t="shared" si="89"/>
        <v>Late</v>
      </c>
      <c r="O1105">
        <f t="shared" si="90"/>
        <v>0</v>
      </c>
    </row>
    <row r="1106" spans="1:15">
      <c r="A1106">
        <v>2159</v>
      </c>
      <c r="B1106" t="s">
        <v>347</v>
      </c>
      <c r="C1106" s="1">
        <v>46049</v>
      </c>
      <c r="D1106" s="1">
        <v>46049</v>
      </c>
      <c r="E1106" s="1">
        <v>46054</v>
      </c>
      <c r="F1106" s="1">
        <v>46058</v>
      </c>
      <c r="G1106" s="1">
        <v>46059</v>
      </c>
      <c r="H1106">
        <f t="shared" si="86"/>
        <v>0</v>
      </c>
      <c r="I1106" t="str">
        <f t="shared" si="87"/>
        <v>ParcelOne</v>
      </c>
      <c r="J1106" t="str">
        <f>VLOOKUP(A1106,Orders!$A$2:$D$1201,4,FALSE)</f>
        <v>Delivered</v>
      </c>
      <c r="K1106" t="str">
        <f t="shared" si="88"/>
        <v>Late</v>
      </c>
      <c r="L1106" t="str">
        <f t="shared" si="89"/>
        <v>On time</v>
      </c>
      <c r="O1106">
        <f t="shared" si="90"/>
        <v>1</v>
      </c>
    </row>
    <row r="1107" spans="1:15">
      <c r="A1107">
        <v>2160</v>
      </c>
      <c r="B1107" t="s">
        <v>348</v>
      </c>
      <c r="C1107" s="1">
        <v>46165</v>
      </c>
      <c r="D1107" s="1">
        <v>46167</v>
      </c>
      <c r="E1107" s="1">
        <v>46170</v>
      </c>
      <c r="F1107" s="1">
        <v>46174</v>
      </c>
      <c r="G1107" s="1">
        <v>46174</v>
      </c>
      <c r="H1107">
        <f t="shared" si="86"/>
        <v>0</v>
      </c>
      <c r="I1107" t="str">
        <f t="shared" si="87"/>
        <v>MetroLogistics</v>
      </c>
      <c r="J1107" t="str">
        <f>VLOOKUP(A1107,Orders!$A$2:$D$1201,4,FALSE)</f>
        <v>Delivered</v>
      </c>
      <c r="K1107" t="str">
        <f t="shared" si="88"/>
        <v>Late</v>
      </c>
      <c r="L1107" t="str">
        <f t="shared" si="89"/>
        <v>Late</v>
      </c>
      <c r="O1107">
        <f t="shared" si="90"/>
        <v>0</v>
      </c>
    </row>
    <row r="1108" spans="1:15">
      <c r="A1108">
        <v>2161</v>
      </c>
      <c r="B1108" t="s">
        <v>348</v>
      </c>
      <c r="C1108" s="1">
        <v>46074</v>
      </c>
      <c r="D1108" s="1">
        <v>46074</v>
      </c>
      <c r="E1108" s="1">
        <v>46079</v>
      </c>
      <c r="F1108" s="1">
        <v>46080</v>
      </c>
      <c r="G1108" s="1">
        <v>46080</v>
      </c>
      <c r="H1108">
        <f t="shared" si="86"/>
        <v>0</v>
      </c>
      <c r="I1108" t="str">
        <f t="shared" si="87"/>
        <v>MetroLogistics</v>
      </c>
      <c r="J1108" t="str">
        <f>VLOOKUP(A1108,Orders!$A$2:$D$1201,4,FALSE)</f>
        <v>Delivered</v>
      </c>
      <c r="K1108" t="str">
        <f t="shared" si="88"/>
        <v>Late</v>
      </c>
      <c r="L1108" t="str">
        <f t="shared" si="89"/>
        <v>On time</v>
      </c>
      <c r="O1108">
        <f t="shared" si="90"/>
        <v>0</v>
      </c>
    </row>
    <row r="1109" spans="1:15">
      <c r="A1109">
        <v>2162</v>
      </c>
      <c r="B1109" t="s">
        <v>348</v>
      </c>
      <c r="C1109" s="1">
        <v>46159</v>
      </c>
      <c r="D1109" s="1">
        <v>46159</v>
      </c>
      <c r="E1109" s="1">
        <v>46164</v>
      </c>
      <c r="F1109" s="1">
        <v>46165</v>
      </c>
      <c r="G1109" s="1">
        <v>46165</v>
      </c>
      <c r="H1109">
        <f t="shared" si="86"/>
        <v>0</v>
      </c>
      <c r="I1109" t="str">
        <f t="shared" si="87"/>
        <v>MetroLogistics</v>
      </c>
      <c r="J1109" t="str">
        <f>VLOOKUP(A1109,Orders!$A$2:$D$1201,4,FALSE)</f>
        <v>Delivered</v>
      </c>
      <c r="K1109" t="str">
        <f t="shared" si="88"/>
        <v>Late</v>
      </c>
      <c r="L1109" t="str">
        <f t="shared" si="89"/>
        <v>On time</v>
      </c>
      <c r="O1109">
        <f t="shared" si="90"/>
        <v>0</v>
      </c>
    </row>
    <row r="1110" spans="1:15">
      <c r="A1110">
        <v>2163</v>
      </c>
      <c r="B1110" t="s">
        <v>346</v>
      </c>
      <c r="C1110" s="1">
        <v>46082</v>
      </c>
      <c r="D1110" s="1">
        <v>46082</v>
      </c>
      <c r="E1110" s="1">
        <v>46087</v>
      </c>
      <c r="F1110" s="1">
        <v>46089</v>
      </c>
      <c r="G1110" s="1">
        <v>46091</v>
      </c>
      <c r="H1110">
        <f t="shared" si="86"/>
        <v>0</v>
      </c>
      <c r="I1110" t="str">
        <f t="shared" si="87"/>
        <v>SwiftShip</v>
      </c>
      <c r="J1110" t="str">
        <f>VLOOKUP(A1110,Orders!$A$2:$D$1201,4,FALSE)</f>
        <v>Delivered</v>
      </c>
      <c r="K1110" t="str">
        <f t="shared" si="88"/>
        <v>Late</v>
      </c>
      <c r="L1110" t="str">
        <f t="shared" si="89"/>
        <v>On time</v>
      </c>
      <c r="O1110">
        <f t="shared" si="90"/>
        <v>2</v>
      </c>
    </row>
    <row r="1111" spans="1:15">
      <c r="A1111">
        <v>2164</v>
      </c>
      <c r="B1111" t="s">
        <v>348</v>
      </c>
      <c r="C1111" s="1">
        <v>46144</v>
      </c>
      <c r="D1111" s="1">
        <v>46144</v>
      </c>
      <c r="E1111" s="1">
        <v>46149</v>
      </c>
      <c r="F1111" s="1">
        <v>46150</v>
      </c>
      <c r="G1111" s="1">
        <v>46150</v>
      </c>
      <c r="H1111">
        <f t="shared" si="86"/>
        <v>0</v>
      </c>
      <c r="I1111" t="str">
        <f t="shared" si="87"/>
        <v>MetroLogistics</v>
      </c>
      <c r="J1111" t="str">
        <f>VLOOKUP(A1111,Orders!$A$2:$D$1201,4,FALSE)</f>
        <v>Delivered</v>
      </c>
      <c r="K1111" t="str">
        <f t="shared" si="88"/>
        <v>Late</v>
      </c>
      <c r="L1111" t="str">
        <f t="shared" si="89"/>
        <v>On time</v>
      </c>
      <c r="O1111">
        <f t="shared" si="90"/>
        <v>0</v>
      </c>
    </row>
    <row r="1112" spans="1:15">
      <c r="A1112">
        <v>2165</v>
      </c>
      <c r="B1112" t="s">
        <v>347</v>
      </c>
      <c r="C1112" s="1">
        <v>46181</v>
      </c>
      <c r="D1112" s="1">
        <v>46181</v>
      </c>
      <c r="E1112" s="1">
        <v>46186</v>
      </c>
      <c r="F1112" s="1">
        <v>46187</v>
      </c>
      <c r="G1112" s="1">
        <v>46187</v>
      </c>
      <c r="H1112">
        <f t="shared" si="86"/>
        <v>0</v>
      </c>
      <c r="I1112" t="str">
        <f t="shared" si="87"/>
        <v>ParcelOne</v>
      </c>
      <c r="J1112" t="str">
        <f>VLOOKUP(A1112,Orders!$A$2:$D$1201,4,FALSE)</f>
        <v>Delivered</v>
      </c>
      <c r="K1112" t="str">
        <f t="shared" si="88"/>
        <v>Late</v>
      </c>
      <c r="L1112" t="str">
        <f t="shared" si="89"/>
        <v>On time</v>
      </c>
      <c r="O1112">
        <f t="shared" si="90"/>
        <v>0</v>
      </c>
    </row>
    <row r="1113" spans="1:15">
      <c r="A1113">
        <v>2166</v>
      </c>
      <c r="B1113" t="s">
        <v>346</v>
      </c>
      <c r="C1113" s="1">
        <v>46125</v>
      </c>
      <c r="D1113" s="1">
        <v>46125</v>
      </c>
      <c r="E1113" s="1">
        <v>46130</v>
      </c>
      <c r="F1113" s="1">
        <v>46134</v>
      </c>
      <c r="G1113" s="1">
        <v>46134</v>
      </c>
      <c r="H1113">
        <f t="shared" si="86"/>
        <v>0</v>
      </c>
      <c r="I1113" t="str">
        <f t="shared" si="87"/>
        <v>SwiftShip</v>
      </c>
      <c r="J1113" t="str">
        <f>VLOOKUP(A1113,Orders!$A$2:$D$1201,4,FALSE)</f>
        <v>Delivered</v>
      </c>
      <c r="K1113" t="str">
        <f t="shared" si="88"/>
        <v>Late</v>
      </c>
      <c r="L1113" t="str">
        <f t="shared" si="89"/>
        <v>On time</v>
      </c>
      <c r="O1113">
        <f t="shared" si="90"/>
        <v>0</v>
      </c>
    </row>
    <row r="1114" spans="1:15">
      <c r="A1114">
        <v>2167</v>
      </c>
      <c r="B1114" t="s">
        <v>347</v>
      </c>
      <c r="C1114" s="1">
        <v>46056</v>
      </c>
      <c r="D1114" s="1">
        <v>46056</v>
      </c>
      <c r="E1114" s="1">
        <v>46061</v>
      </c>
      <c r="F1114" s="1">
        <v>46060</v>
      </c>
      <c r="G1114" s="1">
        <v>46060</v>
      </c>
      <c r="H1114">
        <f t="shared" si="86"/>
        <v>0</v>
      </c>
      <c r="I1114" t="str">
        <f t="shared" si="87"/>
        <v>ParcelOne</v>
      </c>
      <c r="J1114" t="str">
        <f>VLOOKUP(A1114,Orders!$A$2:$D$1201,4,FALSE)</f>
        <v>Delivered</v>
      </c>
      <c r="K1114" t="str">
        <f t="shared" si="88"/>
        <v>On time</v>
      </c>
      <c r="L1114" t="str">
        <f t="shared" si="89"/>
        <v>On time</v>
      </c>
      <c r="O1114">
        <f t="shared" si="90"/>
        <v>0</v>
      </c>
    </row>
    <row r="1115" spans="1:15">
      <c r="A1115">
        <v>2168</v>
      </c>
      <c r="B1115" t="s">
        <v>346</v>
      </c>
      <c r="C1115" s="1">
        <v>46185</v>
      </c>
      <c r="D1115" s="1">
        <v>46186</v>
      </c>
      <c r="E1115" s="1">
        <v>46190</v>
      </c>
      <c r="F1115" s="1">
        <v>46191</v>
      </c>
      <c r="G1115" s="1">
        <v>46191</v>
      </c>
      <c r="H1115">
        <f t="shared" si="86"/>
        <v>0</v>
      </c>
      <c r="I1115" t="str">
        <f t="shared" si="87"/>
        <v>SwiftShip</v>
      </c>
      <c r="J1115" t="str">
        <f>VLOOKUP(A1115,Orders!$A$2:$D$1201,4,FALSE)</f>
        <v>Delivered</v>
      </c>
      <c r="K1115" t="str">
        <f t="shared" si="88"/>
        <v>Late</v>
      </c>
      <c r="L1115" t="str">
        <f t="shared" si="89"/>
        <v>Late</v>
      </c>
      <c r="O1115">
        <f t="shared" si="90"/>
        <v>0</v>
      </c>
    </row>
    <row r="1116" spans="1:15">
      <c r="A1116">
        <v>2169</v>
      </c>
      <c r="B1116" t="s">
        <v>346</v>
      </c>
      <c r="C1116" s="1">
        <v>46035</v>
      </c>
      <c r="D1116" s="1">
        <v>46035</v>
      </c>
      <c r="E1116" s="1">
        <v>46040</v>
      </c>
      <c r="F1116" s="1">
        <v>46039</v>
      </c>
      <c r="G1116" s="1">
        <v>46039</v>
      </c>
      <c r="H1116">
        <f t="shared" si="86"/>
        <v>0</v>
      </c>
      <c r="I1116" t="str">
        <f t="shared" si="87"/>
        <v>SwiftShip</v>
      </c>
      <c r="J1116" t="str">
        <f>VLOOKUP(A1116,Orders!$A$2:$D$1201,4,FALSE)</f>
        <v>Delivered</v>
      </c>
      <c r="K1116" t="str">
        <f t="shared" si="88"/>
        <v>On time</v>
      </c>
      <c r="L1116" t="str">
        <f t="shared" si="89"/>
        <v>On time</v>
      </c>
      <c r="O1116">
        <f t="shared" si="90"/>
        <v>0</v>
      </c>
    </row>
    <row r="1117" spans="1:15">
      <c r="A1117">
        <v>2170</v>
      </c>
      <c r="B1117" t="s">
        <v>348</v>
      </c>
      <c r="C1117" s="1">
        <v>46099</v>
      </c>
      <c r="D1117" s="1">
        <v>46099</v>
      </c>
      <c r="E1117" s="1">
        <v>46104</v>
      </c>
      <c r="F1117" s="1">
        <v>46106</v>
      </c>
      <c r="G1117" s="1">
        <v>46106</v>
      </c>
      <c r="H1117">
        <f t="shared" si="86"/>
        <v>0</v>
      </c>
      <c r="I1117" t="str">
        <f t="shared" si="87"/>
        <v>MetroLogistics</v>
      </c>
      <c r="J1117" t="str">
        <f>VLOOKUP(A1117,Orders!$A$2:$D$1201,4,FALSE)</f>
        <v>Delivered</v>
      </c>
      <c r="K1117" t="str">
        <f t="shared" si="88"/>
        <v>Late</v>
      </c>
      <c r="L1117" t="str">
        <f t="shared" si="89"/>
        <v>On time</v>
      </c>
      <c r="O1117">
        <f t="shared" si="90"/>
        <v>0</v>
      </c>
    </row>
    <row r="1118" spans="1:15">
      <c r="A1118">
        <v>2171</v>
      </c>
      <c r="B1118" t="s">
        <v>347</v>
      </c>
      <c r="C1118" s="1">
        <v>46135</v>
      </c>
      <c r="D1118" s="1">
        <v>46135</v>
      </c>
      <c r="E1118" s="1">
        <v>46140</v>
      </c>
      <c r="F1118" s="1">
        <v>46142</v>
      </c>
      <c r="G1118" s="1">
        <v>46144</v>
      </c>
      <c r="H1118">
        <f t="shared" si="86"/>
        <v>0</v>
      </c>
      <c r="I1118" t="str">
        <f t="shared" si="87"/>
        <v>ParcelOne</v>
      </c>
      <c r="J1118" t="str">
        <f>VLOOKUP(A1118,Orders!$A$2:$D$1201,4,FALSE)</f>
        <v>Delivered</v>
      </c>
      <c r="K1118" t="str">
        <f t="shared" si="88"/>
        <v>Late</v>
      </c>
      <c r="L1118" t="str">
        <f t="shared" si="89"/>
        <v>On time</v>
      </c>
      <c r="O1118">
        <f t="shared" si="90"/>
        <v>2</v>
      </c>
    </row>
    <row r="1119" spans="1:15">
      <c r="A1119">
        <v>2172</v>
      </c>
      <c r="B1119" t="s">
        <v>348</v>
      </c>
      <c r="C1119" s="1">
        <v>46028</v>
      </c>
      <c r="D1119" s="1">
        <v>46028</v>
      </c>
      <c r="E1119" s="1">
        <v>46033</v>
      </c>
      <c r="F1119" s="1">
        <v>46033</v>
      </c>
      <c r="G1119" s="1">
        <v>46033</v>
      </c>
      <c r="H1119">
        <f t="shared" si="86"/>
        <v>0</v>
      </c>
      <c r="I1119" t="str">
        <f t="shared" si="87"/>
        <v>MetroLogistics</v>
      </c>
      <c r="J1119" t="str">
        <f>VLOOKUP(A1119,Orders!$A$2:$D$1201,4,FALSE)</f>
        <v>Delivered</v>
      </c>
      <c r="K1119" t="str">
        <f t="shared" si="88"/>
        <v>On time</v>
      </c>
      <c r="L1119" t="str">
        <f t="shared" si="89"/>
        <v>On time</v>
      </c>
      <c r="O1119">
        <f t="shared" si="90"/>
        <v>0</v>
      </c>
    </row>
    <row r="1120" spans="1:15">
      <c r="A1120">
        <v>2173</v>
      </c>
      <c r="B1120" t="s">
        <v>347</v>
      </c>
      <c r="C1120" s="1">
        <v>46149</v>
      </c>
      <c r="D1120" s="1">
        <v>46149</v>
      </c>
      <c r="E1120" s="1">
        <v>46154</v>
      </c>
      <c r="F1120" s="1">
        <v>46154</v>
      </c>
      <c r="G1120" s="1">
        <v>46154</v>
      </c>
      <c r="H1120">
        <f t="shared" si="86"/>
        <v>0</v>
      </c>
      <c r="I1120" t="str">
        <f t="shared" si="87"/>
        <v>ParcelOne</v>
      </c>
      <c r="J1120" t="str">
        <f>VLOOKUP(A1120,Orders!$A$2:$D$1201,4,FALSE)</f>
        <v>Delivered</v>
      </c>
      <c r="K1120" t="str">
        <f t="shared" si="88"/>
        <v>On time</v>
      </c>
      <c r="L1120" t="str">
        <f t="shared" si="89"/>
        <v>On time</v>
      </c>
      <c r="O1120">
        <f t="shared" si="90"/>
        <v>0</v>
      </c>
    </row>
    <row r="1121" spans="1:15">
      <c r="A1121">
        <v>2174</v>
      </c>
      <c r="B1121" t="s">
        <v>346</v>
      </c>
      <c r="C1121" s="1">
        <v>46172</v>
      </c>
      <c r="D1121" s="1">
        <v>46172</v>
      </c>
      <c r="E1121" s="1">
        <v>46177</v>
      </c>
      <c r="F1121" s="1">
        <v>46175</v>
      </c>
      <c r="G1121" s="1">
        <v>46175</v>
      </c>
      <c r="H1121">
        <f t="shared" si="86"/>
        <v>0</v>
      </c>
      <c r="I1121" t="str">
        <f t="shared" si="87"/>
        <v>SwiftShip</v>
      </c>
      <c r="J1121" t="str">
        <f>VLOOKUP(A1121,Orders!$A$2:$D$1201,4,FALSE)</f>
        <v>Delivered</v>
      </c>
      <c r="K1121" t="str">
        <f t="shared" si="88"/>
        <v>On time</v>
      </c>
      <c r="L1121" t="str">
        <f t="shared" si="89"/>
        <v>On time</v>
      </c>
      <c r="O1121">
        <f t="shared" si="90"/>
        <v>0</v>
      </c>
    </row>
    <row r="1122" spans="1:15">
      <c r="A1122">
        <v>2175</v>
      </c>
      <c r="B1122" t="s">
        <v>347</v>
      </c>
      <c r="C1122" s="1">
        <v>46142</v>
      </c>
      <c r="D1122" s="1">
        <v>46142</v>
      </c>
      <c r="E1122" s="1">
        <v>46147</v>
      </c>
      <c r="F1122" s="1">
        <v>46145</v>
      </c>
      <c r="G1122" s="1">
        <v>46145</v>
      </c>
      <c r="H1122">
        <f t="shared" si="86"/>
        <v>0</v>
      </c>
      <c r="I1122" t="str">
        <f t="shared" si="87"/>
        <v>ParcelOne</v>
      </c>
      <c r="J1122" t="str">
        <f>VLOOKUP(A1122,Orders!$A$2:$D$1201,4,FALSE)</f>
        <v>Delivered</v>
      </c>
      <c r="K1122" t="str">
        <f t="shared" si="88"/>
        <v>On time</v>
      </c>
      <c r="L1122" t="str">
        <f t="shared" si="89"/>
        <v>On time</v>
      </c>
      <c r="O1122">
        <f t="shared" si="90"/>
        <v>0</v>
      </c>
    </row>
    <row r="1123" spans="1:15">
      <c r="A1123">
        <v>2176</v>
      </c>
      <c r="B1123" t="s">
        <v>348</v>
      </c>
      <c r="C1123" s="1">
        <v>46186</v>
      </c>
      <c r="D1123" s="1">
        <v>46186</v>
      </c>
      <c r="E1123" s="1">
        <v>46191</v>
      </c>
      <c r="H1123">
        <f t="shared" si="86"/>
        <v>0</v>
      </c>
      <c r="I1123" t="str">
        <f t="shared" si="87"/>
        <v>MetroLogistics</v>
      </c>
      <c r="J1123" t="str">
        <f>VLOOKUP(A1123,Orders!$A$2:$D$1201,4,FALSE)</f>
        <v>Shipped</v>
      </c>
      <c r="K1123" t="str">
        <f t="shared" si="88"/>
        <v>Not delivered</v>
      </c>
      <c r="L1123" t="str">
        <f t="shared" si="89"/>
        <v>On time</v>
      </c>
      <c r="O1123" t="str">
        <f t="shared" si="90"/>
        <v/>
      </c>
    </row>
    <row r="1124" spans="1:15">
      <c r="A1124">
        <v>2177</v>
      </c>
      <c r="B1124" t="s">
        <v>347</v>
      </c>
      <c r="C1124" s="1">
        <v>46113</v>
      </c>
      <c r="D1124" s="1">
        <v>46113</v>
      </c>
      <c r="E1124" s="1">
        <v>46118</v>
      </c>
      <c r="F1124" s="1">
        <v>46118</v>
      </c>
      <c r="G1124" s="1">
        <v>46118</v>
      </c>
      <c r="H1124">
        <f t="shared" si="86"/>
        <v>0</v>
      </c>
      <c r="I1124" t="str">
        <f t="shared" si="87"/>
        <v>ParcelOne</v>
      </c>
      <c r="J1124" t="str">
        <f>VLOOKUP(A1124,Orders!$A$2:$D$1201,4,FALSE)</f>
        <v>Delivered</v>
      </c>
      <c r="K1124" t="str">
        <f t="shared" si="88"/>
        <v>On time</v>
      </c>
      <c r="L1124" t="str">
        <f t="shared" si="89"/>
        <v>On time</v>
      </c>
      <c r="O1124">
        <f t="shared" si="90"/>
        <v>0</v>
      </c>
    </row>
    <row r="1125" spans="1:15">
      <c r="A1125">
        <v>2178</v>
      </c>
      <c r="B1125" t="s">
        <v>347</v>
      </c>
      <c r="C1125" s="1">
        <v>46078</v>
      </c>
      <c r="D1125" s="1">
        <v>46078</v>
      </c>
      <c r="E1125" s="1">
        <v>46083</v>
      </c>
      <c r="F1125" s="1">
        <v>46083</v>
      </c>
      <c r="G1125" s="1">
        <v>46083</v>
      </c>
      <c r="H1125">
        <f t="shared" si="86"/>
        <v>0</v>
      </c>
      <c r="I1125" t="str">
        <f t="shared" si="87"/>
        <v>ParcelOne</v>
      </c>
      <c r="J1125" t="str">
        <f>VLOOKUP(A1125,Orders!$A$2:$D$1201,4,FALSE)</f>
        <v>Delivered</v>
      </c>
      <c r="K1125" t="str">
        <f t="shared" si="88"/>
        <v>On time</v>
      </c>
      <c r="L1125" t="str">
        <f t="shared" si="89"/>
        <v>On time</v>
      </c>
      <c r="O1125">
        <f t="shared" si="90"/>
        <v>0</v>
      </c>
    </row>
    <row r="1126" spans="1:15">
      <c r="A1126">
        <v>2179</v>
      </c>
      <c r="B1126" t="s">
        <v>346</v>
      </c>
      <c r="C1126" s="1">
        <v>46106</v>
      </c>
      <c r="D1126" s="1">
        <v>46106</v>
      </c>
      <c r="E1126" s="1">
        <v>46111</v>
      </c>
      <c r="F1126" s="1">
        <v>46110</v>
      </c>
      <c r="G1126" s="1">
        <v>46111</v>
      </c>
      <c r="H1126">
        <f t="shared" si="86"/>
        <v>0</v>
      </c>
      <c r="I1126" t="str">
        <f t="shared" si="87"/>
        <v>SwiftShip</v>
      </c>
      <c r="J1126" t="str">
        <f>VLOOKUP(A1126,Orders!$A$2:$D$1201,4,FALSE)</f>
        <v>Delivered</v>
      </c>
      <c r="K1126" t="str">
        <f t="shared" si="88"/>
        <v>On time</v>
      </c>
      <c r="L1126" t="str">
        <f t="shared" si="89"/>
        <v>On time</v>
      </c>
      <c r="O1126">
        <f t="shared" si="90"/>
        <v>1</v>
      </c>
    </row>
    <row r="1127" spans="1:15">
      <c r="A1127">
        <v>2180</v>
      </c>
      <c r="B1127" t="s">
        <v>348</v>
      </c>
      <c r="C1127" s="1">
        <v>46114</v>
      </c>
      <c r="D1127" s="1">
        <v>46114</v>
      </c>
      <c r="E1127" s="1">
        <v>46119</v>
      </c>
      <c r="F1127" s="1">
        <v>46119</v>
      </c>
      <c r="G1127" s="1">
        <v>46121</v>
      </c>
      <c r="H1127">
        <f t="shared" si="86"/>
        <v>0</v>
      </c>
      <c r="I1127" t="str">
        <f t="shared" si="87"/>
        <v>MetroLogistics</v>
      </c>
      <c r="J1127" t="str">
        <f>VLOOKUP(A1127,Orders!$A$2:$D$1201,4,FALSE)</f>
        <v>Delivered</v>
      </c>
      <c r="K1127" t="str">
        <f t="shared" si="88"/>
        <v>On time</v>
      </c>
      <c r="L1127" t="str">
        <f t="shared" si="89"/>
        <v>On time</v>
      </c>
      <c r="O1127">
        <f t="shared" si="90"/>
        <v>2</v>
      </c>
    </row>
    <row r="1128" spans="1:15">
      <c r="A1128">
        <v>2181</v>
      </c>
      <c r="B1128" t="s">
        <v>346</v>
      </c>
      <c r="C1128" s="1">
        <v>46189</v>
      </c>
      <c r="D1128" s="1">
        <v>46189</v>
      </c>
      <c r="E1128" s="1">
        <v>46194</v>
      </c>
      <c r="F1128" s="1">
        <v>46194</v>
      </c>
      <c r="G1128" s="1">
        <v>46195</v>
      </c>
      <c r="H1128">
        <f t="shared" si="86"/>
        <v>0</v>
      </c>
      <c r="I1128" t="str">
        <f t="shared" si="87"/>
        <v>SwiftShip</v>
      </c>
      <c r="J1128" t="str">
        <f>VLOOKUP(A1128,Orders!$A$2:$D$1201,4,FALSE)</f>
        <v>Delivered</v>
      </c>
      <c r="K1128" t="str">
        <f t="shared" si="88"/>
        <v>On time</v>
      </c>
      <c r="L1128" t="str">
        <f t="shared" si="89"/>
        <v>On time</v>
      </c>
      <c r="O1128">
        <f t="shared" si="90"/>
        <v>1</v>
      </c>
    </row>
    <row r="1129" spans="1:15">
      <c r="A1129">
        <v>2182</v>
      </c>
      <c r="B1129" t="s">
        <v>347</v>
      </c>
      <c r="C1129" s="1">
        <v>46092</v>
      </c>
      <c r="D1129" s="1">
        <v>46092</v>
      </c>
      <c r="E1129" s="1">
        <v>46097</v>
      </c>
      <c r="F1129" s="1">
        <v>46101</v>
      </c>
      <c r="G1129" s="1">
        <v>46101</v>
      </c>
      <c r="H1129">
        <f t="shared" si="86"/>
        <v>0</v>
      </c>
      <c r="I1129" t="str">
        <f t="shared" si="87"/>
        <v>ParcelOne</v>
      </c>
      <c r="J1129" t="str">
        <f>VLOOKUP(A1129,Orders!$A$2:$D$1201,4,FALSE)</f>
        <v>Delivered</v>
      </c>
      <c r="K1129" t="str">
        <f t="shared" si="88"/>
        <v>Late</v>
      </c>
      <c r="L1129" t="str">
        <f t="shared" si="89"/>
        <v>On time</v>
      </c>
      <c r="O1129">
        <f t="shared" si="90"/>
        <v>0</v>
      </c>
    </row>
    <row r="1130" spans="1:15">
      <c r="A1130">
        <v>2183</v>
      </c>
      <c r="B1130" t="s">
        <v>347</v>
      </c>
      <c r="C1130" s="1">
        <v>46138</v>
      </c>
      <c r="D1130" s="1">
        <v>46139</v>
      </c>
      <c r="E1130" s="1">
        <v>46143</v>
      </c>
      <c r="F1130" s="1">
        <v>46147</v>
      </c>
      <c r="G1130" s="1">
        <v>46147</v>
      </c>
      <c r="H1130">
        <f t="shared" si="86"/>
        <v>0</v>
      </c>
      <c r="I1130" t="str">
        <f t="shared" si="87"/>
        <v>ParcelOne</v>
      </c>
      <c r="J1130" t="str">
        <f>VLOOKUP(A1130,Orders!$A$2:$D$1201,4,FALSE)</f>
        <v>Delivered</v>
      </c>
      <c r="K1130" t="str">
        <f t="shared" si="88"/>
        <v>Late</v>
      </c>
      <c r="L1130" t="str">
        <f t="shared" si="89"/>
        <v>Late</v>
      </c>
      <c r="O1130">
        <f t="shared" si="90"/>
        <v>0</v>
      </c>
    </row>
    <row r="1131" spans="1:15">
      <c r="A1131">
        <v>2184</v>
      </c>
      <c r="B1131" t="s">
        <v>346</v>
      </c>
      <c r="C1131" s="1">
        <v>46137</v>
      </c>
      <c r="D1131" s="1">
        <v>46137</v>
      </c>
      <c r="E1131" s="1">
        <v>46142</v>
      </c>
      <c r="F1131" s="1">
        <v>46140</v>
      </c>
      <c r="G1131" s="1">
        <v>46140</v>
      </c>
      <c r="H1131">
        <f t="shared" si="86"/>
        <v>0</v>
      </c>
      <c r="I1131" t="str">
        <f t="shared" si="87"/>
        <v>SwiftShip</v>
      </c>
      <c r="J1131" t="str">
        <f>VLOOKUP(A1131,Orders!$A$2:$D$1201,4,FALSE)</f>
        <v>Delivered</v>
      </c>
      <c r="K1131" t="str">
        <f t="shared" si="88"/>
        <v>On time</v>
      </c>
      <c r="L1131" t="str">
        <f t="shared" si="89"/>
        <v>On time</v>
      </c>
      <c r="O1131">
        <f t="shared" si="90"/>
        <v>0</v>
      </c>
    </row>
    <row r="1132" spans="1:15">
      <c r="A1132">
        <v>2185</v>
      </c>
      <c r="B1132" t="s">
        <v>346</v>
      </c>
      <c r="C1132" s="1">
        <v>46131</v>
      </c>
      <c r="D1132" s="1">
        <v>46132</v>
      </c>
      <c r="E1132" s="1">
        <v>46136</v>
      </c>
      <c r="F1132" s="1">
        <v>46136</v>
      </c>
      <c r="G1132" s="1">
        <v>46136</v>
      </c>
      <c r="H1132">
        <f t="shared" si="86"/>
        <v>0</v>
      </c>
      <c r="I1132" t="str">
        <f t="shared" si="87"/>
        <v>SwiftShip</v>
      </c>
      <c r="J1132" t="str">
        <f>VLOOKUP(A1132,Orders!$A$2:$D$1201,4,FALSE)</f>
        <v>Delivered</v>
      </c>
      <c r="K1132" t="str">
        <f t="shared" si="88"/>
        <v>On time</v>
      </c>
      <c r="L1132" t="str">
        <f t="shared" si="89"/>
        <v>Late</v>
      </c>
      <c r="O1132">
        <f t="shared" si="90"/>
        <v>0</v>
      </c>
    </row>
    <row r="1133" spans="1:15">
      <c r="A1133">
        <v>2186</v>
      </c>
      <c r="B1133" t="s">
        <v>347</v>
      </c>
      <c r="C1133" s="1">
        <v>46091</v>
      </c>
      <c r="D1133" s="1">
        <v>46091</v>
      </c>
      <c r="E1133" s="1">
        <v>46096</v>
      </c>
      <c r="F1133" s="1">
        <v>46096</v>
      </c>
      <c r="G1133" s="1">
        <v>46098</v>
      </c>
      <c r="H1133">
        <f t="shared" si="86"/>
        <v>0</v>
      </c>
      <c r="I1133" t="str">
        <f t="shared" si="87"/>
        <v>ParcelOne</v>
      </c>
      <c r="J1133" t="str">
        <f>VLOOKUP(A1133,Orders!$A$2:$D$1201,4,FALSE)</f>
        <v>Delivered</v>
      </c>
      <c r="K1133" t="str">
        <f t="shared" si="88"/>
        <v>On time</v>
      </c>
      <c r="L1133" t="str">
        <f t="shared" si="89"/>
        <v>On time</v>
      </c>
      <c r="O1133">
        <f t="shared" si="90"/>
        <v>2</v>
      </c>
    </row>
    <row r="1134" spans="1:15">
      <c r="A1134">
        <v>2188</v>
      </c>
      <c r="B1134" t="s">
        <v>346</v>
      </c>
      <c r="C1134" s="1">
        <v>46179</v>
      </c>
      <c r="D1134" s="1">
        <v>46179</v>
      </c>
      <c r="E1134" s="1">
        <v>46184</v>
      </c>
      <c r="F1134" s="1">
        <v>46182</v>
      </c>
      <c r="G1134" s="1">
        <v>46182</v>
      </c>
      <c r="H1134">
        <f t="shared" si="86"/>
        <v>0</v>
      </c>
      <c r="I1134" t="str">
        <f t="shared" si="87"/>
        <v>SwiftShip</v>
      </c>
      <c r="J1134" t="str">
        <f>VLOOKUP(A1134,Orders!$A$2:$D$1201,4,FALSE)</f>
        <v>Delivered</v>
      </c>
      <c r="K1134" t="str">
        <f t="shared" si="88"/>
        <v>On time</v>
      </c>
      <c r="L1134" t="str">
        <f t="shared" si="89"/>
        <v>On time</v>
      </c>
      <c r="O1134">
        <f t="shared" si="90"/>
        <v>0</v>
      </c>
    </row>
    <row r="1135" spans="1:15">
      <c r="A1135">
        <v>2189</v>
      </c>
      <c r="B1135" t="s">
        <v>348</v>
      </c>
      <c r="C1135" s="1">
        <v>46176</v>
      </c>
      <c r="D1135" s="1">
        <v>46176</v>
      </c>
      <c r="E1135" s="1">
        <v>46181</v>
      </c>
      <c r="F1135" s="1">
        <v>46179</v>
      </c>
      <c r="G1135" s="1">
        <v>46179</v>
      </c>
      <c r="H1135">
        <f t="shared" si="86"/>
        <v>0</v>
      </c>
      <c r="I1135" t="str">
        <f t="shared" si="87"/>
        <v>MetroLogistics</v>
      </c>
      <c r="J1135" t="str">
        <f>VLOOKUP(A1135,Orders!$A$2:$D$1201,4,FALSE)</f>
        <v>Delivered</v>
      </c>
      <c r="K1135" t="str">
        <f t="shared" si="88"/>
        <v>On time</v>
      </c>
      <c r="L1135" t="str">
        <f t="shared" si="89"/>
        <v>On time</v>
      </c>
      <c r="O1135">
        <f t="shared" si="90"/>
        <v>0</v>
      </c>
    </row>
    <row r="1136" spans="1:15">
      <c r="A1136">
        <v>2190</v>
      </c>
      <c r="B1136" t="s">
        <v>348</v>
      </c>
      <c r="C1136" s="1">
        <v>46062</v>
      </c>
      <c r="D1136" s="1">
        <v>46062</v>
      </c>
      <c r="E1136" s="1">
        <v>46067</v>
      </c>
      <c r="F1136" s="1">
        <v>46071</v>
      </c>
      <c r="G1136" s="1">
        <v>46071</v>
      </c>
      <c r="H1136">
        <f t="shared" si="86"/>
        <v>0</v>
      </c>
      <c r="I1136" t="str">
        <f t="shared" si="87"/>
        <v>MetroLogistics</v>
      </c>
      <c r="J1136" t="str">
        <f>VLOOKUP(A1136,Orders!$A$2:$D$1201,4,FALSE)</f>
        <v>Delivered</v>
      </c>
      <c r="K1136" t="str">
        <f t="shared" si="88"/>
        <v>Late</v>
      </c>
      <c r="L1136" t="str">
        <f t="shared" si="89"/>
        <v>On time</v>
      </c>
      <c r="O1136">
        <f t="shared" si="90"/>
        <v>0</v>
      </c>
    </row>
    <row r="1137" spans="1:15">
      <c r="A1137">
        <v>2191</v>
      </c>
      <c r="B1137" t="s">
        <v>348</v>
      </c>
      <c r="C1137" s="1">
        <v>46178</v>
      </c>
      <c r="D1137" s="1">
        <v>46178</v>
      </c>
      <c r="E1137" s="1">
        <v>46183</v>
      </c>
      <c r="F1137" s="1">
        <v>46184</v>
      </c>
      <c r="G1137" s="1">
        <v>46184</v>
      </c>
      <c r="H1137">
        <f t="shared" si="86"/>
        <v>0</v>
      </c>
      <c r="I1137" t="str">
        <f t="shared" si="87"/>
        <v>MetroLogistics</v>
      </c>
      <c r="J1137" t="str">
        <f>VLOOKUP(A1137,Orders!$A$2:$D$1201,4,FALSE)</f>
        <v>Delivered</v>
      </c>
      <c r="K1137" t="str">
        <f t="shared" si="88"/>
        <v>Late</v>
      </c>
      <c r="L1137" t="str">
        <f t="shared" si="89"/>
        <v>On time</v>
      </c>
      <c r="O1137">
        <f t="shared" si="90"/>
        <v>0</v>
      </c>
    </row>
    <row r="1138" spans="1:15">
      <c r="A1138">
        <v>2192</v>
      </c>
      <c r="B1138" t="s">
        <v>347</v>
      </c>
      <c r="C1138" s="1">
        <v>46155</v>
      </c>
      <c r="D1138" s="1">
        <v>46155</v>
      </c>
      <c r="E1138" s="1">
        <v>46160</v>
      </c>
      <c r="H1138">
        <f t="shared" si="86"/>
        <v>0</v>
      </c>
      <c r="I1138" t="str">
        <f t="shared" si="87"/>
        <v>ParcelOne</v>
      </c>
      <c r="J1138" t="str">
        <f>VLOOKUP(A1138,Orders!$A$2:$D$1201,4,FALSE)</f>
        <v>Shipped</v>
      </c>
      <c r="K1138" t="str">
        <f t="shared" si="88"/>
        <v>Not delivered</v>
      </c>
      <c r="L1138" t="str">
        <f t="shared" si="89"/>
        <v>On time</v>
      </c>
      <c r="O1138" t="str">
        <f t="shared" si="90"/>
        <v/>
      </c>
    </row>
    <row r="1139" spans="1:15">
      <c r="A1139">
        <v>2193</v>
      </c>
      <c r="B1139" t="s">
        <v>347</v>
      </c>
      <c r="C1139" s="1">
        <v>46182</v>
      </c>
      <c r="D1139" s="1">
        <v>46182</v>
      </c>
      <c r="E1139" s="1">
        <v>46187</v>
      </c>
      <c r="F1139" s="1">
        <v>46187</v>
      </c>
      <c r="G1139" s="1">
        <v>46187</v>
      </c>
      <c r="H1139">
        <f t="shared" si="86"/>
        <v>0</v>
      </c>
      <c r="I1139" t="str">
        <f t="shared" si="87"/>
        <v>ParcelOne</v>
      </c>
      <c r="J1139" t="str">
        <f>VLOOKUP(A1139,Orders!$A$2:$D$1201,4,FALSE)</f>
        <v>Delivered</v>
      </c>
      <c r="K1139" t="str">
        <f t="shared" si="88"/>
        <v>On time</v>
      </c>
      <c r="L1139" t="str">
        <f t="shared" si="89"/>
        <v>On time</v>
      </c>
      <c r="O1139">
        <f t="shared" si="90"/>
        <v>0</v>
      </c>
    </row>
    <row r="1140" spans="1:15">
      <c r="A1140">
        <v>2194</v>
      </c>
      <c r="B1140" t="s">
        <v>347</v>
      </c>
      <c r="C1140" s="1">
        <v>46049</v>
      </c>
      <c r="D1140" s="1">
        <v>46050</v>
      </c>
      <c r="E1140" s="1">
        <v>46054</v>
      </c>
      <c r="H1140">
        <f t="shared" si="86"/>
        <v>0</v>
      </c>
      <c r="I1140" t="str">
        <f t="shared" si="87"/>
        <v>ParcelOne</v>
      </c>
      <c r="J1140" t="str">
        <f>VLOOKUP(A1140,Orders!$A$2:$D$1201,4,FALSE)</f>
        <v>Shipped</v>
      </c>
      <c r="K1140" t="str">
        <f t="shared" si="88"/>
        <v>Not delivered</v>
      </c>
      <c r="L1140" t="str">
        <f t="shared" si="89"/>
        <v>Late</v>
      </c>
      <c r="O1140" t="str">
        <f t="shared" si="90"/>
        <v/>
      </c>
    </row>
    <row r="1141" spans="1:15">
      <c r="A1141">
        <v>2195</v>
      </c>
      <c r="B1141" t="s">
        <v>348</v>
      </c>
      <c r="C1141" s="1">
        <v>46049</v>
      </c>
      <c r="D1141" s="1">
        <v>46049</v>
      </c>
      <c r="E1141" s="1">
        <v>46054</v>
      </c>
      <c r="F1141" s="1">
        <v>46053</v>
      </c>
      <c r="G1141" s="1">
        <v>46055</v>
      </c>
      <c r="H1141">
        <f t="shared" si="86"/>
        <v>0</v>
      </c>
      <c r="I1141" t="str">
        <f t="shared" si="87"/>
        <v>MetroLogistics</v>
      </c>
      <c r="J1141" t="str">
        <f>VLOOKUP(A1141,Orders!$A$2:$D$1201,4,FALSE)</f>
        <v>Delivered</v>
      </c>
      <c r="K1141" t="str">
        <f t="shared" si="88"/>
        <v>On time</v>
      </c>
      <c r="L1141" t="str">
        <f t="shared" si="89"/>
        <v>On time</v>
      </c>
      <c r="O1141">
        <f t="shared" si="90"/>
        <v>2</v>
      </c>
    </row>
    <row r="1142" spans="1:15">
      <c r="A1142">
        <v>2196</v>
      </c>
      <c r="B1142" t="s">
        <v>347</v>
      </c>
      <c r="C1142" s="1">
        <v>46045</v>
      </c>
      <c r="D1142" s="1">
        <v>46045</v>
      </c>
      <c r="E1142" s="1">
        <v>46050</v>
      </c>
      <c r="F1142" s="1">
        <v>46048</v>
      </c>
      <c r="G1142" s="1">
        <v>46050</v>
      </c>
      <c r="H1142">
        <f t="shared" si="86"/>
        <v>0</v>
      </c>
      <c r="I1142" t="str">
        <f t="shared" si="87"/>
        <v>ParcelOne</v>
      </c>
      <c r="J1142" t="str">
        <f>VLOOKUP(A1142,Orders!$A$2:$D$1201,4,FALSE)</f>
        <v>Delivered</v>
      </c>
      <c r="K1142" t="str">
        <f t="shared" si="88"/>
        <v>On time</v>
      </c>
      <c r="L1142" t="str">
        <f t="shared" si="89"/>
        <v>On time</v>
      </c>
      <c r="O1142">
        <f t="shared" si="90"/>
        <v>2</v>
      </c>
    </row>
    <row r="1143" spans="1:15">
      <c r="A1143">
        <v>2197</v>
      </c>
      <c r="B1143" t="s">
        <v>348</v>
      </c>
      <c r="C1143" s="1">
        <v>46026</v>
      </c>
      <c r="D1143" s="1">
        <v>46027</v>
      </c>
      <c r="E1143" s="1">
        <v>46031</v>
      </c>
      <c r="F1143" s="1">
        <v>46035</v>
      </c>
      <c r="G1143" s="1">
        <v>46035</v>
      </c>
      <c r="H1143">
        <f t="shared" si="86"/>
        <v>0</v>
      </c>
      <c r="I1143" t="str">
        <f t="shared" si="87"/>
        <v>MetroLogistics</v>
      </c>
      <c r="J1143" t="str">
        <f>VLOOKUP(A1143,Orders!$A$2:$D$1201,4,FALSE)</f>
        <v>Delivered</v>
      </c>
      <c r="K1143" t="str">
        <f t="shared" si="88"/>
        <v>Late</v>
      </c>
      <c r="L1143" t="str">
        <f t="shared" si="89"/>
        <v>Late</v>
      </c>
      <c r="O1143">
        <f t="shared" si="90"/>
        <v>0</v>
      </c>
    </row>
    <row r="1144" spans="1:15">
      <c r="A1144">
        <v>2198</v>
      </c>
      <c r="B1144" t="s">
        <v>347</v>
      </c>
      <c r="C1144" s="1">
        <v>46152</v>
      </c>
      <c r="D1144" s="1">
        <v>46152</v>
      </c>
      <c r="E1144" s="1">
        <v>46157</v>
      </c>
      <c r="F1144" s="1">
        <v>46159</v>
      </c>
      <c r="G1144" s="1">
        <v>46159</v>
      </c>
      <c r="H1144">
        <f t="shared" si="86"/>
        <v>0</v>
      </c>
      <c r="I1144" t="str">
        <f t="shared" si="87"/>
        <v>ParcelOne</v>
      </c>
      <c r="J1144" t="str">
        <f>VLOOKUP(A1144,Orders!$A$2:$D$1201,4,FALSE)</f>
        <v>Delivered</v>
      </c>
      <c r="K1144" t="str">
        <f t="shared" si="88"/>
        <v>Late</v>
      </c>
      <c r="L1144" t="str">
        <f t="shared" si="89"/>
        <v>On time</v>
      </c>
      <c r="O1144">
        <f t="shared" si="90"/>
        <v>0</v>
      </c>
    </row>
    <row r="1145" spans="1:15">
      <c r="A1145">
        <v>2199</v>
      </c>
      <c r="B1145" t="s">
        <v>347</v>
      </c>
      <c r="C1145" s="1">
        <v>46154</v>
      </c>
      <c r="D1145" s="1">
        <v>46156</v>
      </c>
      <c r="E1145" s="1">
        <v>46159</v>
      </c>
      <c r="F1145" s="1">
        <v>46161</v>
      </c>
      <c r="G1145" s="1">
        <v>46161</v>
      </c>
      <c r="H1145">
        <f t="shared" si="86"/>
        <v>0</v>
      </c>
      <c r="I1145" t="str">
        <f t="shared" si="87"/>
        <v>ParcelOne</v>
      </c>
      <c r="J1145" t="str">
        <f>VLOOKUP(A1145,Orders!$A$2:$D$1201,4,FALSE)</f>
        <v>Delivered</v>
      </c>
      <c r="K1145" t="str">
        <f t="shared" si="88"/>
        <v>Late</v>
      </c>
      <c r="L1145" t="str">
        <f t="shared" si="89"/>
        <v>Late</v>
      </c>
      <c r="O1145">
        <f t="shared" si="90"/>
        <v>0</v>
      </c>
    </row>
    <row r="1146" spans="1:15">
      <c r="A1146">
        <v>2200</v>
      </c>
      <c r="B1146" t="s">
        <v>348</v>
      </c>
      <c r="C1146" s="1">
        <v>46104</v>
      </c>
      <c r="D1146" s="1">
        <v>46104</v>
      </c>
      <c r="E1146" s="1">
        <v>46109</v>
      </c>
      <c r="H1146">
        <f t="shared" si="86"/>
        <v>0</v>
      </c>
      <c r="I1146" t="str">
        <f t="shared" si="87"/>
        <v>MetroLogistics</v>
      </c>
      <c r="J1146" t="str">
        <f>VLOOKUP(A1146,Orders!$A$2:$D$1201,4,FALSE)</f>
        <v>Shipped</v>
      </c>
      <c r="K1146" t="str">
        <f t="shared" si="88"/>
        <v>Not delivered</v>
      </c>
      <c r="L1146" t="str">
        <f t="shared" si="89"/>
        <v>On time</v>
      </c>
      <c r="O1146" t="str">
        <f t="shared" si="90"/>
        <v/>
      </c>
    </row>
  </sheetData>
  <autoFilter ref="A1:N1146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Customers</vt:lpstr>
      <vt:lpstr>Products</vt:lpstr>
      <vt:lpstr>MonthlyOrdersAnalysis</vt:lpstr>
      <vt:lpstr>Orders</vt:lpstr>
      <vt:lpstr>MonthlySalesAnalysis</vt:lpstr>
      <vt:lpstr>ProductSalesAnalysis</vt:lpstr>
      <vt:lpstr>OrderItems</vt:lpstr>
      <vt:lpstr>DataQualityLog</vt:lpstr>
      <vt:lpstr>CarrierAnalysis</vt:lpstr>
      <vt:lpstr>OnTimeDispatchAnalysis</vt:lpstr>
      <vt:lpstr>Deliveries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HARSHITHA REDDY</cp:lastModifiedBy>
  <dcterms:created xsi:type="dcterms:W3CDTF">2026-10-06T02:38:27Z</dcterms:created>
  <dcterms:modified xsi:type="dcterms:W3CDTF">2026-10-08T02:01:52Z</dcterms:modified>
</cp:coreProperties>
</file>